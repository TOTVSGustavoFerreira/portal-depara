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SITUACAO" sheetId="1" r:id="rId5"/>
    <sheet state="hidden" name="DADOS_RM_EVENTOS_original" sheetId="2" r:id="rId6"/>
    <sheet state="hidden" name="ZDEPARA_EVENTOS_original" sheetId="3" r:id="rId7"/>
    <sheet state="visible" name="ZDEPARA_EVENTOS" sheetId="4" r:id="rId8"/>
    <sheet state="visible" name="DADOS_RM_EVENTOS" sheetId="5" r:id="rId9"/>
    <sheet state="visible" name="CRIAR_EVENTOS" sheetId="6" r:id="rId10"/>
    <sheet state="visible" name="DADOS_RM_MOTIVOS" sheetId="7" r:id="rId11"/>
    <sheet state="visible" name="ZDEPARA_COLIGADAS" sheetId="8" r:id="rId12"/>
    <sheet state="visible" name="ZDEPARA_FUNCOES" sheetId="9" r:id="rId13"/>
    <sheet state="visible" name="ZDEPARA_SINDICATOS" sheetId="10" r:id="rId14"/>
    <sheet state="visible" name="ZDEPARA_SECOES" sheetId="11" r:id="rId15"/>
    <sheet state="visible" name="DADOS_RM_SECOES" sheetId="12" r:id="rId16"/>
    <sheet state="visible" name="ZDEPARA_BANCO" sheetId="13" r:id="rId17"/>
    <sheet state="visible" name="ZDEPARA_SITUACAO" sheetId="14" r:id="rId18"/>
    <sheet state="visible" name="ZDEPARA_HORARIOS" sheetId="15" r:id="rId19"/>
    <sheet state="visible" name="ZDEPARA_PERIODO_FOLHA" sheetId="16" r:id="rId20"/>
    <sheet state="visible" name="Layout Eventos" sheetId="17" r:id="rId21"/>
  </sheets>
  <definedNames>
    <definedName hidden="1" localSheetId="2" name="_xlnm._FilterDatabase">ZDEPARA_EVENTOS_original!$A$1:$M$651</definedName>
    <definedName hidden="1" localSheetId="3" name="_xlnm._FilterDatabase">ZDEPARA_EVENTOS!$A$1:$M$651</definedName>
    <definedName hidden="1" localSheetId="4" name="_xlnm._FilterDatabase">DADOS_RM_EVENTOS!$A$1:$E$880</definedName>
    <definedName hidden="1" localSheetId="5" name="_xlnm._FilterDatabase">CRIAR_EVENTOS!$A$1:$B$1000</definedName>
    <definedName hidden="1" localSheetId="7" name="_xlnm._FilterDatabase">ZDEPARA_COLIGADAS!$A$1:$K$7</definedName>
    <definedName hidden="1" localSheetId="8" name="_xlnm._FilterDatabase">ZDEPARA_FUNCOES!$A$1:$F$299</definedName>
    <definedName hidden="1" localSheetId="10" name="_xlnm._FilterDatabase">ZDEPARA_SECOES!$A$1:$H$179</definedName>
    <definedName hidden="1" localSheetId="16" name="_xlnm._FilterDatabase">'Layout Eventos'!$A$3:$EQ$1165</definedName>
    <definedName hidden="1" localSheetId="4" name="Z_D42415EC_BCD2_4837_8207_9828990F0E19_.wvu.FilterData">DADOS_RM_EVENTOS!$A$1:$E$880</definedName>
    <definedName hidden="1" localSheetId="1" name="Z_D42415EC_BCD2_4837_8207_9828990F0E19_.wvu.FilterData">DADOS_RM_EVENTOS_original!$A$1:$E$659</definedName>
    <definedName hidden="1" localSheetId="2" name="Z_D42415EC_BCD2_4837_8207_9828990F0E19_.wvu.FilterData">ZDEPARA_EVENTOS_original!$A$1:$M$651</definedName>
    <definedName hidden="1" localSheetId="3" name="Z_D42415EC_BCD2_4837_8207_9828990F0E19_.wvu.FilterData">ZDEPARA_EVENTOS!$A$1:$M$651</definedName>
    <definedName hidden="1" localSheetId="16" name="Z_D42415EC_BCD2_4837_8207_9828990F0E19_.wvu.FilterData">'Layout Eventos'!$A$3:$CM$1165</definedName>
  </definedNames>
  <calcPr/>
  <customWorkbookViews>
    <customWorkbookView activeSheetId="0" maximized="1" windowHeight="0" windowWidth="0" guid="{D42415EC-BCD2-4837-8207-9828990F0E19}" name="Filtro 1"/>
  </customWorkbookViews>
</workbook>
</file>

<file path=xl/sharedStrings.xml><?xml version="1.0" encoding="utf-8"?>
<sst xmlns="http://schemas.openxmlformats.org/spreadsheetml/2006/main" count="33632" uniqueCount="6127">
  <si>
    <t>CODIGO</t>
  </si>
  <si>
    <t>EMPRESA_DE</t>
  </si>
  <si>
    <t>DESCRICAO</t>
  </si>
  <si>
    <t>TIPOEVENTO</t>
  </si>
  <si>
    <t>VALHORDIAREF</t>
  </si>
  <si>
    <t>CODIGO_DE</t>
  </si>
  <si>
    <t>NAT_ESOCIAL</t>
  </si>
  <si>
    <t>CODCLIENTE</t>
  </si>
  <si>
    <t>CONFERE COD</t>
  </si>
  <si>
    <t>NOME_DE</t>
  </si>
  <si>
    <t>TIPO_EVENTO</t>
  </si>
  <si>
    <t>COLIGADA_PARA</t>
  </si>
  <si>
    <t>A</t>
  </si>
  <si>
    <t>CODIGO_PARA</t>
  </si>
  <si>
    <t>CONFERE DESCR</t>
  </si>
  <si>
    <t>Ativo</t>
  </si>
  <si>
    <t>0001</t>
  </si>
  <si>
    <t>C</t>
  </si>
  <si>
    <t>NOME_RM</t>
  </si>
  <si>
    <t>Salario Base em Horas</t>
  </si>
  <si>
    <t>CODIGO_PARA_FICHA_MES1</t>
  </si>
  <si>
    <t>Contrato de Trabalho Suspenso</t>
  </si>
  <si>
    <t>PROVENTO</t>
  </si>
  <si>
    <t>D</t>
  </si>
  <si>
    <t>NOME_RM_1</t>
  </si>
  <si>
    <t>Demitido</t>
  </si>
  <si>
    <t>HORA</t>
  </si>
  <si>
    <t>E</t>
  </si>
  <si>
    <t>CODIGO_PARA_FICHA_MES2</t>
  </si>
  <si>
    <t>1000-Salario, vencimento, soldo</t>
  </si>
  <si>
    <t>Licença Mater.</t>
  </si>
  <si>
    <t>NOME_RM_2</t>
  </si>
  <si>
    <t>F</t>
  </si>
  <si>
    <t>CODIGO_PARA_VERBAS_FERIAS</t>
  </si>
  <si>
    <t>Férias</t>
  </si>
  <si>
    <t>G</t>
  </si>
  <si>
    <t>NOME_RM_3</t>
  </si>
  <si>
    <t>Recesso Remunerado de Estagio</t>
  </si>
  <si>
    <t>0004</t>
  </si>
  <si>
    <t>I</t>
  </si>
  <si>
    <t>Apos. por Incapacidade Permanente</t>
  </si>
  <si>
    <t>0967</t>
  </si>
  <si>
    <t>K</t>
  </si>
  <si>
    <t># 1ª via cartão hapvida</t>
  </si>
  <si>
    <t>D-DESCONTO</t>
  </si>
  <si>
    <t>Cessão / Requisição</t>
  </si>
  <si>
    <t>L</t>
  </si>
  <si>
    <t>1</t>
  </si>
  <si>
    <t>Licença s/venc</t>
  </si>
  <si>
    <t>CRIAR EVENTO</t>
  </si>
  <si>
    <t>M</t>
  </si>
  <si>
    <t>Serv.Militar</t>
  </si>
  <si>
    <t>N</t>
  </si>
  <si>
    <t>Mandato Sindical Ônus do Empregador</t>
  </si>
  <si>
    <t>O</t>
  </si>
  <si>
    <t>SALARIO BASE EM HORAS</t>
  </si>
  <si>
    <t>Doença Ocupacional</t>
  </si>
  <si>
    <t>P</t>
  </si>
  <si>
    <t>Af.Previdência</t>
  </si>
  <si>
    <t>Q</t>
  </si>
  <si>
    <t>Prisão / Cárcere</t>
  </si>
  <si>
    <t>R</t>
  </si>
  <si>
    <t>Licença Remun.</t>
  </si>
  <si>
    <t>Código não encontrado/Não digitado</t>
  </si>
  <si>
    <t>0002</t>
  </si>
  <si>
    <t>S</t>
  </si>
  <si>
    <t>Mandato Sindical Ônus do Sindicato</t>
  </si>
  <si>
    <t>T</t>
  </si>
  <si>
    <t xml:space="preserve"> </t>
  </si>
  <si>
    <t>Af.Ac.Trabalho</t>
  </si>
  <si>
    <t>Salario Base em Dias</t>
  </si>
  <si>
    <t>U</t>
  </si>
  <si>
    <t>Outros</t>
  </si>
  <si>
    <t>V</t>
  </si>
  <si>
    <t>DIA</t>
  </si>
  <si>
    <t>Aviso Prévio</t>
  </si>
  <si>
    <t>W</t>
  </si>
  <si>
    <t>Licença Mater. Compl. 180 dias</t>
  </si>
  <si>
    <t>X</t>
  </si>
  <si>
    <t>C/Dem.no mês</t>
  </si>
  <si>
    <t>SALARIO BASE EM DIAS</t>
  </si>
  <si>
    <t>Y</t>
  </si>
  <si>
    <t>Licença Paternidade</t>
  </si>
  <si>
    <t>Z</t>
  </si>
  <si>
    <t>0003</t>
  </si>
  <si>
    <t>Admissão prox.mês</t>
  </si>
  <si>
    <t>Desc. INSS Segurado</t>
  </si>
  <si>
    <t>DESCONTO</t>
  </si>
  <si>
    <t>VALOR</t>
  </si>
  <si>
    <t>9201-Contribuicao Previdenciaria</t>
  </si>
  <si>
    <t>DESC. INSS SEGURADO</t>
  </si>
  <si>
    <t>Desc. IRRF na Fonte</t>
  </si>
  <si>
    <t>9203-Imposto de renda retido na fonte</t>
  </si>
  <si>
    <t>0608</t>
  </si>
  <si>
    <t>DESC. IRRF NA FONTE</t>
  </si>
  <si>
    <t># adiantamento base de cálculo</t>
  </si>
  <si>
    <t>B-BASE</t>
  </si>
  <si>
    <t>0005</t>
  </si>
  <si>
    <t>Cota de Salario Familia</t>
  </si>
  <si>
    <t>NÃO IMPORTAR</t>
  </si>
  <si>
    <t>1409-Salario familia</t>
  </si>
  <si>
    <t>COTA DE SALARIO FAMILIA</t>
  </si>
  <si>
    <t>0006</t>
  </si>
  <si>
    <t>Desc. Vale Transporte</t>
  </si>
  <si>
    <t>9216-Desconto de valetransporte</t>
  </si>
  <si>
    <t>DESC. VALE TRANSPORTE</t>
  </si>
  <si>
    <t>0007</t>
  </si>
  <si>
    <t>Adicional de Penosidade</t>
  </si>
  <si>
    <t>PROVDESCBASE</t>
  </si>
  <si>
    <t>NATRUBRICA_DESCRICAO</t>
  </si>
  <si>
    <t>1214-Adicional de penosidade</t>
  </si>
  <si>
    <t>ADICIONAL DE PENOSIDADE</t>
  </si>
  <si>
    <t>0008</t>
  </si>
  <si>
    <t>Desc. Faltas (em Dias)</t>
  </si>
  <si>
    <t>H</t>
  </si>
  <si>
    <t>0015</t>
  </si>
  <si>
    <t>0151</t>
  </si>
  <si>
    <t>9209-Faltas ou atrasos</t>
  </si>
  <si>
    <t>1000 - Salário, vencimento, soldo</t>
  </si>
  <si>
    <t># adiantamento de 13º salário (férias)</t>
  </si>
  <si>
    <t>P-PROVENTO</t>
  </si>
  <si>
    <t>2</t>
  </si>
  <si>
    <t>0444</t>
  </si>
  <si>
    <t>DESC. FALTAS (EM DIAS)</t>
  </si>
  <si>
    <t>0009</t>
  </si>
  <si>
    <t>1ª Parcela 13º Salario</t>
  </si>
  <si>
    <t>5504-13º salario ¿ Adiantamento</t>
  </si>
  <si>
    <t>1ª PARCELA 13º SALARIO</t>
  </si>
  <si>
    <t>0010</t>
  </si>
  <si>
    <t>9201 - Contribuição Previdenciária</t>
  </si>
  <si>
    <t>Reflexo Sobre Escala</t>
  </si>
  <si>
    <t>Antecipacao Primeira Parcela 13º nas Fer</t>
  </si>
  <si>
    <t>1012-Descanso semanal remunerado - DSR e feriado</t>
  </si>
  <si>
    <t>REFLEXO SOBRE ESCALA</t>
  </si>
  <si>
    <t>0345</t>
  </si>
  <si>
    <t>9203 - Imposto de renda retido na fonte</t>
  </si>
  <si>
    <t># adiantamento extra</t>
  </si>
  <si>
    <t>0011</t>
  </si>
  <si>
    <t>Desc. INSS 13º Salario</t>
  </si>
  <si>
    <t>0019</t>
  </si>
  <si>
    <t>1409 - Salário família</t>
  </si>
  <si>
    <t>DESC. INSS 13º SALARIO</t>
  </si>
  <si>
    <t>0012</t>
  </si>
  <si>
    <t>Desc. Contribuicao Sindical Compulsoria</t>
  </si>
  <si>
    <t>9216 - Desconto de valetransporte</t>
  </si>
  <si>
    <t>9230-Contribuicao sindical laboral</t>
  </si>
  <si>
    <t>DESC. CONTRIBUICAO SINDICAL COMPULSORIA</t>
  </si>
  <si>
    <t>0013</t>
  </si>
  <si>
    <t>1214 - Adicional de penosidade</t>
  </si>
  <si>
    <t>Desc. Pensao Alimenticia Judicial</t>
  </si>
  <si>
    <t>9213-Pensao alimenticia</t>
  </si>
  <si>
    <t>DESC. PENSAO ALIMENTICIA JUDICIAL</t>
  </si>
  <si>
    <t>9209 - Faltas ou atrasos</t>
  </si>
  <si>
    <t>0342</t>
  </si>
  <si>
    <t># almoco</t>
  </si>
  <si>
    <t>0014</t>
  </si>
  <si>
    <t>( - ) Desc. Adiantamento Salarial</t>
  </si>
  <si>
    <t>0092</t>
  </si>
  <si>
    <t>Horas Normais - Aprendiz</t>
  </si>
  <si>
    <t>5504 - 13º salário ¿ Adiantamento</t>
  </si>
  <si>
    <t>HORAS NORMAIS - APRENDIZ</t>
  </si>
  <si>
    <t>Ajuda de Custo s/Incidencia</t>
  </si>
  <si>
    <t>1012 - Descanso semanal remunerado - DSR e feriado</t>
  </si>
  <si>
    <t>1299-Outros Adicionais</t>
  </si>
  <si>
    <t>AJUDA DE CUSTO S/INCIDENCIA</t>
  </si>
  <si>
    <t>0016</t>
  </si>
  <si>
    <t>Provento ferias</t>
  </si>
  <si>
    <t>1016-Ferias</t>
  </si>
  <si>
    <t>PROVENTO FERIAS</t>
  </si>
  <si>
    <t>0391</t>
  </si>
  <si>
    <t># arredondamento (desconto)</t>
  </si>
  <si>
    <t>9230 - Contribuição sindical laboral</t>
  </si>
  <si>
    <t>0017</t>
  </si>
  <si>
    <t>0275</t>
  </si>
  <si>
    <t>Salario Maternidade</t>
  </si>
  <si>
    <t>4050-Salario maternidade</t>
  </si>
  <si>
    <t>Desc. Vale Alimentacao</t>
  </si>
  <si>
    <t>SALARIO MATERNIDADE</t>
  </si>
  <si>
    <t>9213 - Pensão alimentícia</t>
  </si>
  <si>
    <t>0018</t>
  </si>
  <si>
    <t>Auxilio Natalidade</t>
  </si>
  <si>
    <t>AUXILIO NATALIDADE</t>
  </si>
  <si>
    <t>1603 - Ajuda de custo</t>
  </si>
  <si>
    <t>9200-Desconto de Adiantamentos</t>
  </si>
  <si>
    <t>( - ) DESC. ADIANTAMENTO SALARIAL</t>
  </si>
  <si>
    <t>0020</t>
  </si>
  <si>
    <t>0091</t>
  </si>
  <si>
    <t>Estouro do Mes ( + )</t>
  </si>
  <si>
    <t># arredondamento (provento)</t>
  </si>
  <si>
    <t>1016 - Férias</t>
  </si>
  <si>
    <t>0817</t>
  </si>
  <si>
    <t>2999-Arredondamentos</t>
  </si>
  <si>
    <t>ESTOURO DO MES ( + )</t>
  </si>
  <si>
    <t>Desc. Arred. Liquido Insufuciente</t>
  </si>
  <si>
    <t>0021</t>
  </si>
  <si>
    <t>4050 - Salário maternidade</t>
  </si>
  <si>
    <t>Desc. Estouro do Mes Anterior ( - )</t>
  </si>
  <si>
    <t>DESC. ESTOURO DO MES ANTERIOR ( - )</t>
  </si>
  <si>
    <t>1299 - Outros Adicionais</t>
  </si>
  <si>
    <t>0022</t>
  </si>
  <si>
    <t>Adicional Insalubridade 10%</t>
  </si>
  <si>
    <t>1202-Adicional de insalubridade</t>
  </si>
  <si>
    <t>0392</t>
  </si>
  <si>
    <t>ADICIONAL INSALUBRIDADE 10%</t>
  </si>
  <si>
    <t>9200 - Desconto de Adiantamentos</t>
  </si>
  <si>
    <t># arredondamento compensação (desconto)</t>
  </si>
  <si>
    <t>0023</t>
  </si>
  <si>
    <t>Adic de Periculosidade</t>
  </si>
  <si>
    <t>1203-Adicional de periculosidade</t>
  </si>
  <si>
    <t>2999 - Arredondamentos</t>
  </si>
  <si>
    <t>ADIC DE PERICULOSIDADE</t>
  </si>
  <si>
    <t>0024</t>
  </si>
  <si>
    <t>Ferias Indenizadas Rescisao</t>
  </si>
  <si>
    <t>Arredondamento Liquido Insuficiente</t>
  </si>
  <si>
    <t>6007-Ferias vencidas na rescisao</t>
  </si>
  <si>
    <t>FERIAS VENCIDAS</t>
  </si>
  <si>
    <t>0025</t>
  </si>
  <si>
    <t>Ferias Proporcionais</t>
  </si>
  <si>
    <t>6006-Ferias proporcionais</t>
  </si>
  <si>
    <t>1202 - Adicional de insalubridade</t>
  </si>
  <si>
    <t>0170</t>
  </si>
  <si>
    <t># complemento de 13º salário</t>
  </si>
  <si>
    <t>FERIAS PROPORCIONAIS</t>
  </si>
  <si>
    <t>0839</t>
  </si>
  <si>
    <t>1203 - Adicional de periculosidade</t>
  </si>
  <si>
    <t>0026</t>
  </si>
  <si>
    <t>GRRF - FGTS Quitacao</t>
  </si>
  <si>
    <t>BASE</t>
  </si>
  <si>
    <t>6007 - Férias vencidas na rescisão</t>
  </si>
  <si>
    <t>9989-Outros valores informativos</t>
  </si>
  <si>
    <t>GRRF - FGTS QUITACAO</t>
  </si>
  <si>
    <t>0027</t>
  </si>
  <si>
    <t>Base - FGTS Mes anterior</t>
  </si>
  <si>
    <t>6006 - Férias proporcionais</t>
  </si>
  <si>
    <t>B</t>
  </si>
  <si>
    <t>BASE - FGTS MES ANTERIOR</t>
  </si>
  <si>
    <t>9989 - Outros valores informativos</t>
  </si>
  <si>
    <t>0028</t>
  </si>
  <si>
    <t>GRRF - FGTS Artigo 22</t>
  </si>
  <si>
    <t>GRRF - FGTS ARTIGO 22</t>
  </si>
  <si>
    <t>0029</t>
  </si>
  <si>
    <t>Base - INSS Outro Emprego</t>
  </si>
  <si>
    <t>0338</t>
  </si>
  <si>
    <t># contribuicao sindical mensal</t>
  </si>
  <si>
    <t>BASE - INSS OUTRO EMPREGO</t>
  </si>
  <si>
    <t>0201</t>
  </si>
  <si>
    <t>0030</t>
  </si>
  <si>
    <t>Desc. IRRF Ferias</t>
  </si>
  <si>
    <t>Dif. 13º  Salario (Janeiro)</t>
  </si>
  <si>
    <t>DESC. IRRF FERIAS</t>
  </si>
  <si>
    <t>0031</t>
  </si>
  <si>
    <t>GRRF - FGTS 13º rescisao</t>
  </si>
  <si>
    <t>GRRF - FGTS 13º RESCISAO</t>
  </si>
  <si>
    <t>0032</t>
  </si>
  <si>
    <t>Total Entregue Vale Transporte</t>
  </si>
  <si>
    <t>TOTAL ENTREGUE VALE TRANSPORTE</t>
  </si>
  <si>
    <t>0221</t>
  </si>
  <si>
    <t># desc cartao vale transporte eletronico</t>
  </si>
  <si>
    <t>0033</t>
  </si>
  <si>
    <t>0047</t>
  </si>
  <si>
    <t>Base - Saldo FGTS no Banco</t>
  </si>
  <si>
    <t>BASE - SALDO FGTS NO BANCO</t>
  </si>
  <si>
    <t>Desc. Mensalidade Sindical</t>
  </si>
  <si>
    <t>0034</t>
  </si>
  <si>
    <t>( + ) Adiantamento Salarial (P)</t>
  </si>
  <si>
    <t>5501-Adiantamento de salario</t>
  </si>
  <si>
    <t>( + ) ADIANTAMENTO SALARIAL (P)</t>
  </si>
  <si>
    <t>0035</t>
  </si>
  <si>
    <t>Desc. Adiantamento 13º salario</t>
  </si>
  <si>
    <t>5501 - Adiantamento de salário</t>
  </si>
  <si>
    <t>9214-13° salario - desconto de adiantamento</t>
  </si>
  <si>
    <t>DESC. ADIANTAMENTO 13º SALARIO</t>
  </si>
  <si>
    <t>0139</t>
  </si>
  <si>
    <t># devol.contribuicao sindical</t>
  </si>
  <si>
    <t>0324</t>
  </si>
  <si>
    <t>0036</t>
  </si>
  <si>
    <t>9214 - 13° salário - desconto de adiantamento</t>
  </si>
  <si>
    <t>Desc. de uma parcela</t>
  </si>
  <si>
    <t>DESC. DE UMA PARCELA</t>
  </si>
  <si>
    <t>9254-Emprestimos consignados - desconto</t>
  </si>
  <si>
    <t>9254 - Empréstimos consignados - desconto</t>
  </si>
  <si>
    <t>0037</t>
  </si>
  <si>
    <t>Desc. 2a via PASSCARD</t>
  </si>
  <si>
    <t>DIF. SALARIAL</t>
  </si>
  <si>
    <t>Dif. Salarial</t>
  </si>
  <si>
    <t>1099 - Outras verbas salariais</t>
  </si>
  <si>
    <t>0038</t>
  </si>
  <si>
    <t>1099-Outras verbas salariais</t>
  </si>
  <si>
    <t>REMUNERACAO DE FERIAS (RECIBO)</t>
  </si>
  <si>
    <t>0039</t>
  </si>
  <si>
    <t>Dias de Ferias (Recibo)</t>
  </si>
  <si>
    <t>ABONO DE FERIAS</t>
  </si>
  <si>
    <t>0367</t>
  </si>
  <si>
    <t># devolucao exced taxa assistenc</t>
  </si>
  <si>
    <t>0146</t>
  </si>
  <si>
    <t>1023 - Férias - abono pecuniário</t>
  </si>
  <si>
    <t>0040</t>
  </si>
  <si>
    <t>1/3 DE FERIAS (RECIBO)</t>
  </si>
  <si>
    <t>Abono de Ferias</t>
  </si>
  <si>
    <t>1023-Ferias - abono pecuniario</t>
  </si>
  <si>
    <t>1017 - Terço constitucional de férias</t>
  </si>
  <si>
    <t>0041</t>
  </si>
  <si>
    <t>FERIAS NO MES</t>
  </si>
  <si>
    <t>Reembolso de Contribuicao Sindical</t>
  </si>
  <si>
    <t>0042</t>
  </si>
  <si>
    <t>1/3 de Ferias (Recibo)</t>
  </si>
  <si>
    <t>FERIAS NO PROXIMO MES</t>
  </si>
  <si>
    <t>0127</t>
  </si>
  <si>
    <t>0043</t>
  </si>
  <si>
    <t># devolucao vale transporte</t>
  </si>
  <si>
    <t>DESC. ADTO LIQUIDO DE FERIAS</t>
  </si>
  <si>
    <t>0067</t>
  </si>
  <si>
    <t>Ferias no Mes</t>
  </si>
  <si>
    <t>0044</t>
  </si>
  <si>
    <t>BASE - FERIAS PAGAS NO MES ANTERIOR</t>
  </si>
  <si>
    <t>Ferias no Proximo Mes</t>
  </si>
  <si>
    <t>0045</t>
  </si>
  <si>
    <t>DIF. FERIAS PAGAS NO MES</t>
  </si>
  <si>
    <t>0046</t>
  </si>
  <si>
    <t>Desc. Adto Liquido de Ferias</t>
  </si>
  <si>
    <t>HONORARIOS A CONSELHEIROS</t>
  </si>
  <si>
    <t>0202</t>
  </si>
  <si>
    <t># dispensa próxima à data-base</t>
  </si>
  <si>
    <t>Reembolso Desc. Faltas</t>
  </si>
  <si>
    <t>0778</t>
  </si>
  <si>
    <t>3509 - Honorários a conselheiros</t>
  </si>
  <si>
    <t>Base - Ferias Pagas no Mes Anterior</t>
  </si>
  <si>
    <t>DESC. 2A VIA PASSCARD</t>
  </si>
  <si>
    <t>9299 - Outros descontos</t>
  </si>
  <si>
    <t>0048</t>
  </si>
  <si>
    <t>13º SALARIO RESCISAO</t>
  </si>
  <si>
    <t>Dif. Ferias Pagas no Mes</t>
  </si>
  <si>
    <t>6002 - 13º salário - proporcional na rescisão</t>
  </si>
  <si>
    <t>0049</t>
  </si>
  <si>
    <t>DESC. IRRF S/13º  SALARIO</t>
  </si>
  <si>
    <t>Honorarios a Conselheiros</t>
  </si>
  <si>
    <t>3509-Honorarios a conselheiros</t>
  </si>
  <si>
    <t>0204</t>
  </si>
  <si>
    <t># férias vencidas em dobro</t>
  </si>
  <si>
    <t>0050</t>
  </si>
  <si>
    <t>0240</t>
  </si>
  <si>
    <t>SALARIO HORA MES ANTERIOR</t>
  </si>
  <si>
    <t>Reembolso Desc. Vale Transporte</t>
  </si>
  <si>
    <t>9299-Outros descontos</t>
  </si>
  <si>
    <t>0051</t>
  </si>
  <si>
    <t>DESC. ADTO. 2ª PARCELA 13º SALARIO</t>
  </si>
  <si>
    <t>13º Salario Rescisao</t>
  </si>
  <si>
    <t>0052</t>
  </si>
  <si>
    <t>RESTITUICAO DE IRRF 13º SALARIO</t>
  </si>
  <si>
    <t>6002-13º salario - proporcional na rescisao</t>
  </si>
  <si>
    <t>1629 - Ressarcimento de outras despesas</t>
  </si>
  <si>
    <t>0053</t>
  </si>
  <si>
    <t>AJUDA DE CUSTO FERIADO</t>
  </si>
  <si>
    <t>Desc. IRRF s/13º  Salario</t>
  </si>
  <si>
    <t>0605</t>
  </si>
  <si>
    <t># fgts</t>
  </si>
  <si>
    <t>1210 - Gratificação por acordo ou convenção coletiva</t>
  </si>
  <si>
    <t>0054</t>
  </si>
  <si>
    <t>BASE DE CALCULO INSS 13º SALARIO</t>
  </si>
  <si>
    <t>Salario Hora Mes Anterior</t>
  </si>
  <si>
    <t>REFERENCIA</t>
  </si>
  <si>
    <t>0055</t>
  </si>
  <si>
    <t>GRATIFICACAO DE 13º SALARIO</t>
  </si>
  <si>
    <t>Desc. Adto. 2ª Parcela 13º Salario</t>
  </si>
  <si>
    <t>5001 - 13º salário</t>
  </si>
  <si>
    <t>0056</t>
  </si>
  <si>
    <t>1/3 ABONO DE FERIAS</t>
  </si>
  <si>
    <t>Restituicao de IRRF 13º salario</t>
  </si>
  <si>
    <t>0057</t>
  </si>
  <si>
    <t>Indeniz Art. 9º lei nº 7.238/84</t>
  </si>
  <si>
    <t>1623-Ressarcimento de provisao</t>
  </si>
  <si>
    <t>DESC. DEDUTIVEL IRRF FERIAS</t>
  </si>
  <si>
    <t>Ajuda de Custo Feriado</t>
  </si>
  <si>
    <t>0058</t>
  </si>
  <si>
    <t>BASE - DEDUTIVEL IRRF 13º SALARIO</t>
  </si>
  <si>
    <t>1210-Gratificacao por acordo ou convencao coletiva</t>
  </si>
  <si>
    <t>0059</t>
  </si>
  <si>
    <t>Base de Calculo INSS 13º Salario</t>
  </si>
  <si>
    <t>DIF. ABONO PEC DE FERIAS</t>
  </si>
  <si>
    <t>0060</t>
  </si>
  <si>
    <t>Gratificacao de 13º Salario</t>
  </si>
  <si>
    <t>DESC. EMPR CONSIGNADO BRADESCO</t>
  </si>
  <si>
    <t>5001-13º salario</t>
  </si>
  <si>
    <t>0604</t>
  </si>
  <si>
    <t># fgts base de cálculo</t>
  </si>
  <si>
    <t>Ferias em Dobro</t>
  </si>
  <si>
    <t>1/3 Abono de Ferias</t>
  </si>
  <si>
    <t>0061</t>
  </si>
  <si>
    <t>DESC. IRRF FERIAS ENVELOPE</t>
  </si>
  <si>
    <t>Desc. Dedutivel IRRF Ferias</t>
  </si>
  <si>
    <t>0062</t>
  </si>
  <si>
    <t>AVISO PREVIO INDENIZADO / API</t>
  </si>
  <si>
    <t>6003 - Indenização compensatória do aviso-prévio</t>
  </si>
  <si>
    <t>0063</t>
  </si>
  <si>
    <t>1/3 FERIAS RESCISAO</t>
  </si>
  <si>
    <t>Base - Dedutivel IRRF 13º salario</t>
  </si>
  <si>
    <t>0064</t>
  </si>
  <si>
    <t>DESC. DIF. VALE TRANSPORTE</t>
  </si>
  <si>
    <t>Dif. Abono Pec de Ferias</t>
  </si>
  <si>
    <t>0065</t>
  </si>
  <si>
    <t>Desc. Empr Consignado Bradesco</t>
  </si>
  <si>
    <t>DIF. SALARIO FAMILIA</t>
  </si>
  <si>
    <t>0066</t>
  </si>
  <si>
    <t>DIF. 13º SALARIO</t>
  </si>
  <si>
    <t>Desc. IRRF Ferias Envelope</t>
  </si>
  <si>
    <t>5005 - 13º salário complementar</t>
  </si>
  <si>
    <t>Aviso Previo Indenizado / API</t>
  </si>
  <si>
    <t>REEMBOLSO DESC. VALE TRANSPORTE</t>
  </si>
  <si>
    <t>0902</t>
  </si>
  <si>
    <t># ftgs aviso indenizado</t>
  </si>
  <si>
    <t>6003-Indenizacao compensatoria do aviso-previo</t>
  </si>
  <si>
    <t>1810 - Vale-transporte ou auxílio-transporte com caráter indenizatório</t>
  </si>
  <si>
    <t>0068</t>
  </si>
  <si>
    <t>1/3 Ferias Rescisao</t>
  </si>
  <si>
    <t>BASE DE CALCULO INSS</t>
  </si>
  <si>
    <t>0069</t>
  </si>
  <si>
    <t>REMUNERACAO VARIAVEL</t>
  </si>
  <si>
    <t>Desc. Dif. Vale Transporte</t>
  </si>
  <si>
    <t>0070</t>
  </si>
  <si>
    <t>DESC. DSR PERDIDO H</t>
  </si>
  <si>
    <t>Dif. Salario Familia</t>
  </si>
  <si>
    <t>9210 - DSR s/faltas e atrasos</t>
  </si>
  <si>
    <t>0071</t>
  </si>
  <si>
    <t>13º SALARIO INDENIZADO</t>
  </si>
  <si>
    <t>Dif. 13º Salario</t>
  </si>
  <si>
    <t>6001 - 13º salário - relativo ao aviso prévio indenizado</t>
  </si>
  <si>
    <t>5005-13º salario complementar</t>
  </si>
  <si>
    <t>0072</t>
  </si>
  <si>
    <t>BASE DE CALCULO INSS OUTRO EMPREGO</t>
  </si>
  <si>
    <t>1810-Transporte</t>
  </si>
  <si>
    <t>0073</t>
  </si>
  <si>
    <t>Base de Calculo INSS</t>
  </si>
  <si>
    <t>BASE - FGTS DEPOSITADO NA RESCISAO</t>
  </si>
  <si>
    <t>0947</t>
  </si>
  <si>
    <t># horas de menor aprendiz</t>
  </si>
  <si>
    <t>0074</t>
  </si>
  <si>
    <t>INSS FERIAS ALIQUOTA NORMAL</t>
  </si>
  <si>
    <t>Remuneracao Variavel</t>
  </si>
  <si>
    <t>Desc. DSR Perdido</t>
  </si>
  <si>
    <t>0075</t>
  </si>
  <si>
    <t>DEVOL. DESC. PL SAUDE UNIMED DEP</t>
  </si>
  <si>
    <t>9210-DSR s/faltas e atrasos</t>
  </si>
  <si>
    <t>1405 - Assistência médica</t>
  </si>
  <si>
    <t>0076</t>
  </si>
  <si>
    <t>13º Salario Indenizado</t>
  </si>
  <si>
    <t>1/3 FERIAS NO MES</t>
  </si>
  <si>
    <t>6001-13º salario - relativo ao aviso previo indenizado</t>
  </si>
  <si>
    <t>0077</t>
  </si>
  <si>
    <t>1/3 FERIAS NO PROXIMO MES</t>
  </si>
  <si>
    <t>0078</t>
  </si>
  <si>
    <t>BASE 1/3 FERIAS PAGAS MES ANTERIOR</t>
  </si>
  <si>
    <t>Base de Calculo INSS Outro Emprego</t>
  </si>
  <si>
    <t>0602</t>
  </si>
  <si>
    <t># inss base de cálculo</t>
  </si>
  <si>
    <t>0079</t>
  </si>
  <si>
    <t>DIF. 1/3 FERIAS MES</t>
  </si>
  <si>
    <t>Base - FGTS Depositado na rescisao</t>
  </si>
  <si>
    <t>0080</t>
  </si>
  <si>
    <t>DIF. FERIAS PROXIMO MES</t>
  </si>
  <si>
    <t>INSS Ferias Aliquota Normal</t>
  </si>
  <si>
    <t>0081</t>
  </si>
  <si>
    <t>DIF. 1/3 FERIAS PROXIMO MES</t>
  </si>
  <si>
    <t>Devol. Desc. Pl Saude UNIMED Dep</t>
  </si>
  <si>
    <t>0082</t>
  </si>
  <si>
    <t>1405-Assistencia medica</t>
  </si>
  <si>
    <t>HORAS NORMAIS EM RESCISAO</t>
  </si>
  <si>
    <t>1/3 Ferias no Mes</t>
  </si>
  <si>
    <t>6000 - Saldo de salários na rescisão contratual</t>
  </si>
  <si>
    <t>0083</t>
  </si>
  <si>
    <t>DIAS TRABALHADOS EM RESCISAO</t>
  </si>
  <si>
    <t>1/3 Ferias no Proximo Mes</t>
  </si>
  <si>
    <t>0084</t>
  </si>
  <si>
    <t>SALARIO COMISSAO</t>
  </si>
  <si>
    <t>1207 - Comissões, porcentagens, produção</t>
  </si>
  <si>
    <t>Base 1/3 Ferias Pagas Mes Anterior</t>
  </si>
  <si>
    <t>0085</t>
  </si>
  <si>
    <t>GRATIFICACAO DE FERIAS</t>
  </si>
  <si>
    <t>0086</t>
  </si>
  <si>
    <t>MEDIA HORA EXTRA FERIAS</t>
  </si>
  <si>
    <t>Dif. 1/3 Ferias Mes</t>
  </si>
  <si>
    <t>0087</t>
  </si>
  <si>
    <t>MEDIA COMISSAO FERIAS</t>
  </si>
  <si>
    <t>0603</t>
  </si>
  <si>
    <t>Dif. Ferias Proximo Mes</t>
  </si>
  <si>
    <t># irrf base de cálculo</t>
  </si>
  <si>
    <t>0088</t>
  </si>
  <si>
    <t>MEDIA HORA EXTRA 13º RESCISAO</t>
  </si>
  <si>
    <t>0089</t>
  </si>
  <si>
    <t>MEDIA COMISSAO 13º RESCISAO</t>
  </si>
  <si>
    <t>Dif. 1/3 Ferias Proximo Mes</t>
  </si>
  <si>
    <t>0090</t>
  </si>
  <si>
    <t>MEDIA HORA EXTRA AVISO PREVIO</t>
  </si>
  <si>
    <t>MEDIA COMISSAO AVISO PREVIO</t>
  </si>
  <si>
    <t>Horas Normais em Rescisao</t>
  </si>
  <si>
    <t>DESC. VALE ALIMENTACAO</t>
  </si>
  <si>
    <t>6000-Saldo de salarios na rescisao contratual</t>
  </si>
  <si>
    <t>9241 - Alimentação em ticket ou cartão, vinculada ao PAT - Desconto</t>
  </si>
  <si>
    <t>0093</t>
  </si>
  <si>
    <t>ESTAGIARIO - DIAS DE BOLSA S/RESCISAO</t>
  </si>
  <si>
    <t>Dias Trabalhados em Rescisao</t>
  </si>
  <si>
    <t>1350 - Bolsa de estudo - estagiário</t>
  </si>
  <si>
    <t>0094</t>
  </si>
  <si>
    <t>DIF. GRATIFICACAO POR FUNCAO</t>
  </si>
  <si>
    <t>1201 - Adicional de função / cargo confiança</t>
  </si>
  <si>
    <t>0095</t>
  </si>
  <si>
    <t>DEVOL. DESC. PL ODONTOLOGICO UNIODONTO</t>
  </si>
  <si>
    <t>Comissao Commis</t>
  </si>
  <si>
    <t>0096</t>
  </si>
  <si>
    <t>DESC. VALE REFEICAO</t>
  </si>
  <si>
    <t>1207-Comissoes, porcentagens, producao</t>
  </si>
  <si>
    <t>9242 - Alimentação em ticket ou cartão, não vinculada ao PAT - Desconto</t>
  </si>
  <si>
    <t>0097</t>
  </si>
  <si>
    <t>DESC. MEDICAMENTOS FARMACIA</t>
  </si>
  <si>
    <t>9258 - Convênios</t>
  </si>
  <si>
    <t>0098</t>
  </si>
  <si>
    <t>Gratificacao de Ferias</t>
  </si>
  <si>
    <t>DESC. INSS  FERIAS</t>
  </si>
  <si>
    <t>0506</t>
  </si>
  <si>
    <t>0099</t>
  </si>
  <si>
    <t># irrf férias (rescisão)</t>
  </si>
  <si>
    <t>GRATIFICACAO POR FUNCAO</t>
  </si>
  <si>
    <t>0100</t>
  </si>
  <si>
    <t>DESC. CESTA BASICA</t>
  </si>
  <si>
    <t>0101</t>
  </si>
  <si>
    <t>COTA SALARIO FAMILIA FERIAS</t>
  </si>
  <si>
    <t>Media Hora Extra ferias</t>
  </si>
  <si>
    <t>0102</t>
  </si>
  <si>
    <t>AD. QUEBRA DE CAIXA MES ANTERIOR</t>
  </si>
  <si>
    <t>1225 - Quebra de caixa</t>
  </si>
  <si>
    <t>0103</t>
  </si>
  <si>
    <t>DESC. SEGURO DE VIDA</t>
  </si>
  <si>
    <t>Media Comissao Ferias</t>
  </si>
  <si>
    <t>9250 - Seguro de vida - desconto</t>
  </si>
  <si>
    <t>0104</t>
  </si>
  <si>
    <t>PREMIO POR PRODUCAO</t>
  </si>
  <si>
    <t># líquido de adiantamento de 13º salário</t>
  </si>
  <si>
    <t>2501 - 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</si>
  <si>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</si>
  <si>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</si>
  <si>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</si>
  <si>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</si>
  <si>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</si>
  <si>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</si>
  <si>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Media Hora Extra 13º rescisao</t>
  </si>
  <si>
    <t>0108</t>
  </si>
  <si>
    <t>DEVOL. CONTRIBUICAO ASSISTENCIAL</t>
  </si>
  <si>
    <t>9232 - Contribuição Sindical - Assistencial</t>
  </si>
  <si>
    <t>Media Comissao 13º Rescisao</t>
  </si>
  <si>
    <t>0109</t>
  </si>
  <si>
    <t>DEVOL. CONTRIBUICAO CONFEDERATIVA</t>
  </si>
  <si>
    <t>9233 - Contribuição sindical - Confederativa</t>
  </si>
  <si>
    <t>0110</t>
  </si>
  <si>
    <t>DEVOL. CONTRIBUICAO SINDICAL COMPULSORIA</t>
  </si>
  <si>
    <t>Media Hora Extra Aviso Previo</t>
  </si>
  <si>
    <t>0111</t>
  </si>
  <si>
    <t>RESTITUICAO DE INSS</t>
  </si>
  <si>
    <t>0112</t>
  </si>
  <si>
    <t>LICENCA REMUNERADA (FERIAS COLETIVAS)</t>
  </si>
  <si>
    <t>1050 - Remuneração de dias de afastamento</t>
  </si>
  <si>
    <t>Media Comissao Aviso Previo</t>
  </si>
  <si>
    <t>0113</t>
  </si>
  <si>
    <t>DIF. FERIAS PROP</t>
  </si>
  <si>
    <t>0114</t>
  </si>
  <si>
    <t>DIF. FERIAS INDENIZADAS</t>
  </si>
  <si>
    <t>-</t>
  </si>
  <si>
    <t>Estagiario - Dias de Bolsa s/Rescisao</t>
  </si>
  <si>
    <t>0115</t>
  </si>
  <si>
    <t>1350-Bolsa de estudo - estagiario</t>
  </si>
  <si>
    <t>DIF. 1/3  FERIAS RESCISAO</t>
  </si>
  <si>
    <t>0116</t>
  </si>
  <si>
    <t>Dif. Gratificacao por Funcao</t>
  </si>
  <si>
    <t>DIF. SALARIAL RESCISAO</t>
  </si>
  <si>
    <t>0117</t>
  </si>
  <si>
    <t>1201-Adicional de funcao / cargo confianca</t>
  </si>
  <si>
    <t>DIF. 13º SALARIO RESCISAO</t>
  </si>
  <si>
    <t>0118</t>
  </si>
  <si>
    <t>DIF. 13º SALARIO INDENIZ. RESCISAO</t>
  </si>
  <si>
    <t>0119</t>
  </si>
  <si>
    <t>DIF. AVISO PREVIO / API</t>
  </si>
  <si>
    <t>Devol. Desc. Pl Odontologico Uniodonto</t>
  </si>
  <si>
    <t>0120</t>
  </si>
  <si>
    <t>DESC. OUTROS EVENTOS PAGOS RESCISAO</t>
  </si>
  <si>
    <t>Desc. Vale Refeicao</t>
  </si>
  <si>
    <t>0122</t>
  </si>
  <si>
    <t>DIF. MEDIA COMISSAO FERIAS VENC</t>
  </si>
  <si>
    <t>9242-Alimentacao em ticket ou cartao, nao vinculada ao PAT - Desconto</t>
  </si>
  <si>
    <t>0123</t>
  </si>
  <si>
    <t>DIF. MEDIA HORA EXTRA 13º SALARIO RESCIS</t>
  </si>
  <si>
    <t>Desc. Medicamentos Farmacia</t>
  </si>
  <si>
    <t>9258-Convenios</t>
  </si>
  <si>
    <t>0124</t>
  </si>
  <si>
    <t>DIF. MEDIA COMISSAO 13º SALARIO RESCISAO</t>
  </si>
  <si>
    <t>Desc. INSS  Ferias</t>
  </si>
  <si>
    <t>0125</t>
  </si>
  <si>
    <t>DESC. FALTAS X SUSPENSAO (EM HORAS)</t>
  </si>
  <si>
    <t>Gratificacao Por Funcao</t>
  </si>
  <si>
    <t>0126</t>
  </si>
  <si>
    <t>DIF. MEDIA COMISSAO AVISO PREVIO</t>
  </si>
  <si>
    <t>PAGAMENTO PIS EMPRESA</t>
  </si>
  <si>
    <t>Desc. Cesta Basica</t>
  </si>
  <si>
    <t>1402 - Abono PIS / PASEP</t>
  </si>
  <si>
    <t>0128</t>
  </si>
  <si>
    <t>DESC. 13º PAGO PELA PREVIDENCIA</t>
  </si>
  <si>
    <t>0129</t>
  </si>
  <si>
    <t>2ª PARCELA 13º SALARIO</t>
  </si>
  <si>
    <t>Cota Salario Familia Ferias</t>
  </si>
  <si>
    <t>0130</t>
  </si>
  <si>
    <t>DESC. INSS 2ª PARCELA 13º SALARIO</t>
  </si>
  <si>
    <t>0133</t>
  </si>
  <si>
    <t>0350</t>
  </si>
  <si>
    <t>MEDIA HORA EXTRA 2ª PARCELA 13º</t>
  </si>
  <si>
    <t># mensalidade social</t>
  </si>
  <si>
    <t xml:space="preserve"> 0201</t>
  </si>
  <si>
    <t>0134</t>
  </si>
  <si>
    <t>MEDIA COMISSAO 2ª PARCELA 13º</t>
  </si>
  <si>
    <t>Ad. Quebra de Caixa Mes Anterior</t>
  </si>
  <si>
    <t>0135</t>
  </si>
  <si>
    <t>MEDIA VAL VAR SALARIO MATERNIDADE</t>
  </si>
  <si>
    <t>1225-Quebra de caixa</t>
  </si>
  <si>
    <t>0136</t>
  </si>
  <si>
    <t>DEVOL. DESC. PL ODONTOL ODONTOSYSTEM</t>
  </si>
  <si>
    <t>0137</t>
  </si>
  <si>
    <t>MP 434 - INDENIZACAO 50% SALARIO</t>
  </si>
  <si>
    <t>Desc. Seguro de Vida</t>
  </si>
  <si>
    <t>6129 - Outras verbas não remuneratórias (indenizatórias ou multas)</t>
  </si>
  <si>
    <t>0138</t>
  </si>
  <si>
    <t>DESC. PL ODONTOL UNIODONTO TIT</t>
  </si>
  <si>
    <t>9250-Seguro de vida - desconto</t>
  </si>
  <si>
    <t>9219 - Desconto de assistência médica ou odontológica - Plano coletivo empresarial</t>
  </si>
  <si>
    <t>Premio Por Producao</t>
  </si>
  <si>
    <t>0140</t>
  </si>
  <si>
    <t>0900</t>
  </si>
  <si>
    <t>2501-Premios</t>
  </si>
  <si>
    <t># multa fgts</t>
  </si>
  <si>
    <t>DEVOL. DESC. PL SAUDE HAPVIDA TIT</t>
  </si>
  <si>
    <t>Dif. Ferias Mes Anterior</t>
  </si>
  <si>
    <t>0141</t>
  </si>
  <si>
    <t>DEVOL. DESC. PL ODONTOLOGICO UNIDENTAL</t>
  </si>
  <si>
    <t>0142</t>
  </si>
  <si>
    <t>Dif. 1/3  Ferias Mes Anterior</t>
  </si>
  <si>
    <t>DEVOL. DESC. PL SAUDE HAPVIDA DEP</t>
  </si>
  <si>
    <t>0143</t>
  </si>
  <si>
    <t>DEVOL. DESC. PL SAUDE BRADESCO TIT</t>
  </si>
  <si>
    <t>Dif. outros eventos de ferias</t>
  </si>
  <si>
    <t>0144</t>
  </si>
  <si>
    <t>REEMBOLSO DESC. DSR</t>
  </si>
  <si>
    <t>0145</t>
  </si>
  <si>
    <t>ATESTADO MEDICO (PREVIDENCIA) (D)</t>
  </si>
  <si>
    <t>REEMBOLSO DESC. FALTAS</t>
  </si>
  <si>
    <t>Devol. Contribuicao Assistencial</t>
  </si>
  <si>
    <t>9207 - Faltas</t>
  </si>
  <si>
    <t>9232-Contribuicao Sindical - Assistencial</t>
  </si>
  <si>
    <t>0148</t>
  </si>
  <si>
    <t>PREMIO ASSIDUIDADE</t>
  </si>
  <si>
    <t>Devol. Contribuicao Confederativa</t>
  </si>
  <si>
    <t>0149</t>
  </si>
  <si>
    <t>PREMIO EM PERCENTUAL</t>
  </si>
  <si>
    <t>9233-Contribuicao sindical - Confederativa</t>
  </si>
  <si>
    <t>0150</t>
  </si>
  <si>
    <t>Devol. Contribuicao Sindical Compulsoria</t>
  </si>
  <si>
    <t>LIQUIDO DE RESCISAO (P)</t>
  </si>
  <si>
    <t>1629-Ressarcimento de outras despesas</t>
  </si>
  <si>
    <t>0901</t>
  </si>
  <si>
    <t>1899 - Outros auxílios</t>
  </si>
  <si>
    <t># multa fgts contribuição social</t>
  </si>
  <si>
    <t>DIF. ADICIONAL INSALUBRIDADE</t>
  </si>
  <si>
    <t>Restituicao de INSS</t>
  </si>
  <si>
    <t>0152</t>
  </si>
  <si>
    <t>DESC. ADIC QUEBRA DE CAIXA</t>
  </si>
  <si>
    <t>Licenca Remunerada (Ferias Coletivas)</t>
  </si>
  <si>
    <t>0153</t>
  </si>
  <si>
    <t>1050-Remuneracao de dias de afastamento</t>
  </si>
  <si>
    <t>RESTITUICAO INSS 13º</t>
  </si>
  <si>
    <t>Dif. Ferias Prop</t>
  </si>
  <si>
    <t>0154</t>
  </si>
  <si>
    <t>SALARIO MATERNIDADE CONFORME SEFIP</t>
  </si>
  <si>
    <t>0155</t>
  </si>
  <si>
    <t>DESC. PGBL PREVIDENCIA PRIVADA</t>
  </si>
  <si>
    <t>Dif. Ferias Indenizadas</t>
  </si>
  <si>
    <t>0299</t>
  </si>
  <si>
    <t># outros (provento)</t>
  </si>
  <si>
    <t>9223 - Previdência complementar - parte do empregado</t>
  </si>
  <si>
    <t>0156</t>
  </si>
  <si>
    <t>DESC. PGBL PREVIDENCIA PRIV ENVELOPE</t>
  </si>
  <si>
    <t>Dif. 1/3  Ferias Rescisao</t>
  </si>
  <si>
    <t>0157</t>
  </si>
  <si>
    <t>DESC. PGBL PREVIDENCIA PRIV SUPLEMENTAR</t>
  </si>
  <si>
    <t>Dif. Salarial Rescisao</t>
  </si>
  <si>
    <t>0158</t>
  </si>
  <si>
    <t>Dif. 13º Salario Rescisao</t>
  </si>
  <si>
    <t>0159</t>
  </si>
  <si>
    <t>0364</t>
  </si>
  <si>
    <t>DESC. PERCA DE MATERIAL</t>
  </si>
  <si>
    <t># partic.dos trab.nos result.emp</t>
  </si>
  <si>
    <t>0174</t>
  </si>
  <si>
    <t>9270 - Danos e prejuízos causados pelo trabalhador</t>
  </si>
  <si>
    <t>Participacao nos Lucros - (CE)</t>
  </si>
  <si>
    <t>Dif. 13º Salario Indeniz. Rescisao</t>
  </si>
  <si>
    <t>0160</t>
  </si>
  <si>
    <t>ATESTADO MEDICO SEM INC INSS</t>
  </si>
  <si>
    <t>0161</t>
  </si>
  <si>
    <t>Dif. Aviso Previo / API</t>
  </si>
  <si>
    <t>DIF. DESC. ATRASOS</t>
  </si>
  <si>
    <t>0162</t>
  </si>
  <si>
    <t>Desc. Outros Eventos Pagos Rescisao</t>
  </si>
  <si>
    <t>DESC. ADTO PAGTO FERIADO</t>
  </si>
  <si>
    <t>0163</t>
  </si>
  <si>
    <t>0121</t>
  </si>
  <si>
    <t>DIF. ADICIONAL DE SUBSTITUICAO</t>
  </si>
  <si>
    <t>Gratificacao 30%</t>
  </si>
  <si>
    <t>0948</t>
  </si>
  <si>
    <t># pensao alimenticia com insalubridade</t>
  </si>
  <si>
    <t>1211-Gratificacoes</t>
  </si>
  <si>
    <t>0164</t>
  </si>
  <si>
    <t>DESC. VALE TRANSPORTE MES ANTERIOR</t>
  </si>
  <si>
    <t>Dif. Media Comissao Ferias Venc</t>
  </si>
  <si>
    <t>0165</t>
  </si>
  <si>
    <t>RESTITUICAO DE IRRF</t>
  </si>
  <si>
    <t>0166</t>
  </si>
  <si>
    <t>DESC. CAFE DA MANHA</t>
  </si>
  <si>
    <t>0167</t>
  </si>
  <si>
    <t>DESC. ALMOCO</t>
  </si>
  <si>
    <t>Dif. Media Hora Extra 13º Salario Rescis</t>
  </si>
  <si>
    <t>0216</t>
  </si>
  <si>
    <t>0168</t>
  </si>
  <si>
    <t># pensao alimenticia s/ sal. fam</t>
  </si>
  <si>
    <t>DIF. DESC. FALTAS (EM DIAS)</t>
  </si>
  <si>
    <t>Dif. Media Comissao 13º Salario Rescisao</t>
  </si>
  <si>
    <t>0169</t>
  </si>
  <si>
    <t>DESC. CEIA</t>
  </si>
  <si>
    <t>Desc. Faltas X Suspensao (em Horas)</t>
  </si>
  <si>
    <t>ADICIONAL POR TEMPO SERVICO ANUENIO</t>
  </si>
  <si>
    <t>1206 - Adicional por tempo de serviço</t>
  </si>
  <si>
    <t>0171</t>
  </si>
  <si>
    <t>ART 479 - INDENIZACAO DA CLT</t>
  </si>
  <si>
    <t>Dif. Media Comissao Aviso Previo</t>
  </si>
  <si>
    <t>6104 - Indenização do art. 479 da CLT</t>
  </si>
  <si>
    <t>0172</t>
  </si>
  <si>
    <t>DESC. TAXA NEGOCIAL</t>
  </si>
  <si>
    <t>0215</t>
  </si>
  <si>
    <t># pensao alimenticia s\13 salari</t>
  </si>
  <si>
    <t>Pagamento PIS Empresa</t>
  </si>
  <si>
    <t>0173</t>
  </si>
  <si>
    <t>1402-Abono PIS / PASEP</t>
  </si>
  <si>
    <t>( + ) PAGTO. BANCO DE HORAS 1,70%</t>
  </si>
  <si>
    <t>1004 - Horas extraordinárias - Banco de horas</t>
  </si>
  <si>
    <t>Desc. 13º Pago Pela Previdencia</t>
  </si>
  <si>
    <t>PARTICIPACAO NOS LUCROS - (CE)</t>
  </si>
  <si>
    <t>1300 - PLR - Participação em Lucros ou Resultados</t>
  </si>
  <si>
    <t>2ª Parcela 13º Salario</t>
  </si>
  <si>
    <t>0175</t>
  </si>
  <si>
    <t>DESC. IRRF PARTICIPACAO NOS LUCROS</t>
  </si>
  <si>
    <t>0176</t>
  </si>
  <si>
    <t>DIF. DESC. FALTAS (EM HORAS)</t>
  </si>
  <si>
    <t>Desc. INSS 2ª Parcela 13º Salario</t>
  </si>
  <si>
    <t>0177</t>
  </si>
  <si>
    <t>ATESTADO MEDICO AFAST P/COVID-19</t>
  </si>
  <si>
    <t>0131</t>
  </si>
  <si>
    <t>Desc. Salario Pago a Maior</t>
  </si>
  <si>
    <t>9933 - Auxílio-doença</t>
  </si>
  <si>
    <t>0921</t>
  </si>
  <si>
    <t>0178</t>
  </si>
  <si>
    <t># plano de saude amil</t>
  </si>
  <si>
    <t>DESC. DIF. CONTRIBUICAO ASSISTENCIAL</t>
  </si>
  <si>
    <t>DESC. SALARIO PAGO A MAIOR</t>
  </si>
  <si>
    <t>0614</t>
  </si>
  <si>
    <t>Desc. Pl Saude AMIL Tit</t>
  </si>
  <si>
    <t>0132</t>
  </si>
  <si>
    <t>Desc. Adic. Noturn Pago a Maior</t>
  </si>
  <si>
    <t>0179</t>
  </si>
  <si>
    <t>DESC. DIF. CONTRIBUICAO CONFEDERATIVA</t>
  </si>
  <si>
    <t>DESC. ADIC. NOTURN PAGO A MAIOR</t>
  </si>
  <si>
    <t>0180</t>
  </si>
  <si>
    <t>Media Hora Extra 2ª parcela 13º</t>
  </si>
  <si>
    <t>DIF. DESC. DSR PERDIDO</t>
  </si>
  <si>
    <t>0181</t>
  </si>
  <si>
    <t>STOP OPTION</t>
  </si>
  <si>
    <t>Media Comissao 2ª Parcela 13º</t>
  </si>
  <si>
    <t>0366</t>
  </si>
  <si>
    <t>1080 - Stock Option</t>
  </si>
  <si>
    <t># plano odonto system</t>
  </si>
  <si>
    <t>0182</t>
  </si>
  <si>
    <t>0197</t>
  </si>
  <si>
    <t>DESC. FALTAS (EM HORAS)</t>
  </si>
  <si>
    <t>Desc. Pl Odontol ODONTOSYSTEM Tit</t>
  </si>
  <si>
    <t>Media Val Var Salario Maternidade</t>
  </si>
  <si>
    <t>0183</t>
  </si>
  <si>
    <t>PTO - HORAS TRABALHADAS</t>
  </si>
  <si>
    <t>Devol. Desc. Pl Odontologico OdontoSyste</t>
  </si>
  <si>
    <t>0184</t>
  </si>
  <si>
    <t>DIF. ATESTADO MEDICO POR COVID-19</t>
  </si>
  <si>
    <t>MP 434 - Indenizacao 50% Salario</t>
  </si>
  <si>
    <t>6129-Outras multas ou indenizacoes</t>
  </si>
  <si>
    <t>0185</t>
  </si>
  <si>
    <t>ARREDONDAMENTO NAS FERIAS (+)</t>
  </si>
  <si>
    <t>0186</t>
  </si>
  <si>
    <t>COMISSAO MES ANTERIOR</t>
  </si>
  <si>
    <t>0601</t>
  </si>
  <si>
    <t>Desc. Pl Odontol UNIODONTO Tit</t>
  </si>
  <si>
    <t># remuneração fixa</t>
  </si>
  <si>
    <t>0187</t>
  </si>
  <si>
    <t>ALUGUEL DE MOTOCICLETA</t>
  </si>
  <si>
    <t>9219-Desconto de assistencia medica ou odontologica</t>
  </si>
  <si>
    <t>1620 - Ressarcimento de despesas pelo uso de veículo próprio</t>
  </si>
  <si>
    <t>0188</t>
  </si>
  <si>
    <t>DESC. INSS RETIFICACAO SEFIP</t>
  </si>
  <si>
    <t>0189</t>
  </si>
  <si>
    <t>BASE - RETIFICACAO DE SEFIP</t>
  </si>
  <si>
    <t>Reembolso Desc. Vale Alimentacao</t>
  </si>
  <si>
    <t>0190</t>
  </si>
  <si>
    <t>PAGAMENTO DOMINGO CCT</t>
  </si>
  <si>
    <t>0191</t>
  </si>
  <si>
    <t>REEMBOLSO DESC. VALE ALIMENTACAO</t>
  </si>
  <si>
    <t>DESC. PGBL PREVIDENCIA PRIVADA RECIBO</t>
  </si>
  <si>
    <t>0192</t>
  </si>
  <si>
    <t>Devol. Desc. Pl Saude HAPVIDA Tit</t>
  </si>
  <si>
    <t>0193</t>
  </si>
  <si>
    <t>Devol. Desc. Pl Odontologico UniDental</t>
  </si>
  <si>
    <t>DANOS PREJUIZOS CAUSADOS PELO TRABALHADO</t>
  </si>
  <si>
    <t>0194</t>
  </si>
  <si>
    <t>DESC. MULTA TRANSITO</t>
  </si>
  <si>
    <t>0195</t>
  </si>
  <si>
    <t>DESC. PAGTO DOMINGO CCT</t>
  </si>
  <si>
    <t># sal familia meses anteriores</t>
  </si>
  <si>
    <t>Devol. Desc. Pl Saude HAPVIDA Dep</t>
  </si>
  <si>
    <t>0196</t>
  </si>
  <si>
    <t>DESC. INSS FERIAS PROX MES</t>
  </si>
  <si>
    <t>DESC. PL ODONTOL ODONTOSYSTEM TIT</t>
  </si>
  <si>
    <t>Devol. Desc. Pl Saude BRADESCO Tit</t>
  </si>
  <si>
    <t>0198</t>
  </si>
  <si>
    <t>DESC. DIF. INSS FERIAS PROXIMO MES</t>
  </si>
  <si>
    <t>Reembolso Desc. DSR</t>
  </si>
  <si>
    <t>0199</t>
  </si>
  <si>
    <t>BASE - FGTS 13º DEPOSITO RESCISAO</t>
  </si>
  <si>
    <t>0600</t>
  </si>
  <si>
    <t>9908 - FGTS ¿ depósito</t>
  </si>
  <si>
    <t>Atestado Medico (Previdencia) (D)</t>
  </si>
  <si>
    <t># salário contratual</t>
  </si>
  <si>
    <t>0200</t>
  </si>
  <si>
    <t>DESC. CONTRIBUICAO CONFEDERATIVA</t>
  </si>
  <si>
    <t>DESC. MENSALIDADE SINDICAL</t>
  </si>
  <si>
    <t>9231 - Mensalidade sindical ou associativa</t>
  </si>
  <si>
    <t>PAGTO BONIFICACAO</t>
  </si>
  <si>
    <t>9207-Faltas</t>
  </si>
  <si>
    <t>0147</t>
  </si>
  <si>
    <t>0203</t>
  </si>
  <si>
    <t>Reembolso Desc. Vale Refeicao</t>
  </si>
  <si>
    <t>INSS COM ALIQUOTA NORMAL</t>
  </si>
  <si>
    <t>REEMBOLSO DESC. VALE REFEICAO</t>
  </si>
  <si>
    <t>Premio Assiduidade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</si>
  <si>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</si>
  <si>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</si>
  <si>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</si>
  <si>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</si>
  <si>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</si>
  <si>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</si>
  <si>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Premio em Percentual</t>
  </si>
  <si>
    <t>0208</t>
  </si>
  <si>
    <t>INSS FERIAS MES ANTERIOR</t>
  </si>
  <si>
    <t>Liquido de Rescisao (P)</t>
  </si>
  <si>
    <t>0210</t>
  </si>
  <si>
    <t>DESC. AVISO PREVIO (API)</t>
  </si>
  <si>
    <t>1899-Outros auxilios</t>
  </si>
  <si>
    <t>0610</t>
  </si>
  <si>
    <t># salário-família base de cálculo</t>
  </si>
  <si>
    <t>6901 - Desconto do aviso prévio</t>
  </si>
  <si>
    <t>0211</t>
  </si>
  <si>
    <t>Dif. Adicional Insalubridade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</si>
  <si>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</si>
  <si>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</si>
  <si>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</si>
  <si>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</si>
  <si>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</si>
  <si>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Desc. Adic Quebra de Caixa</t>
  </si>
  <si>
    <t>0214</t>
  </si>
  <si>
    <t>BASE - INSS 13º SALARIO OUTRO EMPREGO</t>
  </si>
  <si>
    <t>ATESTADO MEDICO (PREVIDENCIA) (H)</t>
  </si>
  <si>
    <t>Restituicao INSS 13º</t>
  </si>
  <si>
    <t>INDENIZ ESTABILIDADE GRAVIDEZ</t>
  </si>
  <si>
    <t>0217</t>
  </si>
  <si>
    <t>BASE - FGTS 13º MES ANTERIOR</t>
  </si>
  <si>
    <t>Salario Maternidade Conforme Sefip</t>
  </si>
  <si>
    <t>0218</t>
  </si>
  <si>
    <t>DESC. PL ODONTOL UNIDENTIS TIT</t>
  </si>
  <si>
    <t>0219</t>
  </si>
  <si>
    <t>EMPRESTIMO FERIAS ( + )</t>
  </si>
  <si>
    <t>Desc. PGBL Previdencia Privada PREVVIDA</t>
  </si>
  <si>
    <t>2901 - Empréstimos</t>
  </si>
  <si>
    <t>0220</t>
  </si>
  <si>
    <t>0609</t>
  </si>
  <si>
    <t>9223-Previdencia complementar - parte do empregado</t>
  </si>
  <si>
    <t>ADICIONAL DE SUBSTITUICAO</t>
  </si>
  <si>
    <t># salário-maternidade 13º salário (info)</t>
  </si>
  <si>
    <t>Desc. VGBL Previdencia Privada PREVVIDA</t>
  </si>
  <si>
    <t>TOTAL CALCULADO COMPRA VALE TRANSPORTE</t>
  </si>
  <si>
    <t>0222</t>
  </si>
  <si>
    <t>Desc. PGBL Previdencia Privada Suplement</t>
  </si>
  <si>
    <t>DESC. PENSAO ALIMENTICIA S/FERIAS</t>
  </si>
  <si>
    <t>0223</t>
  </si>
  <si>
    <t>Desc. VGBL Previdencia Privada Suplement</t>
  </si>
  <si>
    <t>DESC. PL ODONTOL AMIL DENTAL TIT</t>
  </si>
  <si>
    <t>0224</t>
  </si>
  <si>
    <t>0904</t>
  </si>
  <si>
    <t>HORAS TOTAIS AD. NOTURNO NO PERIODO</t>
  </si>
  <si>
    <t>Desc. Perca de Material</t>
  </si>
  <si>
    <t># saldo para fins rescisórios</t>
  </si>
  <si>
    <t>9270-Danos e prejuizos causados pelo trabalhador</t>
  </si>
  <si>
    <t>0225</t>
  </si>
  <si>
    <t>HORAS TOTAIS AD. NOTURNO SUMULA 60</t>
  </si>
  <si>
    <t>0226</t>
  </si>
  <si>
    <t>SALARIO MATERNIDADE OUTRO EMPREGO</t>
  </si>
  <si>
    <t>Atestado Medico sem Inc INSS</t>
  </si>
  <si>
    <t>0227</t>
  </si>
  <si>
    <t>BASE DE INSS FERIAS NO MES OUTRO EMPREGO</t>
  </si>
  <si>
    <t>Dif. Desc. Atrasos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</si>
  <si>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</si>
  <si>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</si>
  <si>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</si>
  <si>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</si>
  <si>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</si>
  <si>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</si>
  <si>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Desc. Adto Pagto Feriado</t>
  </si>
  <si>
    <t>0231</t>
  </si>
  <si>
    <t>REMUNERACAO PAGA CONTRIBUINTE INDIVIDUAL</t>
  </si>
  <si>
    <t>3520 - Remuneração de cooperado</t>
  </si>
  <si>
    <t>0232</t>
  </si>
  <si>
    <t>DESC. PL SAUDE BRADESCO TIT</t>
  </si>
  <si>
    <t>Dif. Adicional de Substituicao</t>
  </si>
  <si>
    <t># taxa assistencial1</t>
  </si>
  <si>
    <t>0233</t>
  </si>
  <si>
    <t>0276</t>
  </si>
  <si>
    <t>Desc. Contribuicao Assistencial</t>
  </si>
  <si>
    <t>DIF. HORA INTERVALO INTRAJORNADA</t>
  </si>
  <si>
    <t>Desc. Vale Transporte Mes Anterior</t>
  </si>
  <si>
    <t>1006 - Intervalos intra e inter jornadas não concedidos</t>
  </si>
  <si>
    <t>0234</t>
  </si>
  <si>
    <t>PAGTO BONIFICACAO MES ANTERIOR</t>
  </si>
  <si>
    <t>Restituicao de IRRF</t>
  </si>
  <si>
    <t>0235</t>
  </si>
  <si>
    <t>DESC. SUPERMERCADO</t>
  </si>
  <si>
    <t>Desc. Cafe da Manha</t>
  </si>
  <si>
    <t>0236</t>
  </si>
  <si>
    <t>ESTAGIARIO - DESC. FALTA/ATRASOS (DIAS)</t>
  </si>
  <si>
    <t># transporte/alimentacao</t>
  </si>
  <si>
    <t>Desc. Almoco</t>
  </si>
  <si>
    <t>0237</t>
  </si>
  <si>
    <t>DESC. INSS DIFERENCA SALARIAL</t>
  </si>
  <si>
    <t>0238</t>
  </si>
  <si>
    <t>BASE DE FGTS DIF. SALARIAL</t>
  </si>
  <si>
    <t>0239</t>
  </si>
  <si>
    <t>Dif. Desc. Faltas (em dias)</t>
  </si>
  <si>
    <t>BENEFICIO - AJUDA DE CUSTO AGUA</t>
  </si>
  <si>
    <t>FERIAS EM DOBRO</t>
  </si>
  <si>
    <t>1024 - Férias - o dobro na vigência do contrato</t>
  </si>
  <si>
    <t>0241</t>
  </si>
  <si>
    <t>Desc. Ceia</t>
  </si>
  <si>
    <t>ADICIONAL 1/3 DE FERIAS EM DOBRO</t>
  </si>
  <si>
    <t>1/3 de Abono Pecuniário</t>
  </si>
  <si>
    <t>0242</t>
  </si>
  <si>
    <t>ABONO DE FERIAS EM DOBRO</t>
  </si>
  <si>
    <t>0243</t>
  </si>
  <si>
    <t>Adicional por Tempo Servico Anuenio</t>
  </si>
  <si>
    <t>1/3 ABONO DE FERIAS EM DOBRO</t>
  </si>
  <si>
    <t>1206-Adicional por tempo de servico</t>
  </si>
  <si>
    <t>0244</t>
  </si>
  <si>
    <t>DIF. SALARIAL DISSIDIO</t>
  </si>
  <si>
    <t>Art 479 - Indenizacao da CLT</t>
  </si>
  <si>
    <t>6104-Indenizacao do art. 479 da CLT</t>
  </si>
  <si>
    <t>0245</t>
  </si>
  <si>
    <t>DIF. OUTROS EVENTOS DE FERIAS DISSIDIO</t>
  </si>
  <si>
    <t>0970</t>
  </si>
  <si>
    <t>Desc. Taxa Negocial</t>
  </si>
  <si>
    <t>4</t>
  </si>
  <si>
    <t>0246</t>
  </si>
  <si>
    <t>DIF. SALARIAL RESCISAO - DISSIDIO</t>
  </si>
  <si>
    <t>( + ) Pagto. Banco de Horas 1,80%</t>
  </si>
  <si>
    <t>0247</t>
  </si>
  <si>
    <t>DESC. INSS DIF. SALARIAL 13º SALARIO</t>
  </si>
  <si>
    <t>1004-Horas extraordinarias - Banco de horas</t>
  </si>
  <si>
    <t>0248</t>
  </si>
  <si>
    <t>BASE DE FGTS DIF SALARIAL DE 13º</t>
  </si>
  <si>
    <t>1300-PLR - Participacao em Lucros ou Resultados</t>
  </si>
  <si>
    <t>0249</t>
  </si>
  <si>
    <t>DESC. INSS DIF. SALARIAL FERIAS</t>
  </si>
  <si>
    <t>0250</t>
  </si>
  <si>
    <t>5</t>
  </si>
  <si>
    <t>ESTORNO BASE INSS DISSIDIO RET. FOLHA</t>
  </si>
  <si>
    <t>Desc. IRRF Participacao nos Lucros</t>
  </si>
  <si>
    <t>0251</t>
  </si>
  <si>
    <t>ESTORNO BASE INSS DISSIDIO RET. 13O</t>
  </si>
  <si>
    <t>0252</t>
  </si>
  <si>
    <t>Dif. Desc. Faltas (em Horas)</t>
  </si>
  <si>
    <t>ESTORNO BASE INSS DISSIDIO RET. FERIAS</t>
  </si>
  <si>
    <t>0253</t>
  </si>
  <si>
    <t>Atestado Medico Afast p/Covid-19</t>
  </si>
  <si>
    <t>9933-Auxilio-doenca</t>
  </si>
  <si>
    <t>0254</t>
  </si>
  <si>
    <t>ANTECIPACAO DE FERIAS (VENCIMENTO)</t>
  </si>
  <si>
    <t>1/3 DE FÉRIAS</t>
  </si>
  <si>
    <t>Desc. Dif. Contribuicao Assistencial</t>
  </si>
  <si>
    <t>1015 - Adiantamento de férias</t>
  </si>
  <si>
    <t>0255</t>
  </si>
  <si>
    <t>ANTECIPACAO TERCO DE FERIAS (VENCIMENTO)</t>
  </si>
  <si>
    <t>0256</t>
  </si>
  <si>
    <t>DESC. PENSAO ALIMENTICIA S/13º SALARIO</t>
  </si>
  <si>
    <t>0257</t>
  </si>
  <si>
    <t>Desc. Dif. Contribuicao Confederativa</t>
  </si>
  <si>
    <t>DESC. PENSAO ALIMENTICIA PLR</t>
  </si>
  <si>
    <t>0258</t>
  </si>
  <si>
    <t>BASE DE INSS 13º OUTRO EMPREGO</t>
  </si>
  <si>
    <t>Dif. Desc. DSR Perdido</t>
  </si>
  <si>
    <t>0259</t>
  </si>
  <si>
    <t>DESC. IRRF CALCULADO PELO USUARIO</t>
  </si>
  <si>
    <t>Stop Option</t>
  </si>
  <si>
    <t>0260</t>
  </si>
  <si>
    <t>1080-Stock Option</t>
  </si>
  <si>
    <t>DESC. INSS DIRETORES 11%</t>
  </si>
  <si>
    <t>Desc. Faltas (em Horas)</t>
  </si>
  <si>
    <t>0261</t>
  </si>
  <si>
    <t>TOTAL DE FGTS REF. A DIF. SALARIAL DE DI</t>
  </si>
  <si>
    <t>PTO - Horas Trabalhadas</t>
  </si>
  <si>
    <t>0262</t>
  </si>
  <si>
    <t>DESC. IRRF 13º CALCULADO P/USUARIO</t>
  </si>
  <si>
    <t>0263</t>
  </si>
  <si>
    <t>DESC. IRRF FERIAS CALCULADO P/USUARIO</t>
  </si>
  <si>
    <t>Dif. Atestado Medico Por Covid-19</t>
  </si>
  <si>
    <t>0264</t>
  </si>
  <si>
    <t>BASE - ESTORNO DE FALTAS</t>
  </si>
  <si>
    <t>1/3 de Férias</t>
  </si>
  <si>
    <t>3</t>
  </si>
  <si>
    <t>0265</t>
  </si>
  <si>
    <t>DESC. 30%  EMPRESTIMO CONSIGNADO RESCISA</t>
  </si>
  <si>
    <t>Arredondamento nas Ferias (+)</t>
  </si>
  <si>
    <t>0266</t>
  </si>
  <si>
    <t>INSS 13º  DESC. P/PREVID REF LIC MATER</t>
  </si>
  <si>
    <t>Comissao Mes Anterior</t>
  </si>
  <si>
    <t>0267</t>
  </si>
  <si>
    <t>IRRF 13º DESC. P/PREVID REF LIC MAT</t>
  </si>
  <si>
    <t>0268</t>
  </si>
  <si>
    <t>ADICIONAL DE FERIAS PROXIMO MES</t>
  </si>
  <si>
    <t>Aluguel de Motocicleta</t>
  </si>
  <si>
    <t>1620-Ressarcimento de despesas pelo uso de veiculo proprio</t>
  </si>
  <si>
    <t>0269</t>
  </si>
  <si>
    <t>TOTAL ADICIONAL FERIAS PAGO MES ANTERIOR</t>
  </si>
  <si>
    <t>Desc. INSS Retificacao sefip</t>
  </si>
  <si>
    <t>0270</t>
  </si>
  <si>
    <t>DIF. 1/3 ABONO PECUNICARIO</t>
  </si>
  <si>
    <t>0271</t>
  </si>
  <si>
    <t>SALARIO MATERNIDADE RETROATIVO</t>
  </si>
  <si>
    <t>Base - Retificacao de Sefip</t>
  </si>
  <si>
    <t>0272</t>
  </si>
  <si>
    <t>DESC. INSS REF. SALARIO MATER RETROATIVO</t>
  </si>
  <si>
    <t>Pagamento Domingo CCT</t>
  </si>
  <si>
    <t>0273</t>
  </si>
  <si>
    <t>BASE INSS OUTRO EMPREGO DESC COMPLEMENTA</t>
  </si>
  <si>
    <t>0274</t>
  </si>
  <si>
    <t>Desc. Previdencia Privada PGBL</t>
  </si>
  <si>
    <t>BASE INSS 13º OUTRO EMPREGO DESCONTO</t>
  </si>
  <si>
    <t>DESC. ARRED. LIQUIDO INSUFUCIENTE</t>
  </si>
  <si>
    <t>DESC. CONTRIBUICAO ASSISTENCIAL</t>
  </si>
  <si>
    <t>Desc. Previdencia Privada VGBL</t>
  </si>
  <si>
    <t>0277</t>
  </si>
  <si>
    <t>DESC. PAGTO INDEVIDO RSR S/HORAS EXTRAS</t>
  </si>
  <si>
    <t>0278</t>
  </si>
  <si>
    <t>Danos Prejuizos Causados pelo Trabalhado</t>
  </si>
  <si>
    <t>DESC. PAGTO INDEVIDO RSR S/ADIC NOTURNO</t>
  </si>
  <si>
    <t>0279</t>
  </si>
  <si>
    <t>DESC. PAGTO INDEVIDO RSR S/COMISSAO</t>
  </si>
  <si>
    <t>Desc. Multa Transito</t>
  </si>
  <si>
    <t>0280</t>
  </si>
  <si>
    <t>RETIFICACAO DE SEFIP 13º SALARIO</t>
  </si>
  <si>
    <t>Desc. Pagto Domingo CCT</t>
  </si>
  <si>
    <t>0281</t>
  </si>
  <si>
    <t>DESC. INSS RETIFICACAO SEFIP 13º SAL</t>
  </si>
  <si>
    <t>6</t>
  </si>
  <si>
    <t>0282</t>
  </si>
  <si>
    <t>BASE DE FGTS DIF SALARIAL DE FERIAS</t>
  </si>
  <si>
    <t>Desc. INSS Ferias Prox Mes</t>
  </si>
  <si>
    <t>0283</t>
  </si>
  <si>
    <t>COTA SALARIO FAMILIA RETROATIVO</t>
  </si>
  <si>
    <t>0284</t>
  </si>
  <si>
    <t>DESC. PENSAO ALIMENTICIA INFORMADA FOLHA</t>
  </si>
  <si>
    <t>0285</t>
  </si>
  <si>
    <t>DESC. PENSAO ALIMENTICIA INFORMADA 13º</t>
  </si>
  <si>
    <t>Desc. Dif. INSS Ferias Proximo Mes</t>
  </si>
  <si>
    <t>0286</t>
  </si>
  <si>
    <t>DESC. DIF. CONTRIBUICAO SINDICAL COMPULS</t>
  </si>
  <si>
    <t>0287</t>
  </si>
  <si>
    <t>DESC. DIF. PENSAO ALIMENTICIA FOLHA</t>
  </si>
  <si>
    <t>Base - FGTS 13º Deposito Rescisao</t>
  </si>
  <si>
    <t>1/3 DE FÉRIAS (RESCISÃO)</t>
  </si>
  <si>
    <t>9908-FGTS ¿ deposito</t>
  </si>
  <si>
    <t>0288</t>
  </si>
  <si>
    <t>DESC. DIF. PENSAO ALIMENTICIA 13º SAL</t>
  </si>
  <si>
    <t>Desc. Contribuicao Confederativa</t>
  </si>
  <si>
    <t>0289</t>
  </si>
  <si>
    <t>DESC. DIF. PENSAO ALIMENTICIA FERIAS</t>
  </si>
  <si>
    <t>0291</t>
  </si>
  <si>
    <t>DESC. PAGTO INDEVIDO HORAS EXTRAS 50%</t>
  </si>
  <si>
    <t>9231-Mensalidade sindical ou associativa</t>
  </si>
  <si>
    <t>0292</t>
  </si>
  <si>
    <t>DESC. PAGTO INDEVIDO HORAS EXTRAS 60%</t>
  </si>
  <si>
    <t>Bonificacao</t>
  </si>
  <si>
    <t>0293</t>
  </si>
  <si>
    <t>DESC. PAGTO INDEVIDO HORAS EXTRAS 65%</t>
  </si>
  <si>
    <t>INSS com Aliquota Normal</t>
  </si>
  <si>
    <t>0294</t>
  </si>
  <si>
    <t>DESC. PAGTO INDEVIDO HORAS EXTRAS 70%</t>
  </si>
  <si>
    <t>1/3 de Férias (Rescisão)</t>
  </si>
  <si>
    <t>0295</t>
  </si>
  <si>
    <t>DESC. PAGTO INDEVIDO HORAS EXTRAS 80%</t>
  </si>
  <si>
    <t>0296</t>
  </si>
  <si>
    <t>INSS 13º com aliquota normal</t>
  </si>
  <si>
    <t>DESC. PAGTO INDEVIDO HORA EXTRA 100%</t>
  </si>
  <si>
    <t>0297</t>
  </si>
  <si>
    <t>DESC. PAGTO INDEVIDO ADIC NOTURNO 20%</t>
  </si>
  <si>
    <t>INSS Ferias Prox Mes Aliquota Normal</t>
  </si>
  <si>
    <t>0298</t>
  </si>
  <si>
    <t>DESC. PAGTO INDEVIDO ADIC NOTURNO 25%</t>
  </si>
  <si>
    <t>INSS Ferias Mes Anterior Aliquota</t>
  </si>
  <si>
    <t>DESC. PAGTO INDEVIDO ADIC NOTURNO 30%</t>
  </si>
  <si>
    <t>0300</t>
  </si>
  <si>
    <t>MEDIA HORA EXTRA FERIAS PROP</t>
  </si>
  <si>
    <t>INSS Ferias Mes Anterior</t>
  </si>
  <si>
    <t>0301</t>
  </si>
  <si>
    <t>DIF. MEDIA HORA EXTRA FERIAS PROP</t>
  </si>
  <si>
    <t>0209</t>
  </si>
  <si>
    <t>Evento incide INSS 13º rescisao</t>
  </si>
  <si>
    <t>0302</t>
  </si>
  <si>
    <t>MEDIA COMISSAO FERIAS PROP</t>
  </si>
  <si>
    <t>EVENTO INCIDE INSS 13º RESCISAO</t>
  </si>
  <si>
    <t>0303</t>
  </si>
  <si>
    <t>Desc. Aviso Previo (API)</t>
  </si>
  <si>
    <t>DIF. MEDIA COMISSAO FERIAS PROP</t>
  </si>
  <si>
    <t>6901-Desconto do aviso previo</t>
  </si>
  <si>
    <t>0304</t>
  </si>
  <si>
    <t>MEDIA HORA EXTRA NO ABONO</t>
  </si>
  <si>
    <t>Desc. INSS Ferias Mes (informado)</t>
  </si>
  <si>
    <t>0305</t>
  </si>
  <si>
    <t>DIF. MEDIA HORA EXTRA ABONO PEC</t>
  </si>
  <si>
    <t>Desc. INSS Ferias Prox mes (informado)</t>
  </si>
  <si>
    <t>0987</t>
  </si>
  <si>
    <t>1/3 de Férias Indenizadas</t>
  </si>
  <si>
    <t>0306</t>
  </si>
  <si>
    <t>MEDIA COMISSAO ABONO</t>
  </si>
  <si>
    <t>Desc. Dedutivel IRRF Participacao Lucros</t>
  </si>
  <si>
    <t>0307</t>
  </si>
  <si>
    <t>DIF. MEDIA COMISSAO ABONO PEC</t>
  </si>
  <si>
    <t>0308</t>
  </si>
  <si>
    <t>Base - INSS 13º Salario Outro Emprego</t>
  </si>
  <si>
    <t>DIF. SALARIO MATERNIDADE</t>
  </si>
  <si>
    <t>0310</t>
  </si>
  <si>
    <t>ESTORNO PENSAO ALIMENTICIA S/13º SAL</t>
  </si>
  <si>
    <t>Atestado Medico (Previdencia) (H)</t>
  </si>
  <si>
    <t>0312</t>
  </si>
  <si>
    <t>RECLAMATORIA TRABALHISTA</t>
  </si>
  <si>
    <t>Indeniz Estabilidade Gravidez</t>
  </si>
  <si>
    <t>0313</t>
  </si>
  <si>
    <t>ESTORNO PREVIDENCIA PRIVADA</t>
  </si>
  <si>
    <t>0968</t>
  </si>
  <si>
    <t>1/3 de Férias Proporcionais</t>
  </si>
  <si>
    <t>Base - FGTS 13º Mes Anterior</t>
  </si>
  <si>
    <t>0314</t>
  </si>
  <si>
    <t>DESC. HORAS DE ATRASOS</t>
  </si>
  <si>
    <t>0315</t>
  </si>
  <si>
    <t>Desc. Pl Odontol DENTALMASTER Tit</t>
  </si>
  <si>
    <t>INSS FERIAS PROX MES OUTRO EMP</t>
  </si>
  <si>
    <t>0316</t>
  </si>
  <si>
    <t>BASE INSS FERIAS MES OUTRO EMPREGO DESC.</t>
  </si>
  <si>
    <t>Emprestimo Ferias ( + )</t>
  </si>
  <si>
    <t>2901-Emprestimos</t>
  </si>
  <si>
    <t>0317</t>
  </si>
  <si>
    <t>Adicional de Substituicao</t>
  </si>
  <si>
    <t>0318</t>
  </si>
  <si>
    <t>BASE INSS FERIAS MES ANT OUTRO EMPR DESC</t>
  </si>
  <si>
    <t>0960</t>
  </si>
  <si>
    <t>0319</t>
  </si>
  <si>
    <t>Total Calculado Compra Vale Transporte</t>
  </si>
  <si>
    <t>INSS FERIAS MES ANTERIOR OUTRO EMPREGO</t>
  </si>
  <si>
    <t>0320</t>
  </si>
  <si>
    <t>DESC. EMPR CONSIGNADO ITAU</t>
  </si>
  <si>
    <t>Desc. Pensao Alimenticia S/Ferias</t>
  </si>
  <si>
    <t>0321</t>
  </si>
  <si>
    <t>BASE DE FGTS DE AFASTADOS</t>
  </si>
  <si>
    <t>Desc. Pl Odontol AMIL Dental Tit</t>
  </si>
  <si>
    <t>9932 - Auxílio-doença acidentário</t>
  </si>
  <si>
    <t>0322</t>
  </si>
  <si>
    <t>ARREDONDAMENTO DE DESCONTO BASE</t>
  </si>
  <si>
    <t>Horas Totais Ad. Noturno no Periodo</t>
  </si>
  <si>
    <t>0323</t>
  </si>
  <si>
    <t>DIF. ADICIONAL DE PERICULOSIDADE</t>
  </si>
  <si>
    <t>Horas Totais Ad. Noturno Sumula 60</t>
  </si>
  <si>
    <t>0959</t>
  </si>
  <si>
    <t>0325</t>
  </si>
  <si>
    <t>DEVOL. DESC. PL SAUDE AMIL TIT</t>
  </si>
  <si>
    <t>Salario Maternidade Outro Emprego</t>
  </si>
  <si>
    <t>0326</t>
  </si>
  <si>
    <t>CUSTO PL SAUDE HAPVIDA PATRONAL</t>
  </si>
  <si>
    <t>9911 - Assistência Médica</t>
  </si>
  <si>
    <t>0327</t>
  </si>
  <si>
    <t>CUSTO PL SAUDE UNIMED PATRONAL</t>
  </si>
  <si>
    <t>Base de INSS Ferias no Mes Outro Emprego</t>
  </si>
  <si>
    <t>0328</t>
  </si>
  <si>
    <t>DESC. PL SAUDE BRADESCO DEP</t>
  </si>
  <si>
    <t>Base INSS Ferias Prox Mes Outro Emprego</t>
  </si>
  <si>
    <t>0329</t>
  </si>
  <si>
    <t>CUSTO PL SAUDE BRADESCO PATRONAL</t>
  </si>
  <si>
    <t>Base de INSS Outro Emprego</t>
  </si>
  <si>
    <t>0330</t>
  </si>
  <si>
    <t>CUSTO PL ODONTOLOGICO ODONTOSYSTEM PATRO</t>
  </si>
  <si>
    <t>0331</t>
  </si>
  <si>
    <t>INSS Ferias Outro Emprego</t>
  </si>
  <si>
    <t>CUSTO PL ODONTOLOGICO UNIODONTO PATRONAL</t>
  </si>
  <si>
    <t>0332</t>
  </si>
  <si>
    <t>CUSTO PL ODONTOLOGICO UNIDENTAL PATRONAL</t>
  </si>
  <si>
    <t>Remuneracao Paga Contribuinte Individual</t>
  </si>
  <si>
    <t>3520-Remuneracao de cooperado</t>
  </si>
  <si>
    <t>0333</t>
  </si>
  <si>
    <t>CUSTO PL SAUDE AMIL PATRONAL</t>
  </si>
  <si>
    <t>Desc. Pl Saude BRADESCO Tit</t>
  </si>
  <si>
    <t>0334</t>
  </si>
  <si>
    <t>0973</t>
  </si>
  <si>
    <t>DESC. DSR PERDIDO MANUAL</t>
  </si>
  <si>
    <t>1/3 de Férias Proporcionais 1</t>
  </si>
  <si>
    <t>Dif. Hora Intervalo Intrajornada</t>
  </si>
  <si>
    <t>0335</t>
  </si>
  <si>
    <t>INDENIZ ART. 14  LEI Nº 5.889/73</t>
  </si>
  <si>
    <t>1006-Intervalos intra e inter jornadas nao concedidos</t>
  </si>
  <si>
    <t>6103 - Indenização do art. 14 da lei nº 5.889, de 8 de junho de 1973</t>
  </si>
  <si>
    <t>0336</t>
  </si>
  <si>
    <t>Bonificacao Mes Anterior</t>
  </si>
  <si>
    <t>DIF. INDENIZ ART. 14  LEI Nº 5.889/73</t>
  </si>
  <si>
    <t>0337</t>
  </si>
  <si>
    <t>DESC. PL SAUDE BRADESCO TIT FERIAS</t>
  </si>
  <si>
    <t>Desc. Supermercado</t>
  </si>
  <si>
    <t>DESC. PL ODONTOL UNIODONTO DEP FERIAS</t>
  </si>
  <si>
    <t>Estagiario - Desc. Falta/Atrasos (Dias)</t>
  </si>
  <si>
    <t>0339</t>
  </si>
  <si>
    <t>DESC. PL ODONTOL UNIODONTO TIT FERIAS</t>
  </si>
  <si>
    <t>Desc. INSS Diferenca Salarial</t>
  </si>
  <si>
    <t>0340</t>
  </si>
  <si>
    <t>DESC. PL ODONTOL ODONTOSYSTEM DEP</t>
  </si>
  <si>
    <t>0341</t>
  </si>
  <si>
    <t>Base de FGTS Dif. Salarial</t>
  </si>
  <si>
    <t>REEMBOLSO DE EMPRESTIMO CONSIGNADO</t>
  </si>
  <si>
    <t>BASE - HORAS DSR PERDIDO PONTO</t>
  </si>
  <si>
    <t>0344</t>
  </si>
  <si>
    <t>Beneficio - Ajuda de Custo agua</t>
  </si>
  <si>
    <t>DESC. PL ODONTOL UNIDENTIS DEP FERIAS</t>
  </si>
  <si>
    <t>0969</t>
  </si>
  <si>
    <t>1/3 de Férias Vencidas</t>
  </si>
  <si>
    <t>1603-Ajuda de custo</t>
  </si>
  <si>
    <t>0803</t>
  </si>
  <si>
    <t>DESC. PL SAUDE BRADESCO DEP FERIAS</t>
  </si>
  <si>
    <t>Adicional 1/3 Ferias Vencidas</t>
  </si>
  <si>
    <t>1024-Ferias - o dobro na vigencia do contrato</t>
  </si>
  <si>
    <t>0346</t>
  </si>
  <si>
    <t>DESC. PL ODONTOL AMIL DENTAL DEP</t>
  </si>
  <si>
    <t>Adicional 1/3 de Ferias em Dobro</t>
  </si>
  <si>
    <t>0347</t>
  </si>
  <si>
    <t>DESC. PL ODONTOL UNIODONTO DEP</t>
  </si>
  <si>
    <t>Abono de Ferias em Dobro</t>
  </si>
  <si>
    <t>0348</t>
  </si>
  <si>
    <t>DESC. PL ODONTOL ODONTOSYSTEM TIT FÈRIAS</t>
  </si>
  <si>
    <t>0961</t>
  </si>
  <si>
    <t>1/3 Abono de Ferias em Dobro</t>
  </si>
  <si>
    <t>0349</t>
  </si>
  <si>
    <t>DIA DO COMERCIARIO</t>
  </si>
  <si>
    <t>Dif. Salarial Dissidio</t>
  </si>
  <si>
    <t>DESC. CO-PARTICIPACAO PL SAUDE UNIMED DE</t>
  </si>
  <si>
    <t>0351</t>
  </si>
  <si>
    <t>DESC. CO-PARTICIPACAO PL SAUDE HAPVIDA D</t>
  </si>
  <si>
    <t>Dif. Outros Eventos de Ferias Dissidio</t>
  </si>
  <si>
    <t>0352</t>
  </si>
  <si>
    <t>DESC. CO-PARTICIPACAO PL SAUDE AMIL DEP</t>
  </si>
  <si>
    <t>Dif. Salarial Rescisao - Dissidio</t>
  </si>
  <si>
    <t>0353</t>
  </si>
  <si>
    <t>ADICIONAL RESPONSABILIDADE TECNICA</t>
  </si>
  <si>
    <t>0354</t>
  </si>
  <si>
    <t>Desc. INSS Dif. Salarial 13º Salario</t>
  </si>
  <si>
    <t>BASE PERICULOSIDADE S PROVISAO</t>
  </si>
  <si>
    <t>0355</t>
  </si>
  <si>
    <t>AD. QUEBRA DE CAIXA 08%</t>
  </si>
  <si>
    <t>Base de FGTS Dif Salarial de 13º</t>
  </si>
  <si>
    <t>0356</t>
  </si>
  <si>
    <t>DIF. AD. QUEBRA DE CAIXA</t>
  </si>
  <si>
    <t>Desc. INSS Dif. Salarial Ferias</t>
  </si>
  <si>
    <t>0361</t>
  </si>
  <si>
    <t>DIF. ADIC POR TEMPO SERVICO ANUENIO</t>
  </si>
  <si>
    <t>Estorno Base INSS Dissidio Ret. Folha</t>
  </si>
  <si>
    <t>0362</t>
  </si>
  <si>
    <t>ADICIONAL POR TEMPO SERVICO BIENIO</t>
  </si>
  <si>
    <t>0363</t>
  </si>
  <si>
    <t>Estorno base INSS Dissidio Ret. 13o</t>
  </si>
  <si>
    <t>DIF. ADIC POR TEMPO SERVICO BIENIO</t>
  </si>
  <si>
    <t>ADICIONAL POR TEMPO SERVICO TRIENIO</t>
  </si>
  <si>
    <t>Estorno base INSS dissidio ret. Ferias</t>
  </si>
  <si>
    <t>0365</t>
  </si>
  <si>
    <t>DIF. ADIC POR TEMPO SERVICO TRIENIO</t>
  </si>
  <si>
    <t>0974</t>
  </si>
  <si>
    <t>ESTAGIARIO - RECESSO PROP S/RESCISAO</t>
  </si>
  <si>
    <t>1/3 de Férias Vencidas 1</t>
  </si>
  <si>
    <t>ESTAGIARIO - RECESSO VENC S/RESCISAO</t>
  </si>
  <si>
    <t>Antecipacao de Ferias (Vencimento)</t>
  </si>
  <si>
    <t>0368</t>
  </si>
  <si>
    <t>DIAS RECESSO ESTAGIO</t>
  </si>
  <si>
    <t>Antecipacao Terco de Ferias (Vencimento)</t>
  </si>
  <si>
    <t>0369</t>
  </si>
  <si>
    <t>BASE FERIAS VENC SEM AVISO PREVIO</t>
  </si>
  <si>
    <t>Desc. Pensao Alimenticia s/13º Salario</t>
  </si>
  <si>
    <t>0370</t>
  </si>
  <si>
    <t>BASE FERIAS PROP SEM AVISO PREVIO</t>
  </si>
  <si>
    <t>0371</t>
  </si>
  <si>
    <t>Desc. Pensao Alimenticia PLR</t>
  </si>
  <si>
    <t>FERIAS INDENIZADAS SOBRE AVISO PREVIO</t>
  </si>
  <si>
    <t>0373</t>
  </si>
  <si>
    <t>DESC. DIF. PENSAO ALIMENTICIA FERIAS RES</t>
  </si>
  <si>
    <t>Base de INSS 13º Outro Emprego</t>
  </si>
  <si>
    <t>0374</t>
  </si>
  <si>
    <t>DIF 13º SAL RESCISAO LICENCA MATERNIDADE</t>
  </si>
  <si>
    <t>0375</t>
  </si>
  <si>
    <t>13º SAL RESCISAO LIC MATERNIDADE</t>
  </si>
  <si>
    <t>Desc. IRRF Calculado pelo Usuario</t>
  </si>
  <si>
    <t>9930 - Salário maternidade pago pela Previdência Social</t>
  </si>
  <si>
    <t>13º SALÁRIO</t>
  </si>
  <si>
    <t>0376</t>
  </si>
  <si>
    <t>DIF DE 13º SALARIO LICENCA MATERNIDADE</t>
  </si>
  <si>
    <t>Desc. INSS Diretores 11%</t>
  </si>
  <si>
    <t>0377</t>
  </si>
  <si>
    <t>SEGUNDA PARCELA 13º SALARIO LICENCA</t>
  </si>
  <si>
    <t>0378</t>
  </si>
  <si>
    <t>DESC. PENSAO ALIMENTICIA FERIAS RESCISAO</t>
  </si>
  <si>
    <t>Total de Fgts Ref. a Dif. Salarial de Di</t>
  </si>
  <si>
    <t>0379</t>
  </si>
  <si>
    <t>BASE IRRF FERIAS ENVELOPE OUTROS VINCULO</t>
  </si>
  <si>
    <t>Desc. IRRF 13º calculado p/Usuario</t>
  </si>
  <si>
    <t>0380</t>
  </si>
  <si>
    <t>BASE IRRF FERIAS RECIBO OUTROS VINCULOS</t>
  </si>
  <si>
    <t>Desc. IRRF Ferias calculado p/Usuario</t>
  </si>
  <si>
    <t>0381</t>
  </si>
  <si>
    <t>IRRF FERIAS ENVELOPE BASE PENSAO</t>
  </si>
  <si>
    <t>9939 - Outros valores tributáveis</t>
  </si>
  <si>
    <t>0382</t>
  </si>
  <si>
    <t>JORNADA MENSAL CONSIDERANDO HORAS</t>
  </si>
  <si>
    <t>Base - Estorno de Faltas</t>
  </si>
  <si>
    <t>0383</t>
  </si>
  <si>
    <t>IRRF FOLHA BASE PENSAO</t>
  </si>
  <si>
    <t>Desc. 30%  Emprestimo Consignado Rescisa</t>
  </si>
  <si>
    <t>13º Salário</t>
  </si>
  <si>
    <t>0384</t>
  </si>
  <si>
    <t>IRRF PARTICIPACAO LUCROS BASE PENSAO</t>
  </si>
  <si>
    <t>INSS 13º  Desc. p/Previd Ref Lic Mater</t>
  </si>
  <si>
    <t>0385</t>
  </si>
  <si>
    <t>IRRF 13º SALARIO BASE PENSAO</t>
  </si>
  <si>
    <t>0386</t>
  </si>
  <si>
    <t>IRRF 13º Desc. p/Previd Ref Lic Mat</t>
  </si>
  <si>
    <t>IRRF FERIAS RECIBO BASE PENSAO</t>
  </si>
  <si>
    <t>0387</t>
  </si>
  <si>
    <t>Adicional de Ferias Proximo Mes</t>
  </si>
  <si>
    <t>BASE IRRF FOLHA OUTROS VINCULOS</t>
  </si>
  <si>
    <t>0388</t>
  </si>
  <si>
    <t>BASE IRRF 13º SAL OUTROS VINCULOS</t>
  </si>
  <si>
    <t>0389</t>
  </si>
  <si>
    <t>DIF. DESC. MENSALIDADE SINDICAL</t>
  </si>
  <si>
    <t>Total Adicional Ferias Pago Mes Anterior</t>
  </si>
  <si>
    <t>0390</t>
  </si>
  <si>
    <t>AUXILIO CRECHE</t>
  </si>
  <si>
    <t>Dif. 1/3 Abono Pecunicario</t>
  </si>
  <si>
    <t>1406 - Auxílio creche</t>
  </si>
  <si>
    <t>DESC. PAT</t>
  </si>
  <si>
    <t>Salario Maternidade Retroativo</t>
  </si>
  <si>
    <t>AUXILIO EDUCACAO</t>
  </si>
  <si>
    <t>1407 - Auxílio educação</t>
  </si>
  <si>
    <t>0393</t>
  </si>
  <si>
    <t>Desc. INSS Ref. Salario Mater Retroativo</t>
  </si>
  <si>
    <t>AUXILIO COMBUSTIVEL</t>
  </si>
  <si>
    <t>0394</t>
  </si>
  <si>
    <t>DESC. PL SAUDE SAO CAMILO DEP</t>
  </si>
  <si>
    <t>Base INSS Outro Emprego Desc Complementa</t>
  </si>
  <si>
    <t>0395</t>
  </si>
  <si>
    <t>DESC. BENEFICIO TELEFONIA</t>
  </si>
  <si>
    <t>Base INSS 13º Outro Emprego Desconto</t>
  </si>
  <si>
    <t>0396</t>
  </si>
  <si>
    <t>DESC. PL ODONTOL  ODONTOSYSTEM DEP FERIA</t>
  </si>
  <si>
    <t>0397</t>
  </si>
  <si>
    <t>DESC. PL ODONTOL UNIDENTIS TIT FERIAS</t>
  </si>
  <si>
    <t>0398</t>
  </si>
  <si>
    <t>DESC. PL ODONTOL UNIDENTIS DEP</t>
  </si>
  <si>
    <t>0399</t>
  </si>
  <si>
    <t>DESC. PL ODONTOLOGICO AMIL TIT FERIAS</t>
  </si>
  <si>
    <t>0985</t>
  </si>
  <si>
    <t>13º SALÁRIO - INDENIZAÇÃO</t>
  </si>
  <si>
    <t>Desc. Pagto Indevido RSR s/Horas Extras</t>
  </si>
  <si>
    <t>0400</t>
  </si>
  <si>
    <t>Desc. Pagto Indevido RSR s/Adic Noturno</t>
  </si>
  <si>
    <t>DESC. PL ODONTOLOGICO AMIL  DEP FERIAS</t>
  </si>
  <si>
    <t>0401</t>
  </si>
  <si>
    <t>Desc. Pagto Indevido RSR s/Comissao</t>
  </si>
  <si>
    <t>DESC. CONFORME AUTORIZACAO</t>
  </si>
  <si>
    <t>0402</t>
  </si>
  <si>
    <t>DESC. PL SAUDE SAO CAMILO TIT FERIAS</t>
  </si>
  <si>
    <t>Retificacao de Sefip 13º Salario</t>
  </si>
  <si>
    <t>13º SALÁRIO (AVISO PRÉVIO)</t>
  </si>
  <si>
    <t>0403</t>
  </si>
  <si>
    <t>DESC. PL SAUDE SAO CAMILO DEP FERIAS</t>
  </si>
  <si>
    <t>0404</t>
  </si>
  <si>
    <t>PONTUACAO</t>
  </si>
  <si>
    <t>Desc. INSS Retificacao SEFIP 13º Sal</t>
  </si>
  <si>
    <t>0405</t>
  </si>
  <si>
    <t>PREMIO SPIFF</t>
  </si>
  <si>
    <t>0406</t>
  </si>
  <si>
    <t>OUTROS ADICIONAIS</t>
  </si>
  <si>
    <t>0407</t>
  </si>
  <si>
    <t>Base de FGTS Dif Salarial de Ferias</t>
  </si>
  <si>
    <t>ADICIONAL INSALUBRIDADE 20%</t>
  </si>
  <si>
    <t>0408</t>
  </si>
  <si>
    <t>ADICIONAL INSALUBRIDADE 40%</t>
  </si>
  <si>
    <t>Cota Salario Familia Retroativo</t>
  </si>
  <si>
    <t>0409</t>
  </si>
  <si>
    <t>ADIC PERICULOSIDADE EM FERIAS</t>
  </si>
  <si>
    <t>Desc. Pensao Alimenticia Informada folha</t>
  </si>
  <si>
    <t>0410</t>
  </si>
  <si>
    <t>ADIC PERICULOSIDADE ABONO PECUNIARIO</t>
  </si>
  <si>
    <t>13º Salário (Aviso Prévio)</t>
  </si>
  <si>
    <t>0411</t>
  </si>
  <si>
    <t>Desc. Pensao Alimenticia Informada 13º</t>
  </si>
  <si>
    <t>DIF. ADIC INSALUBRIDADE S/FERIAS</t>
  </si>
  <si>
    <t>0412</t>
  </si>
  <si>
    <t>DIF. ADIC INSAL S/ABONO PECUNIARIO</t>
  </si>
  <si>
    <t>0413</t>
  </si>
  <si>
    <t>DIF. ADIC PERICULOSIDADE EM FERIAS</t>
  </si>
  <si>
    <t>Desc. Dif. Contribuicao Sindical Compuls</t>
  </si>
  <si>
    <t>0414</t>
  </si>
  <si>
    <t>DIF. ADIC PERICUL ABONO PECUNIARI</t>
  </si>
  <si>
    <t>0415</t>
  </si>
  <si>
    <t>ART 470 - AJUDA DE CUSTO CLT</t>
  </si>
  <si>
    <t>Desc. Dif. Pensao Alimenticia Folha</t>
  </si>
  <si>
    <t>1602 - Ajuda de custo de transferência</t>
  </si>
  <si>
    <t>0416</t>
  </si>
  <si>
    <t>ESTAGIARIO - DESC. FALTA/ATRASOS (HORAS)</t>
  </si>
  <si>
    <t>Desc. Dif. Pensao Alimenticia 13º Sal</t>
  </si>
  <si>
    <t>0417</t>
  </si>
  <si>
    <t>Desc. Dif. Pensao Alimenticia Ferias</t>
  </si>
  <si>
    <t>MEMORIA ESCALONAMENTO DE PROMOCÕES</t>
  </si>
  <si>
    <t>0418</t>
  </si>
  <si>
    <t>0290</t>
  </si>
  <si>
    <t>ART 476-A - § 5º, DA CLT</t>
  </si>
  <si>
    <t>Liquido de Rescisao (D)</t>
  </si>
  <si>
    <t>0419</t>
  </si>
  <si>
    <t>LIQUIDO DE RESCISAO (D)</t>
  </si>
  <si>
    <t>DESC. PL SAUDE CLINICA SIM TIT</t>
  </si>
  <si>
    <t>Desc. Pagto Indevido Horas Extras 50%</t>
  </si>
  <si>
    <t>0420</t>
  </si>
  <si>
    <t>DESC. PL SAUDE CLINICA SIM TIT FERIAS</t>
  </si>
  <si>
    <t>0421</t>
  </si>
  <si>
    <t>Desc. Pagto Indevido Horas Extras 60%</t>
  </si>
  <si>
    <t>DESC. PL SAUDE CLINICA SIM DEP</t>
  </si>
  <si>
    <t>0422</t>
  </si>
  <si>
    <t>DESC. PL SAUDE CLINICA SIM DEP FERIAS</t>
  </si>
  <si>
    <t>13º SALÁRIO (RESCISÃO)</t>
  </si>
  <si>
    <t>Desc. Pagto Indevido Horas Extras 65%</t>
  </si>
  <si>
    <t>0423</t>
  </si>
  <si>
    <t>CUSTO PL SAUDE CLINICA SIM PATRONAL</t>
  </si>
  <si>
    <t>Desc. Pagto Indevido Horas Extras 70%</t>
  </si>
  <si>
    <t>0424</t>
  </si>
  <si>
    <t>CUSTO PL SAUDE SAO CAMILO PATRONAL</t>
  </si>
  <si>
    <t>Desc. Pagto Indevido Horas Extras 80%</t>
  </si>
  <si>
    <t>0425</t>
  </si>
  <si>
    <t>REPOUSO SEMANAL DOCENTE</t>
  </si>
  <si>
    <t>Desc. Pagto Indevido Hora Extra 100%</t>
  </si>
  <si>
    <t>0426</t>
  </si>
  <si>
    <t>DIREITO DE ARENA</t>
  </si>
  <si>
    <t>1005 - Direito de arena</t>
  </si>
  <si>
    <t>0427</t>
  </si>
  <si>
    <t>LICENCA-PREMIO</t>
  </si>
  <si>
    <t>Desc. Pagto Indevido Adic Noturno 20%</t>
  </si>
  <si>
    <t>1040 - Licença-prêmio</t>
  </si>
  <si>
    <t>0428</t>
  </si>
  <si>
    <t>REMUNERACAO DO DIRIGENTE SINDICAL</t>
  </si>
  <si>
    <t>Desc. Pagto Indevido Adic Noturno 25%</t>
  </si>
  <si>
    <t>1230 - Remuneração do dirigente sindical</t>
  </si>
  <si>
    <t>0429</t>
  </si>
  <si>
    <t>AUXILIO LOCAIS DE DIFICIL ACESSO</t>
  </si>
  <si>
    <t>13º Salário (Rescisão)</t>
  </si>
  <si>
    <t>Desc. Pagto Indevido Adic Noturno 30%</t>
  </si>
  <si>
    <t>1410 - Auxílio - Locais de difícil acesso</t>
  </si>
  <si>
    <t>0430</t>
  </si>
  <si>
    <t>AUXILIO ALIMENTACAO</t>
  </si>
  <si>
    <t>Media Hora Extra Ferias Prop</t>
  </si>
  <si>
    <t>1807 - Alimentação em ticket ou cartão, não vinculada ao PAT</t>
  </si>
  <si>
    <t>0431</t>
  </si>
  <si>
    <t>AUXILIO MORADIA</t>
  </si>
  <si>
    <t>1805 - Moradia</t>
  </si>
  <si>
    <t>Dif. Media Hora Extra Ferias Prop</t>
  </si>
  <si>
    <t>0432</t>
  </si>
  <si>
    <t>AUXILIO TRANSPORTE</t>
  </si>
  <si>
    <t>0433</t>
  </si>
  <si>
    <t>Media Comissao Ferias Prop</t>
  </si>
  <si>
    <t>COMPLEMENTACAO SALARIAL AUXILIO-DOENCA</t>
  </si>
  <si>
    <t>4010 - Complementação salarial de auxílio-doença</t>
  </si>
  <si>
    <t>0434</t>
  </si>
  <si>
    <t>ADTO BENEFICIOS PREVIDENCIARIOS</t>
  </si>
  <si>
    <t>Dif. Media Comissao Ferias Prop</t>
  </si>
  <si>
    <t>5510 - Adiantamento de benefícios previdenciários</t>
  </si>
  <si>
    <t>0435</t>
  </si>
  <si>
    <t>INDENIZ RECEBIDA TITULO INCENTIVO DEMISS</t>
  </si>
  <si>
    <t>Media Hora Extra no Abono</t>
  </si>
  <si>
    <t>6105 - Indenização recebida a título de incentivo a demissão.</t>
  </si>
  <si>
    <t>0436</t>
  </si>
  <si>
    <t>DESC. RETENCÕES JUDICIAIS</t>
  </si>
  <si>
    <t>Dif. Media Hora Extra Abono Pec</t>
  </si>
  <si>
    <t>9218 - Retenções judiciais</t>
  </si>
  <si>
    <t>0437</t>
  </si>
  <si>
    <t>DESC. PREVIDENCIA COMPL PARTE SERVIDOR</t>
  </si>
  <si>
    <t>9225 - Previdência complementar - parte do servidor</t>
  </si>
  <si>
    <t>Media Comissao Abono</t>
  </si>
  <si>
    <t>0438</t>
  </si>
  <si>
    <t>DESC. FAPI PARTE EMPREGADO</t>
  </si>
  <si>
    <t>9224 - FAPI - parte do empregado</t>
  </si>
  <si>
    <t>0439</t>
  </si>
  <si>
    <t>DESC. EMPR  PELO/EMPREGADOR</t>
  </si>
  <si>
    <t>9255 - Empréstimos do empregador - desconto</t>
  </si>
  <si>
    <t>Dif. Media Comissao Abono Pec</t>
  </si>
  <si>
    <t>0440</t>
  </si>
  <si>
    <t>DESC. PRO RATA PL SAUDE HAPVIDA TIT</t>
  </si>
  <si>
    <t>0441</t>
  </si>
  <si>
    <t>DESC. PRO RATA PL SAUDE HAPVIDA DEP</t>
  </si>
  <si>
    <t>Dif. Salario Maternidade</t>
  </si>
  <si>
    <t>0442</t>
  </si>
  <si>
    <t>DESC. PRO RATA PL SAUDE UNIMED TIT</t>
  </si>
  <si>
    <t>0309</t>
  </si>
  <si>
    <t>Estorno Pensao Alimenticia s/Folha</t>
  </si>
  <si>
    <t>0443</t>
  </si>
  <si>
    <t>DESC. PRO RATA PL SAUDE UNIMED DEP</t>
  </si>
  <si>
    <t>ESTORNO PENSAO ALIMENTICIA S/FOLHA</t>
  </si>
  <si>
    <t>Estorno Pensao Alimenticia s/13º Sal</t>
  </si>
  <si>
    <t>ANTECIPACAO PRIMEIRA PARCELA 13º NAS FER</t>
  </si>
  <si>
    <t>0445</t>
  </si>
  <si>
    <t>SALARIO FAMILIA ANTECIPACAO FERIAS (P)</t>
  </si>
  <si>
    <t>0311</t>
  </si>
  <si>
    <t>Estorno Pensao Alimenticia Ferias</t>
  </si>
  <si>
    <t>0446</t>
  </si>
  <si>
    <t>2ª VIA CARTAO ALIMENTAÇÃO</t>
  </si>
  <si>
    <t>BASE INSS DISSIDIO FOLHA EXCLUSIVA EMPRE</t>
  </si>
  <si>
    <t>ESTORNO PENSAO ALIMENTICIA FERIAS</t>
  </si>
  <si>
    <t>Reclamatoria Trabalhista</t>
  </si>
  <si>
    <t>0447</t>
  </si>
  <si>
    <t>BASE INSS DISSIDIO FOLHA RESCIS. EXCLUSI</t>
  </si>
  <si>
    <t>0448</t>
  </si>
  <si>
    <t>Estorno Previdencia Privada</t>
  </si>
  <si>
    <t>BASE INSS DISSIDIO 13º EXCLUSIVA EMPRESA</t>
  </si>
  <si>
    <t>0449</t>
  </si>
  <si>
    <t>BASE INSS DISSIDIO 13º RESCIS. EXCLUSIVA</t>
  </si>
  <si>
    <t>Desc. Horas de Atrasos</t>
  </si>
  <si>
    <t>0450</t>
  </si>
  <si>
    <t>2ª Via Cartao Refeicao</t>
  </si>
  <si>
    <t>EVENTO ABONO FERIAS ENVELOPE</t>
  </si>
  <si>
    <t>INSS Ferias Prox Mes Outro Emp</t>
  </si>
  <si>
    <t>0454</t>
  </si>
  <si>
    <t>AVALIACAO TCC</t>
  </si>
  <si>
    <t>Base INSS Ferias Mes Outro Emprego Desc.</t>
  </si>
  <si>
    <t>0455</t>
  </si>
  <si>
    <t>BANCA DE TCC</t>
  </si>
  <si>
    <t>0456</t>
  </si>
  <si>
    <t>COORD DE PRATICA ESTAGIO</t>
  </si>
  <si>
    <t>1211 - Gratificações</t>
  </si>
  <si>
    <t>0457</t>
  </si>
  <si>
    <t>Base INSS Ferias Mes Ant Outro Empr Desc</t>
  </si>
  <si>
    <t>COORD DE PESQUISA E EXTENSAO</t>
  </si>
  <si>
    <t>0458</t>
  </si>
  <si>
    <t>PRECEPTORIA</t>
  </si>
  <si>
    <t>INSS Ferias Mes Anterior Outro Emprego</t>
  </si>
  <si>
    <t>0462</t>
  </si>
  <si>
    <t>ORIENTACAO DE TCC</t>
  </si>
  <si>
    <t>Desc. Empr Consignado Itau</t>
  </si>
  <si>
    <t>0463</t>
  </si>
  <si>
    <t>COORDENACAO SPA</t>
  </si>
  <si>
    <t>2ª Via Cartão Super Conta</t>
  </si>
  <si>
    <t>0464</t>
  </si>
  <si>
    <t>Base de FGTS de Afastados</t>
  </si>
  <si>
    <t>COORDENACAO NPJ</t>
  </si>
  <si>
    <t>9932-Auxilio-doenca acidentario</t>
  </si>
  <si>
    <t>0465</t>
  </si>
  <si>
    <t>COORDENACAO ESTAGIO</t>
  </si>
  <si>
    <t>Arredondamento de Desconto Base</t>
  </si>
  <si>
    <t>0466</t>
  </si>
  <si>
    <t>GRATIFICACAO PESQUISA E EXTENSAO</t>
  </si>
  <si>
    <t>Dif. Adicional de Periculosidade</t>
  </si>
  <si>
    <t>0467</t>
  </si>
  <si>
    <t>ACUMULO FUNCAO S/ HORAS TRABALHADAS</t>
  </si>
  <si>
    <t>0468</t>
  </si>
  <si>
    <t>DIF. ACUMULO FUNCAO S/ HORAS TRABALHADAS</t>
  </si>
  <si>
    <t>REEMBOLSO DE CONTRIBUICAO SINDICAL</t>
  </si>
  <si>
    <t>Devol. Desc. Pl Saude AMIL Tit</t>
  </si>
  <si>
    <t>0469</t>
  </si>
  <si>
    <t>2ª Via Cartao Vale Transporte</t>
  </si>
  <si>
    <t>HORA EXTRA 50% INDENIZATORIA</t>
  </si>
  <si>
    <t>Custo Pl Saude HAPVIDA Patronal</t>
  </si>
  <si>
    <t>1003 - Horas extraordinárias</t>
  </si>
  <si>
    <t>9911-Assistencia Medica</t>
  </si>
  <si>
    <t>0470</t>
  </si>
  <si>
    <t>DIF. HORA EXTRA 50% INDENIZATORIA</t>
  </si>
  <si>
    <t>Custo Pl Saude UNIMED Patronal</t>
  </si>
  <si>
    <t>0471</t>
  </si>
  <si>
    <t>AUXILIO FUNERAL</t>
  </si>
  <si>
    <t>Desc. Pl Saude BRADESCO Dep</t>
  </si>
  <si>
    <t>0472</t>
  </si>
  <si>
    <t>GRATIFICACAO APOSENTADORIA</t>
  </si>
  <si>
    <t>2ª VIA CARTAO VTE</t>
  </si>
  <si>
    <t>0475</t>
  </si>
  <si>
    <t>Custo Pl Saude BRADESCO Patronal</t>
  </si>
  <si>
    <t>SALARIO SUBSTITUICAO</t>
  </si>
  <si>
    <t>0476</t>
  </si>
  <si>
    <t>DIF. SALARIO SUBSTITUICAO</t>
  </si>
  <si>
    <t>Custo Pl Odontologico OdontoSystem Patro</t>
  </si>
  <si>
    <t>0477</t>
  </si>
  <si>
    <t>HORA EXTRA ENSINO FUNDAMENTAL</t>
  </si>
  <si>
    <t>Custo Pl Odontologico Uniodonto Patronal</t>
  </si>
  <si>
    <t>0478</t>
  </si>
  <si>
    <t>DIF. HORA EXTRA ENSINO FUNDAMENTAL</t>
  </si>
  <si>
    <t>ABONO PECUNIÁRIO</t>
  </si>
  <si>
    <t>Custo Pl Odontologico Unidental Patronal</t>
  </si>
  <si>
    <t>0479</t>
  </si>
  <si>
    <t>HORA EXTRA ENSINO MEDIO</t>
  </si>
  <si>
    <t>0480</t>
  </si>
  <si>
    <t>DESC EMPRESTIMO CREDITO TRABALHADOR I</t>
  </si>
  <si>
    <t>Custo Pl Saude AMIL Patronal</t>
  </si>
  <si>
    <t>9253 - Empréstimos ECONSIGNADO - Desconto</t>
  </si>
  <si>
    <t>0482</t>
  </si>
  <si>
    <t>REM BASE EMPRESTIMO CREDITO DO TRABALHAD</t>
  </si>
  <si>
    <t>Desc. DSR Perdido Manual</t>
  </si>
  <si>
    <t>0483</t>
  </si>
  <si>
    <t>INSUFICIENCIA SALDO EMPRESTIMO CREDITO T</t>
  </si>
  <si>
    <t>Abono Pecuniário</t>
  </si>
  <si>
    <t>Indeniz Art. 14  Lei nº 5.889/73</t>
  </si>
  <si>
    <t>0485</t>
  </si>
  <si>
    <t>6103-Indenizacao do art. 14 da lei nº 5.889, de 8 de junho de 1973</t>
  </si>
  <si>
    <t>PROV CREDITO DO TRABALHADOR FERIAS 1</t>
  </si>
  <si>
    <t>0486</t>
  </si>
  <si>
    <t>Dif. Indeniz Art. 14  Lei nº 5.889/73</t>
  </si>
  <si>
    <t>PROV CREDITO DO TRABALHADOR FERIAS 2</t>
  </si>
  <si>
    <t>0487</t>
  </si>
  <si>
    <t>PROV CREDITO TRAB. FERIAS 1º MES ENV</t>
  </si>
  <si>
    <t>Desc. Pl Saude BRADESCO Tit Ferias</t>
  </si>
  <si>
    <t>1623 - Ressarcimento de provisão</t>
  </si>
  <si>
    <t>0488</t>
  </si>
  <si>
    <t>PROV CREDITO TRAB. FERIAS 2º MES ENV</t>
  </si>
  <si>
    <t>Desc. Pl Odontol UNIODONTO Dep Ferias</t>
  </si>
  <si>
    <t>0489</t>
  </si>
  <si>
    <t>ADIANTAMENTO PROV EMPREST.CREDITO TRAB</t>
  </si>
  <si>
    <t>0490</t>
  </si>
  <si>
    <t>Desc. Pl Odontol UNIODONTO Tit Ferias</t>
  </si>
  <si>
    <t>DIF. HORA EXTRA ENSINO MEDIO</t>
  </si>
  <si>
    <t>0491</t>
  </si>
  <si>
    <t>HORA SCHOOL GUARDIAN</t>
  </si>
  <si>
    <t>Desc. Pl Odontol ODONTOSYSTEM Dep</t>
  </si>
  <si>
    <t>0492</t>
  </si>
  <si>
    <t>GRATIFICAÇÃO FIXA VALOR</t>
  </si>
  <si>
    <t>Adiant. de Recesso</t>
  </si>
  <si>
    <t>Reembolso de Emprestimo Consignado</t>
  </si>
  <si>
    <t>0493</t>
  </si>
  <si>
    <t>DIF. GRATIFICAÇÃO FIXA VALOR</t>
  </si>
  <si>
    <t>Base - Horas DSR Perdido Ponto</t>
  </si>
  <si>
    <t>0494</t>
  </si>
  <si>
    <t>DIF. MEDIA HORAS FERIAS</t>
  </si>
  <si>
    <t>0343</t>
  </si>
  <si>
    <t>0495</t>
  </si>
  <si>
    <t>Reembolso Desc. Vale Gas</t>
  </si>
  <si>
    <t>COMISSAO</t>
  </si>
  <si>
    <t>REEMBOLSO DESC. VALE GAS</t>
  </si>
  <si>
    <t>0496</t>
  </si>
  <si>
    <t>Desc. Pl Odontol DENTALMASTER Dep Ferias</t>
  </si>
  <si>
    <t>IRRF FUNCIONARIO (CONTABIL)</t>
  </si>
  <si>
    <t>Adiantamento</t>
  </si>
  <si>
    <t>0497</t>
  </si>
  <si>
    <t>IRRF DIRETOR (CONTABIL)</t>
  </si>
  <si>
    <t>Desc. Pl Saude BRADESCO Dep Ferias</t>
  </si>
  <si>
    <t>0498</t>
  </si>
  <si>
    <t>AD. QUEBRA DE CAIXA 10%</t>
  </si>
  <si>
    <t>Desc. Pl Odontol AMIL Dental Dep</t>
  </si>
  <si>
    <t>0499</t>
  </si>
  <si>
    <t>DIF. ADIC QUEBRA DE CAIXA</t>
  </si>
  <si>
    <t>Desc. Pl Odontol UNIODONTO Dep</t>
  </si>
  <si>
    <t>0501</t>
  </si>
  <si>
    <t>ADICIONAL INSALUBRIDADE DIARISTA</t>
  </si>
  <si>
    <t>0502</t>
  </si>
  <si>
    <t>ADICIONAL PERICULOSIDADE DIARISTA</t>
  </si>
  <si>
    <t>Desc. Pl Odontol ODONTOSYSTEM Tit Ferias</t>
  </si>
  <si>
    <t>DESC. PL ODONTOL ODONTOSYSTEM TIT FeRIAS</t>
  </si>
  <si>
    <t>0503</t>
  </si>
  <si>
    <t>DIF. DE PREMIOS</t>
  </si>
  <si>
    <t>Dia do Comerciario</t>
  </si>
  <si>
    <t>ADIANTAMENTO</t>
  </si>
  <si>
    <t>Desc. Co-participacao Pl Saude UNIMED De</t>
  </si>
  <si>
    <t>0504</t>
  </si>
  <si>
    <t>DEVOL. DESC. PL SAUDE AMIL DEP</t>
  </si>
  <si>
    <t>0505</t>
  </si>
  <si>
    <t>1/3 FERIAS ESTABILIDADE</t>
  </si>
  <si>
    <t>Desc. Co-participacao Pl Saude HAPVIDA D</t>
  </si>
  <si>
    <t>PERICULOSIDADE S/FERIAS PROP</t>
  </si>
  <si>
    <t>0507</t>
  </si>
  <si>
    <t>PERICULOSIDADE S/FERIAS VENC</t>
  </si>
  <si>
    <t>Desc. Co-participacao Pl Saude AMIL Dep</t>
  </si>
  <si>
    <t>0508</t>
  </si>
  <si>
    <t>ADICIONAL NOTURNO ABONO PECUNIARIO</t>
  </si>
  <si>
    <t>Adicional Responsabilidade Tecnica</t>
  </si>
  <si>
    <t>0509</t>
  </si>
  <si>
    <t>DESC. SERVICOS PRESTADOS</t>
  </si>
  <si>
    <t>Base Periculosidade s Provisao</t>
  </si>
  <si>
    <t>0510</t>
  </si>
  <si>
    <t>DEVOL. DESC. PL SAUDE UNIMED TIT</t>
  </si>
  <si>
    <t>0511</t>
  </si>
  <si>
    <t>Ad. Quebra de Caixa 08%</t>
  </si>
  <si>
    <t>DIF. MEDIA VALOR FERIAS</t>
  </si>
  <si>
    <t>0512</t>
  </si>
  <si>
    <t>DEVOL. DESC. PL SAUDE BRADESCO DEP</t>
  </si>
  <si>
    <t>Dif. Ad. Quebra de Caixa</t>
  </si>
  <si>
    <t>0513</t>
  </si>
  <si>
    <t>DIARIAS VIAGEM ACIMA 50% SALARIO C/INC</t>
  </si>
  <si>
    <t>0357</t>
  </si>
  <si>
    <t>Hora Aula Disciplina A</t>
  </si>
  <si>
    <t>1650 - Diárias de viagem</t>
  </si>
  <si>
    <t>0514</t>
  </si>
  <si>
    <t>DESC. ARTIGO 480 - MULTA  DA CLT</t>
  </si>
  <si>
    <t>0358</t>
  </si>
  <si>
    <t>Hora Aula Disciplina B</t>
  </si>
  <si>
    <t>6904 - Multa prevista no art. 480 da CLT</t>
  </si>
  <si>
    <t>0515</t>
  </si>
  <si>
    <t>DESC. EMPR CONSIGNADO CEF</t>
  </si>
  <si>
    <t>0359</t>
  </si>
  <si>
    <t>Hora Aula Ensino Fundamental I</t>
  </si>
  <si>
    <t>0516</t>
  </si>
  <si>
    <t>DESC. EMPR CONSIG SANTANDER FERIAS</t>
  </si>
  <si>
    <t>0360</t>
  </si>
  <si>
    <t>0517</t>
  </si>
  <si>
    <t>Hora Aula Ensino Fundamental II</t>
  </si>
  <si>
    <t>DESC. EMPR CONSIGNADO BBFERIAS</t>
  </si>
  <si>
    <t>0518</t>
  </si>
  <si>
    <t>INDICADOR - ABSENTEISMO HHH:MM</t>
  </si>
  <si>
    <t>Dif. Adic por Tempo Servico Anuenio</t>
  </si>
  <si>
    <t>0519</t>
  </si>
  <si>
    <t>MULTA DO ARTIGO 477 DA CLT</t>
  </si>
  <si>
    <t>Adicional por Tempo Servico Bienio</t>
  </si>
  <si>
    <t>6106 - Multa do art. 477 da CLT.</t>
  </si>
  <si>
    <t>0520</t>
  </si>
  <si>
    <t>DESC. EMPR CONSIGNADO SANTANDER</t>
  </si>
  <si>
    <t>Dif. Adic por Tempo Servico Bienio</t>
  </si>
  <si>
    <t>0521</t>
  </si>
  <si>
    <t>DESC. EMPR CONSIGNADO ITAU FERIAS</t>
  </si>
  <si>
    <t>Adiantamento 13º Comp.(Aviso)</t>
  </si>
  <si>
    <t>Adicional por Tempo Servico Trienio</t>
  </si>
  <si>
    <t>0522</t>
  </si>
  <si>
    <t>DIF. MEDIA VALOR FERIAS VENC</t>
  </si>
  <si>
    <t>0523</t>
  </si>
  <si>
    <t>Dif. Adic por Tempo Servico Trienio</t>
  </si>
  <si>
    <t>DESC. EMPR CONSIGNADO CEF FERIAS</t>
  </si>
  <si>
    <t>0524</t>
  </si>
  <si>
    <t>DESC. EMPR CONSIG BRADESCO FERIAS</t>
  </si>
  <si>
    <t>Estagiario - Recesso Prop s/Rescisao</t>
  </si>
  <si>
    <t>0525</t>
  </si>
  <si>
    <t>DESC. EMPR CONSIG BANCO BRASIL</t>
  </si>
  <si>
    <t>Adiantamento 13º Comp.(Mensal)</t>
  </si>
  <si>
    <t>Estagiario - Recesso Venc s/Rescisao</t>
  </si>
  <si>
    <t>0526</t>
  </si>
  <si>
    <t>ADICIONAL NOTURNO 20%</t>
  </si>
  <si>
    <t>Dias Recesso Estagio</t>
  </si>
  <si>
    <t>1205 - Adicional noturno</t>
  </si>
  <si>
    <t>0527</t>
  </si>
  <si>
    <t>DIF. ADICIONAL NOTURNO 20%</t>
  </si>
  <si>
    <t>ESTORNO PENSAO FERIAS NA RESCISAO</t>
  </si>
  <si>
    <t>Base Ferias Venc Sem Aviso Previo</t>
  </si>
  <si>
    <t>0528</t>
  </si>
  <si>
    <t>ADICIONAL NOTURNO 25%</t>
  </si>
  <si>
    <t>Adiantamento Base de Cálculo</t>
  </si>
  <si>
    <t>0529</t>
  </si>
  <si>
    <t>Base Ferias Prop sem Aviso Previo</t>
  </si>
  <si>
    <t>DIF. ADICIONAL NOTURNO 25%</t>
  </si>
  <si>
    <t>0530</t>
  </si>
  <si>
    <t>Ferias Indenizadas sobre Aviso Previo</t>
  </si>
  <si>
    <t>ADICIONAL NOTURNO 30%</t>
  </si>
  <si>
    <t>0531</t>
  </si>
  <si>
    <t>DIF. ADICIONAL NOTURNO 30%</t>
  </si>
  <si>
    <t>0372</t>
  </si>
  <si>
    <t>Estorno Pensao Ferias na Rescisao</t>
  </si>
  <si>
    <t>0532</t>
  </si>
  <si>
    <t>GRATIFICAÇÃO VARIAVEL</t>
  </si>
  <si>
    <t>0533</t>
  </si>
  <si>
    <t>DIF. GRATIFICAÇÃO VARIÁVEL</t>
  </si>
  <si>
    <t>Desc. Dif. Pensao Alimenticia Ferias Res</t>
  </si>
  <si>
    <t>0534</t>
  </si>
  <si>
    <t>MEDIA VALOR FERIAS</t>
  </si>
  <si>
    <t>Dif 13º Sal Rescisao Licenca Maternidade</t>
  </si>
  <si>
    <t>0535</t>
  </si>
  <si>
    <t>MEDIA HORAS FERIAS</t>
  </si>
  <si>
    <t>13º Sal Rescisao Lic Maternidade</t>
  </si>
  <si>
    <t>0536</t>
  </si>
  <si>
    <t>9930-Salario maternidade pago pela Previdencia Social</t>
  </si>
  <si>
    <t>DESC. INSS AUTONOMO/OUTRO EMPREGO</t>
  </si>
  <si>
    <t>0537</t>
  </si>
  <si>
    <t>Dif de 13º Salario Licenca Maternidade</t>
  </si>
  <si>
    <t>RESTITUICAO DE INSS DE AUTONOMO</t>
  </si>
  <si>
    <t>0538</t>
  </si>
  <si>
    <t>PAGAMENTO FRETE DE CARGAS</t>
  </si>
  <si>
    <t>Segunda Parcela 13º Salario Licenca</t>
  </si>
  <si>
    <t>3501 - Remuneração por prestação de serviços</t>
  </si>
  <si>
    <t>0539</t>
  </si>
  <si>
    <t>BASE DE INSS AUTONOMO CARRETEIRO</t>
  </si>
  <si>
    <t>Desc. Pensao Alimenticia Ferias Rescisao</t>
  </si>
  <si>
    <t>ADIANTAMENTO COMPENSAÇÃO</t>
  </si>
  <si>
    <t>0540</t>
  </si>
  <si>
    <t>DESC. INSS AUTONOMO 11%</t>
  </si>
  <si>
    <t>Base IRRF Ferias Envelope Outros Vinculo</t>
  </si>
  <si>
    <t>0541</t>
  </si>
  <si>
    <t>DESC. DEDUCAO CONTR PREVIDENCIARIA (80%)</t>
  </si>
  <si>
    <t>0542</t>
  </si>
  <si>
    <t>Base IRRF Ferias Recibo Outros Vinculos</t>
  </si>
  <si>
    <t>INSS ANTECIPACAO DE FERIAS</t>
  </si>
  <si>
    <t>IRRF Ferias Envelope Base Pensao</t>
  </si>
  <si>
    <t>0543</t>
  </si>
  <si>
    <t>Adiantamento Compensação</t>
  </si>
  <si>
    <t>ADICIONAL NOTURNO - SUMULA 60</t>
  </si>
  <si>
    <t>Jornada Mensal Considerando Horas</t>
  </si>
  <si>
    <t>0544</t>
  </si>
  <si>
    <t>DIF. MEDIA HORAS FERIAS VENC</t>
  </si>
  <si>
    <t>0545</t>
  </si>
  <si>
    <t>( + ) PAGTO. BANCO DE HORAS 1,50%</t>
  </si>
  <si>
    <t>0546</t>
  </si>
  <si>
    <t>IRRF Folha Base Pensao</t>
  </si>
  <si>
    <t>DIF. (+) SALDO BANCO DE HORAS</t>
  </si>
  <si>
    <t>0547</t>
  </si>
  <si>
    <t>( - ) DESC. SALDO BANCO DE HORAS</t>
  </si>
  <si>
    <t>IRRF Participacao Lucros Base Pensao</t>
  </si>
  <si>
    <t>0548</t>
  </si>
  <si>
    <t>DIF. (-) DESC. SALDO BANDO DE HORAS</t>
  </si>
  <si>
    <t>IRRF 13º Salario Base Pensao</t>
  </si>
  <si>
    <t>0549</t>
  </si>
  <si>
    <t>GORJETA</t>
  </si>
  <si>
    <t>IRRF Ferias Recibo Base Pensao</t>
  </si>
  <si>
    <t>1209 - Gueltas ou gorjetas - repassadas pelo empregador</t>
  </si>
  <si>
    <t>0550</t>
  </si>
  <si>
    <t>PRONTIDAO</t>
  </si>
  <si>
    <t>Base IRRF Folha Outros Vinculos</t>
  </si>
  <si>
    <t>1011 - Sobreaviso e prontidão</t>
  </si>
  <si>
    <t>0551</t>
  </si>
  <si>
    <t>DESC. DSR PERDIDO D</t>
  </si>
  <si>
    <t>Base IRRF 13º Sal Outros Vinculos</t>
  </si>
  <si>
    <t>0552</t>
  </si>
  <si>
    <t>DIARIAS DE VIAGENS</t>
  </si>
  <si>
    <t>Dif. Desc. Mensalidade Sindical</t>
  </si>
  <si>
    <t>0553</t>
  </si>
  <si>
    <t>RESSARCIMENTO DESPESAS VIAGEM</t>
  </si>
  <si>
    <t>1621 - Ressarcimento de despesas de viagem, exceto despesas com veículos</t>
  </si>
  <si>
    <t>Auxilio Creche</t>
  </si>
  <si>
    <t>0554</t>
  </si>
  <si>
    <t>ADIANTAMENTO DE 13º SALÁRIO</t>
  </si>
  <si>
    <t>ADICIONAL DE UNIDOCENCIA</t>
  </si>
  <si>
    <t>1406-Auxilio creche</t>
  </si>
  <si>
    <t>1215 - Adicional de Unidocência</t>
  </si>
  <si>
    <t>0555</t>
  </si>
  <si>
    <t>ADICIONAL DE TRANSFERENCIA</t>
  </si>
  <si>
    <t>Desc. PAT</t>
  </si>
  <si>
    <t>1204 - Adicional de transferência</t>
  </si>
  <si>
    <t>0556</t>
  </si>
  <si>
    <t>DIF. ADICIONAL DE PENOSIDADE</t>
  </si>
  <si>
    <t>Auxilio Educacao</t>
  </si>
  <si>
    <t>0557</t>
  </si>
  <si>
    <t>1407-Auxilio educacao</t>
  </si>
  <si>
    <t>RISCO DE VIDA</t>
  </si>
  <si>
    <t>Auxilio Combustivel</t>
  </si>
  <si>
    <t>0558</t>
  </si>
  <si>
    <t>DIF. RISCO DE VIDA</t>
  </si>
  <si>
    <t>0559</t>
  </si>
  <si>
    <t>RESTITUICAO FALTAS NAO JUSTIFICADAS</t>
  </si>
  <si>
    <t>Desc. Pl Saude Sao Camilo Dep</t>
  </si>
  <si>
    <t>0560</t>
  </si>
  <si>
    <t>PAGAMENTO FRETE DE PASSAGEIROS</t>
  </si>
  <si>
    <t>Desc. Beneficio Telefonia</t>
  </si>
  <si>
    <t>0561</t>
  </si>
  <si>
    <t>SERVICOS PRESTADOS MEI</t>
  </si>
  <si>
    <t>Adiantamento de 13º Salário</t>
  </si>
  <si>
    <t>Desc. Pl Odontol  ODONTOSYSTEM Dep Feria</t>
  </si>
  <si>
    <t>0562</t>
  </si>
  <si>
    <t>MULTA POR DEMISSAO PER ESTABILIDADE</t>
  </si>
  <si>
    <t>6107 - Indenização por quebra de estabilidade</t>
  </si>
  <si>
    <t>Desc. Pl Odontol DENTALMASTER Tit Ferias</t>
  </si>
  <si>
    <t>0563</t>
  </si>
  <si>
    <t>RESTITUICAO DESC.ALIMENTACAO</t>
  </si>
  <si>
    <t>1800 - Alimentação concedida em pecúnia com caráter salarial</t>
  </si>
  <si>
    <t>Desc. Pl Odontol DENTALMASTER Dep</t>
  </si>
  <si>
    <t>0564</t>
  </si>
  <si>
    <t>DESC. AVARIA VEICULAR</t>
  </si>
  <si>
    <t>0565</t>
  </si>
  <si>
    <t>DESC. AVARIA EQUIPAMENTO ELETRONICO</t>
  </si>
  <si>
    <t>Desc. Pl Odontologico AMIL Tit Ferias</t>
  </si>
  <si>
    <t>0566</t>
  </si>
  <si>
    <t>DESC. HAPVIDA ODONTO TIT</t>
  </si>
  <si>
    <t>Desc. Pl Odontologico AMIL  Dep Ferias</t>
  </si>
  <si>
    <t>0567</t>
  </si>
  <si>
    <t>DESC. HAPVIDA ODONTO DEP</t>
  </si>
  <si>
    <t>Desc. Conforme Autorizacao</t>
  </si>
  <si>
    <t>0568</t>
  </si>
  <si>
    <t>DESC. HAPVIDA ODONTO TIT FERIAS</t>
  </si>
  <si>
    <t>0569</t>
  </si>
  <si>
    <t>DESC. HAPVIDA ODONTO DEP FERIAS</t>
  </si>
  <si>
    <t>Desc. Pl Saude Sao Camilo Tit Ferias</t>
  </si>
  <si>
    <t>0570</t>
  </si>
  <si>
    <t>DESC. ODONTOART TIT</t>
  </si>
  <si>
    <t>Desc. Pl Saude Sao Camilo Dep Ferias</t>
  </si>
  <si>
    <t>0571</t>
  </si>
  <si>
    <t>DESC. ODONTOART DEP</t>
  </si>
  <si>
    <t>Pontuacao</t>
  </si>
  <si>
    <t>0572</t>
  </si>
  <si>
    <t>DESC. ODONTOART TIT FERIAS</t>
  </si>
  <si>
    <t>Premio Spiff</t>
  </si>
  <si>
    <t>0573</t>
  </si>
  <si>
    <t>DESC. ODONTOART DEP FERIAS</t>
  </si>
  <si>
    <t>0574</t>
  </si>
  <si>
    <t>MEDIA VALOR FERIAS VENC</t>
  </si>
  <si>
    <t>Outros Adicionais</t>
  </si>
  <si>
    <t>0575</t>
  </si>
  <si>
    <t>MEDIA HORAS FERIAS VENC</t>
  </si>
  <si>
    <t>Adicional Insalubridade 20%</t>
  </si>
  <si>
    <t>0576</t>
  </si>
  <si>
    <t>DESC. COMPA DE FRUTA</t>
  </si>
  <si>
    <t>Adicional Insalubridade 40%</t>
  </si>
  <si>
    <t>0577</t>
  </si>
  <si>
    <t>DESC. VALE</t>
  </si>
  <si>
    <t>Adiantamento de 13º Salário (Férias)</t>
  </si>
  <si>
    <t>0578</t>
  </si>
  <si>
    <t>DESC. VALE GAS</t>
  </si>
  <si>
    <t>Adic Periculosidade em Ferias</t>
  </si>
  <si>
    <t>0579</t>
  </si>
  <si>
    <t>DESC. SEST</t>
  </si>
  <si>
    <t>Adic Periculosidade Abono Pecuniario</t>
  </si>
  <si>
    <t>9217 - Contribuição a Outras Entidades e Fundos</t>
  </si>
  <si>
    <t>0580</t>
  </si>
  <si>
    <t>DESC. PL SAUDE BRADESCO TIT PROX MES</t>
  </si>
  <si>
    <t>Dif. Adic Insalubridade s/Ferias</t>
  </si>
  <si>
    <t>0581</t>
  </si>
  <si>
    <t>DESC. PL SAUDE BRADESCO DEP PROX MES</t>
  </si>
  <si>
    <t>0582</t>
  </si>
  <si>
    <t>AGREGAMENTO DE VEICULO</t>
  </si>
  <si>
    <t>Dif. Adic Insalubridade s/Abono Pecuniar</t>
  </si>
  <si>
    <t>0583</t>
  </si>
  <si>
    <t>PATRONAL - SEGURO CUSTO DE VIDA</t>
  </si>
  <si>
    <t>Dif. Adic Periculosidade em Ferias</t>
  </si>
  <si>
    <t>0584</t>
  </si>
  <si>
    <t>MEMORIA ESCALONAMENTO DE PROMOCoES</t>
  </si>
  <si>
    <t>DESC. PL ODONTO ODONTOART TIT PROX MES</t>
  </si>
  <si>
    <t>Dif. Adic Periculosidade Abono Pecuniari</t>
  </si>
  <si>
    <t>0585</t>
  </si>
  <si>
    <t>DESC. PL ODONTO ODONTOART DEP PROX MES</t>
  </si>
  <si>
    <t>ADIANTAMENTO DE 13º SALÁRIO COMPENSAÇÃO</t>
  </si>
  <si>
    <t>0586</t>
  </si>
  <si>
    <t>Art 470 - Ajuda de custo CLT</t>
  </si>
  <si>
    <t>DESC. PL HAPVIDA ODONTO TIT PROX MES</t>
  </si>
  <si>
    <t>1602-Ajuda de custo de transferencia</t>
  </si>
  <si>
    <t>0587</t>
  </si>
  <si>
    <t>DESC. PL HAPVIDA ODONTO DEP PROX MES</t>
  </si>
  <si>
    <t>Estagiario - Desc. Falta/Atrasos (Horas)</t>
  </si>
  <si>
    <t>Memoria Escalonamento de Promocoes</t>
  </si>
  <si>
    <t>0588</t>
  </si>
  <si>
    <t>ESTORNO BASE IRRF RETIFICACAO</t>
  </si>
  <si>
    <t>0589</t>
  </si>
  <si>
    <t>Art 476-A - § 5º, da CLT</t>
  </si>
  <si>
    <t>LIQUIDO RETIFICACAO</t>
  </si>
  <si>
    <t>0590</t>
  </si>
  <si>
    <t>Desc. Pl Saude CLINICA SIM Tit</t>
  </si>
  <si>
    <t>PAGAMENTO LIQUIDO RETIFICACAO</t>
  </si>
  <si>
    <t>0591</t>
  </si>
  <si>
    <t>BASE IRRF RETIFICACAO</t>
  </si>
  <si>
    <t>Desc. Pl Saude CLINICA SIM Tit Ferias</t>
  </si>
  <si>
    <t>0592</t>
  </si>
  <si>
    <t>PENSAO ALIMENTICIA JUDICIAL RETIFICACAO</t>
  </si>
  <si>
    <t>Adiantamento de 13º Salário Compensação</t>
  </si>
  <si>
    <t>Desc. Pl Saude CLINICA SIM Dep</t>
  </si>
  <si>
    <t>0593</t>
  </si>
  <si>
    <t>ESTORNO BASE IRRF 13 RETIFICACAO</t>
  </si>
  <si>
    <t>0594</t>
  </si>
  <si>
    <t>DESC. SENAT</t>
  </si>
  <si>
    <t>Desc. Pl Saude CLINICA SIM Dep Ferias</t>
  </si>
  <si>
    <t>0595</t>
  </si>
  <si>
    <t>REG INTERMITENTE HORA EXTRA 50%</t>
  </si>
  <si>
    <t>0596</t>
  </si>
  <si>
    <t>Custo Pl Saude CLINICA SIM Patronal</t>
  </si>
  <si>
    <t>REG INTERMITENTE HORA EXTRA 60%</t>
  </si>
  <si>
    <t>0597</t>
  </si>
  <si>
    <t>REG INTERMITENTE HORA EXTRA 100%</t>
  </si>
  <si>
    <t>Custo Pl Saude Sao Camilo Patronal</t>
  </si>
  <si>
    <t>0598</t>
  </si>
  <si>
    <t>REG INTERMITENTE DESC. ATRASO</t>
  </si>
  <si>
    <t>Reposuo Semanal Docente</t>
  </si>
  <si>
    <t>0599</t>
  </si>
  <si>
    <t>REG INTERMITENTE DESC. FALTA</t>
  </si>
  <si>
    <t>Direito de Arena</t>
  </si>
  <si>
    <t>1005-Direito de arena</t>
  </si>
  <si>
    <t>DESC. PL SAUDE HAPVIDA TIT</t>
  </si>
  <si>
    <t>Licenca-Premio</t>
  </si>
  <si>
    <t>1040-Licenca-premio</t>
  </si>
  <si>
    <t>DESC. PL SAUDE HAPVIDA TIT FERIAS</t>
  </si>
  <si>
    <t>Remuneracao do Dirigente Sindical</t>
  </si>
  <si>
    <t>DESC. PL SAUDE HAPVIDA DEP</t>
  </si>
  <si>
    <t>1230-Remuneracao do dirigente sindical</t>
  </si>
  <si>
    <t>Auxilio Locais de Dificil Acesso</t>
  </si>
  <si>
    <t>DESC. PL SAUDE HAPVIDA DEP FERIAS</t>
  </si>
  <si>
    <t>1410-Auxilio - Locais de dificil acesso</t>
  </si>
  <si>
    <t>DESC. PL SAUDE HAPVIDA TIT PROX MES</t>
  </si>
  <si>
    <t>Auxilio Alimentacao</t>
  </si>
  <si>
    <t>1807-Alimentacao em ticket ou cartao, nao vinculada ao PAT</t>
  </si>
  <si>
    <t>DESC. PL SAUDE HAPVIDA DEP PROX MES</t>
  </si>
  <si>
    <t>Auxilio Moradia</t>
  </si>
  <si>
    <t>0606</t>
  </si>
  <si>
    <t>1805-Moradia</t>
  </si>
  <si>
    <t>DESC. CO-PARTICIPACAO PL SAUDE HAPVIDA T</t>
  </si>
  <si>
    <t>Auxilio Transporte</t>
  </si>
  <si>
    <t>Adiantamento de salário</t>
  </si>
  <si>
    <t>0607</t>
  </si>
  <si>
    <t>DESC. PL SAUDE UNIMED TIT</t>
  </si>
  <si>
    <t>DESC. RETENCoES JUDICIAIS</t>
  </si>
  <si>
    <t>Complementacao Salarial Auxilio-Doenca</t>
  </si>
  <si>
    <t>DESC. PL SAUDE UNIMED TIT FERIAS</t>
  </si>
  <si>
    <t>4010-Complementacao salarial de auxilio-doenca</t>
  </si>
  <si>
    <t>DESC. PL SAUDE UNIMED DEP</t>
  </si>
  <si>
    <t>Adto Beneficios Previdenciarios</t>
  </si>
  <si>
    <t>DESC. PL SAUDE UNIMED DEP FERIAS</t>
  </si>
  <si>
    <t>5510-Adiantamento de beneficios previdenciarios</t>
  </si>
  <si>
    <t>ADIANTAMENTO DE VT</t>
  </si>
  <si>
    <t>0611</t>
  </si>
  <si>
    <t>DESC. PL SAUDE UNIMED TIT PROX MES</t>
  </si>
  <si>
    <t>Indeniz Recebida Titulo Incentivo Demiss</t>
  </si>
  <si>
    <t>0612</t>
  </si>
  <si>
    <t>DESC. PL SAUDE UNIMED DEP PROX MES</t>
  </si>
  <si>
    <t>6105-Indenizacao recebida a titulo de incentivo a demissao.</t>
  </si>
  <si>
    <t>0613</t>
  </si>
  <si>
    <t>DESC. CO-PARTICIPACAO PL SAUDE UNIMED TI</t>
  </si>
  <si>
    <t>Desc. Retencoes Judiciais</t>
  </si>
  <si>
    <t>DESC. PL SAUDE AMIL TIT</t>
  </si>
  <si>
    <t>ADIANTAMENTO EXTRA</t>
  </si>
  <si>
    <t>9218-Retencoes judiciais</t>
  </si>
  <si>
    <t>0615</t>
  </si>
  <si>
    <t>DESC. PL SAUDE AMIL TIT FERIAS</t>
  </si>
  <si>
    <t>0616</t>
  </si>
  <si>
    <t>DESC. PL SAUDE AMIL DEP</t>
  </si>
  <si>
    <t>Desc. Previdencia Compl Parte Servidor</t>
  </si>
  <si>
    <t>0617</t>
  </si>
  <si>
    <t>9225-Previdencia complementar - parte do servidor</t>
  </si>
  <si>
    <t>DESC. PL SAUDE AMIL DEP FERIAS</t>
  </si>
  <si>
    <t>0618</t>
  </si>
  <si>
    <t>DESC. PL SAUDE AMIL TIT PROX MES</t>
  </si>
  <si>
    <t>Adiantamentode 13º Salario (Férias)</t>
  </si>
  <si>
    <t>Desc. FAPI Parte Empregado</t>
  </si>
  <si>
    <t>0619</t>
  </si>
  <si>
    <t>9224-FAPI - parte do empregado</t>
  </si>
  <si>
    <t>DESC. PL SAUDE AMIL DEP PROX MES</t>
  </si>
  <si>
    <t>0620</t>
  </si>
  <si>
    <t>DESC. CO-PARTICIPACAO PL SAUDE AMIL TIT</t>
  </si>
  <si>
    <t>Desc. Empr  pelo/Empregador</t>
  </si>
  <si>
    <t>0621</t>
  </si>
  <si>
    <t>9255-Emprestimos do empregador - desconto</t>
  </si>
  <si>
    <t>DESC. PL SAUDE SAO CAMILO TIT</t>
  </si>
  <si>
    <t>ADICIONAL NOTURNO</t>
  </si>
  <si>
    <t>0622</t>
  </si>
  <si>
    <t>OUTRAS ATIVIDADES ACADEMICAS</t>
  </si>
  <si>
    <t>Desc. Pro Rata Pl Saude HAPVIDA Tit</t>
  </si>
  <si>
    <t>0624</t>
  </si>
  <si>
    <t>BASE DE IRRF PARTICIPACAO LUCROS OUTROS</t>
  </si>
  <si>
    <t>0625</t>
  </si>
  <si>
    <t>MEDIA VALOR FERIAS PROP</t>
  </si>
  <si>
    <t>Desc. Pro Rata Pl Saude HAPVIDA Dep</t>
  </si>
  <si>
    <t>0626</t>
  </si>
  <si>
    <t>MEDIA HORAS FERIAS PROP</t>
  </si>
  <si>
    <t>Adicional Noturno</t>
  </si>
  <si>
    <t>Desc. Pro Rata Pl Saude UNIMED Tit</t>
  </si>
  <si>
    <t>0627</t>
  </si>
  <si>
    <t>MEDIA VALOR 13 SALARIO</t>
  </si>
  <si>
    <t>Desc. Pro Rata Pl Saude UNIMED Dep</t>
  </si>
  <si>
    <t>0628</t>
  </si>
  <si>
    <t>MEDIA HORA 13 SALARIO</t>
  </si>
  <si>
    <t>0629</t>
  </si>
  <si>
    <t>MEDIA VALOR 13 SAL RESCISAO</t>
  </si>
  <si>
    <t>Salario Familia Antecipacao Ferias (P)</t>
  </si>
  <si>
    <t>0630</t>
  </si>
  <si>
    <t>MEDIA HORA 13 SAL RESCISAO</t>
  </si>
  <si>
    <t>Base INSS Dissidio folha exclusiva empre</t>
  </si>
  <si>
    <t>0631</t>
  </si>
  <si>
    <t>DIF. MEDIA HORA 13 SALARIO</t>
  </si>
  <si>
    <t>Base INSS Dissidio folha rescis. Exclusi</t>
  </si>
  <si>
    <t>0632</t>
  </si>
  <si>
    <t>DESC EMPRESTIMO CREDITO TRABALHADOR II</t>
  </si>
  <si>
    <t>Base INSS Dissidio 13º exclusiva empresa</t>
  </si>
  <si>
    <t>0633</t>
  </si>
  <si>
    <t>DESC EMPRESTIMO CREDITO TRABALHADOR III</t>
  </si>
  <si>
    <t>0634</t>
  </si>
  <si>
    <t>Base INSS Dissidio 13º rescis. Exclusiva</t>
  </si>
  <si>
    <t>DESC EMPRESTIMO CREDITO TRABALHADOR IV</t>
  </si>
  <si>
    <t>0635</t>
  </si>
  <si>
    <t>DESC EMPRESTIMO CREDITO TRABALHADOR V</t>
  </si>
  <si>
    <t>Evento Abono Ferias Envelope</t>
  </si>
  <si>
    <t>1018-Ferias - Abono ou gratificacao de ferias superior a 20 dias</t>
  </si>
  <si>
    <t>0636</t>
  </si>
  <si>
    <t>DESC EMPRESTIMO CREDITO TRABALHADOR VI</t>
  </si>
  <si>
    <t>0451</t>
  </si>
  <si>
    <t>Gratificacao Feriado</t>
  </si>
  <si>
    <t>0637</t>
  </si>
  <si>
    <t>DESC EMPRESTIMO CREDITO TRABALHADOR VII</t>
  </si>
  <si>
    <t>Adicional Noturno 20%</t>
  </si>
  <si>
    <t>0452</t>
  </si>
  <si>
    <t>Dif. Gratificacao Feriado</t>
  </si>
  <si>
    <t>0638</t>
  </si>
  <si>
    <t>DESC EMPRESTIMO CREDITO TRABALHADOR VIII</t>
  </si>
  <si>
    <t>0453</t>
  </si>
  <si>
    <t>0639</t>
  </si>
  <si>
    <t>Adicional Cargo de Confianca</t>
  </si>
  <si>
    <t>DESC EMPRESTIMO CREDITO TRABALHADOR IX</t>
  </si>
  <si>
    <t>0640</t>
  </si>
  <si>
    <t>DIF. MEDIA VALOR 13 SALARIO</t>
  </si>
  <si>
    <t>Dif. Adicional Cargo de Confianca</t>
  </si>
  <si>
    <t>0641</t>
  </si>
  <si>
    <t>0642</t>
  </si>
  <si>
    <t>MEDIA HORA FERIAS PROP</t>
  </si>
  <si>
    <t>Reembolso Desconto Indevido</t>
  </si>
  <si>
    <t>0643</t>
  </si>
  <si>
    <t>DIARIAS</t>
  </si>
  <si>
    <t>Adicional Noturno 60%</t>
  </si>
  <si>
    <t>0644</t>
  </si>
  <si>
    <t>0644-RSR S/DIARIAS</t>
  </si>
  <si>
    <t>1205-Adicional noturno</t>
  </si>
  <si>
    <t>0645</t>
  </si>
  <si>
    <t>DIF. MEDIA HORA 13 SAL RESCISAO</t>
  </si>
  <si>
    <t>Salario Substituicao</t>
  </si>
  <si>
    <t>0646</t>
  </si>
  <si>
    <t>DIF. MEDIA VALOR 13 SAL RESCISAO</t>
  </si>
  <si>
    <t>Dif. Salario Substituicao</t>
  </si>
  <si>
    <t>0647</t>
  </si>
  <si>
    <t>ADICIONAL TEMPO SERVICO ANUENIO FERIAS</t>
  </si>
  <si>
    <t>0459</t>
  </si>
  <si>
    <t>Dif. Adicional Noturno 60%</t>
  </si>
  <si>
    <t>0648</t>
  </si>
  <si>
    <t>ADICIONAL TEMPO SERVICO BIENIO FERIAS</t>
  </si>
  <si>
    <t>0460</t>
  </si>
  <si>
    <t>0649</t>
  </si>
  <si>
    <t>Horas Aula Mestre</t>
  </si>
  <si>
    <t>ADICIONAL TEMPO SERVICO TRIENIO FERIAS</t>
  </si>
  <si>
    <t>0461</t>
  </si>
  <si>
    <t>ADICIONAL NOTURNO 21%</t>
  </si>
  <si>
    <t>Horas Aula Doutor</t>
  </si>
  <si>
    <t>0650</t>
  </si>
  <si>
    <t>HORA EXTRA 50%</t>
  </si>
  <si>
    <t>0651</t>
  </si>
  <si>
    <t>Liquido Negativo</t>
  </si>
  <si>
    <t>DIF. HORA EXTRA 50%</t>
  </si>
  <si>
    <t>0652</t>
  </si>
  <si>
    <t>HORA EXTRA 50% NOTURNA</t>
  </si>
  <si>
    <t>Coordenacao SPA</t>
  </si>
  <si>
    <t>0653</t>
  </si>
  <si>
    <t>DIF. HORA EXTRA 50% NOTURNA</t>
  </si>
  <si>
    <t>Adicional Noturno 21%</t>
  </si>
  <si>
    <t>Coordenacao NPJ</t>
  </si>
  <si>
    <t>0654</t>
  </si>
  <si>
    <t>HORA EXTRA 60%</t>
  </si>
  <si>
    <t>0655</t>
  </si>
  <si>
    <t>DIF. HORA EXTRA 60%</t>
  </si>
  <si>
    <t>Coordenacao Estagio</t>
  </si>
  <si>
    <t>0656</t>
  </si>
  <si>
    <t>HORA EXTRA 60% NOTURNA</t>
  </si>
  <si>
    <t>0657</t>
  </si>
  <si>
    <t>DIF. HORA EXTRA 60% NOTURNA</t>
  </si>
  <si>
    <t>Grat por Pesquisa e Extensao</t>
  </si>
  <si>
    <t>0658</t>
  </si>
  <si>
    <t>HORA EXTRA 70%</t>
  </si>
  <si>
    <t>Acumulo Funcao s/ horas trabalhadas</t>
  </si>
  <si>
    <t>0659</t>
  </si>
  <si>
    <t>DIF. HORA EXTRA 70%</t>
  </si>
  <si>
    <t>Dif. Acumulo Funcao s/ horas trabalhadas</t>
  </si>
  <si>
    <t>0660</t>
  </si>
  <si>
    <t>HORA EXTRA 70% NOTURNA</t>
  </si>
  <si>
    <t>0661</t>
  </si>
  <si>
    <t>DIF. HORA EXTRA 70% NOTURNA</t>
  </si>
  <si>
    <t>Hora Extra 50% Indenizatoria</t>
  </si>
  <si>
    <t>0662</t>
  </si>
  <si>
    <t>HORA EXTRA 80%</t>
  </si>
  <si>
    <t>1003-Horas extraordinarias</t>
  </si>
  <si>
    <t>0663</t>
  </si>
  <si>
    <t>DIF. HORA EXTRA 80%</t>
  </si>
  <si>
    <t>ADICIONAL CARGO DE CONFIANCA</t>
  </si>
  <si>
    <t>Dif. Hora Extra 50% Indenizatoria</t>
  </si>
  <si>
    <t>0664</t>
  </si>
  <si>
    <t>HORA EXTRA 80% NOTURNA</t>
  </si>
  <si>
    <t>DIF. ADICIONAL CARGO DE CONFIANCA</t>
  </si>
  <si>
    <t>Auxilio Funeral</t>
  </si>
  <si>
    <t>0665</t>
  </si>
  <si>
    <t>AFASTAMENTO POR COVID-19</t>
  </si>
  <si>
    <t>DIF. HORA EXTRA 80% NOTURNA</t>
  </si>
  <si>
    <t>0666</t>
  </si>
  <si>
    <t>HORA EXTRA 90%</t>
  </si>
  <si>
    <t>Gratificacao Aposentadoria</t>
  </si>
  <si>
    <t>0667</t>
  </si>
  <si>
    <t>DIF. HORA EXTRA 90%</t>
  </si>
  <si>
    <t>0668</t>
  </si>
  <si>
    <t>HORA EXTRA 90% NOTURNA</t>
  </si>
  <si>
    <t>0966</t>
  </si>
  <si>
    <t>0669</t>
  </si>
  <si>
    <t>Afastamento por Covid-19</t>
  </si>
  <si>
    <t>0473</t>
  </si>
  <si>
    <t>DIF. HORAS HORA 90% NOTURNA</t>
  </si>
  <si>
    <t>( + ) Pagto. Banco de Horas 1,60%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</si>
  <si>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</si>
  <si>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</si>
  <si>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</si>
  <si>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</si>
  <si>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</si>
  <si>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</si>
  <si>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</si>
  <si>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</si>
  <si>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0999</t>
  </si>
  <si>
    <t>Ajuda Compensatória</t>
  </si>
  <si>
    <t>0474</t>
  </si>
  <si>
    <t>0889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</si>
  <si>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</si>
  <si>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</si>
  <si>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</si>
  <si>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</si>
  <si>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</si>
  <si>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</si>
  <si>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</si>
  <si>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</si>
  <si>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0998</t>
  </si>
  <si>
    <t>AJUDA COMPENSATORIA MP 936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</si>
  <si>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</si>
  <si>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</si>
  <si>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</si>
  <si>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</si>
  <si>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</si>
  <si>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</si>
  <si>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</si>
  <si>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PROV EMPRESTIMO CREDITO DO TRABALHADOR F</t>
  </si>
  <si>
    <t>DIF. HORA EXTRA INTRAJORNADA</t>
  </si>
  <si>
    <t>AJUDA CUSTOS ALIMENTAÇ ÃO - CCT SINDICAM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</si>
  <si>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</si>
  <si>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</si>
  <si>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</si>
  <si>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</si>
  <si>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</si>
  <si>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</si>
  <si>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</si>
  <si>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</si>
  <si>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0990</t>
  </si>
  <si>
    <t>Ajuda de Custo</t>
  </si>
  <si>
    <t>0686</t>
  </si>
  <si>
    <t>HORAS SOBRE AVISO DESC. EXEC.</t>
  </si>
  <si>
    <t>0687</t>
  </si>
  <si>
    <t>DIF. HORAS SOBRE AVISO DESC. EXEC.</t>
  </si>
  <si>
    <t>Desc Emprestimo Credito Trabalhador I</t>
  </si>
  <si>
    <t>0688</t>
  </si>
  <si>
    <t>9253-Emprestimos ECONSIGNADO - Desconto</t>
  </si>
  <si>
    <t>HORAS SOBRE AVISO FER. EXEC.</t>
  </si>
  <si>
    <t>PROV PROVISAO EMPRESTIMO CRED. TRAB. FOL</t>
  </si>
  <si>
    <t>0689</t>
  </si>
  <si>
    <t>DIF. HORAS SOBRE AVISO FER. EXEC.</t>
  </si>
  <si>
    <t>0481</t>
  </si>
  <si>
    <t>Prov Emprestimo Credito do Trabalhador F</t>
  </si>
  <si>
    <t>ALIMENTACAO</t>
  </si>
  <si>
    <t>0690</t>
  </si>
  <si>
    <t>HORAS SOBRE AVISO COMP. EXEC.</t>
  </si>
  <si>
    <t>0691</t>
  </si>
  <si>
    <t>DIF. HORAS SOBRE AVISO COMP. EXEC.</t>
  </si>
  <si>
    <t>0692</t>
  </si>
  <si>
    <t>Rem Base Emprestimo Credito do Trabalhad</t>
  </si>
  <si>
    <t>RSR S/HORA EXTRA</t>
  </si>
  <si>
    <t>0693</t>
  </si>
  <si>
    <t>DIF. REFLEXO S/HORA EXTRA</t>
  </si>
  <si>
    <t>Alimentação</t>
  </si>
  <si>
    <t>0694</t>
  </si>
  <si>
    <t>Insuficiencia Saldo Emprestimo Credito T</t>
  </si>
  <si>
    <t>RSR S/ADICIONAL NOTURNO</t>
  </si>
  <si>
    <t>0695</t>
  </si>
  <si>
    <t>DIF. REFLEXO S/ADICIONAL NOTURNO</t>
  </si>
  <si>
    <t>0696</t>
  </si>
  <si>
    <t>0484</t>
  </si>
  <si>
    <t>RSR S/COMISSAO</t>
  </si>
  <si>
    <t>Prov Provisao Emprestimo Cred. Trab. Fol</t>
  </si>
  <si>
    <t>0697</t>
  </si>
  <si>
    <t>DIF. REFLEXO S/COMISSAO</t>
  </si>
  <si>
    <t>0698</t>
  </si>
  <si>
    <t>RSR S/REMUNERACAO VARIAVEL</t>
  </si>
  <si>
    <t>Prov Credito do Trabalhador Ferias 1</t>
  </si>
  <si>
    <t>Alimentação-Cesta</t>
  </si>
  <si>
    <t>0699</t>
  </si>
  <si>
    <t>DIF. REFLEXO S/REMUNERACAO VARIAVEL</t>
  </si>
  <si>
    <t>Prov Credito Do Trabalhador Ferias 2</t>
  </si>
  <si>
    <t>0700</t>
  </si>
  <si>
    <t>MEDIA VAL VAR HORA EXTRA FERIAS</t>
  </si>
  <si>
    <t>0701</t>
  </si>
  <si>
    <t>Prov Credito Trab. Ferias 1º Mes Env</t>
  </si>
  <si>
    <t>MEDIA VAL VAR AD. NOT FERIAS</t>
  </si>
  <si>
    <t>0702</t>
  </si>
  <si>
    <t>MEDIA VAL VAR COMISSAO FERIAS</t>
  </si>
  <si>
    <t>Prov Credito Trab. Ferias 2º Mes Env</t>
  </si>
  <si>
    <t>Alimentação/Almoço</t>
  </si>
  <si>
    <t>0703</t>
  </si>
  <si>
    <t>GRATIFICAcaO FIXA VALOR</t>
  </si>
  <si>
    <t>MEDIA VAL VAR PONTUACAO FERIAS</t>
  </si>
  <si>
    <t>Adiantamento Prov Emprest.Credito Trab</t>
  </si>
  <si>
    <t>0704</t>
  </si>
  <si>
    <t>DIF. GRATIFICAcaO FIXA VALOR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</si>
  <si>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</si>
  <si>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</si>
  <si>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</si>
  <si>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</si>
  <si>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</si>
  <si>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</si>
  <si>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</si>
  <si>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</si>
  <si>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</si>
  <si>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</si>
  <si>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</si>
  <si>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</si>
  <si>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</si>
  <si>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Comissao</t>
  </si>
  <si>
    <t>0711</t>
  </si>
  <si>
    <t>MEDIA VAL VAR AD. NOT S/ABONO PEC</t>
  </si>
  <si>
    <t>0712</t>
  </si>
  <si>
    <t>MEDIA VAL VAR COMISSAO S/ABONO PEC</t>
  </si>
  <si>
    <t>IRRF Funcionario (Contabil)</t>
  </si>
  <si>
    <t>Alimentação/Cafe</t>
  </si>
  <si>
    <t>0713</t>
  </si>
  <si>
    <t>MEDIA VAL VAR PREMIOS S/ABONO PEC</t>
  </si>
  <si>
    <t>IRRF Diretor (Contabil)</t>
  </si>
  <si>
    <t>0714</t>
  </si>
  <si>
    <t>MEDIA VAL VAR S/ABONO PEC</t>
  </si>
  <si>
    <t>Ad. Quebra de Caixa 10%</t>
  </si>
  <si>
    <t>0715</t>
  </si>
  <si>
    <t>MEDIA VAL VAR HORA EXTRA S/13 SALARIO</t>
  </si>
  <si>
    <t>0716</t>
  </si>
  <si>
    <t>Dif. Adic Quebra de Caixa</t>
  </si>
  <si>
    <t>MEDIA VAL VAR AD. NOT S/13 SALARIO</t>
  </si>
  <si>
    <t>0717</t>
  </si>
  <si>
    <t>0500</t>
  </si>
  <si>
    <t>Diarias Viagem Ate 50% do Salario</t>
  </si>
  <si>
    <t>MEDIA VAL VAR COMISSAO S/13 SALARIO</t>
  </si>
  <si>
    <t>0718</t>
  </si>
  <si>
    <t>Adicional Insalubridade Diarista</t>
  </si>
  <si>
    <t>MEDIA VAL VAR PONTUACAO S/13 SALARIO</t>
  </si>
  <si>
    <t>0719</t>
  </si>
  <si>
    <t>MEDIA VAL VAR S/13 SALARIO</t>
  </si>
  <si>
    <t>Alimentação/Café</t>
  </si>
  <si>
    <t>Adicional Periculosidade Diarista</t>
  </si>
  <si>
    <t>0720</t>
  </si>
  <si>
    <t>MEDIA VAL VAR HORA EXTRA 13 SAL RESCISAO</t>
  </si>
  <si>
    <t>0721</t>
  </si>
  <si>
    <t>Dif. de Premios</t>
  </si>
  <si>
    <t>MEDIA VAL VAR AD. NOT 13 SAL RESCISAO</t>
  </si>
  <si>
    <t>0722</t>
  </si>
  <si>
    <t>MEDIA VAL VAR COMISSAO 13 SAL RESCISAO</t>
  </si>
  <si>
    <t>Devol. Desc. Pl Saude AMIL Dep</t>
  </si>
  <si>
    <t>0723</t>
  </si>
  <si>
    <t>MEDIA VAL VAR PREMIOS 13 SAL RESCISAO</t>
  </si>
  <si>
    <t>1/3 Ferias Estabilidade</t>
  </si>
  <si>
    <t>ALMOCO</t>
  </si>
  <si>
    <t>0724</t>
  </si>
  <si>
    <t>MEDIA VAL VAR 13 SAL RESCISAO</t>
  </si>
  <si>
    <t>Periculosidade s/Ferias Prop</t>
  </si>
  <si>
    <t>0725</t>
  </si>
  <si>
    <t>MEDIA VAL VAR HORA EXTRA S/API</t>
  </si>
  <si>
    <t>Periculosidade s/Ferias Venc</t>
  </si>
  <si>
    <t>0726</t>
  </si>
  <si>
    <t>MEDIA VAL VAR AD. NOT S/API</t>
  </si>
  <si>
    <t>0727</t>
  </si>
  <si>
    <t>MEDIA VAL VAR COMISSAO S/API</t>
  </si>
  <si>
    <t>Adicional Noturno Abono Pecuniario</t>
  </si>
  <si>
    <t>Almoço</t>
  </si>
  <si>
    <t>0728</t>
  </si>
  <si>
    <t>Desc. Servicos Prestados</t>
  </si>
  <si>
    <t>MEDIA VAL VAR PREMIOS S/API</t>
  </si>
  <si>
    <t>0729</t>
  </si>
  <si>
    <t>Devol. Desc. Pl Saude UNIMED Tit</t>
  </si>
  <si>
    <t>MEDIA VAL VAR S/API</t>
  </si>
  <si>
    <t>0730</t>
  </si>
  <si>
    <t>DIF. MEDIA VAL VAR S/LIC MATER</t>
  </si>
  <si>
    <t>ANUÊNIO</t>
  </si>
  <si>
    <t>0731</t>
  </si>
  <si>
    <t>DIF. MEDIA VAL VAR HORA EXTRA S/FERIAS</t>
  </si>
  <si>
    <t>Devol. Desc. Pl Saude BRADESCO Dep</t>
  </si>
  <si>
    <t>0732</t>
  </si>
  <si>
    <t>DIF. MEDIA VAL VAR AD. NOT FERIAS</t>
  </si>
  <si>
    <t>0733</t>
  </si>
  <si>
    <t>DIF. MEDIA VAL VAR COMISSAO FERIAS</t>
  </si>
  <si>
    <t>Diarias Viagem Acima 50% Salario</t>
  </si>
  <si>
    <t>1650-Diarias de viagem</t>
  </si>
  <si>
    <t>0734</t>
  </si>
  <si>
    <t>DIF. MEDIA VAL VAR PONTUACAO FERIAS</t>
  </si>
  <si>
    <t>Desc. Artigo 480 - Multa  da CLT</t>
  </si>
  <si>
    <t>6904-Multa prevista no art. 480 da CLT</t>
  </si>
  <si>
    <t>0735</t>
  </si>
  <si>
    <t>DIF. MEDIA VAL VAR FERIAS</t>
  </si>
  <si>
    <t>Assistência Médica - Benefício</t>
  </si>
  <si>
    <t>Adicional Noturno 30%</t>
  </si>
  <si>
    <t>Desc. Empr Consignado CEF</t>
  </si>
  <si>
    <t>0736</t>
  </si>
  <si>
    <t>DIF. MEDIA VAL VAR HORA EXTRA FERIAS VEN</t>
  </si>
  <si>
    <t>Desc. Empr Consig Santander Ferias</t>
  </si>
  <si>
    <t>0737</t>
  </si>
  <si>
    <t>DIF. MEDIA VAL VAR AD. NOT FERIAS VENC</t>
  </si>
  <si>
    <t>Desc. Empr Consignado BBFerias</t>
  </si>
  <si>
    <t>0738</t>
  </si>
  <si>
    <t>DIF. MEDIA VAL VAR COMISSAO FERIAS VENC</t>
  </si>
  <si>
    <t>0739</t>
  </si>
  <si>
    <t>Indicador - Absenteismo hhh:mm</t>
  </si>
  <si>
    <t>DIF. MEDIA VAL VAR PREMIOS FERIAS VENC</t>
  </si>
  <si>
    <t>0975</t>
  </si>
  <si>
    <t>0740</t>
  </si>
  <si>
    <t>DIF. MEDIA VAL VAR FERIAS VENC</t>
  </si>
  <si>
    <t>Multa do Artigo 477 da CLT</t>
  </si>
  <si>
    <t>6106-Multa do art. 477 da CLT.</t>
  </si>
  <si>
    <t>0741</t>
  </si>
  <si>
    <t>DIF. MEDIA VAL VAR HORA EXTRA S/ABONO PE</t>
  </si>
  <si>
    <t>Desc. Empr Consignado Santander</t>
  </si>
  <si>
    <t>0742</t>
  </si>
  <si>
    <t>DIF. MEDIA VAL VAR AD. NOT S/ABONO PEC</t>
  </si>
  <si>
    <t>0743</t>
  </si>
  <si>
    <t>Desc. Empr Consignado Itau Ferias</t>
  </si>
  <si>
    <t>DIF. MEDIA VAL VAR COMISSAO S/ABONO PEC</t>
  </si>
  <si>
    <t>0744</t>
  </si>
  <si>
    <t>DIF. MEDIA VAL VAR PREMIOS S/ABONO PEC</t>
  </si>
  <si>
    <t>Desc. Empr Consignado CEF Ferias</t>
  </si>
  <si>
    <t>0745</t>
  </si>
  <si>
    <t>DIF. MEDIA VAL VAR S/ABONO PEC</t>
  </si>
  <si>
    <t>0746</t>
  </si>
  <si>
    <t>DIF. MEDIA VAL VAR HORA EXTRA S/13 SAL</t>
  </si>
  <si>
    <t>Desc. Empr Consig Bradesco Ferias</t>
  </si>
  <si>
    <t>0747</t>
  </si>
  <si>
    <t>DIF. MEDIA VAL VAR AD. NOT S/13 SAL</t>
  </si>
  <si>
    <t>Desc. Empr Consig Banco Brasil</t>
  </si>
  <si>
    <t>0748</t>
  </si>
  <si>
    <t>DIF. MEDIA VAL VAR COMISSAO S/13 SAL</t>
  </si>
  <si>
    <t>0749</t>
  </si>
  <si>
    <t>DIF. MEDIA VAL VAR PONTUACAO S/13 SAL</t>
  </si>
  <si>
    <t>Dif. Adicional Noturno 20%</t>
  </si>
  <si>
    <t>0750</t>
  </si>
  <si>
    <t>DIF. MEDIA VAL VAR S/13 SAL</t>
  </si>
  <si>
    <t>0937</t>
  </si>
  <si>
    <t>Adicional Noturno 25%</t>
  </si>
  <si>
    <t>0751</t>
  </si>
  <si>
    <t>DIF. MEDIA VAL VAR HORA EXTRA S/13 SAL R</t>
  </si>
  <si>
    <t>MP936 - Ajuda Compensatoria</t>
  </si>
  <si>
    <t>GRATIFICAcaO VARIAVEL</t>
  </si>
  <si>
    <t>0752</t>
  </si>
  <si>
    <t>DIF. MEDIA VAL VAR AD. NOT 13 SAL RESCIS</t>
  </si>
  <si>
    <t>Dif. Adicional Noturno 25%</t>
  </si>
  <si>
    <t>0753</t>
  </si>
  <si>
    <t>DIF. GRATIFICAcaO VARIaVEL</t>
  </si>
  <si>
    <t>DIF. MEDIA VAL VAR COMISSAO 13 SAL RESCI</t>
  </si>
  <si>
    <t>0754</t>
  </si>
  <si>
    <t>Assistência Odonto - Benefício</t>
  </si>
  <si>
    <t>DIF. MEDIA VAL VAR PREMIOS 13 SAL RESCIS</t>
  </si>
  <si>
    <t>0755</t>
  </si>
  <si>
    <t>DIF. MEDIA VAL VAR 13 SAL RESCISAO</t>
  </si>
  <si>
    <t>Dif. Adicional Noturno 30%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</si>
  <si>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</si>
  <si>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</si>
  <si>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</si>
  <si>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</si>
  <si>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</si>
  <si>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</si>
  <si>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</si>
  <si>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VAL VAR PREMIOS S/API</t>
  </si>
  <si>
    <t>0760</t>
  </si>
  <si>
    <t>DIF. MEDIA VAL VAR S/API</t>
  </si>
  <si>
    <t>0761</t>
  </si>
  <si>
    <t>DESC PREVIDENCIA PRIV SUPLEM 13º SALÁRIO</t>
  </si>
  <si>
    <t>0762</t>
  </si>
  <si>
    <t>Desc. INSS Autonomo/Outro Emprego</t>
  </si>
  <si>
    <t>NONA HORA</t>
  </si>
  <si>
    <t>ASSITENCIA CONFEDERATIVA</t>
  </si>
  <si>
    <t>0763</t>
  </si>
  <si>
    <t>ATESTADO MEDICO COMISSIONADOS</t>
  </si>
  <si>
    <t>0764</t>
  </si>
  <si>
    <t>HORAS DISCIPLINA MATEMATICA</t>
  </si>
  <si>
    <t>Restituicao de INSS de Autonomo</t>
  </si>
  <si>
    <t>0765</t>
  </si>
  <si>
    <t>HORAS DISCIPLINA HISTORIA</t>
  </si>
  <si>
    <t>Pagamento Frete de Cargas</t>
  </si>
  <si>
    <t>0766</t>
  </si>
  <si>
    <t>3501-Remuneracao por prestacao de servicos</t>
  </si>
  <si>
    <t>BASE DE IRRF FERIAS ENVELOPE</t>
  </si>
  <si>
    <t>ASSITENCIA MEDICA SINDICATO</t>
  </si>
  <si>
    <t>Base de INSS Autonomo Carreteiro</t>
  </si>
  <si>
    <t>0767</t>
  </si>
  <si>
    <t>MEDIA HORAS ABONO PEC</t>
  </si>
  <si>
    <t>0768</t>
  </si>
  <si>
    <t>MEDIA VALOR ABONO PEC</t>
  </si>
  <si>
    <t>Desc. INSS Autonomo 11%</t>
  </si>
  <si>
    <t>0769</t>
  </si>
  <si>
    <t>DIF. MEDIA HORAS ABONO PEC</t>
  </si>
  <si>
    <t>Desc. Deducao Contr Previdenciaria (80%)</t>
  </si>
  <si>
    <t>0770</t>
  </si>
  <si>
    <t>DIF. MEDIA VALOR ABONO PEC</t>
  </si>
  <si>
    <t>INSS Antecipacao de Ferias</t>
  </si>
  <si>
    <t>0952</t>
  </si>
  <si>
    <t>ATRASOS</t>
  </si>
  <si>
    <t>0777</t>
  </si>
  <si>
    <t>DESC. 2A. VIA DE CRACHA</t>
  </si>
  <si>
    <t>Adicional Noturno - Sumula 60</t>
  </si>
  <si>
    <t>INDENIZ ART. 9º LEI Nº 7.238/84</t>
  </si>
  <si>
    <t>6102 - Indenização do art. 9º lei nº 7.238/84</t>
  </si>
  <si>
    <t>0779</t>
  </si>
  <si>
    <t>DIF. INDENIZACAO DO ART. 9º LEI Nº 7.238</t>
  </si>
  <si>
    <t>0780</t>
  </si>
  <si>
    <t>( + ) Pagto. Banco de Horas 1,50%</t>
  </si>
  <si>
    <t>FGTS AVISO PREVIO</t>
  </si>
  <si>
    <t>Dif. (+) Saldo Banco de Horas</t>
  </si>
  <si>
    <t>0781</t>
  </si>
  <si>
    <t>FGTS 13º INDENIZADO</t>
  </si>
  <si>
    <t>0782</t>
  </si>
  <si>
    <t>BASE DE FGTS DIFERENCA AVISO INDENIZADO</t>
  </si>
  <si>
    <t>( - ) Desc. Saldo Banco de Horas</t>
  </si>
  <si>
    <t>0783</t>
  </si>
  <si>
    <t>Dif. (-) Desc. Saldo Bando de Horas</t>
  </si>
  <si>
    <t>BASE FGTS DIFERENCA 13º INDENIZADO</t>
  </si>
  <si>
    <t>Atrasos</t>
  </si>
  <si>
    <t>0784</t>
  </si>
  <si>
    <t>DESC. BEN PLANO ARAJARA PARK</t>
  </si>
  <si>
    <t>Gorjeta</t>
  </si>
  <si>
    <t>0785</t>
  </si>
  <si>
    <t>1209-Gueltas ou gorjetas - repassadas pelo empregador</t>
  </si>
  <si>
    <t>DEVOL. DESC INDEVIDO ARAJARA PARK</t>
  </si>
  <si>
    <t>Prontidao</t>
  </si>
  <si>
    <t>0786</t>
  </si>
  <si>
    <t>1011-Sobreaviso e prontidao</t>
  </si>
  <si>
    <t>BASE IRRF RRA</t>
  </si>
  <si>
    <t>9903 - Total da base de cálculo do IRRF</t>
  </si>
  <si>
    <t>0787</t>
  </si>
  <si>
    <t>INSS DESCONTADO RRA</t>
  </si>
  <si>
    <t>0788</t>
  </si>
  <si>
    <t>Diarias de Viagens</t>
  </si>
  <si>
    <t>DESC. PENSAO ALIMENTICIA JUDICIAL RRA</t>
  </si>
  <si>
    <t>0789</t>
  </si>
  <si>
    <t>IRRF RRA</t>
  </si>
  <si>
    <t>Ressarcimento Despesas Viagem</t>
  </si>
  <si>
    <t>1621-Ressarcimento de despesas de viagem, exceto despesas com veiculos</t>
  </si>
  <si>
    <t>0790</t>
  </si>
  <si>
    <t>0949</t>
  </si>
  <si>
    <t>BASE IRRF RRA FERIAS</t>
  </si>
  <si>
    <t>AUXILIO ALIMENTAÇÃO-CESTA</t>
  </si>
  <si>
    <t>Adicional de Unidocencia</t>
  </si>
  <si>
    <t>1215-Adicional de Unidocencia</t>
  </si>
  <si>
    <t>0791</t>
  </si>
  <si>
    <t>Adicional de Transferencia</t>
  </si>
  <si>
    <t>INSS DESCONTADO RRA FERIAS</t>
  </si>
  <si>
    <t>1204-Adicional de transferencia</t>
  </si>
  <si>
    <t>9901 - Base de cálculo da contribuição previdenciária</t>
  </si>
  <si>
    <t>0792</t>
  </si>
  <si>
    <t>PENSAO ALIMENTICIA JUDICIAL RRA FERIAS</t>
  </si>
  <si>
    <t>Dif. Adicional de Penosidade</t>
  </si>
  <si>
    <t>0794</t>
  </si>
  <si>
    <t>BASE IRRF RRA 13º SALARIO</t>
  </si>
  <si>
    <t>AUXILIO FUNERAL/MORTE</t>
  </si>
  <si>
    <t>Risco de Vida</t>
  </si>
  <si>
    <t>0795</t>
  </si>
  <si>
    <t>INSS DESCONTADO RRA 13º SALARIO</t>
  </si>
  <si>
    <t>Dif. Risco de Vida</t>
  </si>
  <si>
    <t>0796</t>
  </si>
  <si>
    <t>PENSAO ALIMENTICIA JUDICIAL RRA 13º SALA</t>
  </si>
  <si>
    <t>0797</t>
  </si>
  <si>
    <t>Restituicao Faltas nao Justificadas</t>
  </si>
  <si>
    <t>DESC IRRF RRA 13º SALARIO</t>
  </si>
  <si>
    <t>0798</t>
  </si>
  <si>
    <t>0997</t>
  </si>
  <si>
    <t>Auxilio Morte/Funeral</t>
  </si>
  <si>
    <t>MES RRA</t>
  </si>
  <si>
    <t>Pagamento Frete de Passageiros</t>
  </si>
  <si>
    <t>0799</t>
  </si>
  <si>
    <t>MES RRA FERIAS</t>
  </si>
  <si>
    <t>Servicos Prestados MEI</t>
  </si>
  <si>
    <t>0801</t>
  </si>
  <si>
    <t>FERIAS EM DOBRO RESCISAO</t>
  </si>
  <si>
    <t>6004 - Férias - o dobro na rescisão</t>
  </si>
  <si>
    <t>Multa Por Demissao Per Estabilidade</t>
  </si>
  <si>
    <t>0802</t>
  </si>
  <si>
    <t>ADICIONAL 1/3 FERIAS EM DOBRO RESCISAO</t>
  </si>
  <si>
    <t>6107-Indenizacao por quebra de estabilidade</t>
  </si>
  <si>
    <t>ADICIONAL 1/3 FERIAS VENCIDAS</t>
  </si>
  <si>
    <t>Restituicao Desc.Alimentacao</t>
  </si>
  <si>
    <t>1800-Alimentacao concedida em pecunia</t>
  </si>
  <si>
    <t>AUXILIO TRABALHO REMOTO</t>
  </si>
  <si>
    <t>0804</t>
  </si>
  <si>
    <t>Desc. Avaria Veicular</t>
  </si>
  <si>
    <t>DIF. 1/3 FERIAS VENCIDAS</t>
  </si>
  <si>
    <t>Desc. Avaria Equipamento Eletronico</t>
  </si>
  <si>
    <t>0805</t>
  </si>
  <si>
    <t>ADICIONAL 1/3 FERIAS PROP</t>
  </si>
  <si>
    <t>Desc. HAPVIDA Odonto Tit</t>
  </si>
  <si>
    <t>0806</t>
  </si>
  <si>
    <t>DIF. 1/3 FERIAS PROP</t>
  </si>
  <si>
    <t>0807</t>
  </si>
  <si>
    <t>AUXÍLIO-CRECHE</t>
  </si>
  <si>
    <t>SEGUNDA PARCELA 13º LICENCA MATERNIDADE</t>
  </si>
  <si>
    <t>Desc. HAPVIDA Odonto Dep</t>
  </si>
  <si>
    <t>4051 - Salário Maternidade - 13° salário</t>
  </si>
  <si>
    <t>0808</t>
  </si>
  <si>
    <t>DIF. 13º SALARIO LICENCA MATERNIDADE</t>
  </si>
  <si>
    <t>0809</t>
  </si>
  <si>
    <t>Desc. HAPVIDA Odonto Tit Ferias</t>
  </si>
  <si>
    <t>13º RESCISAO LICENCA MATERNIDADE</t>
  </si>
  <si>
    <t>0810</t>
  </si>
  <si>
    <t>Desc. HAPVIDA Odonto Dep Ferias</t>
  </si>
  <si>
    <t>DIF. 13º RESCISAO LIC. MATERNIDADE</t>
  </si>
  <si>
    <t>Auxílio-Creche</t>
  </si>
  <si>
    <t>0811</t>
  </si>
  <si>
    <t>IRRF FERIAS TRANSFERIDA P/OUTRA FILIAL</t>
  </si>
  <si>
    <t>Desc. ODONTOART Tit</t>
  </si>
  <si>
    <t>0812</t>
  </si>
  <si>
    <t>IRRF FERIAS TRANSFERIDO P/OUTRA FILIAL</t>
  </si>
  <si>
    <t>Desc. ODONTOART Dep</t>
  </si>
  <si>
    <t>0813</t>
  </si>
  <si>
    <t>INSS FERIAS TRANSFERIDO P/OUTRA FILIAL</t>
  </si>
  <si>
    <t>Desc. ODONTOART Tit Ferias</t>
  </si>
  <si>
    <t>0814</t>
  </si>
  <si>
    <t>PENSAO FERIAS TRANSFERIDA P/OUTRA FILIAL</t>
  </si>
  <si>
    <t>AVISO PRÉVIO (DESCONTO)</t>
  </si>
  <si>
    <t>0815</t>
  </si>
  <si>
    <t>Desc. ODONTOART Dep Ferias</t>
  </si>
  <si>
    <t>ABONO FERIAS TRANSFERIDO P/OUTRA FILIAL</t>
  </si>
  <si>
    <t>0816</t>
  </si>
  <si>
    <t>DESC. DIF DE IRRF 13º SALARIO</t>
  </si>
  <si>
    <t>ARREDONDAMENTO LIQUIDO INSUFICIENTE</t>
  </si>
  <si>
    <t>2930 - Insuficiência de saldo</t>
  </si>
  <si>
    <t>0818</t>
  </si>
  <si>
    <t>Aviso Prévio (Desconto)</t>
  </si>
  <si>
    <t>13º SALARIO RESCISAO CALCULADO P/USUARIO</t>
  </si>
  <si>
    <t>Desc. Compa de Fruta</t>
  </si>
  <si>
    <t>0819</t>
  </si>
  <si>
    <t>BASE DE FGTS 13º SALARIO DE AFASTADOS</t>
  </si>
  <si>
    <t>Desc. Vale</t>
  </si>
  <si>
    <t>0820</t>
  </si>
  <si>
    <t>PRIMEIRA PARC 13º TRANSFERIDA OUTRA FILI</t>
  </si>
  <si>
    <t>0821</t>
  </si>
  <si>
    <t>Desc. Vale Gas</t>
  </si>
  <si>
    <t>DESC. INSS FERIAS NO TERCEIRO MES</t>
  </si>
  <si>
    <t>0822</t>
  </si>
  <si>
    <t>FERIAS NO TERCEIRO MES</t>
  </si>
  <si>
    <t>Desc. SEST</t>
  </si>
  <si>
    <t>9217-Contribuicao a Outras Entidades e Fundos</t>
  </si>
  <si>
    <t>0823</t>
  </si>
  <si>
    <t>ADICIONAL DE 1/3 FERIAS TERCEIRO MES</t>
  </si>
  <si>
    <t>Desc. Pl Saude BRADESCO Tit Prox Mes</t>
  </si>
  <si>
    <t>0824</t>
  </si>
  <si>
    <t>SALARIO MATERNIDADE COMPLEMENTAR</t>
  </si>
  <si>
    <t>Desc. Pl Saude BRADESCO Dep Prox Mes</t>
  </si>
  <si>
    <t>0825</t>
  </si>
  <si>
    <t>SALARIO PATERNIDADE</t>
  </si>
  <si>
    <t>0826</t>
  </si>
  <si>
    <t>Agregamento de Veiculo</t>
  </si>
  <si>
    <t>DIF BASE FGTS AFASTADOS</t>
  </si>
  <si>
    <t>0827</t>
  </si>
  <si>
    <t>ADICIONAL INSALUBRIDADE GESTANTE</t>
  </si>
  <si>
    <t>Patronal - Seguro Custo de Vida</t>
  </si>
  <si>
    <t>0828</t>
  </si>
  <si>
    <t>DIF. ADIC. INSALUBRIDADE PARA GESTANTE</t>
  </si>
  <si>
    <t>0829</t>
  </si>
  <si>
    <t>MEDIA ADIC.INSALUBRIDADE GESTANTE 13O SA</t>
  </si>
  <si>
    <t>AVISO PRÉVIO (PROVENTO)</t>
  </si>
  <si>
    <t>0830</t>
  </si>
  <si>
    <t>Desc. Pl Odonto ODONTOART Tit Prox Mes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</si>
  <si>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</si>
  <si>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</si>
  <si>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</si>
  <si>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</si>
  <si>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</si>
  <si>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Desc. Pl Odonto ODONTOART Dep Prox Mes</t>
  </si>
  <si>
    <t>0833</t>
  </si>
  <si>
    <t>ESTAGIARIO - DIAS DE BOLSA</t>
  </si>
  <si>
    <t>0835</t>
  </si>
  <si>
    <t>BANCO DE HORAS (HORAS COMPENSADAS)</t>
  </si>
  <si>
    <t>Desc. Pl HAPVIDA Odonto Tit Prox Mes</t>
  </si>
  <si>
    <t>0836</t>
  </si>
  <si>
    <t>BANCO DE HORAS (SALDO)</t>
  </si>
  <si>
    <t>0837</t>
  </si>
  <si>
    <t>0838</t>
  </si>
  <si>
    <t>Desc. Pl HAPVIDA Odonto Dep Prox Mes</t>
  </si>
  <si>
    <t>DESC. PENSAO ALIMENTICIA FERIAS ENVELOPE</t>
  </si>
  <si>
    <t>DIF. 13º  SALARIO (JANEIRO)</t>
  </si>
  <si>
    <t>Aviso Prévio (Provento)</t>
  </si>
  <si>
    <t>0840</t>
  </si>
  <si>
    <t>Estorno Base IRRF Retificacao</t>
  </si>
  <si>
    <t>MEDIA VAL VAR HORA EXTRA FERIAS PROP</t>
  </si>
  <si>
    <t>0841</t>
  </si>
  <si>
    <t>MEDIA VAL VAR AD. NOT FERIAS PROP</t>
  </si>
  <si>
    <t>0842</t>
  </si>
  <si>
    <t>MEDIA VAL VAR COMISSAO FERIAS PROP</t>
  </si>
  <si>
    <t>Liquido Retificacao</t>
  </si>
  <si>
    <t>0843</t>
  </si>
  <si>
    <t>MEDIA VAL VAR PREMIOS FERIAS PROP</t>
  </si>
  <si>
    <t>0844</t>
  </si>
  <si>
    <t>MEDIA VAL VAR FERIAS PROP</t>
  </si>
  <si>
    <t>Pagamento Liquido Retificacao</t>
  </si>
  <si>
    <t>0845</t>
  </si>
  <si>
    <t>DIF. MEDIA VAL VAR HORA EXTRA FERIAS PRO</t>
  </si>
  <si>
    <t>0846</t>
  </si>
  <si>
    <t>Base IRRF Retificacao</t>
  </si>
  <si>
    <t>DIF. MEDIA VAL VAR AD. NOT FERIAS PROP</t>
  </si>
  <si>
    <t>0847</t>
  </si>
  <si>
    <t>DIF. MEDIA VAL VAR COMISSAO FERIAS PROP</t>
  </si>
  <si>
    <t>Pensao Alimenticia Judicial Retificacao</t>
  </si>
  <si>
    <t>0848</t>
  </si>
  <si>
    <t>DIF. MEDIA VAL VAR PREMIOS FERIAS PROP</t>
  </si>
  <si>
    <t>0849</t>
  </si>
  <si>
    <t>DIF. MEDIA VAL VAR FERIAS PROP</t>
  </si>
  <si>
    <t>0850</t>
  </si>
  <si>
    <t>Estorno Base IRRF 13 Retificacao</t>
  </si>
  <si>
    <t>SALARIO CONTRATUAL CONTRIBUICAO SINDICAL</t>
  </si>
  <si>
    <t>0851</t>
  </si>
  <si>
    <t>DESC. IMPOSTO SOBRE SERVICO (ISS)</t>
  </si>
  <si>
    <t>Banco de Horas - Desconto de Horas</t>
  </si>
  <si>
    <t>Desc. SENAT</t>
  </si>
  <si>
    <t>0852</t>
  </si>
  <si>
    <t>BASE TRIBUTADA INSS FOLHA MULTIPLOS VINC</t>
  </si>
  <si>
    <t>Reg Intermitente Hora Extra 50%</t>
  </si>
  <si>
    <t>0853</t>
  </si>
  <si>
    <t>BASE TRIBUTADA INSS 13O. MULTIPLOS VINCU</t>
  </si>
  <si>
    <t>Reg Intermitente Hora Extra 60%</t>
  </si>
  <si>
    <t>0854</t>
  </si>
  <si>
    <t>BASE DE FGTS DIFERENCA DE 13º RESCISAO</t>
  </si>
  <si>
    <t>Reg Intermitente Hora Extra 100%</t>
  </si>
  <si>
    <t>0855</t>
  </si>
  <si>
    <t>Bolsa -Recesso Estagio</t>
  </si>
  <si>
    <t>ESTORNO BASE INSS DISSIDIO RET. 13O RESC</t>
  </si>
  <si>
    <t>0856</t>
  </si>
  <si>
    <t>BASE FGTS DIFERENCA SALARIAL RESCISAO</t>
  </si>
  <si>
    <t>Reg Intermitente Desc. Atraso</t>
  </si>
  <si>
    <t>0857</t>
  </si>
  <si>
    <t>ESTOR BASE INSS DISSIDIO RET. FOLHA RESC</t>
  </si>
  <si>
    <t>Reg Intermitente Desc. Falta</t>
  </si>
  <si>
    <t>0858</t>
  </si>
  <si>
    <t>DIF. 13º SALARIO LICENCA MATERNIDADE JAN</t>
  </si>
  <si>
    <t>BOLSA ESTAGIO</t>
  </si>
  <si>
    <t>Desc. Pl Saude HAPVIDA Tit</t>
  </si>
  <si>
    <t>0859</t>
  </si>
  <si>
    <t>DIF. 13º SALARIO LICENCA MATERNIDADE DIS</t>
  </si>
  <si>
    <t>0860</t>
  </si>
  <si>
    <t>Desc. Pl Saude HAPVIDA Tit Ferias</t>
  </si>
  <si>
    <t>REG INTERMITENTE REMUNERACAO</t>
  </si>
  <si>
    <t>0861</t>
  </si>
  <si>
    <t>REG INTERMITENTE DSR</t>
  </si>
  <si>
    <t>Desc. Pl Saude HAPVIDA Dep</t>
  </si>
  <si>
    <t>0862</t>
  </si>
  <si>
    <t>REG INTERMITENTE AVISO PREVIO INDENIZADO</t>
  </si>
  <si>
    <t>0979</t>
  </si>
  <si>
    <t>Bolsa Estágio</t>
  </si>
  <si>
    <t>Desc. Pl Saude HAPVIDA Dep Ferias</t>
  </si>
  <si>
    <t>0863</t>
  </si>
  <si>
    <t>REG INTERMITENTE 13 INDENIZADA</t>
  </si>
  <si>
    <t>Desc. Pl Saude HAPVIDA Tit Prox Mes</t>
  </si>
  <si>
    <t>0864</t>
  </si>
  <si>
    <t>REG INTERMITENTE FERIAS INDENIZADA</t>
  </si>
  <si>
    <t>Desc. Pl Saude HAPVIDA Dep Prox Mes</t>
  </si>
  <si>
    <t>0865</t>
  </si>
  <si>
    <t>REG INTERMITENTE 1/3 FERIAS INDENIZADO</t>
  </si>
  <si>
    <t>Bolsa-Salário</t>
  </si>
  <si>
    <t>0868</t>
  </si>
  <si>
    <t>Desc. Co-participacao Pl Saude HAPVIDA T</t>
  </si>
  <si>
    <t>REG INTERMITENTE FGTS 13º RESCISAO</t>
  </si>
  <si>
    <t>0869</t>
  </si>
  <si>
    <t>Desc. Pl Saude UNIMED Tit</t>
  </si>
  <si>
    <t>REG INTERMITENTE - FGTS. QUITACAO</t>
  </si>
  <si>
    <t>0870</t>
  </si>
  <si>
    <t>BASE DE ABONO FERIAS ENVELOPE</t>
  </si>
  <si>
    <t>Desc. Pl Saude UNIMED Tit Ferias</t>
  </si>
  <si>
    <t>0871</t>
  </si>
  <si>
    <t>DESC PREVIDENCIA PRIV 13º SALÁRIO</t>
  </si>
  <si>
    <t>Desc. Pl Saude UNIMED Dep</t>
  </si>
  <si>
    <t>CAFE</t>
  </si>
  <si>
    <t>0873</t>
  </si>
  <si>
    <t>BASE TRIB INSS FOLHA PRIMEIRA FAIXA</t>
  </si>
  <si>
    <t>0874</t>
  </si>
  <si>
    <t>Desc. Pl Saude UNIMED Dep Ferias</t>
  </si>
  <si>
    <t>BASE TRIB INSS FOLHA SEGUNDA FAIXA</t>
  </si>
  <si>
    <t>0875</t>
  </si>
  <si>
    <t>BASE TRIB INSS FOLHA TERCEIRA FAIXA</t>
  </si>
  <si>
    <t>Desc. Pl Saude UNIMED Tit Prox Mes</t>
  </si>
  <si>
    <t>0876</t>
  </si>
  <si>
    <t>BASE TRIB INSS FOLHA QUARTA FAIXA</t>
  </si>
  <si>
    <t>Desc. Pl Saude UNIMED Dep Prox Mes</t>
  </si>
  <si>
    <t>0877</t>
  </si>
  <si>
    <t>BASE TRIB INSS 13º PRIMEIRA FAIXA</t>
  </si>
  <si>
    <t>0878</t>
  </si>
  <si>
    <t>BASE TRIB INSS 13º SEGUNDA FAIXA</t>
  </si>
  <si>
    <t>Desc. Co-participacao Pl Saude UNIMED Ti</t>
  </si>
  <si>
    <t>0879</t>
  </si>
  <si>
    <t>BASE TRIB INSS 13º TERCEIRA FAIXA</t>
  </si>
  <si>
    <t>0880</t>
  </si>
  <si>
    <t>BASE TRIB INSS 13º QUARTA FAIXA</t>
  </si>
  <si>
    <t>0881</t>
  </si>
  <si>
    <t>Desc. Pl Saude AMIL Tit Ferias</t>
  </si>
  <si>
    <t>DIF. 13O SALARIO POR DISSIDIO</t>
  </si>
  <si>
    <t>Cesta Basica</t>
  </si>
  <si>
    <t>0882</t>
  </si>
  <si>
    <t>BASE - PROVISAO 1/3 DE FERIAS - MP927</t>
  </si>
  <si>
    <t>Desc. Pl Saude AMIL Dep</t>
  </si>
  <si>
    <t>0883</t>
  </si>
  <si>
    <t>MP927 1/3 FERIAS ANTECIPADAS PROP</t>
  </si>
  <si>
    <t>0884</t>
  </si>
  <si>
    <t>MP927 1/3 FERIAS ANTECIPADAS VENC</t>
  </si>
  <si>
    <t>Desc. Pl Saude AMIL Dep Ferias</t>
  </si>
  <si>
    <t>0886</t>
  </si>
  <si>
    <t>DESC. PL LIVSAUDE</t>
  </si>
  <si>
    <t>0888</t>
  </si>
  <si>
    <t>BASE INSS AUTONOMO OUTRO EMPREGO</t>
  </si>
  <si>
    <t>Desc. Pl Saude AMIL Tit Prox Mes</t>
  </si>
  <si>
    <t>MP936 - AJUDA COMPENSATORIA</t>
  </si>
  <si>
    <t>1619 - Ajuda compensatória - Programa Emergencial de Manutenção do Emprego e da Renda</t>
  </si>
  <si>
    <t>0892</t>
  </si>
  <si>
    <t>MP936 VALOR REDUCAO VIDE JORNADA</t>
  </si>
  <si>
    <t>EXEMPLO 1 - VALOR COMPRA BENEFICIO SODEX</t>
  </si>
  <si>
    <t>Desc. Pl Saude AMIL Dep Prox Mes</t>
  </si>
  <si>
    <t>BASE CONTABIL INSS DIFERENCA SALARIAL P/</t>
  </si>
  <si>
    <t>ADTO CARGA DE VALE TRANSPORTE</t>
  </si>
  <si>
    <t>Desc. Co-participacao Pl Saude AMIL Tit</t>
  </si>
  <si>
    <t>BASE INSS DIFERENCA 13º SALARIO DISSI</t>
  </si>
  <si>
    <t>0903</t>
  </si>
  <si>
    <t>Desc. Pl Saude Sao Camilo Tit</t>
  </si>
  <si>
    <t>0986</t>
  </si>
  <si>
    <t>EVENTO INSS FERIAS ENVELOPE</t>
  </si>
  <si>
    <t>CESTA BASICA</t>
  </si>
  <si>
    <t>EVENTO INSS FERIAS PROXIMO MES ENVELOPE</t>
  </si>
  <si>
    <t>Outras Atividades Academicas</t>
  </si>
  <si>
    <t>1000</t>
  </si>
  <si>
    <t>PRO-LABORE DIRETORES EMPREGADOS</t>
  </si>
  <si>
    <t>0623</t>
  </si>
  <si>
    <t>Adto Carga de Vale Transporte</t>
  </si>
  <si>
    <t>3505 - Retiradas (pró labore) de diretores empregados</t>
  </si>
  <si>
    <t>1001</t>
  </si>
  <si>
    <t>PRO-LABORE DIRETORES NAO EMPREGADOS</t>
  </si>
  <si>
    <t>Base de IRRF Participacao Lucros Outros</t>
  </si>
  <si>
    <t>CESTA BASICA MANAUS</t>
  </si>
  <si>
    <t>3506 - Retiradas (pró labore) de diretores não empregados</t>
  </si>
  <si>
    <t>1002</t>
  </si>
  <si>
    <t>PRO-LABORE DIRETORES PROPRIET/SOCIOS</t>
  </si>
  <si>
    <t>3508 - 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</si>
  <si>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</si>
  <si>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</si>
  <si>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</si>
  <si>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</si>
  <si>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</si>
  <si>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Cesta Basica Provento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</si>
  <si>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</si>
  <si>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</si>
  <si>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</si>
  <si>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</si>
  <si>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</si>
  <si>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</si>
  <si>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</si>
  <si>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</si>
  <si>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0897</t>
  </si>
  <si>
    <t>CO-PARTICIPAÇÃO UNIMED - D</t>
  </si>
  <si>
    <t>BASE FGTS MES</t>
  </si>
  <si>
    <t>1010</t>
  </si>
  <si>
    <t>Desc Emprestimo Credito Trabalhador II</t>
  </si>
  <si>
    <t>BASE FGTS S/13º SALARIO</t>
  </si>
  <si>
    <t>1011</t>
  </si>
  <si>
    <t>DEPOSITO FGTS MES</t>
  </si>
  <si>
    <t>1012</t>
  </si>
  <si>
    <t>Desc Emprestimo Credito Trabalhador III</t>
  </si>
  <si>
    <t>DEPOSITO FGTS S/13O MES</t>
  </si>
  <si>
    <t>Co-Participação Unimed - D</t>
  </si>
  <si>
    <t>1013</t>
  </si>
  <si>
    <t>CONTABIL - GRRF</t>
  </si>
  <si>
    <t>Desc Emprestimo Credito Trabalhador IV</t>
  </si>
  <si>
    <t>1014</t>
  </si>
  <si>
    <t>IND. QTDE FUNCIONARIO P/MES</t>
  </si>
  <si>
    <t>Desc Emprestimo Credito Trabalhador V</t>
  </si>
  <si>
    <t>1015</t>
  </si>
  <si>
    <t>MARGEM LIQUIDA</t>
  </si>
  <si>
    <t>Desc Emprestimo Credito Trabalhador VI</t>
  </si>
  <si>
    <t>0898</t>
  </si>
  <si>
    <t>CO-PARTICIPAÇÃO UNIMED - T</t>
  </si>
  <si>
    <t>1016</t>
  </si>
  <si>
    <t>BASE FGTS AFASTADOS SERVICO MILITAR</t>
  </si>
  <si>
    <t>1017</t>
  </si>
  <si>
    <t>Desc Emprestimo Credito Trabalhador VII</t>
  </si>
  <si>
    <t>DESC. WELLHUB - SAUDE &amp; BEM ESTAR</t>
  </si>
  <si>
    <t>1018</t>
  </si>
  <si>
    <t>VALOR A DEDUZIR IRRF SIMPLIFICADO FOLHA</t>
  </si>
  <si>
    <t>Desc Emprestimo Credito Trabalhador VIII</t>
  </si>
  <si>
    <t>1019</t>
  </si>
  <si>
    <t>VALOR A DEDUZIR IRRF SIMPLIFICADO FERIAS</t>
  </si>
  <si>
    <t>1020</t>
  </si>
  <si>
    <t>Desc Emprestimo Credito Trabalhador IX</t>
  </si>
  <si>
    <t>VALOR A DEDUZIR DE IRRF SIMPLIFICADO 13º</t>
  </si>
  <si>
    <t>Co-Participação Unimed - T</t>
  </si>
  <si>
    <t>1021</t>
  </si>
  <si>
    <t>OUTROS ADICIONAIS(P)</t>
  </si>
  <si>
    <t>1022</t>
  </si>
  <si>
    <t>DEVOLUCAO DESC. INDEVIDO(P)</t>
  </si>
  <si>
    <t>1023</t>
  </si>
  <si>
    <t>OUTROS DESCONTOS(D)</t>
  </si>
  <si>
    <t>1024</t>
  </si>
  <si>
    <t>DEVOLUCAO RECEBIMENTO INDEVIDO(D)</t>
  </si>
  <si>
    <t>COMPLEMENTO DE ABONO PECUNIÁRIO</t>
  </si>
  <si>
    <t>COMPLEMENTO DE FÉRIAS</t>
  </si>
  <si>
    <t>Complemento de Férias</t>
  </si>
  <si>
    <t>COMPLEMENTO DE FOLHA</t>
  </si>
  <si>
    <t>Hora Extra 50%</t>
  </si>
  <si>
    <t>Dif. Hora Extra 50%</t>
  </si>
  <si>
    <t>Hora Extra 50% Noturna</t>
  </si>
  <si>
    <t>Dif. Hora Extra 50% Noturna</t>
  </si>
  <si>
    <t>Complemento de Folha</t>
  </si>
  <si>
    <t>Hora Extra 60%</t>
  </si>
  <si>
    <t>Dif. Hora Extra 60%</t>
  </si>
  <si>
    <t>Hora Extra 60% Noturna</t>
  </si>
  <si>
    <t>Consignado Crédito do Trabalhador</t>
  </si>
  <si>
    <t>Dif. Hora Extra 60% Noturna</t>
  </si>
  <si>
    <t>Hora Extra 70%</t>
  </si>
  <si>
    <t>Dif. Hora Extra 70%</t>
  </si>
  <si>
    <t>0989</t>
  </si>
  <si>
    <t>Hora Extra 70% Noturna</t>
  </si>
  <si>
    <t>Dif. Hora Extra 70% Noturna</t>
  </si>
  <si>
    <t>Hora Extra 80%</t>
  </si>
  <si>
    <t>Consignado Crédito do Trabalhador. 1</t>
  </si>
  <si>
    <t>Dif. Hora Extra 80%</t>
  </si>
  <si>
    <t>Hora Extra 80% Noturna</t>
  </si>
  <si>
    <t>Dif. Hora Extra 80% Noturna</t>
  </si>
  <si>
    <t>0991</t>
  </si>
  <si>
    <t>Hora Extra 90%</t>
  </si>
  <si>
    <t>Dif. Hora Extra 90%</t>
  </si>
  <si>
    <t>Hora Extra 90% Noturna</t>
  </si>
  <si>
    <t>Dif. Horas Hora 90% Noturna</t>
  </si>
  <si>
    <t>Consignado Crédito do Trabalhador. 2</t>
  </si>
  <si>
    <t>Hora Extra 100%</t>
  </si>
  <si>
    <t>Dif. Hora Extra 100%</t>
  </si>
  <si>
    <t>Hora Extra 100% Noturna</t>
  </si>
  <si>
    <t>Dif. Horas Hora 100%  Noturna</t>
  </si>
  <si>
    <t>Hora Extra em Feriado</t>
  </si>
  <si>
    <t>0992</t>
  </si>
  <si>
    <t>Dif. Hora Extra em Feriado</t>
  </si>
  <si>
    <t>Hora Extra em Feriado Noturna</t>
  </si>
  <si>
    <t>Dif. Horas Hora em Feriado Noturna</t>
  </si>
  <si>
    <t>Consignado Crédito do Trabalhador. 3</t>
  </si>
  <si>
    <t>Hora Extra InterJornada</t>
  </si>
  <si>
    <t>Dif. Hora Extra InterJornada</t>
  </si>
  <si>
    <t>Hora Extra IntraJornada</t>
  </si>
  <si>
    <t>Dif. Hora Extra IntraJornada</t>
  </si>
  <si>
    <t>0993</t>
  </si>
  <si>
    <t>Horas Cadastradas Sobreaviso</t>
  </si>
  <si>
    <t>Dif. Horas Cadastradas Sobreaviso</t>
  </si>
  <si>
    <t>Horas Sobre Aviso Normais Exec</t>
  </si>
  <si>
    <t>Dif. Horas Sobre Aviso Normais Exec</t>
  </si>
  <si>
    <t>Consignado Crédito do Trabalhador. 4</t>
  </si>
  <si>
    <t>Horas Sobre Aviso Desc. Exec.</t>
  </si>
  <si>
    <t>Dif. Horas Sobre Aviso Desc. Exec.</t>
  </si>
  <si>
    <t>Horas Sobre Aviso Fer. Exec.</t>
  </si>
  <si>
    <t>Consignado Crédito do Trabalhador. 5</t>
  </si>
  <si>
    <t>Dif. Horas Sobre Aviso Fer. Exec.</t>
  </si>
  <si>
    <t>Horas Sobre Aviso Comp. Exec.</t>
  </si>
  <si>
    <t>Estagiario - Dias de Bolsa</t>
  </si>
  <si>
    <t>Dif. Horas Sobre Aviso Comp. Exec.</t>
  </si>
  <si>
    <t>Consignado Crédito do Trabalhador. 6</t>
  </si>
  <si>
    <t>RSR s/Hora Extra</t>
  </si>
  <si>
    <t>Dif. Reflexo s/Hora Extra</t>
  </si>
  <si>
    <t>RSR s/Adicional Noturno</t>
  </si>
  <si>
    <t>Dif. Reflexo s/Adicional Noturno</t>
  </si>
  <si>
    <t>Consignado Crédito do Trabalhador. 7</t>
  </si>
  <si>
    <t>RSR s/Comissao</t>
  </si>
  <si>
    <t>Dif. Reflexo s/Comissao</t>
  </si>
  <si>
    <t>RSR s/Remuneracao Variavel</t>
  </si>
  <si>
    <t>Dif. Reflexo s/Remuneracao Variavel</t>
  </si>
  <si>
    <t>0925</t>
  </si>
  <si>
    <t>Contribuição Assistencial - %</t>
  </si>
  <si>
    <t>Media Val Var Hora Extra Ferias</t>
  </si>
  <si>
    <t>Media Val Var Ad. Not Ferias</t>
  </si>
  <si>
    <t>Media Val Var Comissao Ferias</t>
  </si>
  <si>
    <t>CONTRIBUIÇÃO ASSISTENCIAL MENSAL</t>
  </si>
  <si>
    <t>Media Val Var Pontuacao Ferias</t>
  </si>
  <si>
    <t>Media Val Var Ferias</t>
  </si>
  <si>
    <t>Media Val Var Hora Extra Ferias Venc</t>
  </si>
  <si>
    <t>Media Val Var Ad. Not Ferias Venc</t>
  </si>
  <si>
    <t>CONTRIBUIÇÃO NEGOCIAL LABORAL</t>
  </si>
  <si>
    <t>Media Val Var Comissao Ferias Venc</t>
  </si>
  <si>
    <t>Media Val Var Premios Ferias Venc</t>
  </si>
  <si>
    <t>Media Val Var Ferias Venc</t>
  </si>
  <si>
    <t>CONTRIBUIÇÃO SINDICAL</t>
  </si>
  <si>
    <t>Media Val Var Hora Extra s/Abono Pec</t>
  </si>
  <si>
    <t>Media Val Var Ad. Not s/Abono Pec</t>
  </si>
  <si>
    <t>Media Val Var Comissao s/Abono Pec</t>
  </si>
  <si>
    <t>Contribuição Sindical</t>
  </si>
  <si>
    <t>Media Val Var Premios s/Abono Pec</t>
  </si>
  <si>
    <t>Media Val Var s/Abono Pec</t>
  </si>
  <si>
    <t>Media Val Var Hora Extra s/13 Salario</t>
  </si>
  <si>
    <t>Media Val Var Ad. Not s/13 Salario</t>
  </si>
  <si>
    <t>Media Val Var Comissao s/13 salario</t>
  </si>
  <si>
    <t>Media Val Var Pontuacao s/13 Salario</t>
  </si>
  <si>
    <t>Media Val Var s/13 Salario</t>
  </si>
  <si>
    <t>Desc Cartao Vale Transporte eletronico</t>
  </si>
  <si>
    <t>Media Val Var Hora Extra 13 Sal Rescisao</t>
  </si>
  <si>
    <t>Media Val Var Ad. Not 13 Sal Rescisao</t>
  </si>
  <si>
    <t>DESC.DIFERENCA REAJ.SALARIAL</t>
  </si>
  <si>
    <t>Media Val Var Comissao 13 Sal Rescisao</t>
  </si>
  <si>
    <t>Media Val Var Premios 13 Sal Rescisao</t>
  </si>
  <si>
    <t>DESCANSO SEMANAL REMUNERADO</t>
  </si>
  <si>
    <t>Media Val Var 13 Sal Rescisao</t>
  </si>
  <si>
    <t>Media Val Var Hora Extra s/API</t>
  </si>
  <si>
    <t>Media Val Var Ad. Not s/API</t>
  </si>
  <si>
    <t>Media Val Var Comissao s/API</t>
  </si>
  <si>
    <t>Descanso Semanal Remunerado</t>
  </si>
  <si>
    <t>Media Val Var Premios s/API</t>
  </si>
  <si>
    <t>Media Val Var s/API</t>
  </si>
  <si>
    <t>Dif. Media Val Var s/Lic Mater</t>
  </si>
  <si>
    <t>Dif. Media Val Var Hora Extra s/Ferias</t>
  </si>
  <si>
    <t>Dif. Media Val Var Ad. Not Ferias</t>
  </si>
  <si>
    <t>Dif. Media Val Var Comissao Ferias</t>
  </si>
  <si>
    <t>Dif. Media Val Var Pontuacao Ferias</t>
  </si>
  <si>
    <t>Dif. Media Val Var Ferias</t>
  </si>
  <si>
    <t>Dif. Media Val Var Hora Extra Ferias Ven</t>
  </si>
  <si>
    <t>Dif. Media Val Var Ad. Not Ferias Venc</t>
  </si>
  <si>
    <t>0913</t>
  </si>
  <si>
    <t>Desconto Adiantamento</t>
  </si>
  <si>
    <t>Dif. Media Val Var Comissao Ferias Venc</t>
  </si>
  <si>
    <t>Dif. Media Val Var Premios Ferias Venc</t>
  </si>
  <si>
    <t>Dif. Media Val Var Ferias Venc</t>
  </si>
  <si>
    <t>Dif. Media Val Var Hora Extra s/Abono Pe</t>
  </si>
  <si>
    <t>Dif. Media Val Var Ad. Not s/Abono Pec</t>
  </si>
  <si>
    <t>Dif. Media Val Var Comissao s/Abono Pec</t>
  </si>
  <si>
    <t>Desconto Almoço</t>
  </si>
  <si>
    <t>Dif. Media Val Var Premios s/Abono Pec</t>
  </si>
  <si>
    <t>Dif. Media Val Var s/Abono Pec</t>
  </si>
  <si>
    <t>Dif. Media Val Var Hora Extra s/13 Sal</t>
  </si>
  <si>
    <t>Desconto de Adiantamento de Ferias</t>
  </si>
  <si>
    <t>Dif. Media Val Var Ad. Not s/13 Sal</t>
  </si>
  <si>
    <t>Dif. Media Val Var Comissao s/13 Sal</t>
  </si>
  <si>
    <t>Desconto devidos</t>
  </si>
  <si>
    <t>Dif. Media Val Var Pontuacao s/13 Sal</t>
  </si>
  <si>
    <t>Dif. Media Val Var s/13 Sal</t>
  </si>
  <si>
    <t>Dif. Media Val Var Hora Extra s/13 Sal R</t>
  </si>
  <si>
    <t>Dif. Media Val Var Ad. Not 13 Sal Rescis</t>
  </si>
  <si>
    <t>Dif. Media Val Var Comissao 13 Sal Resci</t>
  </si>
  <si>
    <t>Dif. Media Val Var Premios 13 Sal Rescis</t>
  </si>
  <si>
    <t>Dif. Media Val Var 13 Sal Rescisao</t>
  </si>
  <si>
    <t>Desconto Devidos</t>
  </si>
  <si>
    <t>Dif. Media Val Var Hora Extra s/API</t>
  </si>
  <si>
    <t>Dif. Media Val Var Ad. Not s/API</t>
  </si>
  <si>
    <t>DESC PREVIDENCIA PRIV SUPLEM 13º SALaRIO</t>
  </si>
  <si>
    <t>Dif. Media Val Var Comissao s/API</t>
  </si>
  <si>
    <t>Dif. Media Val Var Premios s/API</t>
  </si>
  <si>
    <t>Dif. Media Val Var s/API</t>
  </si>
  <si>
    <t>Nona Hora</t>
  </si>
  <si>
    <t>Atestado Medico Comissionados</t>
  </si>
  <si>
    <t>Horas Disciplina Matematica</t>
  </si>
  <si>
    <t>Horas Disciplina Historia</t>
  </si>
  <si>
    <t>Desconto do Pagamento Indevido</t>
  </si>
  <si>
    <t>Base de IRRF Ferias Envelope</t>
  </si>
  <si>
    <t>0955</t>
  </si>
  <si>
    <t>Desconto EPI - Reposição</t>
  </si>
  <si>
    <t>NaO TEM</t>
  </si>
  <si>
    <t>Desconto INSS Segurado Mês Anterior</t>
  </si>
  <si>
    <t>Desc. 2a. Via de Cracha</t>
  </si>
  <si>
    <t>Desconto vale Combustivel</t>
  </si>
  <si>
    <t>6102-Indenizacao do art. 9º lei nº 7.238/84</t>
  </si>
  <si>
    <t>Dif. Indenizacao do art. 9º lei nº 7.238</t>
  </si>
  <si>
    <t>FGTS Aviso Previo</t>
  </si>
  <si>
    <t>DESCONTO VALE TRANSPORTE INDEVIDO</t>
  </si>
  <si>
    <t>FGTS 13º Indenizado</t>
  </si>
  <si>
    <t>Base de FGTS Diferenca Aviso Indenizado</t>
  </si>
  <si>
    <t>Base FGTS Diferenca 13º Indenizado</t>
  </si>
  <si>
    <t>Descontos Devido</t>
  </si>
  <si>
    <t>Desc. Ben Plano Arajara Park</t>
  </si>
  <si>
    <t>Devol. Desc Indevido Arajara Park</t>
  </si>
  <si>
    <t>Base IRRF RRA</t>
  </si>
  <si>
    <t>9903-Total da base de calculo do IRRF</t>
  </si>
  <si>
    <t>DEVOLUÇÃO DE DSR</t>
  </si>
  <si>
    <t>INSS Descontado RRA</t>
  </si>
  <si>
    <t>Desc. Pensao Alimenticia Judicial RRA</t>
  </si>
  <si>
    <t>DESC IRRF RRA FERIAS</t>
  </si>
  <si>
    <t>0954</t>
  </si>
  <si>
    <t>DEVOLUÇÃO DE FALTAS</t>
  </si>
  <si>
    <t>Base IRRF RRA Ferias</t>
  </si>
  <si>
    <t>INSS Descontado RRA Ferias</t>
  </si>
  <si>
    <t>9901-Base de calculo da contribuicao previdenciaria</t>
  </si>
  <si>
    <t>Devolução de Pagamento Indevido</t>
  </si>
  <si>
    <t>Pensao Alimenticia Judicial RRA Ferias</t>
  </si>
  <si>
    <t>0793</t>
  </si>
  <si>
    <t>Desc IRRF RRA Ferias</t>
  </si>
  <si>
    <t>Base IRRF RRA 13º Salario</t>
  </si>
  <si>
    <t>INSS Descontado RRA 13º Salario</t>
  </si>
  <si>
    <t>DEVOLUÇÃO DESCONTO CREDITO TRABALHADOR</t>
  </si>
  <si>
    <t>Pensao Alimenticia Judicial RRA 13º Sala</t>
  </si>
  <si>
    <t>MES RRA 13º SALARIO</t>
  </si>
  <si>
    <t>Desc IRRF RRA 13º Salario</t>
  </si>
  <si>
    <t>Mes RRA</t>
  </si>
  <si>
    <t>Mes RRA Ferias</t>
  </si>
  <si>
    <t>0958</t>
  </si>
  <si>
    <t>DEVOLUÇÃO DESCONTO INDEVIDO</t>
  </si>
  <si>
    <t>0800</t>
  </si>
  <si>
    <t>Mes RRA 13º Salario</t>
  </si>
  <si>
    <t>Ferias em Dobro Rescisao</t>
  </si>
  <si>
    <t>6004-Ferias - o dobro na rescisao</t>
  </si>
  <si>
    <t>Adicional 1/3 Ferias em Dobro Rescisao</t>
  </si>
  <si>
    <t>0956</t>
  </si>
  <si>
    <t>Devolução Desconto Indevido</t>
  </si>
  <si>
    <t>Dif. 1/3 Ferias Vencidas</t>
  </si>
  <si>
    <t>Adicional 1/3 Ferias Prop</t>
  </si>
  <si>
    <t>Dif. 1/3 Ferias Prop</t>
  </si>
  <si>
    <t>DEVOLUCAO DEVIDA</t>
  </si>
  <si>
    <t>Segunda Parcela 13º Licenca Maternidade</t>
  </si>
  <si>
    <t>4051-Salario Maternidade - 13° salario</t>
  </si>
  <si>
    <t>Dif. 13º Salario Licenca Maternidade</t>
  </si>
  <si>
    <t>0953</t>
  </si>
  <si>
    <t>13º Rescisao Licenca Maternidade</t>
  </si>
  <si>
    <t>DIA DA CATEGORIA PROFISSIONAL</t>
  </si>
  <si>
    <t>Dif. 13º Rescisao Lic. Maternidade</t>
  </si>
  <si>
    <t>IRRF Ferias Transferida p/Outra Filial</t>
  </si>
  <si>
    <t>IRRF Ferias Transferido p/Outra Filial</t>
  </si>
  <si>
    <t>Dia da Categoria Profissional</t>
  </si>
  <si>
    <t>INSS Ferias Transferido p/Outra Filial</t>
  </si>
  <si>
    <t>Pensao Ferias Transferida p/Outra Filial</t>
  </si>
  <si>
    <t>Abono Ferias Transferido p/Outra Filial</t>
  </si>
  <si>
    <t>DIÁRIA</t>
  </si>
  <si>
    <t>Desc. Dif de IRRF 13º Salario</t>
  </si>
  <si>
    <t>2930-Insuficiencia de saldo</t>
  </si>
  <si>
    <t>13º Salario Rescisao Calculado p/Usuario</t>
  </si>
  <si>
    <t>Base de FGTS 13º Salario de Afastados</t>
  </si>
  <si>
    <t>Diária</t>
  </si>
  <si>
    <t>Primeira Parc 13º Transferida Outra Fili</t>
  </si>
  <si>
    <t>Desc. INSS Ferias no Terceiro Mes</t>
  </si>
  <si>
    <t>Ferias no Terceiro Mes</t>
  </si>
  <si>
    <t>DIF. DE REAJUSTE SALARIAL- CCT 2021/2022</t>
  </si>
  <si>
    <t>Adicional de 1/3 Ferias Terceiro Mes</t>
  </si>
  <si>
    <t>Salario Maternidade Complementar</t>
  </si>
  <si>
    <t>Salario Paternidade</t>
  </si>
  <si>
    <t>DIF. DE REAJUSTE SALARIAL-MNUS-2022-2023</t>
  </si>
  <si>
    <t>Dif Base FGTS Afastados</t>
  </si>
  <si>
    <t>Adicional Insalubridade Gestante</t>
  </si>
  <si>
    <t>Dif. Adic. Insalubridade para Gestante</t>
  </si>
  <si>
    <t>Dif.adic. Periculosidade(Meses Anteriore</t>
  </si>
  <si>
    <t>Media Adic.Insalubridade Gestante 13o Sa</t>
  </si>
  <si>
    <t>Dif. Media Adic.Insalub. Gestante 13o.Sa</t>
  </si>
  <si>
    <t>Media Ad Insalubridade Gestante 13o Resc</t>
  </si>
  <si>
    <t>Dif. Media Adic. Insalub. Gestante 13o.</t>
  </si>
  <si>
    <t>0994</t>
  </si>
  <si>
    <t>Dif.Reaj.Salarial CCT2021/2022</t>
  </si>
  <si>
    <t>Banco de Horas (Horas Compensadas)</t>
  </si>
  <si>
    <t>Banco de Horas (Saldo)</t>
  </si>
  <si>
    <t>DIF.REAJUSTE SAL MES FEVEREIRO - CCT2022</t>
  </si>
  <si>
    <t>Desc. Pensao Alimenticia Ferias Envelope</t>
  </si>
  <si>
    <t>Media Val Var Hora Extra Ferias Prop</t>
  </si>
  <si>
    <t>DIF.REAJUSTE SALARIAL</t>
  </si>
  <si>
    <t>Media Val Var Ad. Not Ferias Prop</t>
  </si>
  <si>
    <t>Media Val Var Comissao Ferias Prop</t>
  </si>
  <si>
    <t>Media Val Var Premios Ferias Prop</t>
  </si>
  <si>
    <t>Media Val Var Ferias Prop</t>
  </si>
  <si>
    <t>Dif. Media Val Var Hora Extra Ferias Pro</t>
  </si>
  <si>
    <t>Dif. Media Val Var Ad. Not Ferias Prop</t>
  </si>
  <si>
    <t>Dif. Media Val Var Comissao Ferias Prop</t>
  </si>
  <si>
    <t>Dif. Media Val Var Premios Ferias Prop</t>
  </si>
  <si>
    <t>Dif. Media Val Var Ferias Prop</t>
  </si>
  <si>
    <t>Salario Contratual Contribuicao Sindical</t>
  </si>
  <si>
    <t>Dif.Reajuste Salarial CCT 2019/2020</t>
  </si>
  <si>
    <t>Desc. Imposto sobre Servico (ISS)</t>
  </si>
  <si>
    <t>NI</t>
  </si>
  <si>
    <t>NAO IMPORTAR</t>
  </si>
  <si>
    <t>VC</t>
  </si>
  <si>
    <t>VER COM CLIENTE</t>
  </si>
  <si>
    <t>Base Tributada INSS Folha Multiplos Vinc</t>
  </si>
  <si>
    <t>CRIAR</t>
  </si>
  <si>
    <t>Base Tributada INSS 13o. Multiplos Vincu</t>
  </si>
  <si>
    <t>DIF.REAJUSTE SALARIAL- CCT 2021/2022</t>
  </si>
  <si>
    <t>Base de Fgts Diferenca de 13º Rescisao</t>
  </si>
  <si>
    <t>Estorno Base INSS Dissidio Ret. 13o Resc</t>
  </si>
  <si>
    <t>DIF.REAJUSTE SALARIAL- CCT 2022/2023</t>
  </si>
  <si>
    <t>Base FGTS Diferenca Salarial Rescisao</t>
  </si>
  <si>
    <t>Estor Base INSS Dissidio Ret. Folha Resc</t>
  </si>
  <si>
    <t>DIF.REAJUSTE SALARIAL- CCT JANEIRO/2022</t>
  </si>
  <si>
    <t>Dif. 13º Salario Licenca Maternidade Jan</t>
  </si>
  <si>
    <t>Dif. 13º Salario Licenca Maternidade Dis</t>
  </si>
  <si>
    <t>Reg Intermitente Remuneracao</t>
  </si>
  <si>
    <t>DIFERENCA ALIMENTAÇÃO - 2023</t>
  </si>
  <si>
    <t>Reg Intermitente DSR</t>
  </si>
  <si>
    <t>Reg Intermitente Aviso Previo Indenizado</t>
  </si>
  <si>
    <t>DIFERENCA ALIMENTAÇÃO - 2024</t>
  </si>
  <si>
    <t>Reg Intermitente 13 Indenizada</t>
  </si>
  <si>
    <t>Reg Intermitente Ferias Indenizada</t>
  </si>
  <si>
    <t>Reg Intermitente 1/3 Ferias Indenizado</t>
  </si>
  <si>
    <t>DESC PREVIDENCIA PRIV 13º SALaRIO</t>
  </si>
  <si>
    <t>DIFERENCA ALIMENTAÇÃO - 2025</t>
  </si>
  <si>
    <t>Reg Intermitente FGTS 13º Rescisao</t>
  </si>
  <si>
    <t>Reg Intermitente - FGTS. Quitacao</t>
  </si>
  <si>
    <t>Base de Abono Ferias Envelope</t>
  </si>
  <si>
    <t>0996</t>
  </si>
  <si>
    <t>Diferença Alimentação CCT 2019 2020</t>
  </si>
  <si>
    <t>Base Trib INSS Folha Primeira Faixa</t>
  </si>
  <si>
    <t>Base Trib INSS Folha Segunda Faixa</t>
  </si>
  <si>
    <t>PARA_EVENTO</t>
  </si>
  <si>
    <t>0995</t>
  </si>
  <si>
    <t>Diferença Alimentação CCT 2020 2021</t>
  </si>
  <si>
    <t>Base Trib INSS Folha Terceira Faixa</t>
  </si>
  <si>
    <t># 1ª VIA CARTÃO HAPVIDA</t>
  </si>
  <si>
    <t>Base Trib INSS Folha Quarta Faixa</t>
  </si>
  <si>
    <t># OUTROS (PROVENTO)</t>
  </si>
  <si>
    <t>OUTROS PROVENTOS</t>
  </si>
  <si>
    <t># TRANSPORTE/ALIMENTACAO</t>
  </si>
  <si>
    <t>Base Trib INSS 13º Primeira Faixa</t>
  </si>
  <si>
    <t>2ª VIA CARTAO REFEICAO</t>
  </si>
  <si>
    <t>2ª VIA CARTÃO SUPER CONTA</t>
  </si>
  <si>
    <t>Base Trib INSS 13º Segunda Faixa</t>
  </si>
  <si>
    <t>DIFERENÇA ALIMENTAÇÃO CCT 2021-2022</t>
  </si>
  <si>
    <t>ADIANT. DE RECESSO</t>
  </si>
  <si>
    <t>Base Trib INSS 13º Terceira Faixa</t>
  </si>
  <si>
    <t>Base Trib INSS 13º Quarta Faixa</t>
  </si>
  <si>
    <t>Dif. 13o Salario por Dissidio</t>
  </si>
  <si>
    <t>Base - Provisao 1/3 de Ferias - MP927</t>
  </si>
  <si>
    <t>CESTA BASICA PROVENTO</t>
  </si>
  <si>
    <t>DIFERENÇA ALIMENTAÇÃO CCT 2022-2023</t>
  </si>
  <si>
    <t>DESCONTO DE ADIANTAMENTO DE FERIAS</t>
  </si>
  <si>
    <t>MP927 1/3 Ferias Antecipadas Prop</t>
  </si>
  <si>
    <t>JÁ EXISTENTE</t>
  </si>
  <si>
    <t>MP927 1/3 Ferias Antecipadas Venc</t>
  </si>
  <si>
    <t>DESCONTO DEVIDOS</t>
  </si>
  <si>
    <t>DESCONTO DO PAGAMENTO INDEVIDO</t>
  </si>
  <si>
    <t>0981</t>
  </si>
  <si>
    <t>Diferença Cesta 2024</t>
  </si>
  <si>
    <t>Desc. Pl LivSaude</t>
  </si>
  <si>
    <t>DESCONTO EPI - REPOSIÇÃO</t>
  </si>
  <si>
    <t>DESCONTO INSS SEGURADO MÊS ANTERIOR</t>
  </si>
  <si>
    <t>Base INSS Autonomo Outro Emprego</t>
  </si>
  <si>
    <t>DESCONTOS DEVIDO</t>
  </si>
  <si>
    <t>DEVOLUÇÃO DE PAGAMENTO INDEVIDO</t>
  </si>
  <si>
    <t>1619-Ajuda compensatoria - Programa Emergencial de Manutencao do Emprego e da Renda</t>
  </si>
  <si>
    <t>Diferença Cesta CCT 2020-2021-Mnus</t>
  </si>
  <si>
    <t>MP936 Valor Reducao Vide Jornada</t>
  </si>
  <si>
    <t>DIF. REAJUSTE SALARIAL</t>
  </si>
  <si>
    <t>Exemplo 1 - Valor Compra Beneficio SODEX</t>
  </si>
  <si>
    <t>DIF.ADIC. PERICULOSIDADE(MESES ANTERIORE</t>
  </si>
  <si>
    <t>DIF.REAJ.SALARIAL CCT2021/2022</t>
  </si>
  <si>
    <t>Base Contabil INSS Diferenca Salarial p/</t>
  </si>
  <si>
    <t>Diferença de Alimentação</t>
  </si>
  <si>
    <t>DIF.REAJUSTE SALARIAL CCT 2019/2020</t>
  </si>
  <si>
    <t>BASE TRIBUTADA DE INSS AUTONOMO MULTIPLO</t>
  </si>
  <si>
    <t>Base INSS diferenca 13º salario dISSI</t>
  </si>
  <si>
    <t>Evento INSS Ferias Envelope</t>
  </si>
  <si>
    <t>DIF. ALIMENTAÇÃO</t>
  </si>
  <si>
    <t>Evento INSS Ferias Proximo Mes Envelope</t>
  </si>
  <si>
    <t>DIFERENÇA ALIMENTAÇÃO CCT 2019 2020</t>
  </si>
  <si>
    <t>DIFERENÇA ALIMENTAÇÃO CCT 2020 2021</t>
  </si>
  <si>
    <t>0905</t>
  </si>
  <si>
    <t>Base Tributada de INSS Autonomo Multiplo</t>
  </si>
  <si>
    <t>Diferença de Auxilio Creche</t>
  </si>
  <si>
    <t>Pro-Labore Diretores Empregados</t>
  </si>
  <si>
    <t>DIFERENÇA CESTA 2024</t>
  </si>
  <si>
    <t>DIF. CESTA BASICA</t>
  </si>
  <si>
    <t>DIFERENÇA CESTA CCT 2020-2021-MNUS</t>
  </si>
  <si>
    <t>3505-Retiradas (pro labore) de diretores empregados</t>
  </si>
  <si>
    <t>DIFERENÇA DE ALIMENTAÇÃO</t>
  </si>
  <si>
    <t>DIFERENÇA DE AUXILIO CRECHE</t>
  </si>
  <si>
    <t>Pro-Labore Diretores Nao Empregados</t>
  </si>
  <si>
    <t>DIF. AUXILIO CRECHE</t>
  </si>
  <si>
    <t>DIFERENÇA DE CESTA CCT 2021 2022  MANAUS</t>
  </si>
  <si>
    <t>3506-Retiradas (pro labore) de diretores nao empregados</t>
  </si>
  <si>
    <t>DIFERENÇA DE CESTA CCT 2022 2023-MNUS</t>
  </si>
  <si>
    <t>Pro-Labore Diretores Propriet/Socios</t>
  </si>
  <si>
    <t>DIFERENÇA DE CESTA CCT 2025</t>
  </si>
  <si>
    <t>DIFERENÇA DE PLR</t>
  </si>
  <si>
    <t>3508-Retiradas (pro labore) de proprietarios ou socios</t>
  </si>
  <si>
    <t>DIF. PLR</t>
  </si>
  <si>
    <t>DIFERENÇA DE PLR -  01/2023</t>
  </si>
  <si>
    <t>DIFERENÇA DE PLR -  02/2023</t>
  </si>
  <si>
    <t>DIFERENÇA DE PLR -  03/2023</t>
  </si>
  <si>
    <t>RPA - Recibo Pagamento Autonomo</t>
  </si>
  <si>
    <t>DIFERENÇA DE PLR -  04/2023</t>
  </si>
  <si>
    <t>DIFERENCA SALARIAL</t>
  </si>
  <si>
    <t>Desc. INSS Segurado (A)</t>
  </si>
  <si>
    <t>DIFERENCA SALARIAL  2025</t>
  </si>
  <si>
    <t>DIFERENCA SALARIAL - 2023</t>
  </si>
  <si>
    <t>Desc. INSS Segurado (D)</t>
  </si>
  <si>
    <t>DIFERENCA SALARIAL - 2024</t>
  </si>
  <si>
    <t>DIFERENCA SALARIAL - 2025</t>
  </si>
  <si>
    <t>GPS Empresa</t>
  </si>
  <si>
    <t>DIFERENCA SALARIAL - 2026</t>
  </si>
  <si>
    <t>DIFERENÇA SALARIAL 2025</t>
  </si>
  <si>
    <t>GPS Terceiros</t>
  </si>
  <si>
    <t>DIFERENÇA SALARIAL JANEIRO/2024</t>
  </si>
  <si>
    <t>DIFERENÇAS SALARIAIS PARC 1/4 - CCT 2023</t>
  </si>
  <si>
    <t>DIF. SALARIAL 1/4</t>
  </si>
  <si>
    <t>GPS FAT Ajustado</t>
  </si>
  <si>
    <t>DIFERENÇAS SALARIAIS PARC 2/4 - CCT 2023</t>
  </si>
  <si>
    <t>DIF. SALARIAL 2/4</t>
  </si>
  <si>
    <t>DIFERENÇAS SALARIAIS PARC 3/4 -CCT 2023</t>
  </si>
  <si>
    <t>DIF. SALARIAL 3/4</t>
  </si>
  <si>
    <t>DIFERENÇAS SALARIAIS PARC 4/4 - CCT2023</t>
  </si>
  <si>
    <t>Base FGTS Mes</t>
  </si>
  <si>
    <t>DIF. SALARIAL 4/4</t>
  </si>
  <si>
    <t>EXAME MEDICO</t>
  </si>
  <si>
    <t>HORA EXTRA 110%</t>
  </si>
  <si>
    <t>Base FGTS s/13º salario</t>
  </si>
  <si>
    <t>HORA EXTRA 67%</t>
  </si>
  <si>
    <t>Diferença de PLR</t>
  </si>
  <si>
    <t>HORA EXTRA 75%</t>
  </si>
  <si>
    <t>IND. USO CELULAR 05/23 A 04/25</t>
  </si>
  <si>
    <t>Deposito FGTS Mes</t>
  </si>
  <si>
    <t>INDENIZAÇÃO</t>
  </si>
  <si>
    <t>INDENIZACAO</t>
  </si>
  <si>
    <t>OUTROS (DESCONTO)</t>
  </si>
  <si>
    <t>Deposito FGTS s/13o Mes</t>
  </si>
  <si>
    <t>OUTROS (PROVENTO)</t>
  </si>
  <si>
    <t>OUTROS DESCONTOS</t>
  </si>
  <si>
    <t>PENSÃO ALIMENTÍCIA  ISENTO</t>
  </si>
  <si>
    <t>PLANO DE SAÚDE - DEPENDENTE</t>
  </si>
  <si>
    <t>Contabil - GRRF</t>
  </si>
  <si>
    <t>PLANO DE SAÚDE - TITULAR</t>
  </si>
  <si>
    <t>Diferença de PLR -  01/2023</t>
  </si>
  <si>
    <t>Ind. Qtde Funcionario p/Mes</t>
  </si>
  <si>
    <t>PLANO DE SAUDE DEPENDENTE</t>
  </si>
  <si>
    <t>PREMIO POR TEMPO DE SERVIÇO 3%</t>
  </si>
  <si>
    <t>Margem Liquida</t>
  </si>
  <si>
    <t>PREMIO POR TEMPO DE SERVIÇO 5%</t>
  </si>
  <si>
    <t>REPOSIÇAO DE ADICIONAL NOTURNO</t>
  </si>
  <si>
    <t>TX EMISSÃO DE CARTÃO 1ª VIA</t>
  </si>
  <si>
    <t>Base FGTS Afastados Servico Militar</t>
  </si>
  <si>
    <t>Desc. WELLHUB - Saude &amp; Bem Estar</t>
  </si>
  <si>
    <t>Diferença de PLR -  02/2023</t>
  </si>
  <si>
    <t>Valor A Deduzir De IRRF Simplificado Fol</t>
  </si>
  <si>
    <t>Valor A Deduzir de IRRF Simplificado Fer</t>
  </si>
  <si>
    <t>Diferença de PLR -  03/2023</t>
  </si>
  <si>
    <t>Valor a Deduzir de IRRF Simplificado 13º</t>
  </si>
  <si>
    <t>Diferença de PLR -  04/2023</t>
  </si>
  <si>
    <t>13 SALARIO TRAB INTERMITENTE</t>
  </si>
  <si>
    <t>0980</t>
  </si>
  <si>
    <t>ADICIONAL JORNADA NOTURNA (AUTOM)</t>
  </si>
  <si>
    <t>1056</t>
  </si>
  <si>
    <t>DEPENDENTE IRRF 13o SALARIO</t>
  </si>
  <si>
    <t>1057</t>
  </si>
  <si>
    <t>DEPENDENTE IRRF FERIAS</t>
  </si>
  <si>
    <t>1058</t>
  </si>
  <si>
    <t>DEPENDENTE IRRF MENSAL</t>
  </si>
  <si>
    <t>1059</t>
  </si>
  <si>
    <t>DESC HORAS AFAST 13o ADTO</t>
  </si>
  <si>
    <t>1060</t>
  </si>
  <si>
    <t>DESC HORAS AFAST 13o ALTERACAO SAL RETRO</t>
  </si>
  <si>
    <t>1061</t>
  </si>
  <si>
    <t>DESC. 13º ADIANTAMENTO PAGO A MAIOR</t>
  </si>
  <si>
    <t>1062</t>
  </si>
  <si>
    <t>DESCONTO DIAS AFASTADOS</t>
  </si>
  <si>
    <t>1063</t>
  </si>
  <si>
    <t>DESCONTO DIAS AFASTADOS ACID TRABALHO</t>
  </si>
  <si>
    <t>1064</t>
  </si>
  <si>
    <t>DESCONTO DIF MEDIA HORA 13o RESCISAO</t>
  </si>
  <si>
    <t>01</t>
  </si>
  <si>
    <t>Admissão</t>
  </si>
  <si>
    <t>02</t>
  </si>
  <si>
    <t>1065</t>
  </si>
  <si>
    <t>Aposentadoria p/invalidez acidente de trabalho</t>
  </si>
  <si>
    <t>DESCONTO DIFERENCA 13o RESCISAO</t>
  </si>
  <si>
    <t>03</t>
  </si>
  <si>
    <t>Afastamento p/Férias</t>
  </si>
  <si>
    <t>04</t>
  </si>
  <si>
    <t>Retorno das Férias</t>
  </si>
  <si>
    <t>06</t>
  </si>
  <si>
    <t>Transferência entre Coligadas</t>
  </si>
  <si>
    <t>07</t>
  </si>
  <si>
    <t>Transferência entre Filiais</t>
  </si>
  <si>
    <t>08</t>
  </si>
  <si>
    <t>Demissão</t>
  </si>
  <si>
    <t>09</t>
  </si>
  <si>
    <t>Licença maternidade</t>
  </si>
  <si>
    <t>1066</t>
  </si>
  <si>
    <t>10</t>
  </si>
  <si>
    <t>Licença maternidade p/aborto não criminoso</t>
  </si>
  <si>
    <t>DESCONTO DIFERENCA ADICIONAL 13o</t>
  </si>
  <si>
    <t>11</t>
  </si>
  <si>
    <t>Licença Remunerada</t>
  </si>
  <si>
    <t>12</t>
  </si>
  <si>
    <t>Licença maternidade por adoção</t>
  </si>
  <si>
    <t>13</t>
  </si>
  <si>
    <t>Admissão Alta Estação/Safra</t>
  </si>
  <si>
    <t>1067</t>
  </si>
  <si>
    <t>28</t>
  </si>
  <si>
    <t>DESCONTO DIFERENCA MEDIA HORA 13o</t>
  </si>
  <si>
    <t>Cárcere</t>
  </si>
  <si>
    <t>29</t>
  </si>
  <si>
    <t>Lei Maria da Penha</t>
  </si>
  <si>
    <t>30</t>
  </si>
  <si>
    <t>Suspensão Displinar</t>
  </si>
  <si>
    <t>1068</t>
  </si>
  <si>
    <t>31</t>
  </si>
  <si>
    <t>DESCONTO DIFERENCA MEDIA HORA 13o MATERN</t>
  </si>
  <si>
    <t>Espécie B31 (Auxílio-doença)</t>
  </si>
  <si>
    <t>32</t>
  </si>
  <si>
    <t>Suspensão Temporária Contrato Trabalho MP 936/2020</t>
  </si>
  <si>
    <t>0978</t>
  </si>
  <si>
    <t>33</t>
  </si>
  <si>
    <t>Licença paternidade 05 dias</t>
  </si>
  <si>
    <t>34</t>
  </si>
  <si>
    <t>1069</t>
  </si>
  <si>
    <t>Licença paternidade 20 dias</t>
  </si>
  <si>
    <t>DESCONTO DIFERENCA MEDIA VALOR 13o</t>
  </si>
  <si>
    <t>35</t>
  </si>
  <si>
    <t>Licença maternidade por prorrogação</t>
  </si>
  <si>
    <t>36</t>
  </si>
  <si>
    <t>Licença maternidade por antecipação</t>
  </si>
  <si>
    <t>37</t>
  </si>
  <si>
    <t>1070</t>
  </si>
  <si>
    <t>Afastamento Doença Ocupacional</t>
  </si>
  <si>
    <t>DESCONTO HORAS AFAST ACID TRAB 13o</t>
  </si>
  <si>
    <t>38</t>
  </si>
  <si>
    <t>Retorno de afastamento</t>
  </si>
  <si>
    <t>39</t>
  </si>
  <si>
    <t>Afast temp por Doença Igual ou Inferior a 15 dias</t>
  </si>
  <si>
    <t>40</t>
  </si>
  <si>
    <t>1071</t>
  </si>
  <si>
    <t>DESCONTO HORAS AFASTADAS</t>
  </si>
  <si>
    <t>Afast temp por Doença Superior a 15 dias</t>
  </si>
  <si>
    <t>41</t>
  </si>
  <si>
    <t>Afast temp por Ac Trab igual ou inferior a 15 dias</t>
  </si>
  <si>
    <t>42</t>
  </si>
  <si>
    <t>Afast temp por Ac Trab Superior a 15 dias</t>
  </si>
  <si>
    <t>43</t>
  </si>
  <si>
    <t>Outros motivos de afastamento temporário</t>
  </si>
  <si>
    <t>1072</t>
  </si>
  <si>
    <t>91</t>
  </si>
  <si>
    <t>Espécie B91 Auxílio-acidente p/acidente trabalho</t>
  </si>
  <si>
    <t>DESCONTO HORAS AFASTADAS ACID TRABALHO</t>
  </si>
  <si>
    <t>99</t>
  </si>
  <si>
    <t>Implantação ERP</t>
  </si>
  <si>
    <t>CV</t>
  </si>
  <si>
    <t>Afastamento por COVID-19</t>
  </si>
  <si>
    <t>1073</t>
  </si>
  <si>
    <t>DESCONTO SAL MATERNIDADE</t>
  </si>
  <si>
    <t>BOLSA AUX DIAS AFASTAMENTO DIREITOS INT</t>
  </si>
  <si>
    <t>ID</t>
  </si>
  <si>
    <t>DIAS AFAST P/ACID TRAB IGUAL/INF. 15 DIA</t>
  </si>
  <si>
    <t>RAZAOSOCIAL</t>
  </si>
  <si>
    <t>1025</t>
  </si>
  <si>
    <t>DIAS AFAST P/ACID TRABALHO C/DIR INTEG</t>
  </si>
  <si>
    <t>CNPJ</t>
  </si>
  <si>
    <t>DESATIVADA</t>
  </si>
  <si>
    <t>1026</t>
  </si>
  <si>
    <t>DIAS AFAST S/ VENCTO</t>
  </si>
  <si>
    <t>1027</t>
  </si>
  <si>
    <t>ATIVOS</t>
  </si>
  <si>
    <t>DIAS AFAST. P/DOENCA C/DIR.INTEGRAIS</t>
  </si>
  <si>
    <t>INATIVOS</t>
  </si>
  <si>
    <t>TOTAL</t>
  </si>
  <si>
    <t>CODCOLIGADA</t>
  </si>
  <si>
    <t>FILIAL_PARA</t>
  </si>
  <si>
    <t>1028</t>
  </si>
  <si>
    <t>DIAS AFAST. P/DOENCA IGUAL/INF. 15 DIAS</t>
  </si>
  <si>
    <t>FUTURECOM</t>
  </si>
  <si>
    <t>LCS CONSTRUCAO E SERVICOS LTDA</t>
  </si>
  <si>
    <t>05.603.629/0001-40</t>
  </si>
  <si>
    <t>0</t>
  </si>
  <si>
    <t>1029</t>
  </si>
  <si>
    <t>347</t>
  </si>
  <si>
    <t>DIAS AFAST.C/DIR.INTEGR</t>
  </si>
  <si>
    <t>6242</t>
  </si>
  <si>
    <t>6589</t>
  </si>
  <si>
    <t>BOA EMPREENDIME</t>
  </si>
  <si>
    <t>BOA EMPREENDIMENTOS IMOBILIARIOS LTDA</t>
  </si>
  <si>
    <t>1030</t>
  </si>
  <si>
    <t>17.027.472/0001-30</t>
  </si>
  <si>
    <t>DIAS AFAST INSS (P/DOENCA)</t>
  </si>
  <si>
    <t>7</t>
  </si>
  <si>
    <t>PATIO CASTELAO</t>
  </si>
  <si>
    <t>PATIO CASTELAO EMPREENDIMENTOS LTDA</t>
  </si>
  <si>
    <t>48.636.176/0001-60</t>
  </si>
  <si>
    <t>1031</t>
  </si>
  <si>
    <t>DIAS AFAST P/ ACIDENTE DE TRABALHO</t>
  </si>
  <si>
    <t>64</t>
  </si>
  <si>
    <t>66</t>
  </si>
  <si>
    <t>1032</t>
  </si>
  <si>
    <t>DIAS AFASTAMENTO CARCERE</t>
  </si>
  <si>
    <t>M ARACI</t>
  </si>
  <si>
    <t>ANJO ETERNO PET LTDA</t>
  </si>
  <si>
    <t>1033</t>
  </si>
  <si>
    <t>11.465.561/0001-82</t>
  </si>
  <si>
    <t>DIAS TRAB INTERMITENTE</t>
  </si>
  <si>
    <t>291</t>
  </si>
  <si>
    <t>298</t>
  </si>
  <si>
    <t>ATIVA COOPERADO</t>
  </si>
  <si>
    <t>1034</t>
  </si>
  <si>
    <t>ATIVA COOPERADOS LTDA EPP</t>
  </si>
  <si>
    <t>DIF 13o MATERNIDADE ALTERACAO SAL RETROA</t>
  </si>
  <si>
    <t>05.525.104/0001-33</t>
  </si>
  <si>
    <t>61</t>
  </si>
  <si>
    <t>72</t>
  </si>
  <si>
    <t>1035</t>
  </si>
  <si>
    <t>MC Coffee Shop</t>
  </si>
  <si>
    <t>DIF MEDIA HORAS 13o ALTERACAO SAL RETROA</t>
  </si>
  <si>
    <t>Mc Coffee Shop</t>
  </si>
  <si>
    <t>60.538.885/0001-09</t>
  </si>
  <si>
    <t>1036</t>
  </si>
  <si>
    <t>DIF. SALARIO HORAS AFAST. ACID TRABALHO</t>
  </si>
  <si>
    <t>1037</t>
  </si>
  <si>
    <t>DIFERENCA DE SALARIOS SEM TRIBUTACAO</t>
  </si>
  <si>
    <t>1038</t>
  </si>
  <si>
    <t>DIFERENCA FERIAS EM DOBRO</t>
  </si>
  <si>
    <t>1039</t>
  </si>
  <si>
    <t>FERIAS PROPORC TRAB INTERMITENTE</t>
  </si>
  <si>
    <t>1040</t>
  </si>
  <si>
    <t>HORAS AFAST. P/DOENCA C/DIR.INTEGRAIS</t>
  </si>
  <si>
    <t>1041</t>
  </si>
  <si>
    <t>HORAS EXTRAS RETROATIVAS</t>
  </si>
  <si>
    <t>Diferença Salarial 2025</t>
  </si>
  <si>
    <t>1042</t>
  </si>
  <si>
    <t>INDENIZAcaO LEI 14.020/20 E MP 1.045/21</t>
  </si>
  <si>
    <t>1043</t>
  </si>
  <si>
    <t>MEDIA AFAST ACID TRAB IGUAL/INF 15 D</t>
  </si>
  <si>
    <t>1044</t>
  </si>
  <si>
    <t>MEDIA AFAST ACID TRABALHO</t>
  </si>
  <si>
    <t>1045</t>
  </si>
  <si>
    <t>MEDIA AFAST ACID TRABALHO DIR. INTEGRAL</t>
  </si>
  <si>
    <t>1046</t>
  </si>
  <si>
    <t>MEDIA AFAST DOEN DIR.INT IGUAL/INF 15 D</t>
  </si>
  <si>
    <t>Diferenças Salariais Parc 1/4 - CCT 2023</t>
  </si>
  <si>
    <t>1047</t>
  </si>
  <si>
    <t>MEDIA AFAST DOENCA</t>
  </si>
  <si>
    <t>1048</t>
  </si>
  <si>
    <t>MEDIA AFAST DOENCA  DIR. INTEGRAL</t>
  </si>
  <si>
    <t>1049</t>
  </si>
  <si>
    <t>OUTROS PROVENTOS RPA</t>
  </si>
  <si>
    <t>1050</t>
  </si>
  <si>
    <t>PARC DIF. SAL HORAS AFAST ACID TRABALHO</t>
  </si>
  <si>
    <t>Diferenças Salariais Parc 2/4 - CCT 2023</t>
  </si>
  <si>
    <t>1051</t>
  </si>
  <si>
    <t>PARCELA DIFERENCA DE SALARIOS CCT</t>
  </si>
  <si>
    <t>1074</t>
  </si>
  <si>
    <t>PARCELA DESCONTO AFAST ACIDENTE TRABALHO</t>
  </si>
  <si>
    <t>1075</t>
  </si>
  <si>
    <t>PARCELA DESCONTO DIF HORAS AFAST 13o</t>
  </si>
  <si>
    <t>1052</t>
  </si>
  <si>
    <t>PARCELA DIFERENCA FERIAS EM DOBRO</t>
  </si>
  <si>
    <t>Diferenças Salariais Parc 3/4 -CCT 2023</t>
  </si>
  <si>
    <t>1053</t>
  </si>
  <si>
    <t>QUINQUENIO</t>
  </si>
  <si>
    <t>1054</t>
  </si>
  <si>
    <t>SERVICOS FRETE AUTONOMO</t>
  </si>
  <si>
    <t>1055</t>
  </si>
  <si>
    <t>VANTAGENS 13o LICENCA MATERNIDADE</t>
  </si>
  <si>
    <t>Diferenças Salariais Parc 4/4 - CCT2023</t>
  </si>
  <si>
    <t>1076</t>
  </si>
  <si>
    <t>DESC. PLANO ODONT. ODONTOPREV</t>
  </si>
  <si>
    <t>1077</t>
  </si>
  <si>
    <t>ESTOURO RESCISAO</t>
  </si>
  <si>
    <t>1078</t>
  </si>
  <si>
    <t>DEVOLUcaO DE DESCONTO INDEVIDO</t>
  </si>
  <si>
    <t>1079</t>
  </si>
  <si>
    <t>DESC MEDIA HORAS AFAST 13o ADTO</t>
  </si>
  <si>
    <t>DSR (H)</t>
  </si>
  <si>
    <t>1080</t>
  </si>
  <si>
    <t>DESC VANTAGENS AFAST 13o ADTO</t>
  </si>
  <si>
    <t>1081</t>
  </si>
  <si>
    <t>DESCONTO 1/3 FERIAS TRAB INTERM RESC</t>
  </si>
  <si>
    <t>1082</t>
  </si>
  <si>
    <t>DESCONTO 13º SAL TRAB INTERMITENTE</t>
  </si>
  <si>
    <t>1083</t>
  </si>
  <si>
    <t>DESCONTO DIFERENcA 13º</t>
  </si>
  <si>
    <t>0951</t>
  </si>
  <si>
    <t>DSR DESCONTO</t>
  </si>
  <si>
    <t>1084</t>
  </si>
  <si>
    <t>DESCONTO FERIAS TRAB INTERMITENTE RESC</t>
  </si>
  <si>
    <t>1085</t>
  </si>
  <si>
    <t>DIFERENCA MEDIA HORA ABONO FERIAS</t>
  </si>
  <si>
    <t>1086</t>
  </si>
  <si>
    <t>PERICULOSIDADE ACID. TRAB</t>
  </si>
  <si>
    <t>1087</t>
  </si>
  <si>
    <t>PERICULOSIDADE INTERMITENTE</t>
  </si>
  <si>
    <t>1088</t>
  </si>
  <si>
    <t>VALE ALIMENTACAO REAVIDO</t>
  </si>
  <si>
    <t>1089</t>
  </si>
  <si>
    <t>VALE TRANSPORTE REAVIDO</t>
  </si>
  <si>
    <t>1090</t>
  </si>
  <si>
    <t>1091</t>
  </si>
  <si>
    <t>DSR Desconto</t>
  </si>
  <si>
    <t>INDENIZACAO ADICIONAL</t>
  </si>
  <si>
    <t>1092</t>
  </si>
  <si>
    <t>1093</t>
  </si>
  <si>
    <t>HORAS EXTRAS 100% (RETROATIVA)</t>
  </si>
  <si>
    <t>1094</t>
  </si>
  <si>
    <t>DESC ADIANT ANTECIP SALARIAL</t>
  </si>
  <si>
    <t>1095</t>
  </si>
  <si>
    <t>HORAS AFAST.INSS (P/DOENC</t>
  </si>
  <si>
    <t>1096</t>
  </si>
  <si>
    <t>HORAS EXTRAS</t>
  </si>
  <si>
    <t>1097</t>
  </si>
  <si>
    <t>PARCELA DIF 1/3 FERIAS EM DOBRO</t>
  </si>
  <si>
    <t>1098</t>
  </si>
  <si>
    <t>BOLSA AUXILIO ADIANTAMENTO DE FERIAS</t>
  </si>
  <si>
    <t>DESCONTOS</t>
  </si>
  <si>
    <t>1099</t>
  </si>
  <si>
    <t>BOLSA AUXILIO DIAS DE FERIAS</t>
  </si>
  <si>
    <t>PROVENTOS</t>
  </si>
  <si>
    <t>1100</t>
  </si>
  <si>
    <t>DIAS LICENCA REMUNERADA FERIAS GOZADAS</t>
  </si>
  <si>
    <t>1101</t>
  </si>
  <si>
    <t>MEDIA HORAS LICENCA REMUN FERIAS GOZADAS</t>
  </si>
  <si>
    <t>1102</t>
  </si>
  <si>
    <t>REEMBOLSO PLANO DE SAUDE</t>
  </si>
  <si>
    <t>0962</t>
  </si>
  <si>
    <t>FALTA</t>
  </si>
  <si>
    <t>Falta</t>
  </si>
  <si>
    <t>0964</t>
  </si>
  <si>
    <t>FALTA (HS)</t>
  </si>
  <si>
    <t>0972</t>
  </si>
  <si>
    <t>Falta (Hs)</t>
  </si>
  <si>
    <t>FALTA ESTAGIO</t>
  </si>
  <si>
    <t>0963</t>
  </si>
  <si>
    <t>FALTAS MÊS ANTERIOR</t>
  </si>
  <si>
    <t>Faltas Mês Anterior</t>
  </si>
  <si>
    <t>FÉRIAS (AVISO PRÉVIO)</t>
  </si>
  <si>
    <t>Férias (Aviso Prévio)</t>
  </si>
  <si>
    <t>FÉRIAS PROPORCIONAIS</t>
  </si>
  <si>
    <t>Férias Proporcionais</t>
  </si>
  <si>
    <t>FÉRIAS PROPORCIONAIS - INDENIZADAS</t>
  </si>
  <si>
    <t>FÉRIAS VENCIDAS</t>
  </si>
  <si>
    <t>Férias Vencidas</t>
  </si>
  <si>
    <t>FGTS</t>
  </si>
  <si>
    <t>0976</t>
  </si>
  <si>
    <t>FGTS B. de Cálculo - Acidente</t>
  </si>
  <si>
    <t>FGTS B. de Cálculo - Rescisão</t>
  </si>
  <si>
    <t>0965</t>
  </si>
  <si>
    <t>FGTS Base de Cálculo</t>
  </si>
  <si>
    <t>FGTS Base de Cálculo - Rescisão</t>
  </si>
  <si>
    <t>FTGS Aviso Indenizado</t>
  </si>
  <si>
    <t>GRATIFICACAO</t>
  </si>
  <si>
    <t>GRATIFICAÇÃO VIAGEM (ATE 50% REMUN.)</t>
  </si>
  <si>
    <t>Gratificação Viagem (até 50% remun.)</t>
  </si>
  <si>
    <t>0927</t>
  </si>
  <si>
    <t>Hapvida - Dependentes</t>
  </si>
  <si>
    <t>CBO</t>
  </si>
  <si>
    <t>CBO_2002</t>
  </si>
  <si>
    <t>282</t>
  </si>
  <si>
    <t>ADMINISTRADOR</t>
  </si>
  <si>
    <t>252105</t>
  </si>
  <si>
    <t>000001</t>
  </si>
  <si>
    <t>828</t>
  </si>
  <si>
    <t>AJUDANTE DE CACAMBA</t>
  </si>
  <si>
    <t>514225</t>
  </si>
  <si>
    <t>000002</t>
  </si>
  <si>
    <t>878</t>
  </si>
  <si>
    <t>AJUDANTE DE CAÇAMBA-APRENDIZ</t>
  </si>
  <si>
    <t>000003</t>
  </si>
  <si>
    <t>838</t>
  </si>
  <si>
    <t>AJUDANTE DE COLETA</t>
  </si>
  <si>
    <t>514215</t>
  </si>
  <si>
    <t>000004</t>
  </si>
  <si>
    <t>017</t>
  </si>
  <si>
    <t>AJUDANTE DE OFICIAL DE REDE</t>
  </si>
  <si>
    <t>951105</t>
  </si>
  <si>
    <t>000005</t>
  </si>
  <si>
    <t>769</t>
  </si>
  <si>
    <t>ALMMOXARIFE I</t>
  </si>
  <si>
    <t>414105</t>
  </si>
  <si>
    <t>000006</t>
  </si>
  <si>
    <t>246</t>
  </si>
  <si>
    <t>ALMOXARIFE</t>
  </si>
  <si>
    <t>000007</t>
  </si>
  <si>
    <t>Hora Extra 110%</t>
  </si>
  <si>
    <t>031</t>
  </si>
  <si>
    <t>836</t>
  </si>
  <si>
    <t>ANALISTA ADMINISTRATIVO</t>
  </si>
  <si>
    <t>111510</t>
  </si>
  <si>
    <t>000008</t>
  </si>
  <si>
    <t>000009</t>
  </si>
  <si>
    <t>834</t>
  </si>
  <si>
    <t>Analista Administrativo(a)</t>
  </si>
  <si>
    <t>000010</t>
  </si>
  <si>
    <t>839</t>
  </si>
  <si>
    <t>ANALISTA ADMINISTRATIVO/FINANCEIRO</t>
  </si>
  <si>
    <t>252545</t>
  </si>
  <si>
    <t>000011</t>
  </si>
  <si>
    <t>152</t>
  </si>
  <si>
    <t>ANALISTA CONTABIL</t>
  </si>
  <si>
    <t>252205</t>
  </si>
  <si>
    <t>000012</t>
  </si>
  <si>
    <t>748</t>
  </si>
  <si>
    <t>ANALISTA DE DEP PESSOAL JUNIOR</t>
  </si>
  <si>
    <t>252405</t>
  </si>
  <si>
    <t>000013</t>
  </si>
  <si>
    <t>154</t>
  </si>
  <si>
    <t>ANALISTA DE DEP. PESSOAL</t>
  </si>
  <si>
    <t>000014</t>
  </si>
  <si>
    <t>807</t>
  </si>
  <si>
    <t>ANALISTA DE ENGENHARIA</t>
  </si>
  <si>
    <t>312105</t>
  </si>
  <si>
    <t>000015</t>
  </si>
  <si>
    <t>875</t>
  </si>
  <si>
    <t>ANALISTA DE FROTA</t>
  </si>
  <si>
    <t>342115</t>
  </si>
  <si>
    <t>000016</t>
  </si>
  <si>
    <t>876</t>
  </si>
  <si>
    <t>ANALISTA DE MARKETING</t>
  </si>
  <si>
    <t>142335</t>
  </si>
  <si>
    <t>000017</t>
  </si>
  <si>
    <t>853</t>
  </si>
  <si>
    <t>884</t>
  </si>
  <si>
    <t>ANALISTA DE MARKETING I</t>
  </si>
  <si>
    <t>000018</t>
  </si>
  <si>
    <t>840</t>
  </si>
  <si>
    <t>ANALISTA DE PRODUCAO</t>
  </si>
  <si>
    <t>214905</t>
  </si>
  <si>
    <t>000019</t>
  </si>
  <si>
    <t>844</t>
  </si>
  <si>
    <t>ANALISTA DE PROJETOS</t>
  </si>
  <si>
    <t>318105</t>
  </si>
  <si>
    <t>000020</t>
  </si>
  <si>
    <t>804</t>
  </si>
  <si>
    <t>ANALISTA DE RH</t>
  </si>
  <si>
    <t>000021</t>
  </si>
  <si>
    <t>808</t>
  </si>
  <si>
    <t>ANALISTA DE TI</t>
  </si>
  <si>
    <t>212405</t>
  </si>
  <si>
    <t>000022</t>
  </si>
  <si>
    <t>783</t>
  </si>
  <si>
    <t>ANALISTA FINANCEIRO</t>
  </si>
  <si>
    <t>000023</t>
  </si>
  <si>
    <t>841</t>
  </si>
  <si>
    <t>ANALISTA FINANCEIRO I</t>
  </si>
  <si>
    <t>000024</t>
  </si>
  <si>
    <t>855</t>
  </si>
  <si>
    <t>ANALISTA FINANCEIRO II</t>
  </si>
  <si>
    <t>000025</t>
  </si>
  <si>
    <t>771</t>
  </si>
  <si>
    <t>ANALISTA FINANCEIRO PLENO</t>
  </si>
  <si>
    <t>251215</t>
  </si>
  <si>
    <t>000026</t>
  </si>
  <si>
    <t>746</t>
  </si>
  <si>
    <t>APONTADOR</t>
  </si>
  <si>
    <t>414205</t>
  </si>
  <si>
    <t>000027</t>
  </si>
  <si>
    <t>861</t>
  </si>
  <si>
    <t>APONTADOR DE OBRAS - PESADA</t>
  </si>
  <si>
    <t>000028</t>
  </si>
  <si>
    <t>818</t>
  </si>
  <si>
    <t>APONTADOR I</t>
  </si>
  <si>
    <t>000029</t>
  </si>
  <si>
    <t>053</t>
  </si>
  <si>
    <t>ARMADOR DE FERRO</t>
  </si>
  <si>
    <t>715315</t>
  </si>
  <si>
    <t>000030</t>
  </si>
  <si>
    <t>879</t>
  </si>
  <si>
    <t>ASSIS.ADMINISTRATIVO-APRENDIZ-06HS</t>
  </si>
  <si>
    <t>411010</t>
  </si>
  <si>
    <t>000031</t>
  </si>
  <si>
    <t>657</t>
  </si>
  <si>
    <t>ASSISTENTE ADMINISTRATIVO</t>
  </si>
  <si>
    <t>000032</t>
  </si>
  <si>
    <t>239</t>
  </si>
  <si>
    <t>802</t>
  </si>
  <si>
    <t>ASSISTENTE ADMINISTRATIVO / APRENDIZ</t>
  </si>
  <si>
    <t>000033</t>
  </si>
  <si>
    <t>ASSISTENTE ADMINISTRATIVO I</t>
  </si>
  <si>
    <t>000034</t>
  </si>
  <si>
    <t>759</t>
  </si>
  <si>
    <t>ASSISTENTE ADMINISTRATIVO II</t>
  </si>
  <si>
    <t>000035</t>
  </si>
  <si>
    <t>200</t>
  </si>
  <si>
    <t>ASSISTENTE COMERCIAL</t>
  </si>
  <si>
    <t>000036</t>
  </si>
  <si>
    <t>776</t>
  </si>
  <si>
    <t>ASSISTENTE DE COMPRAS</t>
  </si>
  <si>
    <t>354205</t>
  </si>
  <si>
    <t>000037</t>
  </si>
  <si>
    <t>782</t>
  </si>
  <si>
    <t>ASSISTENTE DE CONTABILIDADE</t>
  </si>
  <si>
    <t>413110</t>
  </si>
  <si>
    <t>000038</t>
  </si>
  <si>
    <t>755</t>
  </si>
  <si>
    <t>ASSISTENTE DE DEP. PESSOAL</t>
  </si>
  <si>
    <t>411030</t>
  </si>
  <si>
    <t>000039</t>
  </si>
  <si>
    <t>796</t>
  </si>
  <si>
    <t>ASSISTENTE DE ENGENHARIA</t>
  </si>
  <si>
    <t>000040</t>
  </si>
  <si>
    <t>120</t>
  </si>
  <si>
    <t>ASSISTENTE DE MARKETING</t>
  </si>
  <si>
    <t>354125</t>
  </si>
  <si>
    <t>000041</t>
  </si>
  <si>
    <t>ASSISTENTE DE PCM</t>
  </si>
  <si>
    <t>391130</t>
  </si>
  <si>
    <t>000042</t>
  </si>
  <si>
    <t>153</t>
  </si>
  <si>
    <t>ASSISTENTE DE RECURSOS HUMANOS</t>
  </si>
  <si>
    <t>000043</t>
  </si>
  <si>
    <t>182</t>
  </si>
  <si>
    <t>ASSISTENTE FINANCEIRO</t>
  </si>
  <si>
    <t>000044</t>
  </si>
  <si>
    <t>614</t>
  </si>
  <si>
    <t>000045</t>
  </si>
  <si>
    <t>773</t>
  </si>
  <si>
    <t>ASSISTENTE FISCAL</t>
  </si>
  <si>
    <t>000046</t>
  </si>
  <si>
    <t>749</t>
  </si>
  <si>
    <t>ASSISTENTE JURIDICO</t>
  </si>
  <si>
    <t>241005</t>
  </si>
  <si>
    <t>000047</t>
  </si>
  <si>
    <t>128</t>
  </si>
  <si>
    <t>ASSISTENTE OPERACIONAL</t>
  </si>
  <si>
    <t>000048</t>
  </si>
  <si>
    <t>760</t>
  </si>
  <si>
    <t>ASSISTENTE OPERACIONAL II</t>
  </si>
  <si>
    <t>000049</t>
  </si>
  <si>
    <t>027</t>
  </si>
  <si>
    <t>ATENDENTE DE CAFETERIA</t>
  </si>
  <si>
    <t>513435</t>
  </si>
  <si>
    <t>000050</t>
  </si>
  <si>
    <t>122</t>
  </si>
  <si>
    <t>AUX. ADMINISTRATIVO/OPERACIONAL</t>
  </si>
  <si>
    <t>411005</t>
  </si>
  <si>
    <t>000051</t>
  </si>
  <si>
    <t>016</t>
  </si>
  <si>
    <t>AUX. CONTABILIDADE</t>
  </si>
  <si>
    <t>000052</t>
  </si>
  <si>
    <t>217</t>
  </si>
  <si>
    <t>AUX. DE CARPINTEIRO</t>
  </si>
  <si>
    <t>715505</t>
  </si>
  <si>
    <t>000053</t>
  </si>
  <si>
    <t>035</t>
  </si>
  <si>
    <t>AUX. DE ELETRICISTA</t>
  </si>
  <si>
    <t>715615</t>
  </si>
  <si>
    <t>000054</t>
  </si>
  <si>
    <t>634</t>
  </si>
  <si>
    <t>AUX. DE MECANICO</t>
  </si>
  <si>
    <t>314110</t>
  </si>
  <si>
    <t>000055</t>
  </si>
  <si>
    <t>113</t>
  </si>
  <si>
    <t>AUX. DE SALA TECNICA</t>
  </si>
  <si>
    <t>848505</t>
  </si>
  <si>
    <t>000056</t>
  </si>
  <si>
    <t>021</t>
  </si>
  <si>
    <t>AUX. DE TECNICO DE FIBRA OTICA</t>
  </si>
  <si>
    <t>000057</t>
  </si>
  <si>
    <t>124</t>
  </si>
  <si>
    <t>AUX. DEPART PESSOAL</t>
  </si>
  <si>
    <t>000058</t>
  </si>
  <si>
    <t>000059</t>
  </si>
  <si>
    <t>110</t>
  </si>
  <si>
    <t>AUX. ELETRICISTA</t>
  </si>
  <si>
    <t>000060</t>
  </si>
  <si>
    <t>005</t>
  </si>
  <si>
    <t>AUX. ESCRITORIO</t>
  </si>
  <si>
    <t>000061</t>
  </si>
  <si>
    <t>774</t>
  </si>
  <si>
    <t>AUX. ESCRITORIO / APRENDIZ</t>
  </si>
  <si>
    <t>000062</t>
  </si>
  <si>
    <t>141</t>
  </si>
  <si>
    <t>AUX. MAQUINAS</t>
  </si>
  <si>
    <t>000063</t>
  </si>
  <si>
    <t>004</t>
  </si>
  <si>
    <t>AUX. SERVICOS GERAIS</t>
  </si>
  <si>
    <t>000064</t>
  </si>
  <si>
    <t>195</t>
  </si>
  <si>
    <t>AUX.BOMBEIRO HIDRAULICO</t>
  </si>
  <si>
    <t>724110</t>
  </si>
  <si>
    <t>000065</t>
  </si>
  <si>
    <t>881</t>
  </si>
  <si>
    <t>AUX.MANUTENÇÃO PREDIAL-APRENDIZ</t>
  </si>
  <si>
    <t>514310</t>
  </si>
  <si>
    <t>000066</t>
  </si>
  <si>
    <t>642</t>
  </si>
  <si>
    <t>AUXILIAR ADMINISTRATIVO I</t>
  </si>
  <si>
    <t>000067</t>
  </si>
  <si>
    <t>761</t>
  </si>
  <si>
    <t>AUXILIAR ADMINISTRATIVO II</t>
  </si>
  <si>
    <t>000068</t>
  </si>
  <si>
    <t>065</t>
  </si>
  <si>
    <t>AUXILIAR DA QUALIDADE</t>
  </si>
  <si>
    <t>391215</t>
  </si>
  <si>
    <t>000069</t>
  </si>
  <si>
    <t>688</t>
  </si>
  <si>
    <t>AUXILIAR DE ALMOXARIFADO</t>
  </si>
  <si>
    <t>000070</t>
  </si>
  <si>
    <t>045</t>
  </si>
  <si>
    <t>AUXILIAR DE ALMOXARIFE</t>
  </si>
  <si>
    <t>414140</t>
  </si>
  <si>
    <t>000071</t>
  </si>
  <si>
    <t>655</t>
  </si>
  <si>
    <t>AUXILIAR DE CARPINTEIRO</t>
  </si>
  <si>
    <t>000072</t>
  </si>
  <si>
    <t>037</t>
  </si>
  <si>
    <t>873</t>
  </si>
  <si>
    <t>AUXILIAR DE CARPINTEIRO - PESADA</t>
  </si>
  <si>
    <t>715525</t>
  </si>
  <si>
    <t>000073</t>
  </si>
  <si>
    <t>080</t>
  </si>
  <si>
    <t>AUXILIAR DE FERREIRO</t>
  </si>
  <si>
    <t>722105</t>
  </si>
  <si>
    <t>000074</t>
  </si>
  <si>
    <t>238</t>
  </si>
  <si>
    <t>AUXILIAR DE FISCAL</t>
  </si>
  <si>
    <t>414215</t>
  </si>
  <si>
    <t>414210</t>
  </si>
  <si>
    <t>000075</t>
  </si>
  <si>
    <t>Hora Extra 67%</t>
  </si>
  <si>
    <t>793</t>
  </si>
  <si>
    <t>AUXILIAR DE LABORATORIO</t>
  </si>
  <si>
    <t>818110</t>
  </si>
  <si>
    <t>000076</t>
  </si>
  <si>
    <t>883</t>
  </si>
  <si>
    <t>AUXILIAR DE LIMPEZA/APRENDIZ</t>
  </si>
  <si>
    <t>514210</t>
  </si>
  <si>
    <t>514320</t>
  </si>
  <si>
    <t>000077</t>
  </si>
  <si>
    <t>708</t>
  </si>
  <si>
    <t>AUXILIAR DE MANUTENCAO</t>
  </si>
  <si>
    <t>991405</t>
  </si>
  <si>
    <t>514325</t>
  </si>
  <si>
    <t>000078</t>
  </si>
  <si>
    <t>684</t>
  </si>
  <si>
    <t>AUXILIAR DE MECANICA</t>
  </si>
  <si>
    <t>913120</t>
  </si>
  <si>
    <t>000079</t>
  </si>
  <si>
    <t>788</t>
  </si>
  <si>
    <t>AUXILIAR DE PEDREIRO</t>
  </si>
  <si>
    <t>717020</t>
  </si>
  <si>
    <t>000080</t>
  </si>
  <si>
    <t>786</t>
  </si>
  <si>
    <t>AUXILIAR DE TOPOGRAFO</t>
  </si>
  <si>
    <t>312320</t>
  </si>
  <si>
    <t>000081</t>
  </si>
  <si>
    <t>686</t>
  </si>
  <si>
    <t>AUXILIAR FINANCEIRO</t>
  </si>
  <si>
    <t>000082</t>
  </si>
  <si>
    <t>847</t>
  </si>
  <si>
    <t>AUXILIAR TECNICO DE ENGENHARIA</t>
  </si>
  <si>
    <t>000083</t>
  </si>
  <si>
    <t>867</t>
  </si>
  <si>
    <t>BETONEIRO - CONSTRUÇÃO PESADA</t>
  </si>
  <si>
    <t>715405</t>
  </si>
  <si>
    <t>000084</t>
  </si>
  <si>
    <t>825</t>
  </si>
  <si>
    <t>BOMBEIRO HIDRALICO I</t>
  </si>
  <si>
    <t>000085</t>
  </si>
  <si>
    <t>194</t>
  </si>
  <si>
    <t>BOMBEIRO HIDRAULICO</t>
  </si>
  <si>
    <t>000086</t>
  </si>
  <si>
    <t>041</t>
  </si>
  <si>
    <t>754</t>
  </si>
  <si>
    <t>BORRACHEIRO</t>
  </si>
  <si>
    <t>992115</t>
  </si>
  <si>
    <t>000087</t>
  </si>
  <si>
    <t>213</t>
  </si>
  <si>
    <t>CALCETEIRO</t>
  </si>
  <si>
    <t>715205</t>
  </si>
  <si>
    <t>000088</t>
  </si>
  <si>
    <t>000089</t>
  </si>
  <si>
    <t>052</t>
  </si>
  <si>
    <t>CARPINTEIRO</t>
  </si>
  <si>
    <t>000090</t>
  </si>
  <si>
    <t>034</t>
  </si>
  <si>
    <t>812</t>
  </si>
  <si>
    <t>CARPINTEIRO I</t>
  </si>
  <si>
    <t>000091</t>
  </si>
  <si>
    <t>865</t>
  </si>
  <si>
    <t>CARPINTEIRO PESADA</t>
  </si>
  <si>
    <t>000092</t>
  </si>
  <si>
    <t>102</t>
  </si>
  <si>
    <t>CH.SETOR PESSOAL</t>
  </si>
  <si>
    <t>351315</t>
  </si>
  <si>
    <t>000093</t>
  </si>
  <si>
    <t>142210</t>
  </si>
  <si>
    <t>000094</t>
  </si>
  <si>
    <t>015</t>
  </si>
  <si>
    <t>CHEFE ALMOXARIFADO</t>
  </si>
  <si>
    <t>000095</t>
  </si>
  <si>
    <t>119</t>
  </si>
  <si>
    <t>CHEFE DE OFICINA</t>
  </si>
  <si>
    <t>141420</t>
  </si>
  <si>
    <t>000096</t>
  </si>
  <si>
    <t>132</t>
  </si>
  <si>
    <t>COMPRADOR</t>
  </si>
  <si>
    <t>000097</t>
  </si>
  <si>
    <t>758</t>
  </si>
  <si>
    <t>CONSULTOR COMERCIAL</t>
  </si>
  <si>
    <t>521110</t>
  </si>
  <si>
    <t>000098</t>
  </si>
  <si>
    <t>CONSULTOR DE VENDAS</t>
  </si>
  <si>
    <t>000099</t>
  </si>
  <si>
    <t>010</t>
  </si>
  <si>
    <t>CONTADOR EM GERAL</t>
  </si>
  <si>
    <t>Hora Extra 75%</t>
  </si>
  <si>
    <t>252210</t>
  </si>
  <si>
    <t>000100</t>
  </si>
  <si>
    <t>658</t>
  </si>
  <si>
    <t>CONTADOR(A)</t>
  </si>
  <si>
    <t>000101</t>
  </si>
  <si>
    <t>280</t>
  </si>
  <si>
    <t>CONTROLADOR DE ENTRADA E SAIDA</t>
  </si>
  <si>
    <t>391115</t>
  </si>
  <si>
    <t>000102</t>
  </si>
  <si>
    <t>877</t>
  </si>
  <si>
    <t>CONTROLADOR NOTURNO</t>
  </si>
  <si>
    <t>000103</t>
  </si>
  <si>
    <t>778</t>
  </si>
  <si>
    <t>CONTROLLER</t>
  </si>
  <si>
    <t>000104</t>
  </si>
  <si>
    <t>030</t>
  </si>
  <si>
    <t>COORDENADOR (A) DE QUALIDADE</t>
  </si>
  <si>
    <t>142205</t>
  </si>
  <si>
    <t>000105</t>
  </si>
  <si>
    <t>750</t>
  </si>
  <si>
    <t>COORDENADOR DE OBRAS</t>
  </si>
  <si>
    <t>141305</t>
  </si>
  <si>
    <t>Ind. uso celular 05/23 a 04/25</t>
  </si>
  <si>
    <t>000106</t>
  </si>
  <si>
    <t>823</t>
  </si>
  <si>
    <t>COORDENADOR DE RH</t>
  </si>
  <si>
    <t>000107</t>
  </si>
  <si>
    <t>827</t>
  </si>
  <si>
    <t>COORDENADOR DEP DE PESSOAL</t>
  </si>
  <si>
    <t>000108</t>
  </si>
  <si>
    <t>600</t>
  </si>
  <si>
    <t>COORDENADOR OPERACIONAL</t>
  </si>
  <si>
    <t>410105</t>
  </si>
  <si>
    <t>000109</t>
  </si>
  <si>
    <t>824</t>
  </si>
  <si>
    <t>COORDENADOR(A) DE RH</t>
  </si>
  <si>
    <t>000110</t>
  </si>
  <si>
    <t>143</t>
  </si>
  <si>
    <t>COPEIRA (O)</t>
  </si>
  <si>
    <t>513425</t>
  </si>
  <si>
    <t>000111</t>
  </si>
  <si>
    <t>0988</t>
  </si>
  <si>
    <t>848310</t>
  </si>
  <si>
    <t>000112</t>
  </si>
  <si>
    <t>022</t>
  </si>
  <si>
    <t>COZINHEIRO EM GERAL</t>
  </si>
  <si>
    <t>513205</t>
  </si>
  <si>
    <t>000113</t>
  </si>
  <si>
    <t>501</t>
  </si>
  <si>
    <t>DIRETOR ADM/FINANCEIRO</t>
  </si>
  <si>
    <t>000114</t>
  </si>
  <si>
    <t>001</t>
  </si>
  <si>
    <t>DIRETOR EXECUTIVO</t>
  </si>
  <si>
    <t>121010</t>
  </si>
  <si>
    <t>000115</t>
  </si>
  <si>
    <t>040</t>
  </si>
  <si>
    <t>ELETRICISTA</t>
  </si>
  <si>
    <t>000116</t>
  </si>
  <si>
    <t>815</t>
  </si>
  <si>
    <t>ELETRICISTA I</t>
  </si>
  <si>
    <t>000117</t>
  </si>
  <si>
    <t>137</t>
  </si>
  <si>
    <t>ENC SETOR PESSOAL</t>
  </si>
  <si>
    <t>000118</t>
  </si>
  <si>
    <t>248</t>
  </si>
  <si>
    <t>ENC. ADMINISTRATIVO</t>
  </si>
  <si>
    <t>Indenização Transporte</t>
  </si>
  <si>
    <t>000119</t>
  </si>
  <si>
    <t>006</t>
  </si>
  <si>
    <t>Encarregado</t>
  </si>
  <si>
    <t>992210</t>
  </si>
  <si>
    <t>000120</t>
  </si>
  <si>
    <t>789</t>
  </si>
  <si>
    <t>ENCARREGADO DE CARPINTARIA</t>
  </si>
  <si>
    <t>710205</t>
  </si>
  <si>
    <t>000121</t>
  </si>
  <si>
    <t>831</t>
  </si>
  <si>
    <t>ENCARREGADO DE DRENAGEM</t>
  </si>
  <si>
    <t>000122</t>
  </si>
  <si>
    <t>116</t>
  </si>
  <si>
    <t>ENCARREGADO DE OBRAS</t>
  </si>
  <si>
    <t>000123</t>
  </si>
  <si>
    <t>INSALUBRIDADE</t>
  </si>
  <si>
    <t>874</t>
  </si>
  <si>
    <t>ENCARREGADO DE OFICINA</t>
  </si>
  <si>
    <t>910105</t>
  </si>
  <si>
    <t>000124</t>
  </si>
  <si>
    <t>845</t>
  </si>
  <si>
    <t>ENCARREGADO DE PRODUÇÃO</t>
  </si>
  <si>
    <t>141205</t>
  </si>
  <si>
    <t>000125</t>
  </si>
  <si>
    <t>772</t>
  </si>
  <si>
    <t>ENCARREGADO DE SETOR</t>
  </si>
  <si>
    <t>000126</t>
  </si>
  <si>
    <t>775</t>
  </si>
  <si>
    <t>ENCARREGADO DE TERRAPLANAGEM</t>
  </si>
  <si>
    <t>710215</t>
  </si>
  <si>
    <t>000127</t>
  </si>
  <si>
    <t>849</t>
  </si>
  <si>
    <t>ENCARREGADO DE TURMA</t>
  </si>
  <si>
    <t>000128</t>
  </si>
  <si>
    <t>830</t>
  </si>
  <si>
    <t>ENCARREGADO GERAL</t>
  </si>
  <si>
    <t>000129</t>
  </si>
  <si>
    <t>703</t>
  </si>
  <si>
    <t>ENCARREGADO OPERACIONAL</t>
  </si>
  <si>
    <t>992205</t>
  </si>
  <si>
    <t>000130</t>
  </si>
  <si>
    <t>797</t>
  </si>
  <si>
    <t>Insalubridade</t>
  </si>
  <si>
    <t>ENCARREGADO SETOR TECNICO</t>
  </si>
  <si>
    <t>000131</t>
  </si>
  <si>
    <t>725</t>
  </si>
  <si>
    <t>ENCARREGADO(A) DE CONTAS</t>
  </si>
  <si>
    <t>410215</t>
  </si>
  <si>
    <t>000132</t>
  </si>
  <si>
    <t>743</t>
  </si>
  <si>
    <t>ENGENH DE SEGURAN DO TRAB</t>
  </si>
  <si>
    <t>214915</t>
  </si>
  <si>
    <t>000133</t>
  </si>
  <si>
    <t>745</t>
  </si>
  <si>
    <t>ENGENHEIRO AGRONOMO</t>
  </si>
  <si>
    <t>222110</t>
  </si>
  <si>
    <t>000134</t>
  </si>
  <si>
    <t>502</t>
  </si>
  <si>
    <t>ENGENHEIRO CIVIL</t>
  </si>
  <si>
    <t>214215</t>
  </si>
  <si>
    <t>000135</t>
  </si>
  <si>
    <t>718</t>
  </si>
  <si>
    <t>ENGENHEIRO ELETRICISTA</t>
  </si>
  <si>
    <t>214305</t>
  </si>
  <si>
    <t>000136</t>
  </si>
  <si>
    <t>719</t>
  </si>
  <si>
    <t>ENGENHEIRO ELETRICISTA-719</t>
  </si>
  <si>
    <t>000137</t>
  </si>
  <si>
    <t>801</t>
  </si>
  <si>
    <t>ENGENHEIRO PLANEJAMENTO</t>
  </si>
  <si>
    <t>INSS</t>
  </si>
  <si>
    <t>214205</t>
  </si>
  <si>
    <t>000138</t>
  </si>
  <si>
    <t>740</t>
  </si>
  <si>
    <t>ESTAGIARIO</t>
  </si>
  <si>
    <t>000139</t>
  </si>
  <si>
    <t>ESTAGIARIO DE POS GRADUAÇÃO</t>
  </si>
  <si>
    <t>000140</t>
  </si>
  <si>
    <t>779</t>
  </si>
  <si>
    <t>ESTAGIARIO NA CONSTRUÇÃO CIVIL</t>
  </si>
  <si>
    <t>000141</t>
  </si>
  <si>
    <t>078</t>
  </si>
  <si>
    <t>FERREIRO</t>
  </si>
  <si>
    <t>000142</t>
  </si>
  <si>
    <t>033</t>
  </si>
  <si>
    <t>869</t>
  </si>
  <si>
    <t>FERREIRO - PESADA</t>
  </si>
  <si>
    <t>000143</t>
  </si>
  <si>
    <t>813</t>
  </si>
  <si>
    <t>FERREIRO I</t>
  </si>
  <si>
    <t>000144</t>
  </si>
  <si>
    <t>744</t>
  </si>
  <si>
    <t>FISCAL</t>
  </si>
  <si>
    <t>511205</t>
  </si>
  <si>
    <t>000145</t>
  </si>
  <si>
    <t>199</t>
  </si>
  <si>
    <t>FISCAL DE OBRA</t>
  </si>
  <si>
    <t>000146</t>
  </si>
  <si>
    <t>FISCAL FTZA I</t>
  </si>
  <si>
    <t>000147</t>
  </si>
  <si>
    <t>762</t>
  </si>
  <si>
    <t>FISCAL FTZA II</t>
  </si>
  <si>
    <t>000148</t>
  </si>
  <si>
    <t>848</t>
  </si>
  <si>
    <t>FISCAL FTZA III</t>
  </si>
  <si>
    <t>000149</t>
  </si>
  <si>
    <t>764</t>
  </si>
  <si>
    <t>FISCAL MNUS</t>
  </si>
  <si>
    <t>000150</t>
  </si>
  <si>
    <t>188</t>
  </si>
  <si>
    <t>FRENTISTA</t>
  </si>
  <si>
    <t>521135</t>
  </si>
  <si>
    <t>000151</t>
  </si>
  <si>
    <t>829</t>
  </si>
  <si>
    <t>FRENTISTA I</t>
  </si>
  <si>
    <t>000152</t>
  </si>
  <si>
    <t>237</t>
  </si>
  <si>
    <t>GARI</t>
  </si>
  <si>
    <t>000153</t>
  </si>
  <si>
    <t>GARI FTZA</t>
  </si>
  <si>
    <t>000154</t>
  </si>
  <si>
    <t>757</t>
  </si>
  <si>
    <t>GARI MNUS</t>
  </si>
  <si>
    <t>000155</t>
  </si>
  <si>
    <t>GARI SGLO</t>
  </si>
  <si>
    <t>000156</t>
  </si>
  <si>
    <t>131</t>
  </si>
  <si>
    <t>GERENTE ADM/FINANCEIRO</t>
  </si>
  <si>
    <t>142115</t>
  </si>
  <si>
    <t>000157</t>
  </si>
  <si>
    <t>012</t>
  </si>
  <si>
    <t>GERENTE ADMINISTRATIVO</t>
  </si>
  <si>
    <t>000158</t>
  </si>
  <si>
    <t>605</t>
  </si>
  <si>
    <t>GERENTE COMERCIAL</t>
  </si>
  <si>
    <t>142305</t>
  </si>
  <si>
    <t>000159</t>
  </si>
  <si>
    <t>664</t>
  </si>
  <si>
    <t>GERENTE DE CONTROLADORIA</t>
  </si>
  <si>
    <t>000160</t>
  </si>
  <si>
    <t>013</t>
  </si>
  <si>
    <t>GERENTE DE LOCAÇÕES</t>
  </si>
  <si>
    <t>342305</t>
  </si>
  <si>
    <t>000161</t>
  </si>
  <si>
    <t>603</t>
  </si>
  <si>
    <t>GERENTE DE MARKETING</t>
  </si>
  <si>
    <t>142315</t>
  </si>
  <si>
    <t>000162</t>
  </si>
  <si>
    <t>756</t>
  </si>
  <si>
    <t>Gerente de Marketing</t>
  </si>
  <si>
    <t>GERENTE DE OBRAS</t>
  </si>
  <si>
    <t>000163</t>
  </si>
  <si>
    <t>780</t>
  </si>
  <si>
    <t>GERENTE DE PROJETOS</t>
  </si>
  <si>
    <t>142605</t>
  </si>
  <si>
    <t>000164</t>
  </si>
  <si>
    <t>766</t>
  </si>
  <si>
    <t>GERENTE DE RECURSOS HUMANOS</t>
  </si>
  <si>
    <t>000165</t>
  </si>
  <si>
    <t>198</t>
  </si>
  <si>
    <t>GERENTE FINANCEIRO</t>
  </si>
  <si>
    <t>000166</t>
  </si>
  <si>
    <t>792</t>
  </si>
  <si>
    <t>GERENTE OPERACIONAL</t>
  </si>
  <si>
    <t>000167</t>
  </si>
  <si>
    <t>765</t>
  </si>
  <si>
    <t>734</t>
  </si>
  <si>
    <t>GERENTE OPERACIONAL I</t>
  </si>
  <si>
    <t>141605</t>
  </si>
  <si>
    <t>000168</t>
  </si>
  <si>
    <t>763</t>
  </si>
  <si>
    <t>GERENTE OPERACIONAL II</t>
  </si>
  <si>
    <t>000169</t>
  </si>
  <si>
    <t>799</t>
  </si>
  <si>
    <t>GREDISTA</t>
  </si>
  <si>
    <t>000170</t>
  </si>
  <si>
    <t>822</t>
  </si>
  <si>
    <t>GREDISTA I</t>
  </si>
  <si>
    <t>000171</t>
  </si>
  <si>
    <t>832</t>
  </si>
  <si>
    <t>GREIDISTA</t>
  </si>
  <si>
    <t>000172</t>
  </si>
  <si>
    <t>868</t>
  </si>
  <si>
    <t>GREIDISTA - PESADA</t>
  </si>
  <si>
    <t>000173</t>
  </si>
  <si>
    <t>JARDINEIRO</t>
  </si>
  <si>
    <t>622010</t>
  </si>
  <si>
    <t>INSS (RESCISÃO)</t>
  </si>
  <si>
    <t>000174</t>
  </si>
  <si>
    <t>274</t>
  </si>
  <si>
    <t>235</t>
  </si>
  <si>
    <t>LABORATORISTA</t>
  </si>
  <si>
    <t>000175</t>
  </si>
  <si>
    <t>LIDER DE ATENDIMENTO CAFETERIA</t>
  </si>
  <si>
    <t>510130</t>
  </si>
  <si>
    <t>000176</t>
  </si>
  <si>
    <t>798</t>
  </si>
  <si>
    <t>MARTELEIRO</t>
  </si>
  <si>
    <t>711115</t>
  </si>
  <si>
    <t>000177</t>
  </si>
  <si>
    <t>821</t>
  </si>
  <si>
    <t>MARTELEIRO I</t>
  </si>
  <si>
    <t>000178</t>
  </si>
  <si>
    <t>106</t>
  </si>
  <si>
    <t>MECANICO</t>
  </si>
  <si>
    <t>911205</t>
  </si>
  <si>
    <t>000179</t>
  </si>
  <si>
    <t>914420</t>
  </si>
  <si>
    <t>914425</t>
  </si>
  <si>
    <t>000180</t>
  </si>
  <si>
    <t>136</t>
  </si>
  <si>
    <t>MEDICO DO TRABALHO</t>
  </si>
  <si>
    <t>223118</t>
  </si>
  <si>
    <t>225140</t>
  </si>
  <si>
    <t>000181</t>
  </si>
  <si>
    <t>767</t>
  </si>
  <si>
    <t>MESTRE DE CARPINTEIRO</t>
  </si>
  <si>
    <t>770110</t>
  </si>
  <si>
    <t>000182</t>
  </si>
  <si>
    <t>781</t>
  </si>
  <si>
    <t>MESTRE DE ELETRICISTA</t>
  </si>
  <si>
    <t>950110</t>
  </si>
  <si>
    <t>000183</t>
  </si>
  <si>
    <t>MESTRE DE ELETRICISTA I</t>
  </si>
  <si>
    <t>950105</t>
  </si>
  <si>
    <t>000184</t>
  </si>
  <si>
    <t>819</t>
  </si>
  <si>
    <t>000185</t>
  </si>
  <si>
    <t>768</t>
  </si>
  <si>
    <t>MESTRE DE FERREIRO</t>
  </si>
  <si>
    <t>720120</t>
  </si>
  <si>
    <t>000186</t>
  </si>
  <si>
    <t>069</t>
  </si>
  <si>
    <t>MESTRE DE OBRAS</t>
  </si>
  <si>
    <t>000187</t>
  </si>
  <si>
    <t>028</t>
  </si>
  <si>
    <t>INSS (Rescisão)</t>
  </si>
  <si>
    <t>866</t>
  </si>
  <si>
    <t>MESTRE DE OBRAS - PESADA</t>
  </si>
  <si>
    <t>000188</t>
  </si>
  <si>
    <t>817</t>
  </si>
  <si>
    <t>MESTRE DE OBRAS I</t>
  </si>
  <si>
    <t>000189</t>
  </si>
  <si>
    <t>870</t>
  </si>
  <si>
    <t>MESTRE DE OBRAS PESADA-PV</t>
  </si>
  <si>
    <t>000190</t>
  </si>
  <si>
    <t>214</t>
  </si>
  <si>
    <t>MESTRE DE PEDREIRO</t>
  </si>
  <si>
    <t>715210</t>
  </si>
  <si>
    <t>000191</t>
  </si>
  <si>
    <t>059</t>
  </si>
  <si>
    <t>MOTOQUEIRO</t>
  </si>
  <si>
    <t>519110</t>
  </si>
  <si>
    <t>000192</t>
  </si>
  <si>
    <t>071</t>
  </si>
  <si>
    <t>MOTORISTA</t>
  </si>
  <si>
    <t>423105</t>
  </si>
  <si>
    <t>000193</t>
  </si>
  <si>
    <t>782310</t>
  </si>
  <si>
    <t>000194</t>
  </si>
  <si>
    <t>MOTORISTA CAMINHAO</t>
  </si>
  <si>
    <t>000195</t>
  </si>
  <si>
    <t>795</t>
  </si>
  <si>
    <t>MOTORISTA CARRO DE PASSEIO</t>
  </si>
  <si>
    <t>782505</t>
  </si>
  <si>
    <t>782305</t>
  </si>
  <si>
    <t>000196</t>
  </si>
  <si>
    <t>MOTORISTA DE MUCK</t>
  </si>
  <si>
    <t>782515</t>
  </si>
  <si>
    <t>000197</t>
  </si>
  <si>
    <t>MOTORISTA DE VEICULO DE COLETA DE LIXO</t>
  </si>
  <si>
    <t>782510</t>
  </si>
  <si>
    <t>000198</t>
  </si>
  <si>
    <t>072</t>
  </si>
  <si>
    <t>MOTORISTA I</t>
  </si>
  <si>
    <t>000199</t>
  </si>
  <si>
    <t>MOTORISTA MNZ</t>
  </si>
  <si>
    <t>000200</t>
  </si>
  <si>
    <t>835</t>
  </si>
  <si>
    <t>MOTORISTA OPERACIONAL DE GUICHO</t>
  </si>
  <si>
    <t>000201</t>
  </si>
  <si>
    <t>851</t>
  </si>
  <si>
    <t>OFICIAL DE MANUTENÇÃO PREDIAL</t>
  </si>
  <si>
    <t>000202</t>
  </si>
  <si>
    <t>044</t>
  </si>
  <si>
    <t>018</t>
  </si>
  <si>
    <t>OFICIAL DE REDE</t>
  </si>
  <si>
    <t>000203</t>
  </si>
  <si>
    <t>777</t>
  </si>
  <si>
    <t>OP. BETONEIRA NÃO CARREGAVEL</t>
  </si>
  <si>
    <t>000204</t>
  </si>
  <si>
    <t>039</t>
  </si>
  <si>
    <t>669</t>
  </si>
  <si>
    <t>OPER. DE RETROESCAVADEIRA</t>
  </si>
  <si>
    <t>715125</t>
  </si>
  <si>
    <t>000205</t>
  </si>
  <si>
    <t>685</t>
  </si>
  <si>
    <t>OPER. PA MECANICO</t>
  </si>
  <si>
    <t>715135</t>
  </si>
  <si>
    <t>000206</t>
  </si>
  <si>
    <t>673</t>
  </si>
  <si>
    <t>OPER. PA-CARREGADEIRA</t>
  </si>
  <si>
    <t>000207</t>
  </si>
  <si>
    <t>770</t>
  </si>
  <si>
    <t>OPERADOR DE BETONEIRA</t>
  </si>
  <si>
    <t>000208</t>
  </si>
  <si>
    <t>062</t>
  </si>
  <si>
    <t>OPERADOR DE FORNO</t>
  </si>
  <si>
    <t>000209</t>
  </si>
  <si>
    <t>OPERADOR DE FORNO CREMATORIO</t>
  </si>
  <si>
    <t>516605</t>
  </si>
  <si>
    <t>000210</t>
  </si>
  <si>
    <t>066</t>
  </si>
  <si>
    <t>OPERADOR DE MAQUINA</t>
  </si>
  <si>
    <t>000211</t>
  </si>
  <si>
    <t>650</t>
  </si>
  <si>
    <t>OPERADOR DE MAQUINA 1</t>
  </si>
  <si>
    <t>761205</t>
  </si>
  <si>
    <t>000212</t>
  </si>
  <si>
    <t>850</t>
  </si>
  <si>
    <t>OPERADOR DE PA CARREGADEIRA</t>
  </si>
  <si>
    <t>000213</t>
  </si>
  <si>
    <t>279</t>
  </si>
  <si>
    <t>INSS 13º SALÁRIO (RESCISÃO)</t>
  </si>
  <si>
    <t>668</t>
  </si>
  <si>
    <t>OPERADOR ESCAVADEIRA</t>
  </si>
  <si>
    <t>715115</t>
  </si>
  <si>
    <t>000214</t>
  </si>
  <si>
    <t>109</t>
  </si>
  <si>
    <t>ORCAMENTISTA</t>
  </si>
  <si>
    <t>000215</t>
  </si>
  <si>
    <t>076</t>
  </si>
  <si>
    <t>PEDREIRO</t>
  </si>
  <si>
    <t>000216</t>
  </si>
  <si>
    <t>032</t>
  </si>
  <si>
    <t>863</t>
  </si>
  <si>
    <t>PEDREIRO - PESADA</t>
  </si>
  <si>
    <t>000217</t>
  </si>
  <si>
    <t>811</t>
  </si>
  <si>
    <t>PEDREIRO I</t>
  </si>
  <si>
    <t>000218</t>
  </si>
  <si>
    <t>871</t>
  </si>
  <si>
    <t>PEDREIRO PESADA-PV</t>
  </si>
  <si>
    <t>000219</t>
  </si>
  <si>
    <t>PINTOR</t>
  </si>
  <si>
    <t>716610</t>
  </si>
  <si>
    <t>000220</t>
  </si>
  <si>
    <t>023</t>
  </si>
  <si>
    <t>PORTEIRO</t>
  </si>
  <si>
    <t>517410</t>
  </si>
  <si>
    <t>000221</t>
  </si>
  <si>
    <t>043</t>
  </si>
  <si>
    <t>747</t>
  </si>
  <si>
    <t>PSICOLOGO</t>
  </si>
  <si>
    <t>251540</t>
  </si>
  <si>
    <t>000222</t>
  </si>
  <si>
    <t>659</t>
  </si>
  <si>
    <t>RECEPCIONISTA</t>
  </si>
  <si>
    <t>422105</t>
  </si>
  <si>
    <t>000223</t>
  </si>
  <si>
    <t>882</t>
  </si>
  <si>
    <t>RECEPCIONISTA.APRENDIZ.6HS</t>
  </si>
  <si>
    <t>000224</t>
  </si>
  <si>
    <t>633</t>
  </si>
  <si>
    <t>SECRETARIA</t>
  </si>
  <si>
    <t>INSS 13º Salário (Rescisão)</t>
  </si>
  <si>
    <t>000225</t>
  </si>
  <si>
    <t>117</t>
  </si>
  <si>
    <t>SERVENTE</t>
  </si>
  <si>
    <t>000226</t>
  </si>
  <si>
    <t>000227</t>
  </si>
  <si>
    <t>079</t>
  </si>
  <si>
    <t>SERVENTE DE OBRAS</t>
  </si>
  <si>
    <t>000228</t>
  </si>
  <si>
    <t>860</t>
  </si>
  <si>
    <t>SERVENTE DE OBRAS - PESADA</t>
  </si>
  <si>
    <t>000229</t>
  </si>
  <si>
    <t>816</t>
  </si>
  <si>
    <t>SERVENTE DE OBRAS I</t>
  </si>
  <si>
    <t>000230</t>
  </si>
  <si>
    <t>008</t>
  </si>
  <si>
    <t>872</t>
  </si>
  <si>
    <t>SERVENTE DE OBRAS PESADA-PV</t>
  </si>
  <si>
    <t>000231</t>
  </si>
  <si>
    <t>SERVICOS GERAIS</t>
  </si>
  <si>
    <t>514120</t>
  </si>
  <si>
    <t>000232</t>
  </si>
  <si>
    <t>000233</t>
  </si>
  <si>
    <t>846</t>
  </si>
  <si>
    <t>SINALEIRO</t>
  </si>
  <si>
    <t>782145</t>
  </si>
  <si>
    <t>000234</t>
  </si>
  <si>
    <t>717</t>
  </si>
  <si>
    <t>SOCIO</t>
  </si>
  <si>
    <t>000235</t>
  </si>
  <si>
    <t>794</t>
  </si>
  <si>
    <t>SUPERVISOR (A) DE OBRAS</t>
  </si>
  <si>
    <t>000236</t>
  </si>
  <si>
    <t>810</t>
  </si>
  <si>
    <t>SUPERVISOR DE ALMOXARIFADO</t>
  </si>
  <si>
    <t>000237</t>
  </si>
  <si>
    <t>880</t>
  </si>
  <si>
    <t>SUPERVISOR DE FROTA</t>
  </si>
  <si>
    <t>510105</t>
  </si>
  <si>
    <t>000238</t>
  </si>
  <si>
    <t>Supervisor de Vendas de Serviços</t>
  </si>
  <si>
    <t>520105</t>
  </si>
  <si>
    <t>000239</t>
  </si>
  <si>
    <t>643</t>
  </si>
  <si>
    <t>SUPERVISOR OPERACIONAL</t>
  </si>
  <si>
    <t>000240</t>
  </si>
  <si>
    <t>SUPERVISOR(A)</t>
  </si>
  <si>
    <t>000241</t>
  </si>
  <si>
    <t>507</t>
  </si>
  <si>
    <t>SUPERVISOR(A) DE VENDAS</t>
  </si>
  <si>
    <t>000242</t>
  </si>
  <si>
    <t>090</t>
  </si>
  <si>
    <t>TEC EM EDIFICACOES</t>
  </si>
  <si>
    <t>000243</t>
  </si>
  <si>
    <t>806</t>
  </si>
  <si>
    <t>TEC. DE PLANEJAMENTO DE OBRAS</t>
  </si>
  <si>
    <t>000244</t>
  </si>
  <si>
    <t>751</t>
  </si>
  <si>
    <t>TEC. DE SEGURANCA DO TRABALHO</t>
  </si>
  <si>
    <t>351605</t>
  </si>
  <si>
    <t>000245</t>
  </si>
  <si>
    <t>070</t>
  </si>
  <si>
    <t>TECNICO COMPUTACAO</t>
  </si>
  <si>
    <t>000246</t>
  </si>
  <si>
    <t>019</t>
  </si>
  <si>
    <t>TECNICO DE FIBRA</t>
  </si>
  <si>
    <t>INSS Base de Cálculo</t>
  </si>
  <si>
    <t>000247</t>
  </si>
  <si>
    <t>842</t>
  </si>
  <si>
    <t>TECNICO EM AGRIMENSURA</t>
  </si>
  <si>
    <t>312305</t>
  </si>
  <si>
    <t>000248</t>
  </si>
  <si>
    <t>833</t>
  </si>
  <si>
    <t>TECNICO EM AGRIMESSURA</t>
  </si>
  <si>
    <t>000249</t>
  </si>
  <si>
    <t>629</t>
  </si>
  <si>
    <t>TECNICO EM INFORMATICA</t>
  </si>
  <si>
    <t>313220</t>
  </si>
  <si>
    <t>000250</t>
  </si>
  <si>
    <t>864</t>
  </si>
  <si>
    <t>TECNICO EM SEGURANÇA NO TRABALHO - PESADA</t>
  </si>
  <si>
    <t>000251</t>
  </si>
  <si>
    <t>753</t>
  </si>
  <si>
    <t>TECNOLOGO EM CONSTRUÇÃO CIVIL</t>
  </si>
  <si>
    <t>214280</t>
  </si>
  <si>
    <t>000252</t>
  </si>
  <si>
    <t>784</t>
  </si>
  <si>
    <t>TOPOGRAFO</t>
  </si>
  <si>
    <t>000253</t>
  </si>
  <si>
    <t>820</t>
  </si>
  <si>
    <t>TOPOGRAFO I</t>
  </si>
  <si>
    <t>000254</t>
  </si>
  <si>
    <t>VENDEDOR DE PLANO FUNERARIO</t>
  </si>
  <si>
    <t>000255</t>
  </si>
  <si>
    <t>026</t>
  </si>
  <si>
    <t>VIGIA</t>
  </si>
  <si>
    <t>517420</t>
  </si>
  <si>
    <t>000256</t>
  </si>
  <si>
    <t>814</t>
  </si>
  <si>
    <t>VIGIA I</t>
  </si>
  <si>
    <t>000257</t>
  </si>
  <si>
    <t>837</t>
  </si>
  <si>
    <t>VIGIA NOTURNO</t>
  </si>
  <si>
    <t>000258</t>
  </si>
  <si>
    <t>862</t>
  </si>
  <si>
    <t>VIGIA NOTURNO - PESADA</t>
  </si>
  <si>
    <t>000259</t>
  </si>
  <si>
    <t>024</t>
  </si>
  <si>
    <t>ZELADOR</t>
  </si>
  <si>
    <t>000260</t>
  </si>
  <si>
    <t>IRRF</t>
  </si>
  <si>
    <t>IRRF (RESCISÃO)</t>
  </si>
  <si>
    <t>IRRF (Rescisão)</t>
  </si>
  <si>
    <t>IRRF 13º SALÁRIO (RESCISÃO)</t>
  </si>
  <si>
    <t>IRRF Base de Cálculo</t>
  </si>
  <si>
    <t>LÍQUIDO NEGATIVO</t>
  </si>
  <si>
    <t>Líquido Negativo</t>
  </si>
  <si>
    <t>LÍQUIDO NEGATIVO COMPENSAÇÃO</t>
  </si>
  <si>
    <t>Líquido Negativo Compensação</t>
  </si>
  <si>
    <t>MENSALIDADE SINDICAL</t>
  </si>
  <si>
    <t>Mensalidade Sindical</t>
  </si>
  <si>
    <t>Multa FGTS</t>
  </si>
  <si>
    <t>Multa FGTS Contribuição Social</t>
  </si>
  <si>
    <t>0929</t>
  </si>
  <si>
    <t>Odontosystem</t>
  </si>
  <si>
    <t>Outros (desconto)</t>
  </si>
  <si>
    <t>Outros (Desconto)</t>
  </si>
  <si>
    <t>Outros (Provento)</t>
  </si>
  <si>
    <t>PARTICIPACAO DE RESULTADOS</t>
  </si>
  <si>
    <t>Participação Lucros</t>
  </si>
  <si>
    <t>Participação Lucros - 1 Semestre-2023</t>
  </si>
  <si>
    <t>Participação Lucros - 1 Semestre-2024</t>
  </si>
  <si>
    <t>Participação Lucros - 1 Semestre-2025</t>
  </si>
  <si>
    <t>Participação Lucros - 2 Semestre</t>
  </si>
  <si>
    <t>Participação Lucros - 2 Semestre-2023</t>
  </si>
  <si>
    <t>Participação Lucros - 2 Semestre-2025</t>
  </si>
  <si>
    <t>Participação Lucros - Jan a Mar 2025</t>
  </si>
  <si>
    <t>Participação Lucros 01/2022</t>
  </si>
  <si>
    <t>Participação Lucros 01/2023</t>
  </si>
  <si>
    <t>Participação Lucros 02/2022</t>
  </si>
  <si>
    <t>Participação Lucros 02/2023</t>
  </si>
  <si>
    <t>Participação Lucros 03/2022</t>
  </si>
  <si>
    <t>Participação Lucros 03/2023</t>
  </si>
  <si>
    <t>Participação Lucros 04/2022</t>
  </si>
  <si>
    <t>Participação Lucros 04/2023</t>
  </si>
  <si>
    <t>Participação Lucros 05/2022</t>
  </si>
  <si>
    <t>Participação Lucros 05/2023</t>
  </si>
  <si>
    <t>Participação Lucros 06/2022</t>
  </si>
  <si>
    <t>Participação Lucros 06/2023</t>
  </si>
  <si>
    <t>Participação Lucros 06/2024</t>
  </si>
  <si>
    <t>Participação Lucros 07/2021</t>
  </si>
  <si>
    <t>Participação Lucros 07/2022</t>
  </si>
  <si>
    <t>Participação Lucros 07/2023</t>
  </si>
  <si>
    <t>Participação Lucros 08/2021</t>
  </si>
  <si>
    <t>Participação Lucros 08/2022</t>
  </si>
  <si>
    <t>Participação Lucros 08/2023</t>
  </si>
  <si>
    <t>Participação Lucros 09/2021</t>
  </si>
  <si>
    <t>Participação Lucros 09/2022</t>
  </si>
  <si>
    <t>Participação Lucros 10/2021</t>
  </si>
  <si>
    <t>Participação Lucros 10/2022</t>
  </si>
  <si>
    <t>Participação Lucros 11/2021</t>
  </si>
  <si>
    <t>Participação Lucros 11/2022</t>
  </si>
  <si>
    <t xml:space="preserve">SIND. DOS EMPREG. EM EMP. FUNERARIAS E CEMIT. PART. EST. CE </t>
  </si>
  <si>
    <t>09464265000115</t>
  </si>
  <si>
    <t>007</t>
  </si>
  <si>
    <t>SIND DE ASSEIO E CONSERVACAO</t>
  </si>
  <si>
    <t>23443849000135</t>
  </si>
  <si>
    <t>Participação Lucros 12/2021</t>
  </si>
  <si>
    <t>225</t>
  </si>
  <si>
    <t>SINDICATO DOS TRAB EM REST CHUR PIZZARIAS LANC FAST FOOD</t>
  </si>
  <si>
    <t>24878457000161</t>
  </si>
  <si>
    <t>218</t>
  </si>
  <si>
    <t>SINDICATO DA CONSTRUÇÃO PESADA - SINTRAPAV SP</t>
  </si>
  <si>
    <t>00000000000000</t>
  </si>
  <si>
    <t>114</t>
  </si>
  <si>
    <t>SINDICATO DA INDUSTRIA DA CONSTRU CIVIL</t>
  </si>
  <si>
    <t>07341019000140</t>
  </si>
  <si>
    <t>SINDICATO DOS COMERCIARIOS</t>
  </si>
  <si>
    <t>00000000000001</t>
  </si>
  <si>
    <t>SINDICATO DOS EMP EM EMP DE ASSEIO E CONS DO ESTADO DO AM</t>
  </si>
  <si>
    <t>23006562000148</t>
  </si>
  <si>
    <t>Participação Lucros 12/2022</t>
  </si>
  <si>
    <t>144</t>
  </si>
  <si>
    <t>SINDICATO CONSTRUCAO CIVIL DO INTERIOR</t>
  </si>
  <si>
    <t>44444444444444</t>
  </si>
  <si>
    <t>000</t>
  </si>
  <si>
    <t>0000000000000000</t>
  </si>
  <si>
    <t>220</t>
  </si>
  <si>
    <t>SINDICATO DOS TRABALHADORES DOMESTICOS DO ESTADO DO CEARA</t>
  </si>
  <si>
    <t>06075416000155</t>
  </si>
  <si>
    <t>216</t>
  </si>
  <si>
    <t>Sem Codigo</t>
  </si>
  <si>
    <t>00000000000216</t>
  </si>
  <si>
    <t>219</t>
  </si>
  <si>
    <t>SIND DOS TRAB DA IND CONST PESADA - AM</t>
  </si>
  <si>
    <t>04612081000131</t>
  </si>
  <si>
    <t>002</t>
  </si>
  <si>
    <t>SIND.DOS ESTABEL. DE SAUDE DO ESTADO CE</t>
  </si>
  <si>
    <t>Participação Lucros 2º Sem-2024</t>
  </si>
  <si>
    <t>223</t>
  </si>
  <si>
    <t>SINDICATO DOS TRAB NA IND DA CONST CIVIL DO ESTADO DE RO</t>
  </si>
  <si>
    <t>04236139000190</t>
  </si>
  <si>
    <t>222</t>
  </si>
  <si>
    <t>SECOVI-Sindicato Emp Comp Venda Loc  Adm de Imóveis do Ceara</t>
  </si>
  <si>
    <t>35004530000192</t>
  </si>
  <si>
    <t>148</t>
  </si>
  <si>
    <t>SINTEPAV CE</t>
  </si>
  <si>
    <t>04325091000196</t>
  </si>
  <si>
    <t>SIND DAS EMP ASSEIO E CONS EST DO RIO DE JANEIRO</t>
  </si>
  <si>
    <t>PARTICIPAÇÃO NOS LUCROS</t>
  </si>
  <si>
    <t>39244561000171</t>
  </si>
  <si>
    <t>224</t>
  </si>
  <si>
    <t xml:space="preserve">SINDICAM CE SINDICATO DOS CAMINHONEIROS </t>
  </si>
  <si>
    <t>02499529000127</t>
  </si>
  <si>
    <t>Participacao nos Lucros e Resultados</t>
  </si>
  <si>
    <t>Participação nos Lucros e Resultados</t>
  </si>
  <si>
    <t>Pensão Alimentícia</t>
  </si>
  <si>
    <t>PENSÃO ALIMENTÍCIA</t>
  </si>
  <si>
    <t>Pensão Alimentícia  Décimo</t>
  </si>
  <si>
    <t>Pensão Alimentícia  Férias</t>
  </si>
  <si>
    <t>Pensão Alimentícia  Isento</t>
  </si>
  <si>
    <t>Pensão Alimentícia  Mensal</t>
  </si>
  <si>
    <t>PENSÃO ALIMENTÍCIA (1)</t>
  </si>
  <si>
    <t>Pensão Alimentícia (1)</t>
  </si>
  <si>
    <t>PENSÃO ALIMENTÍCIA (1) Décimo</t>
  </si>
  <si>
    <t>PENSÃO ALIMENTÍCIA (1) Férias</t>
  </si>
  <si>
    <t>PENSÃO ALIMENTÍCIA (2)</t>
  </si>
  <si>
    <t>Pensao Alimenticia 2</t>
  </si>
  <si>
    <t>0957</t>
  </si>
  <si>
    <t>PENSÃO ALIMENTICIA C/SALARIOFAMILIA</t>
  </si>
  <si>
    <t>0950</t>
  </si>
  <si>
    <t>PENSÃO SALÁRIO MÍNIMO</t>
  </si>
  <si>
    <t>Pensão Salário Mínimo</t>
  </si>
  <si>
    <t>PERICULOSIDADE</t>
  </si>
  <si>
    <t>Periculosidade</t>
  </si>
  <si>
    <t>Plano de Saude  - Hapvida</t>
  </si>
  <si>
    <t>Plano de Saúde - Dependente</t>
  </si>
  <si>
    <t>Plano de Saúde - Titular</t>
  </si>
  <si>
    <t>Plano de Saude Hapvida-Dependentes</t>
  </si>
  <si>
    <t>0899</t>
  </si>
  <si>
    <t>PLANO DE SAÚDE UNIMED - D</t>
  </si>
  <si>
    <t>0909</t>
  </si>
  <si>
    <t>PLANO DE SAUDE UNIMED - T</t>
  </si>
  <si>
    <t>Plano de Saude Unimed - T</t>
  </si>
  <si>
    <t>PLANO HAP VIDA</t>
  </si>
  <si>
    <t>PLANO HAPVIDA - T</t>
  </si>
  <si>
    <t>0923</t>
  </si>
  <si>
    <t>PLANO HAPVIDA - TITULAR</t>
  </si>
  <si>
    <t>PLANO HAPVIDA MÊS ANTERIOR</t>
  </si>
  <si>
    <t>0920</t>
  </si>
  <si>
    <t>PLANO ODONT ODONTOSYSTEM</t>
  </si>
  <si>
    <t>PLANO ODONT ODONTOSYSTEM - DEPENDENTES</t>
  </si>
  <si>
    <t>PLANO ODONTO SYSTEM</t>
  </si>
  <si>
    <t>Plano Odontosystem/titular.Dependente</t>
  </si>
  <si>
    <t>PLR 1 SEMESTRE</t>
  </si>
  <si>
    <t>PLR 2 SEMESTRE 2024</t>
  </si>
  <si>
    <t>PLR 2ºSem 2020/1ºSem 2021</t>
  </si>
  <si>
    <t>PLR Construção Civil</t>
  </si>
  <si>
    <t>PLR- 1º SEMESTRE 2020</t>
  </si>
  <si>
    <t>Pro-labore</t>
  </si>
  <si>
    <t>PRODUTIVIDADE</t>
  </si>
  <si>
    <t>Produtividade</t>
  </si>
  <si>
    <t>FILIAL_DE</t>
  </si>
  <si>
    <t>DESCRICAO_SECAO_PARA</t>
  </si>
  <si>
    <t>Provisão Cred. Trab.- Desconto</t>
  </si>
  <si>
    <t>00101</t>
  </si>
  <si>
    <t>(S/M) PRESIDENCIA</t>
  </si>
  <si>
    <t>00102</t>
  </si>
  <si>
    <t>(S/M) SISTEMA DE GESTÃO DA QUALIDADE</t>
  </si>
  <si>
    <t>0010301</t>
  </si>
  <si>
    <t>(S/M) GERÊNCIA DE OBRAS</t>
  </si>
  <si>
    <t>Provisão Cred. Trab.- Provento</t>
  </si>
  <si>
    <t>0010302</t>
  </si>
  <si>
    <t>(S/M) ORÇAMENTOS - OBRAS</t>
  </si>
  <si>
    <t>0010303</t>
  </si>
  <si>
    <t>(S/M) PLAN E CONTROLE - OBRAS</t>
  </si>
  <si>
    <t>0010304</t>
  </si>
  <si>
    <t>(S/M) ADMINISTRACAO - OBRAS</t>
  </si>
  <si>
    <t>00104</t>
  </si>
  <si>
    <t>(S/M) GERÊNCIA COMERCIAL</t>
  </si>
  <si>
    <t>REAJUSTE SALARIAL</t>
  </si>
  <si>
    <t>0010501</t>
  </si>
  <si>
    <t>(S/M) GERÊNCIA ADM - FIN</t>
  </si>
  <si>
    <t>0010502</t>
  </si>
  <si>
    <t>(S/M) RECEPÇÃO</t>
  </si>
  <si>
    <t>Recesso Estagiario</t>
  </si>
  <si>
    <t>0010503</t>
  </si>
  <si>
    <t>(S/M) SERVIÇOS GERAIS</t>
  </si>
  <si>
    <t>0010504</t>
  </si>
  <si>
    <t>(S/M) COPA</t>
  </si>
  <si>
    <t>0010505</t>
  </si>
  <si>
    <t>(S/M) TECNOLOGIA DA INFORMAÇÃO</t>
  </si>
  <si>
    <t>0010506</t>
  </si>
  <si>
    <t>(S/M) COMPRAS</t>
  </si>
  <si>
    <t>001.01.001.09</t>
  </si>
  <si>
    <t>Recesso Proporcional  - Indenizado</t>
  </si>
  <si>
    <t>0010507</t>
  </si>
  <si>
    <t>(S/M) CONTAS A PAGAR</t>
  </si>
  <si>
    <t>0010508</t>
  </si>
  <si>
    <t>(S/M) RECURSOS HUMANOS</t>
  </si>
  <si>
    <t>001.01.001.03</t>
  </si>
  <si>
    <t>0010509</t>
  </si>
  <si>
    <t>(S/M) PORTARIA</t>
  </si>
  <si>
    <t>001.01.001.14</t>
  </si>
  <si>
    <t>0010601</t>
  </si>
  <si>
    <t>(S/M) GERÊNCIA DE CONTROLADORIA</t>
  </si>
  <si>
    <t>Reembolso de Vale Refeição</t>
  </si>
  <si>
    <t>001.01.001.07</t>
  </si>
  <si>
    <t>0010602</t>
  </si>
  <si>
    <t>(S/M) CONTABILIDADE</t>
  </si>
  <si>
    <t>001.01.001.06</t>
  </si>
  <si>
    <t>00107</t>
  </si>
  <si>
    <t>Refeição Mês Anterior</t>
  </si>
  <si>
    <t>00108</t>
  </si>
  <si>
    <t>ADM MATRIZ ECOFOR</t>
  </si>
  <si>
    <t>0020101</t>
  </si>
  <si>
    <t>(S/M) GERENCIA DE OPERAÇÃO</t>
  </si>
  <si>
    <t>REMUNERAÇÃO DE FÉRIAS</t>
  </si>
  <si>
    <t>0020102</t>
  </si>
  <si>
    <t>(S/M) SEGURANÇA DO TRABALHO</t>
  </si>
  <si>
    <t>001.01.001.11</t>
  </si>
  <si>
    <t>0020103</t>
  </si>
  <si>
    <t>(S/M) ALMOXARIFADO</t>
  </si>
  <si>
    <t>001.01.001.10</t>
  </si>
  <si>
    <t>0020104</t>
  </si>
  <si>
    <t>(S/M) MANUTENÇÃO</t>
  </si>
  <si>
    <t>0020105</t>
  </si>
  <si>
    <t>(S/M) MAQ. EQUIPAMENTOS</t>
  </si>
  <si>
    <t>002010600</t>
  </si>
  <si>
    <t>Remuneração de Férias</t>
  </si>
  <si>
    <t xml:space="preserve">OPERACAO FTZA </t>
  </si>
  <si>
    <t>001.03.002</t>
  </si>
  <si>
    <t>002010601</t>
  </si>
  <si>
    <t>AJUDANTE DE CAÇAMBA - SER I</t>
  </si>
  <si>
    <t>001.03.002.01</t>
  </si>
  <si>
    <t>002010602</t>
  </si>
  <si>
    <t>AJUDANTE DE CAÇAMBA - SER II</t>
  </si>
  <si>
    <t>001.03.002.02</t>
  </si>
  <si>
    <t>002010603</t>
  </si>
  <si>
    <t>AJUDANTE DE CAÇAMBA - SER III</t>
  </si>
  <si>
    <t>001.03.002.03</t>
  </si>
  <si>
    <t>002010604</t>
  </si>
  <si>
    <t>AJUDANTE DE CAÇAMBA - SER IV</t>
  </si>
  <si>
    <t>001.03.002.04</t>
  </si>
  <si>
    <t>002010605</t>
  </si>
  <si>
    <t>AJUDANTE DE CAÇAMBA - SER V</t>
  </si>
  <si>
    <t>001.03.002.05</t>
  </si>
  <si>
    <t>002010606</t>
  </si>
  <si>
    <t>AJUDANTE DE CAÇAMBA - SER VI</t>
  </si>
  <si>
    <t>001.03.002.06</t>
  </si>
  <si>
    <t>0020106071</t>
  </si>
  <si>
    <t>(S/M) AJUDANTE DE CAÇAMBA - SER N-1</t>
  </si>
  <si>
    <t>0020106072</t>
  </si>
  <si>
    <t>AJUDANTE DE CAÇAMBA - SER N-2</t>
  </si>
  <si>
    <t>REMUNERAÇÃO DE FÉRIAS EM DOBRO</t>
  </si>
  <si>
    <t>0020106073</t>
  </si>
  <si>
    <t>(S/M) AJUDANTE DE CAÇAMBA - SER N-3</t>
  </si>
  <si>
    <t>0020106074</t>
  </si>
  <si>
    <t>(S/M) AJUDANTE DE CAÇAMBA - SER N-4</t>
  </si>
  <si>
    <t>Remuneração Fixa</t>
  </si>
  <si>
    <t>002010608</t>
  </si>
  <si>
    <t>ECOPONTO</t>
  </si>
  <si>
    <t>001.03.002.08</t>
  </si>
  <si>
    <t>002010609</t>
  </si>
  <si>
    <t xml:space="preserve">NOITE                                                       </t>
  </si>
  <si>
    <t>001.03.002.07</t>
  </si>
  <si>
    <t>002010611</t>
  </si>
  <si>
    <t>FROTA - MOTORISTAS</t>
  </si>
  <si>
    <t>001.01.002</t>
  </si>
  <si>
    <t>002010620</t>
  </si>
  <si>
    <t>AJUDANTE DE CAÇAMBA - SCSP</t>
  </si>
  <si>
    <t>002010701</t>
  </si>
  <si>
    <t>(S/M) (OLD) GARI - SER II (NÃO USAR)</t>
  </si>
  <si>
    <t>002010702</t>
  </si>
  <si>
    <t>(S/M) (OLD) FISCAL - SER II (NÃO USAR)</t>
  </si>
  <si>
    <t>0914</t>
  </si>
  <si>
    <t>Reposiçao de Adicional Noturno</t>
  </si>
  <si>
    <t>002010801</t>
  </si>
  <si>
    <t>(S/M) (OLD) GARI - SER III (NÃO USAR)</t>
  </si>
  <si>
    <t>002010802</t>
  </si>
  <si>
    <t>(S/M) (OLD) FISCAL - SER III (NÃO USAR)</t>
  </si>
  <si>
    <t>RESC. ANTES DO PRAZO DETERMINADO (DESC.)</t>
  </si>
  <si>
    <t>002010901</t>
  </si>
  <si>
    <t>(S/M) (OLD) GARI - SER IV (NÃO USAR)</t>
  </si>
  <si>
    <t>002010902</t>
  </si>
  <si>
    <t>(S/M) (OLD) FISCAL - SER IV (NÃO USAR)</t>
  </si>
  <si>
    <t>Resc. Antes do Prazo Determinado (Desc.)</t>
  </si>
  <si>
    <t>002011001</t>
  </si>
  <si>
    <t>(S/M) (OLD) GARI - SER V (NÃO USAR)</t>
  </si>
  <si>
    <t>002011002</t>
  </si>
  <si>
    <t>(S/M) (OLD) FISCAL - SER V (NÃO USAR)</t>
  </si>
  <si>
    <t>002011101</t>
  </si>
  <si>
    <t>(S/M) (OLD) GARI - SER VI (NÃO USAR)</t>
  </si>
  <si>
    <t>002011102</t>
  </si>
  <si>
    <t>(S/M) (OLD) FISCAL - SER VI (NÃO USAR)</t>
  </si>
  <si>
    <t>002011103</t>
  </si>
  <si>
    <t>(S/M) (OLD) ANTIGA GARI - SER VI - 2 (NÃO USAR)</t>
  </si>
  <si>
    <t>RESC. ANTES DO PRAZO DETERMINADO (PROV.)</t>
  </si>
  <si>
    <t>002011104</t>
  </si>
  <si>
    <t>(S/M) (OLD) ANTIGA FISCAL - SER VI - 2 (NÃO USAR)</t>
  </si>
  <si>
    <t>002011201</t>
  </si>
  <si>
    <t>(S/M) (OLD) GARI - SER N - 1 (NÃO USAR)</t>
  </si>
  <si>
    <t>Resc. Antes do Prazo Determinado (Prov.)</t>
  </si>
  <si>
    <t>002011202</t>
  </si>
  <si>
    <t>(S/M) (OLD) FISCAL - SER N - 1 (NÃO USAR)</t>
  </si>
  <si>
    <t>002011203</t>
  </si>
  <si>
    <t>(S/M) (OLD) GARI - SER N - 2 (NÃO USAR)</t>
  </si>
  <si>
    <t>002011205</t>
  </si>
  <si>
    <t>(S/M) (OLD) GARI - SER N - 3 (NÃO USAR)</t>
  </si>
  <si>
    <t>002011206</t>
  </si>
  <si>
    <t>(S/M) (OLD) FISCAL - SER N - 3 (NÃO USAR)</t>
  </si>
  <si>
    <t>0020113</t>
  </si>
  <si>
    <t xml:space="preserve">(S/M) S G ESPECIAL </t>
  </si>
  <si>
    <t>002011401</t>
  </si>
  <si>
    <t>002011402</t>
  </si>
  <si>
    <t>(S/M) FISCAL - MANAUS</t>
  </si>
  <si>
    <t>RESSARCIMENTO VALE TRANSPORTE</t>
  </si>
  <si>
    <t>002011403</t>
  </si>
  <si>
    <t>ADM MANAUS</t>
  </si>
  <si>
    <t>002011404</t>
  </si>
  <si>
    <t>(S/M) MOTORISTA MNS</t>
  </si>
  <si>
    <t>SAL FAMILIA MESES ANTERIORES</t>
  </si>
  <si>
    <t>002011405</t>
  </si>
  <si>
    <t>(S/M) MAQ.EQUIPAMENTOS</t>
  </si>
  <si>
    <t>0020115</t>
  </si>
  <si>
    <t>(S/M) ESPECIAL GARIS</t>
  </si>
  <si>
    <t>0977</t>
  </si>
  <si>
    <t>Sal. Maternidade 13º Salário</t>
  </si>
  <si>
    <t>0020116</t>
  </si>
  <si>
    <t>002011701</t>
  </si>
  <si>
    <t>(S/M) GARI</t>
  </si>
  <si>
    <t>002011702</t>
  </si>
  <si>
    <t>(S/M) FISCAL</t>
  </si>
  <si>
    <t>002011703</t>
  </si>
  <si>
    <t>(S/M) ADM ECOFOR (NÃO USAR)</t>
  </si>
  <si>
    <t>0020118</t>
  </si>
  <si>
    <t>ADM ECOFOR (NOVO)</t>
  </si>
  <si>
    <t>Salário Contratual</t>
  </si>
  <si>
    <t>0020119</t>
  </si>
  <si>
    <t>(S/M) ADM ADM (NÃO USAR)</t>
  </si>
  <si>
    <t>0020201</t>
  </si>
  <si>
    <t>(S/M) GERENCIA ADM-FINANCEIRA</t>
  </si>
  <si>
    <t>0020202</t>
  </si>
  <si>
    <t>0020203</t>
  </si>
  <si>
    <t>(S/M) SETOR PESSOAL</t>
  </si>
  <si>
    <t>0020204</t>
  </si>
  <si>
    <t>0020205</t>
  </si>
  <si>
    <t>0020301</t>
  </si>
  <si>
    <t>ADM SGLO</t>
  </si>
  <si>
    <t>0020302</t>
  </si>
  <si>
    <t>00204</t>
  </si>
  <si>
    <t>(S/M) POSTO</t>
  </si>
  <si>
    <t>00205</t>
  </si>
  <si>
    <t>(S/M) JANGURUSSU</t>
  </si>
  <si>
    <t>Salario Licença</t>
  </si>
  <si>
    <t>00301</t>
  </si>
  <si>
    <t>(S/M) ADMINISTRAÇÃO</t>
  </si>
  <si>
    <t>00302</t>
  </si>
  <si>
    <t>(S/M) COORDENAÇÃO</t>
  </si>
  <si>
    <t>Salário Licença</t>
  </si>
  <si>
    <t>00306</t>
  </si>
  <si>
    <t>(S/M) PEDREIROS</t>
  </si>
  <si>
    <t>00401</t>
  </si>
  <si>
    <t>00501</t>
  </si>
  <si>
    <t>00503</t>
  </si>
  <si>
    <t>00601</t>
  </si>
  <si>
    <t>GERENCIA DE OBRAS</t>
  </si>
  <si>
    <t>00604</t>
  </si>
  <si>
    <t>APOIO OBRA</t>
  </si>
  <si>
    <t>COLIGADA</t>
  </si>
  <si>
    <t>00605</t>
  </si>
  <si>
    <t>ADMINISTRAÇÃO</t>
  </si>
  <si>
    <t>001.01.001.01</t>
  </si>
  <si>
    <t>Salário Licença Previdenciário</t>
  </si>
  <si>
    <t>FILIAL</t>
  </si>
  <si>
    <t>Código</t>
  </si>
  <si>
    <t>Descrição</t>
  </si>
  <si>
    <t>00606</t>
  </si>
  <si>
    <t>CEI/CNO</t>
  </si>
  <si>
    <t>(S/M) FERREIRO</t>
  </si>
  <si>
    <t>00607</t>
  </si>
  <si>
    <t>(S/M) ELETRICISTA</t>
  </si>
  <si>
    <t>0984</t>
  </si>
  <si>
    <t>00608</t>
  </si>
  <si>
    <t>(S/M) ENCARREGADO DE SETOR</t>
  </si>
  <si>
    <t>001.01</t>
  </si>
  <si>
    <t>ADMINISTRATIVO LCS (VISAO PROPOSTA)</t>
  </si>
  <si>
    <t>00609</t>
  </si>
  <si>
    <t>001.01.001</t>
  </si>
  <si>
    <t>ADMINISTRATIVO LCS (VISAO PROPOSTA )</t>
  </si>
  <si>
    <t>00610</t>
  </si>
  <si>
    <t>(S/M) APOIO ADMINISTRATIVO</t>
  </si>
  <si>
    <t>ADMINISTRACAO</t>
  </si>
  <si>
    <t>00611</t>
  </si>
  <si>
    <t>(S/M) CARPINTEIRO</t>
  </si>
  <si>
    <t>001.01.001.02</t>
  </si>
  <si>
    <t>MARKETING</t>
  </si>
  <si>
    <t>00612</t>
  </si>
  <si>
    <t>(S/M) BOMBEIRO HIDRAULICO</t>
  </si>
  <si>
    <t>RECURSOS HUMANOS</t>
  </si>
  <si>
    <t>00701</t>
  </si>
  <si>
    <t>001.01.001.04</t>
  </si>
  <si>
    <t>SETOR DE PESSOAL</t>
  </si>
  <si>
    <t>00804</t>
  </si>
  <si>
    <t>(S/M) APOIO OBRA</t>
  </si>
  <si>
    <t>001.01.001.05</t>
  </si>
  <si>
    <t>FINANCEIRO</t>
  </si>
  <si>
    <t>SALARIO MATERNIDADE PRORROGAÇÃO</t>
  </si>
  <si>
    <t>00901</t>
  </si>
  <si>
    <t>OBRA GNR</t>
  </si>
  <si>
    <t>CONTABIL</t>
  </si>
  <si>
    <t>CONTROLADORIA</t>
  </si>
  <si>
    <t>01701</t>
  </si>
  <si>
    <t>EUSEBIO</t>
  </si>
  <si>
    <t>Salário Proporcional - Contrato Aprendiz</t>
  </si>
  <si>
    <t>001.01.001.08</t>
  </si>
  <si>
    <t>JURIDICO</t>
  </si>
  <si>
    <t>025</t>
  </si>
  <si>
    <t>COMPRAS</t>
  </si>
  <si>
    <t>(S/M) LIMPEZA ECOFOR</t>
  </si>
  <si>
    <t>SALÁRIO-BASE</t>
  </si>
  <si>
    <t>SESMT</t>
  </si>
  <si>
    <t>(S/M) ITAITINGA</t>
  </si>
  <si>
    <t>001.01.001.12</t>
  </si>
  <si>
    <t>SEGURANCA PATRIMONIAL</t>
  </si>
  <si>
    <t>(S/M) ADMIN-007-AERO-NATAL</t>
  </si>
  <si>
    <t>001.01.001.13</t>
  </si>
  <si>
    <t>LIMPEZA E CONSERVACAO</t>
  </si>
  <si>
    <t>(S/M) SER I</t>
  </si>
  <si>
    <t>PORTARIA</t>
  </si>
  <si>
    <t>Salário-Base</t>
  </si>
  <si>
    <t>(S/M) SER II</t>
  </si>
  <si>
    <t>001.01.001.15</t>
  </si>
  <si>
    <t>AEROPARQUE</t>
  </si>
  <si>
    <t>FROTA</t>
  </si>
  <si>
    <t>(S/M) SER III</t>
  </si>
  <si>
    <t>001.01.002.01</t>
  </si>
  <si>
    <t>SUPERVISAO</t>
  </si>
  <si>
    <t>001.01.002.02</t>
  </si>
  <si>
    <t>TRANSPORTE</t>
  </si>
  <si>
    <t>(S/M) SER IV</t>
  </si>
  <si>
    <t>001.02</t>
  </si>
  <si>
    <t>OBRAS</t>
  </si>
  <si>
    <t>036</t>
  </si>
  <si>
    <t>001.02.001</t>
  </si>
  <si>
    <t>(S/M) SER V</t>
  </si>
  <si>
    <t>OBRA GUAJERU</t>
  </si>
  <si>
    <t>51.314.15340/84</t>
  </si>
  <si>
    <t>001.02.001.01</t>
  </si>
  <si>
    <t>001.02.001.02</t>
  </si>
  <si>
    <t>OPERACAO</t>
  </si>
  <si>
    <t>(S/M) SER VI</t>
  </si>
  <si>
    <t>001.02.002</t>
  </si>
  <si>
    <t>OBRA ASMOC</t>
  </si>
  <si>
    <t>51.298.74911/87</t>
  </si>
  <si>
    <t>001.02.002.01</t>
  </si>
  <si>
    <t>038</t>
  </si>
  <si>
    <t>(S/M) ECOFOR DIA</t>
  </si>
  <si>
    <t>001.02.002.02</t>
  </si>
  <si>
    <t>(S/M) ADMIN F FORTALEZA</t>
  </si>
  <si>
    <t>001.02.003</t>
  </si>
  <si>
    <t>CONSORCIO FTS LINHA LESTE</t>
  </si>
  <si>
    <t>SALÁRIO-FAMÍLIA</t>
  </si>
  <si>
    <t>51.322.09177/82</t>
  </si>
  <si>
    <t>001.02.003.01</t>
  </si>
  <si>
    <t>(S/M) CONSTRUCAO CIVIL</t>
  </si>
  <si>
    <t>001.02.003.02</t>
  </si>
  <si>
    <t>(S/M) CAUCAIA</t>
  </si>
  <si>
    <t>001.02.004</t>
  </si>
  <si>
    <t>DEMAIS OBRAS</t>
  </si>
  <si>
    <t>042</t>
  </si>
  <si>
    <t>(S/M) SER N</t>
  </si>
  <si>
    <t>001.02.004.01</t>
  </si>
  <si>
    <t>(S/M) CANINDE</t>
  </si>
  <si>
    <t>001.02.004.02</t>
  </si>
  <si>
    <t>(S/M) FIBRA I</t>
  </si>
  <si>
    <t>001.03</t>
  </si>
  <si>
    <t>Salário-Família</t>
  </si>
  <si>
    <t>CLIENTE ECOFOR</t>
  </si>
  <si>
    <t>001.03.001</t>
  </si>
  <si>
    <t>ADMINISTRATIVO ECOFOR</t>
  </si>
  <si>
    <t>(S/M) FIBRA II</t>
  </si>
  <si>
    <t>001.03.001.01</t>
  </si>
  <si>
    <t>001.03.001.02</t>
  </si>
  <si>
    <t>046</t>
  </si>
  <si>
    <t>(S/M) HIDRO</t>
  </si>
  <si>
    <t>001.03.001.03</t>
  </si>
  <si>
    <t>047</t>
  </si>
  <si>
    <t>(S/M) MAQUINAS E EQUIPAMENTOS</t>
  </si>
  <si>
    <t>001.03.001.04</t>
  </si>
  <si>
    <t>048</t>
  </si>
  <si>
    <t>(S/M) ECOFOR NOITE</t>
  </si>
  <si>
    <t>001.03.001.05</t>
  </si>
  <si>
    <t>050</t>
  </si>
  <si>
    <t>QUARENTENA (NÃO POSSUI GERAÇÃO)</t>
  </si>
  <si>
    <t>001.03.001.06</t>
  </si>
  <si>
    <t>051</t>
  </si>
  <si>
    <t>001.03.001.07</t>
  </si>
  <si>
    <t>001.03.001.08</t>
  </si>
  <si>
    <t>SAO BENEDITO</t>
  </si>
  <si>
    <t>001.03.001.09</t>
  </si>
  <si>
    <t>054</t>
  </si>
  <si>
    <t>ADM MATRIZ OBRAS</t>
  </si>
  <si>
    <t>001.03.001.10</t>
  </si>
  <si>
    <t>05.603.629/0001-41</t>
  </si>
  <si>
    <t>055</t>
  </si>
  <si>
    <t>ECOOSASCO - EXPANSAO DO ATERRO SANITARIO DE OSASCO</t>
  </si>
  <si>
    <t>001.03.001.11</t>
  </si>
  <si>
    <t>05.603.629/0001-42</t>
  </si>
  <si>
    <t>001.03.001.12</t>
  </si>
  <si>
    <t>05.603.629/0001-43</t>
  </si>
  <si>
    <t>056</t>
  </si>
  <si>
    <t>ECOMANAUS - NOVO ATERRO SANITARIO MANAUS</t>
  </si>
  <si>
    <t>001.03.001.13</t>
  </si>
  <si>
    <t>05.603.629/0001-44</t>
  </si>
  <si>
    <t>057</t>
  </si>
  <si>
    <t>001.002.003</t>
  </si>
  <si>
    <t>Salário-Família Base de Cálculo</t>
  </si>
  <si>
    <t>001.03.001.14</t>
  </si>
  <si>
    <t>058</t>
  </si>
  <si>
    <t>PATIO CASTELÃO</t>
  </si>
  <si>
    <t>05.603.629/0001-45</t>
  </si>
  <si>
    <t>SERRINHA</t>
  </si>
  <si>
    <t>REGIONAL I</t>
  </si>
  <si>
    <t>060</t>
  </si>
  <si>
    <t>ATERRO SANITARIO AQUIRAZ</t>
  </si>
  <si>
    <t>REGIONAL II</t>
  </si>
  <si>
    <t>061</t>
  </si>
  <si>
    <t>ATERRO SANITARIO PORTO VELHO</t>
  </si>
  <si>
    <t>REGIONAL III</t>
  </si>
  <si>
    <t>REGIONAL IV</t>
  </si>
  <si>
    <t>REGIONAL V</t>
  </si>
  <si>
    <t>REGIONAL VI</t>
  </si>
  <si>
    <t>100</t>
  </si>
  <si>
    <t>REGIONAL NOITE</t>
  </si>
  <si>
    <t>0010101</t>
  </si>
  <si>
    <t>ADM MATRIZ</t>
  </si>
  <si>
    <t>SALÁRIO-MATERNIDADE</t>
  </si>
  <si>
    <t>002010101</t>
  </si>
  <si>
    <t>ADM</t>
  </si>
  <si>
    <t>Salário-Maternidade</t>
  </si>
  <si>
    <t>BOA EMPREENDIMENTOS</t>
  </si>
  <si>
    <t>002010201</t>
  </si>
  <si>
    <t>SER I</t>
  </si>
  <si>
    <t>ADMINISTRATIVO</t>
  </si>
  <si>
    <t>002010202</t>
  </si>
  <si>
    <t>SER II</t>
  </si>
  <si>
    <t>Salário-Maternidade 13º Salário (Info.)</t>
  </si>
  <si>
    <t>001.01.01</t>
  </si>
  <si>
    <t>002010203</t>
  </si>
  <si>
    <t>SER III</t>
  </si>
  <si>
    <t>001.02.01</t>
  </si>
  <si>
    <t>OPERACIONAL</t>
  </si>
  <si>
    <t>SALDO DE SALARIO</t>
  </si>
  <si>
    <t>002010204</t>
  </si>
  <si>
    <t>SER IV</t>
  </si>
  <si>
    <t>002010205</t>
  </si>
  <si>
    <t>SER V</t>
  </si>
  <si>
    <t>0020102061</t>
  </si>
  <si>
    <t>SER VI - 1</t>
  </si>
  <si>
    <t>Saldo de Salário</t>
  </si>
  <si>
    <t>0020102062</t>
  </si>
  <si>
    <t>SER VI - 2</t>
  </si>
  <si>
    <t>0020102101</t>
  </si>
  <si>
    <t>SER NT - 1</t>
  </si>
  <si>
    <t>001.01.02</t>
  </si>
  <si>
    <t>48.636.176/0001-61</t>
  </si>
  <si>
    <t>0020102102</t>
  </si>
  <si>
    <t>SER NT - 2</t>
  </si>
  <si>
    <t>0020102103</t>
  </si>
  <si>
    <t>SER NT - 3</t>
  </si>
  <si>
    <t>MANUTENCAO</t>
  </si>
  <si>
    <t>002020201</t>
  </si>
  <si>
    <t>MÁQ. EQUIPAMENTOS</t>
  </si>
  <si>
    <t>Saldo para Fins Rescisórios</t>
  </si>
  <si>
    <t>003010101</t>
  </si>
  <si>
    <t>0040101</t>
  </si>
  <si>
    <t>SERV EXTRA DIRETORIA</t>
  </si>
  <si>
    <t>NÃO USAR</t>
  </si>
  <si>
    <t>GERENCIA FINANCEIRA</t>
  </si>
  <si>
    <t>COMERCIAL</t>
  </si>
  <si>
    <t>VENDAS DIRETAS</t>
  </si>
  <si>
    <t>Suspensão</t>
  </si>
  <si>
    <t>001.03.01</t>
  </si>
  <si>
    <t>001.03.02</t>
  </si>
  <si>
    <t>CREMATORIO</t>
  </si>
  <si>
    <t>009</t>
  </si>
  <si>
    <t>TAXA ASSISTENCIAL</t>
  </si>
  <si>
    <t>ATIVA COOPERADOS LTDA</t>
  </si>
  <si>
    <t>011</t>
  </si>
  <si>
    <t>Taxa Assistencial</t>
  </si>
  <si>
    <t>PATIO</t>
  </si>
  <si>
    <t>TICKET ALIMENTAÇÃO</t>
  </si>
  <si>
    <t>014</t>
  </si>
  <si>
    <t>MC COFFEE SHOP LTDA</t>
  </si>
  <si>
    <t>0983</t>
  </si>
  <si>
    <t>TICKET ALIMENTAÇÃO MES ANT</t>
  </si>
  <si>
    <t>430</t>
  </si>
  <si>
    <t>GERENCIA</t>
  </si>
  <si>
    <t>FRENTE DE LOJA</t>
  </si>
  <si>
    <t>020</t>
  </si>
  <si>
    <t>PET</t>
  </si>
  <si>
    <t>Vale</t>
  </si>
  <si>
    <t>999</t>
  </si>
  <si>
    <t>VALE ALIMENTAÇÃO</t>
  </si>
  <si>
    <t>OBRA PRACA</t>
  </si>
  <si>
    <t>003</t>
  </si>
  <si>
    <t>OBRA CANAL</t>
  </si>
  <si>
    <t>OBRA MATRIZ</t>
  </si>
  <si>
    <t>VALE ALIMENTAÇÃO MESES ANTERIORES</t>
  </si>
  <si>
    <t>DIRETORIA</t>
  </si>
  <si>
    <t>OPERAÇÃO FTZA</t>
  </si>
  <si>
    <t>0971</t>
  </si>
  <si>
    <t>Vale Combustivel</t>
  </si>
  <si>
    <t>PÁTIO CASTELÃO</t>
  </si>
  <si>
    <t>001.04</t>
  </si>
  <si>
    <t>ADMINISTRATIVO I</t>
  </si>
  <si>
    <t>0912</t>
  </si>
  <si>
    <t>VALE REFEICAO</t>
  </si>
  <si>
    <t>ADMINISTRATIVO LC EMPREENDIMENTOS</t>
  </si>
  <si>
    <t>OBRA PATIO CASTELÃO</t>
  </si>
  <si>
    <t>CAFETERIA MC</t>
  </si>
  <si>
    <t>0982</t>
  </si>
  <si>
    <t>VALE TRANSPORTE</t>
  </si>
  <si>
    <t>Vale Transporte</t>
  </si>
  <si>
    <t>VALE-TRANSPORTE</t>
  </si>
  <si>
    <t>Vale-Transporte</t>
  </si>
  <si>
    <t>CODIGO_BANCO_DE</t>
  </si>
  <si>
    <t>CODIGO_AGENCIA_DE</t>
  </si>
  <si>
    <t>NUMBANCO_DE</t>
  </si>
  <si>
    <t>NOME_BANCO_DE</t>
  </si>
  <si>
    <t>NUMAGENCIA_DE</t>
  </si>
  <si>
    <t>NOME_AGENCIA_DE</t>
  </si>
  <si>
    <t>CODIGO_BANCO_PARA</t>
  </si>
  <si>
    <t>CODIGO_AGENCIA_PARA</t>
  </si>
  <si>
    <t>DIGITO_AGENCIA_PARA</t>
  </si>
  <si>
    <t>5648</t>
  </si>
  <si>
    <t>BANCO DO BRASIL</t>
  </si>
  <si>
    <t>46574</t>
  </si>
  <si>
    <t>Agencia Ocara</t>
  </si>
  <si>
    <t>4657</t>
  </si>
  <si>
    <t>5649</t>
  </si>
  <si>
    <t>22853</t>
  </si>
  <si>
    <t>2285-3</t>
  </si>
  <si>
    <t>2285</t>
  </si>
  <si>
    <t>2793</t>
  </si>
  <si>
    <t>27936</t>
  </si>
  <si>
    <t>2793-6</t>
  </si>
  <si>
    <t>0085X</t>
  </si>
  <si>
    <t>0085-X</t>
  </si>
  <si>
    <t>3646</t>
  </si>
  <si>
    <t>36463</t>
  </si>
  <si>
    <t>CAMBEBA</t>
  </si>
  <si>
    <t>0852-4</t>
  </si>
  <si>
    <t>CENTRO</t>
  </si>
  <si>
    <t>32530</t>
  </si>
  <si>
    <t>Agência (Fortaleza)</t>
  </si>
  <si>
    <t>3253</t>
  </si>
  <si>
    <t>5624</t>
  </si>
  <si>
    <t>40525</t>
  </si>
  <si>
    <t>SOBRAL 4052-5</t>
  </si>
  <si>
    <t>4052</t>
  </si>
  <si>
    <t>1790</t>
  </si>
  <si>
    <t>12920</t>
  </si>
  <si>
    <t>1292-0</t>
  </si>
  <si>
    <t>1292</t>
  </si>
  <si>
    <t>SANTANDE</t>
  </si>
  <si>
    <t>1816</t>
  </si>
  <si>
    <t>SANTANDER DEL PASEO</t>
  </si>
  <si>
    <t>5615</t>
  </si>
  <si>
    <t>35149</t>
  </si>
  <si>
    <t>3514-9</t>
  </si>
  <si>
    <t>3514</t>
  </si>
  <si>
    <t>9</t>
  </si>
  <si>
    <t>5610</t>
  </si>
  <si>
    <t>02429</t>
  </si>
  <si>
    <t>Agência 0242-9</t>
  </si>
  <si>
    <t>00949</t>
  </si>
  <si>
    <t>CRATO</t>
  </si>
  <si>
    <t>2987</t>
  </si>
  <si>
    <t>104</t>
  </si>
  <si>
    <t>CEF</t>
  </si>
  <si>
    <t>00048120-8</t>
  </si>
  <si>
    <t>CAIXA ECONOMICA FERERAL</t>
  </si>
  <si>
    <t>4812</t>
  </si>
  <si>
    <t>4650</t>
  </si>
  <si>
    <t>41599</t>
  </si>
  <si>
    <t>4159-9</t>
  </si>
  <si>
    <t>4159</t>
  </si>
  <si>
    <t>5629</t>
  </si>
  <si>
    <t>03948</t>
  </si>
  <si>
    <t>SAO GONÇCALO 0394-8</t>
  </si>
  <si>
    <t>8</t>
  </si>
  <si>
    <t>5630</t>
  </si>
  <si>
    <t>12084</t>
  </si>
  <si>
    <t>MANAUS 1208-4</t>
  </si>
  <si>
    <t>1208</t>
  </si>
  <si>
    <t>275</t>
  </si>
  <si>
    <t>REAL</t>
  </si>
  <si>
    <t>FORTALEZA</t>
  </si>
  <si>
    <t>3887</t>
  </si>
  <si>
    <t>38873</t>
  </si>
  <si>
    <t>CONJUNTO CEARA</t>
  </si>
  <si>
    <t>BRADESCO</t>
  </si>
  <si>
    <t>0452-9</t>
  </si>
  <si>
    <t>5623</t>
  </si>
  <si>
    <t>09628</t>
  </si>
  <si>
    <t>PENTECOSTE 0962-8</t>
  </si>
  <si>
    <t>36536</t>
  </si>
  <si>
    <t>Benfica (Fortaleza)</t>
  </si>
  <si>
    <t>3653</t>
  </si>
  <si>
    <t>5617</t>
  </si>
  <si>
    <t>37311</t>
  </si>
  <si>
    <t>3731-1</t>
  </si>
  <si>
    <t>3731</t>
  </si>
  <si>
    <t>4042</t>
  </si>
  <si>
    <t>AMONATADA</t>
  </si>
  <si>
    <t>Super Conta</t>
  </si>
  <si>
    <t>16055</t>
  </si>
  <si>
    <t>Praça do Carmo (Fortaleza)</t>
  </si>
  <si>
    <t>1605</t>
  </si>
  <si>
    <t>5613</t>
  </si>
  <si>
    <t>42722</t>
  </si>
  <si>
    <t>Agência 4272-2</t>
  </si>
  <si>
    <t>4272</t>
  </si>
  <si>
    <t>1340</t>
  </si>
  <si>
    <t>CIDADE NOVA 1340</t>
  </si>
  <si>
    <t>1605-5</t>
  </si>
  <si>
    <t>5607</t>
  </si>
  <si>
    <t>42188</t>
  </si>
  <si>
    <t>Agência 4218-8</t>
  </si>
  <si>
    <t>4218</t>
  </si>
  <si>
    <t>1788</t>
  </si>
  <si>
    <t>32964</t>
  </si>
  <si>
    <t>3296</t>
  </si>
  <si>
    <t>4041</t>
  </si>
  <si>
    <t>4041X</t>
  </si>
  <si>
    <t>16683</t>
  </si>
  <si>
    <t>Campus Universitário (Natal)</t>
  </si>
  <si>
    <t>1668</t>
  </si>
  <si>
    <t>3673</t>
  </si>
  <si>
    <t>36730</t>
  </si>
  <si>
    <t>5657</t>
  </si>
  <si>
    <t>57851</t>
  </si>
  <si>
    <t>5785-1</t>
  </si>
  <si>
    <t>5785</t>
  </si>
  <si>
    <t>4053</t>
  </si>
  <si>
    <t>3253-0</t>
  </si>
  <si>
    <t>5669</t>
  </si>
  <si>
    <t>18627</t>
  </si>
  <si>
    <t>Manaus 1862-7</t>
  </si>
  <si>
    <t>1862</t>
  </si>
  <si>
    <t>5627</t>
  </si>
  <si>
    <t>SAO GONCALO 0394-8</t>
  </si>
  <si>
    <t>3473</t>
  </si>
  <si>
    <t>34738</t>
  </si>
  <si>
    <t>PAPICU</t>
  </si>
  <si>
    <t>3474</t>
  </si>
  <si>
    <t>34746</t>
  </si>
  <si>
    <t>1781</t>
  </si>
  <si>
    <t>04812</t>
  </si>
  <si>
    <t>0481-2</t>
  </si>
  <si>
    <t>3880</t>
  </si>
  <si>
    <t>38806</t>
  </si>
  <si>
    <t>Itaitinga</t>
  </si>
  <si>
    <t>1789</t>
  </si>
  <si>
    <t>12955</t>
  </si>
  <si>
    <t>1295-5</t>
  </si>
  <si>
    <t>1295</t>
  </si>
  <si>
    <t>5653</t>
  </si>
  <si>
    <t>26069</t>
  </si>
  <si>
    <t>2606</t>
  </si>
  <si>
    <t>5626</t>
  </si>
  <si>
    <t>42633</t>
  </si>
  <si>
    <t>MANAUS 4263-3</t>
  </si>
  <si>
    <t>4263</t>
  </si>
  <si>
    <t>1783</t>
  </si>
  <si>
    <t>28797</t>
  </si>
  <si>
    <t>2879-7</t>
  </si>
  <si>
    <t>2879</t>
  </si>
  <si>
    <t>5656</t>
  </si>
  <si>
    <t>59269</t>
  </si>
  <si>
    <t>5926-9</t>
  </si>
  <si>
    <t>5926</t>
  </si>
  <si>
    <t>5650</t>
  </si>
  <si>
    <t>4272-2</t>
  </si>
  <si>
    <t>5664</t>
  </si>
  <si>
    <t>41491</t>
  </si>
  <si>
    <t>4149</t>
  </si>
  <si>
    <t>2937</t>
  </si>
  <si>
    <t>29378</t>
  </si>
  <si>
    <t>5641</t>
  </si>
  <si>
    <t>25941</t>
  </si>
  <si>
    <t>2594-1</t>
  </si>
  <si>
    <t>2594</t>
  </si>
  <si>
    <t>4054</t>
  </si>
  <si>
    <t>3472X</t>
  </si>
  <si>
    <t>3472-X</t>
  </si>
  <si>
    <t>3472</t>
  </si>
  <si>
    <t>3631</t>
  </si>
  <si>
    <t>11576</t>
  </si>
  <si>
    <t>Sobral</t>
  </si>
  <si>
    <t>1157</t>
  </si>
  <si>
    <t>1525-3</t>
  </si>
  <si>
    <t>MANAUS</t>
  </si>
  <si>
    <t>1525</t>
  </si>
  <si>
    <t>5673</t>
  </si>
  <si>
    <t>01023</t>
  </si>
  <si>
    <t>102-3-PVH</t>
  </si>
  <si>
    <t>1780</t>
  </si>
  <si>
    <t>00000</t>
  </si>
  <si>
    <t>PONTES VIEIRA</t>
  </si>
  <si>
    <t>0000</t>
  </si>
  <si>
    <t>1799</t>
  </si>
  <si>
    <t>1799X</t>
  </si>
  <si>
    <t>5603</t>
  </si>
  <si>
    <t>29173</t>
  </si>
  <si>
    <t>PONTES VIEIRA II</t>
  </si>
  <si>
    <t>2917</t>
  </si>
  <si>
    <t>3424</t>
  </si>
  <si>
    <t>1958-5</t>
  </si>
  <si>
    <t>AGENCIA 1958-5</t>
  </si>
  <si>
    <t>1958</t>
  </si>
  <si>
    <t>5628</t>
  </si>
  <si>
    <t>28991</t>
  </si>
  <si>
    <t>SAO GONCALO 2899-1</t>
  </si>
  <si>
    <t>2899</t>
  </si>
  <si>
    <t>5611</t>
  </si>
  <si>
    <t>00027</t>
  </si>
  <si>
    <t>Agência 0002-7</t>
  </si>
  <si>
    <t>5608</t>
  </si>
  <si>
    <t>34797</t>
  </si>
  <si>
    <t>Agência 3479-7</t>
  </si>
  <si>
    <t>3479</t>
  </si>
  <si>
    <t>5614</t>
  </si>
  <si>
    <t>57258</t>
  </si>
  <si>
    <t>5725-8</t>
  </si>
  <si>
    <t>5725</t>
  </si>
  <si>
    <t>5604</t>
  </si>
  <si>
    <t>Agência 2285-3</t>
  </si>
  <si>
    <t>5634</t>
  </si>
  <si>
    <t>46825</t>
  </si>
  <si>
    <t>4682-5</t>
  </si>
  <si>
    <t>4682</t>
  </si>
  <si>
    <t>12181</t>
  </si>
  <si>
    <t>1218-1</t>
  </si>
  <si>
    <t>1218</t>
  </si>
  <si>
    <t>1786</t>
  </si>
  <si>
    <t>10413</t>
  </si>
  <si>
    <t>1041-3</t>
  </si>
  <si>
    <t>5616</t>
  </si>
  <si>
    <t>32867</t>
  </si>
  <si>
    <t>3286-7</t>
  </si>
  <si>
    <t>3286</t>
  </si>
  <si>
    <t>5643</t>
  </si>
  <si>
    <t>43818</t>
  </si>
  <si>
    <t>4381-8</t>
  </si>
  <si>
    <t>4381</t>
  </si>
  <si>
    <t>5638</t>
  </si>
  <si>
    <t>56634</t>
  </si>
  <si>
    <t>5663-4 FRECHEIRINHA</t>
  </si>
  <si>
    <t>5663</t>
  </si>
  <si>
    <t>3425</t>
  </si>
  <si>
    <t>1548</t>
  </si>
  <si>
    <t>3537</t>
  </si>
  <si>
    <t>São Gonçalo</t>
  </si>
  <si>
    <t>5640</t>
  </si>
  <si>
    <t>09423</t>
  </si>
  <si>
    <t>942-3</t>
  </si>
  <si>
    <t>0942</t>
  </si>
  <si>
    <t>3471</t>
  </si>
  <si>
    <t>34711</t>
  </si>
  <si>
    <t>MONSENHOR TABOSA</t>
  </si>
  <si>
    <t>4436</t>
  </si>
  <si>
    <t>44369</t>
  </si>
  <si>
    <t>4436-9</t>
  </si>
  <si>
    <t>5605</t>
  </si>
  <si>
    <t>33782</t>
  </si>
  <si>
    <t>Agência 3378-2</t>
  </si>
  <si>
    <t>3378</t>
  </si>
  <si>
    <t>4043</t>
  </si>
  <si>
    <t>29068</t>
  </si>
  <si>
    <t xml:space="preserve">AV.OSORIO DE PAIVA </t>
  </si>
  <si>
    <t>2906</t>
  </si>
  <si>
    <t>5646</t>
  </si>
  <si>
    <t>50490</t>
  </si>
  <si>
    <t>5049</t>
  </si>
  <si>
    <t>3140-2</t>
  </si>
  <si>
    <t>3140</t>
  </si>
  <si>
    <t>3655</t>
  </si>
  <si>
    <t>36552</t>
  </si>
  <si>
    <t>BARÃO DE ARACATI</t>
  </si>
  <si>
    <t>5633</t>
  </si>
  <si>
    <t>Sao Gonçalo</t>
  </si>
  <si>
    <t>029173</t>
  </si>
  <si>
    <t>PONTES VIEIRA - 2917-3</t>
  </si>
  <si>
    <t>4552</t>
  </si>
  <si>
    <t>00001</t>
  </si>
  <si>
    <t>AV. DESEMBARGADOR MOREIRA</t>
  </si>
  <si>
    <t>3508</t>
  </si>
  <si>
    <t>AGENCIA 3508</t>
  </si>
  <si>
    <t>5612</t>
  </si>
  <si>
    <t>42196</t>
  </si>
  <si>
    <t>Agência 4219-6</t>
  </si>
  <si>
    <t>4219</t>
  </si>
  <si>
    <t>5647</t>
  </si>
  <si>
    <t>51101</t>
  </si>
  <si>
    <t>5110-1</t>
  </si>
  <si>
    <t>5110</t>
  </si>
  <si>
    <t>3962</t>
  </si>
  <si>
    <t>SANTANDER IGUATEMI</t>
  </si>
  <si>
    <t>5639</t>
  </si>
  <si>
    <t>2273X</t>
  </si>
  <si>
    <t>2273-X</t>
  </si>
  <si>
    <t>2273</t>
  </si>
  <si>
    <t>06750</t>
  </si>
  <si>
    <t>AGUA FRIA 1</t>
  </si>
  <si>
    <t>5632</t>
  </si>
  <si>
    <t>sao gonçalo</t>
  </si>
  <si>
    <t>4293</t>
  </si>
  <si>
    <t>42935</t>
  </si>
  <si>
    <t>5620</t>
  </si>
  <si>
    <t>11363</t>
  </si>
  <si>
    <t>1136-3</t>
  </si>
  <si>
    <t>1136</t>
  </si>
  <si>
    <t>5619</t>
  </si>
  <si>
    <t>1219X</t>
  </si>
  <si>
    <t>1219-X</t>
  </si>
  <si>
    <t>1219</t>
  </si>
  <si>
    <t>5636</t>
  </si>
  <si>
    <t>08508</t>
  </si>
  <si>
    <t>0850-8</t>
  </si>
  <si>
    <t>5652</t>
  </si>
  <si>
    <t>80772</t>
  </si>
  <si>
    <t>8077</t>
  </si>
  <si>
    <t>2850</t>
  </si>
  <si>
    <t>28509</t>
  </si>
  <si>
    <t>BEBERIBE</t>
  </si>
  <si>
    <t>5645</t>
  </si>
  <si>
    <t>57231</t>
  </si>
  <si>
    <t>5723-1</t>
  </si>
  <si>
    <t>5723</t>
  </si>
  <si>
    <t>5662</t>
  </si>
  <si>
    <t>29270</t>
  </si>
  <si>
    <t>2927-0</t>
  </si>
  <si>
    <t>2927</t>
  </si>
  <si>
    <t>5631</t>
  </si>
  <si>
    <t>00728</t>
  </si>
  <si>
    <t>5644</t>
  </si>
  <si>
    <t>45187</t>
  </si>
  <si>
    <t>IRANDUBA AM</t>
  </si>
  <si>
    <t>4518</t>
  </si>
  <si>
    <t>AEROLANDIA</t>
  </si>
  <si>
    <t>2812</t>
  </si>
  <si>
    <t>28126</t>
  </si>
  <si>
    <t>4732</t>
  </si>
  <si>
    <t>47325</t>
  </si>
  <si>
    <t>5609</t>
  </si>
  <si>
    <t>11975</t>
  </si>
  <si>
    <t>Agência 1197-5</t>
  </si>
  <si>
    <t>1197</t>
  </si>
  <si>
    <t>1782</t>
  </si>
  <si>
    <t>33022</t>
  </si>
  <si>
    <t>3302-2</t>
  </si>
  <si>
    <t>3302</t>
  </si>
  <si>
    <t>5670</t>
  </si>
  <si>
    <t>05320</t>
  </si>
  <si>
    <t>5666</t>
  </si>
  <si>
    <t>25216</t>
  </si>
  <si>
    <t>2521</t>
  </si>
  <si>
    <t>4985</t>
  </si>
  <si>
    <t>49859</t>
  </si>
  <si>
    <t>4985-9</t>
  </si>
  <si>
    <t>5665</t>
  </si>
  <si>
    <t>30538</t>
  </si>
  <si>
    <t>3053-8</t>
  </si>
  <si>
    <t>3053</t>
  </si>
  <si>
    <t>CODSITUACAO_PARA</t>
  </si>
  <si>
    <t>CODMOTIVO_PARA</t>
  </si>
  <si>
    <t>CODSITUACAO_RETORNO_PARA</t>
  </si>
  <si>
    <t>CODMOTIVO_RETORNO_PARA</t>
  </si>
  <si>
    <t>Licença-maternidade</t>
  </si>
  <si>
    <t>Licença por motivo de doença</t>
  </si>
  <si>
    <t>Licença por motivo de acidente de trabalho</t>
  </si>
  <si>
    <t>05</t>
  </si>
  <si>
    <t>Licença para prestação de serviço militar</t>
  </si>
  <si>
    <t>Licença não remunerada</t>
  </si>
  <si>
    <t xml:space="preserve">Licença em decorrencia do mesmo acidente de trabalho    </t>
  </si>
  <si>
    <t>Licença em decorrencia da mesma doença (até 60 dias após)</t>
  </si>
  <si>
    <t>14</t>
  </si>
  <si>
    <t>Licença por motivo de doença inferior a 15 dias</t>
  </si>
  <si>
    <t>15</t>
  </si>
  <si>
    <t>Licença por motivo de acidente de trabalho inf. a 15 dias</t>
  </si>
  <si>
    <t>16</t>
  </si>
  <si>
    <t>Aponsentadoria por Invalidez</t>
  </si>
  <si>
    <t>17</t>
  </si>
  <si>
    <t>18</t>
  </si>
  <si>
    <t>Licença para Casamento</t>
  </si>
  <si>
    <t>19</t>
  </si>
  <si>
    <t>Licença por doença relacionada ao trabalho</t>
  </si>
  <si>
    <t>20</t>
  </si>
  <si>
    <t>Licença por motivo de doença até 15 dias</t>
  </si>
  <si>
    <t>21</t>
  </si>
  <si>
    <t>Licença por acidente de trabalho até 15 dias</t>
  </si>
  <si>
    <t>22</t>
  </si>
  <si>
    <t>23</t>
  </si>
  <si>
    <t>Suspensão temporária do contrato de trabalho MP 936/2020</t>
  </si>
  <si>
    <t>24</t>
  </si>
  <si>
    <t>Suspensão do Contrato de Trabalho - Carcere</t>
  </si>
  <si>
    <t>CODIGO_PERIODO_DE</t>
  </si>
  <si>
    <t>TIPO_FOLHA_DE</t>
  </si>
  <si>
    <t>APRENDIZ 07:30 - 11:30</t>
  </si>
  <si>
    <t>PREFIXO_ESOCIAL</t>
  </si>
  <si>
    <t>NROPERIODO_PARA</t>
  </si>
  <si>
    <t>APRENDIZ 08:01 - 12:01</t>
  </si>
  <si>
    <t>Adiantamento de Folha</t>
  </si>
  <si>
    <t>Folha</t>
  </si>
  <si>
    <t>ADM 08:00 12:00 - 13:30 18:15</t>
  </si>
  <si>
    <t>APRENDIZ 13:30 - 17:30</t>
  </si>
  <si>
    <t>Férias Coletivas</t>
  </si>
  <si>
    <t>CIV 07:00 11:30 - 12:30 17:00</t>
  </si>
  <si>
    <t>ADM 07:00 12:00 - 13:30 17:15</t>
  </si>
  <si>
    <t>ADM 08:00 12:00 - 13:30 17:30</t>
  </si>
  <si>
    <t>Complemento de 13º Salário</t>
  </si>
  <si>
    <t>OPER 07:00 12:00 - 13:30 17:15</t>
  </si>
  <si>
    <t>Rescisão</t>
  </si>
  <si>
    <t>Complemento de Rescisão</t>
  </si>
  <si>
    <t>N 2 16:00 21:00 - 22:00 01:50</t>
  </si>
  <si>
    <t>Pró-Labore</t>
  </si>
  <si>
    <t>01) SER I</t>
  </si>
  <si>
    <t>Autônomos</t>
  </si>
  <si>
    <t>Provisão de 13º Salário</t>
  </si>
  <si>
    <t>02) SER II</t>
  </si>
  <si>
    <t>IGNORAR</t>
  </si>
  <si>
    <t>Provisão de Férias</t>
  </si>
  <si>
    <t>Provisão de Rescisão</t>
  </si>
  <si>
    <t>03) SER III</t>
  </si>
  <si>
    <t>Complemento de Folha com Impostos</t>
  </si>
  <si>
    <t>Complemento de Férias com Impostos</t>
  </si>
  <si>
    <t>04) SER IV</t>
  </si>
  <si>
    <t>Adiantamento de Folha de Hotéis</t>
  </si>
  <si>
    <t>05) SER V</t>
  </si>
  <si>
    <t>Complemento de Férias Coletivas</t>
  </si>
  <si>
    <t>06) SER VI</t>
  </si>
  <si>
    <t>08) SER N-1</t>
  </si>
  <si>
    <t>09) SER N-2</t>
  </si>
  <si>
    <t>EST DIA 12:00 - 18:00</t>
  </si>
  <si>
    <t>EST TARDE 13:00 - 18:00</t>
  </si>
  <si>
    <t>EST Q  08:00 12:00-13:30 15:30</t>
  </si>
  <si>
    <t>ADM N 18:30 22:30-00:00 03:30</t>
  </si>
  <si>
    <t>ADMMAN 08:00 12:00-13:00 17:00</t>
  </si>
  <si>
    <t>Serv.Ger.19:30 23:30 01:30 05:</t>
  </si>
  <si>
    <t>Maq e Equip 08:00 - 17:30</t>
  </si>
  <si>
    <t>SG ESP URB 07:00 - 15:50</t>
  </si>
  <si>
    <t>MANAUS ESP. URBANA 1º T</t>
  </si>
  <si>
    <t>MANAUS ESP. URBANA 2º T</t>
  </si>
  <si>
    <t>MANAUS ESP. URBANA 3º T</t>
  </si>
  <si>
    <t>ESCALA 1</t>
  </si>
  <si>
    <t>ESCALA 2</t>
  </si>
  <si>
    <t>POSTO</t>
  </si>
  <si>
    <t>SAO GONCALO 07:00 - 15:50</t>
  </si>
  <si>
    <t>VIGIA SOBRAL</t>
  </si>
  <si>
    <t>JANG 08:00 12:00-13:00 16:00</t>
  </si>
  <si>
    <t>REGIONAL CAUCAIA</t>
  </si>
  <si>
    <t>QUARENTENA</t>
  </si>
  <si>
    <t>10) SER N-3</t>
  </si>
  <si>
    <t>ADM ECOFOR (OPERACIONAL)</t>
  </si>
  <si>
    <t>ADM ADM 07:00 - 15:20</t>
  </si>
  <si>
    <t>07) SER VI - 2</t>
  </si>
  <si>
    <t>_01) SER - I</t>
  </si>
  <si>
    <t>_02) SER - II</t>
  </si>
  <si>
    <t>_03) SER - III</t>
  </si>
  <si>
    <t>_04) SER - IV</t>
  </si>
  <si>
    <t>_05) SER - V</t>
  </si>
  <si>
    <t>_06) SER - VI</t>
  </si>
  <si>
    <t>_07) SER - VI.2 (OLD)</t>
  </si>
  <si>
    <t>_08) SER - N.1</t>
  </si>
  <si>
    <t>_09) SER - N.2</t>
  </si>
  <si>
    <t>_10) SER - N.3</t>
  </si>
  <si>
    <t>_11) SER - N.4</t>
  </si>
  <si>
    <t>ADM ADM 2</t>
  </si>
  <si>
    <t>Estagiario 2</t>
  </si>
  <si>
    <t>Noite 18h - 2:50</t>
  </si>
  <si>
    <t>ADM - PORTARIA DIURNO</t>
  </si>
  <si>
    <t>ADM SEG.</t>
  </si>
  <si>
    <t>ADM OPERACIONAL ECOFOR 2</t>
  </si>
  <si>
    <t>08:00 12:00-13:00 16:20 SEGSAB</t>
  </si>
  <si>
    <t>05:50 09:50 - 11:20 14:40</t>
  </si>
  <si>
    <t>ESTAGIARIO CONTRUÇÃO CIVIL</t>
  </si>
  <si>
    <t xml:space="preserve">20:00 00:00 - 01:30 04:50 </t>
  </si>
  <si>
    <t xml:space="preserve">07:00 11:00 - 12:30 16:30 </t>
  </si>
  <si>
    <t>14:00 18:00 19:00 22:20</t>
  </si>
  <si>
    <t xml:space="preserve">07:30 12:00-13:30 16:30 </t>
  </si>
  <si>
    <t>07:00 12:00 13:15 17:00</t>
  </si>
  <si>
    <t>06:00 11:00 12:30 16:15</t>
  </si>
  <si>
    <t>Horário Flexível Raiane - Técnica de Segurança</t>
  </si>
  <si>
    <t>08:00 12:00 14:00 17:20</t>
  </si>
  <si>
    <t>05:50 10:00-11:30 16:10 SEG A QUI 16:00 SEX</t>
  </si>
  <si>
    <t>08:00 12:00-13:15 18:00</t>
  </si>
  <si>
    <t>08:00 12:00 - 13:15 18:00</t>
  </si>
  <si>
    <t>APRENDIZ 08:00 - 12:00</t>
  </si>
  <si>
    <t>Cópia da jornada de trabalho 000036 - 30/07/2018 13:22:02</t>
  </si>
  <si>
    <t>07:00 12:00 14:00 17:00</t>
  </si>
  <si>
    <t>21:00 01:00-02:00 05:20 SEG A SAB</t>
  </si>
  <si>
    <t>DIA   - [SEG/DOM | 06:00-10:00/11:30-14:50]</t>
  </si>
  <si>
    <t>NOITE - [SEG/DOM | 16:00-20:00/21:30-00:36]</t>
  </si>
  <si>
    <t>NOVO | DIA   - [SEG/DOM | 05:30-09:30/11:00-14:20]</t>
  </si>
  <si>
    <t>NOVO | NOITE - [SEG/DOM | 15:30-19:30/21:00-00:06]</t>
  </si>
  <si>
    <t>ADM | DIA   - [SEG/SEX | 08:00-12:00/13:30-18:15]</t>
  </si>
  <si>
    <t>ADM II | DIA   - [SEG/SEX | 07:00-12:00/13:30-17:15]</t>
  </si>
  <si>
    <t>ADM PRE-ASSINALADO ALMOÇO</t>
  </si>
  <si>
    <t>ESCALA 12X36 | NOITE   - [SEG/DOM | 18:00-22:00/23:00-06:00]</t>
  </si>
  <si>
    <t>ADM ESTAG | DIA - [SEG/SEX | 08:00-12:00/13:30-15:30]</t>
  </si>
  <si>
    <t>ADM APR | DIA - [SEG/SEX | 08:00-12:00]</t>
  </si>
  <si>
    <t>NOITE - [SEG/SAB | 18:00-20:30/22:00-01:56</t>
  </si>
  <si>
    <t>ADM | DIA 2º  - [SEG/SEX | 08:00-12:00/13:30-18:15]</t>
  </si>
  <si>
    <t>ADM II | DIA 2º - [SEG/SEX | 07:00-12:00/13:30-17:15]</t>
  </si>
  <si>
    <t>ADM ESTAG | DIA 2º - [SEG/SEX | 08:00-12:00/13:30-15:30]</t>
  </si>
  <si>
    <t>ADM ESTAG | DIA 3º - [SEG/SEX | 08:00-12:00/13:00-15:00]</t>
  </si>
  <si>
    <t>CONST CIVIL- [SEG/QUI | 07:00-11:30/12:30-17:00-SEX 16:00]</t>
  </si>
  <si>
    <t>GARIS - [SEG/SAB | 05:50-09:50/11:20-14:40]</t>
  </si>
  <si>
    <t>NOITE - [SEG/SAB | 20:00-00:00/01:30-04:50]</t>
  </si>
  <si>
    <t>GARI MNUS - [SEG/SAB | 06:00-10:00/11:00-14:20]</t>
  </si>
  <si>
    <t>GARI MNUS - [SEG/SAB | 13:40-17:40/18:40-22:00]</t>
  </si>
  <si>
    <t>GARI MNUS - [SEG/SAB | 22:00-01:30/02:30-06:20]</t>
  </si>
  <si>
    <t>GARI MNUS - [SEG/SAB | 08:00-12:00/13:00-16:20]</t>
  </si>
  <si>
    <t>GARI MNUS - [SEG/SAB | 14:00-18:00/19:00-22:20]</t>
  </si>
  <si>
    <t>ART 396 AMAMENTAÇÃO</t>
  </si>
  <si>
    <t>JORNADA - 08:00 14:00</t>
  </si>
  <si>
    <t>ADM | DIA 3º  - [SEG/SEX | 07:00-12:00/13:15-17:00]</t>
  </si>
  <si>
    <t>GARIS - [SEG/SAB | 05:50-09:50/11:20-14:40] 2</t>
  </si>
  <si>
    <t>PADRÃO 2</t>
  </si>
  <si>
    <t>13:30 AS 17:30 - APRENDIZ</t>
  </si>
  <si>
    <t>05:50 10:00-11:30 16:10 SEG QUI 16:00 SEX</t>
  </si>
  <si>
    <t>08:00 12:00 - 13:15 18:00.</t>
  </si>
  <si>
    <t>ADM 2019</t>
  </si>
  <si>
    <t xml:space="preserve">NOVO  HORARIO ADM 2019 </t>
  </si>
  <si>
    <t>HORARIO IGOR</t>
  </si>
  <si>
    <t>HORARIO FLEXIVEL 08:00 -1800</t>
  </si>
  <si>
    <t>HORARIO FLEXIVEL 0800-1800</t>
  </si>
  <si>
    <t>HORARIO FLEXIVEL - DLU</t>
  </si>
  <si>
    <t>HORARIO FLEXIVEL DLU II</t>
  </si>
  <si>
    <t>DLU FLEXIVEL</t>
  </si>
  <si>
    <t>Cópia da jornada de trabalho 000022 - 10/12/2019 10:23:40</t>
  </si>
  <si>
    <t>ALMOXARIFADO I</t>
  </si>
  <si>
    <t>PORT ADM - 08:00-12:30-14:30 -18:00</t>
  </si>
  <si>
    <t xml:space="preserve">Cópia da jornada de trabalho 000028 - </t>
  </si>
  <si>
    <t>PORTARIA ADM DIAS</t>
  </si>
  <si>
    <t>HORARIO 0700 - 1200 - 1300 -1700</t>
  </si>
  <si>
    <t>JORNADA SEG A SAB 07:10 -12:00-13:30 - 16:00</t>
  </si>
  <si>
    <t>JORNADA 08:00 - 12:00 - 13:00 - 17:00 SEG A SAB</t>
  </si>
  <si>
    <t>JORNADA EUSEBIO</t>
  </si>
  <si>
    <t>JORNADA DE TRABALHO EUSEBIO - MARQUISE</t>
  </si>
  <si>
    <t>JORNADA GARI MANAUS SEG A SAB</t>
  </si>
  <si>
    <t>APRENDIZ TARDE 13:00 as 17:00</t>
  </si>
  <si>
    <t>ESCALA TURNO TARDE</t>
  </si>
  <si>
    <t>JORNADA 20:00 - 00:00 - 01:00 - 04:00</t>
  </si>
  <si>
    <t>HORÁRIO 08:00 12:00 14:00 17:20 [MANAUS]</t>
  </si>
  <si>
    <t>HORARIO 06:00 - 10:00 - 11:00 - 14:20 [MANAUS]</t>
  </si>
  <si>
    <t>HORARIO 20:00  23:45  00:37 03:28</t>
  </si>
  <si>
    <t>HORARIO 20:00-23:45-00:37_03:28 [MANAUS]</t>
  </si>
  <si>
    <t>Cópia 000084 - 07/05/2021 16:38:59 EMP 005235</t>
  </si>
  <si>
    <t>06:30 10:00 11:00 14:50</t>
  </si>
  <si>
    <t>GARI MNS [ 07:00 AS 12:00 -13:00-15:20]</t>
  </si>
  <si>
    <t xml:space="preserve">Cópia da jornada de trabalho 000087 - 25/05/2021 </t>
  </si>
  <si>
    <t>000029 -ESCALA 12X36</t>
  </si>
  <si>
    <t>Cópia da jornada de trabalho 000103 - 20/10/2021 14:25:03</t>
  </si>
  <si>
    <t>JORNADA TST</t>
  </si>
  <si>
    <t>ADM MANAUS III</t>
  </si>
  <si>
    <t>JORNADA 16:10-20:30-22:00-01:00 [SEG A SAB] - GARI FTZA</t>
  </si>
  <si>
    <t>ESTAGIARIO MANHÃ - JURIDICO</t>
  </si>
  <si>
    <t>JORNADA ADM OBRAS -1:12HS</t>
  </si>
  <si>
    <t>JORNADA 19:00/21:30/23:00/03:50</t>
  </si>
  <si>
    <t xml:space="preserve">HORARIO ESTAGIARIO TARDE </t>
  </si>
  <si>
    <t>Jornada Intermediaria - Gari Fortaleza</t>
  </si>
  <si>
    <t xml:space="preserve">ESTAGIARIO TEC. EM SEGURANCA DO TRABALHO </t>
  </si>
  <si>
    <t>ESTAGIARIA FINANCEIRO</t>
  </si>
  <si>
    <t>HORARIO MANAUS</t>
  </si>
  <si>
    <t>APRENDIZ - ( SEG-QUI 13:30 AS 17:30 / SEX  13:00 AS 17:00</t>
  </si>
  <si>
    <t>Jornada de trabalho 000153 - 09/12/2022 09:01:07</t>
  </si>
  <si>
    <t>JORNADA NOTURNA - DLU</t>
  </si>
  <si>
    <t>ADM ECOFOR - [SEG/QUI | 07:30-12/13:00-17:30-SEX 16:30]</t>
  </si>
  <si>
    <t>ESTAGIO PSICOLOGIA</t>
  </si>
  <si>
    <t>HORARIO AUX FISCAL</t>
  </si>
  <si>
    <t>Cópia da jornada de trabalho 000162 - 20/09/2023 13:11:32</t>
  </si>
  <si>
    <t>JORNADA OPERADORES</t>
  </si>
  <si>
    <t>JORNADA (SEG A SEX 06:00-11:00-12:00-16:00)</t>
  </si>
  <si>
    <t xml:space="preserve"> JORNADA - 07:00 12:00 13:10 15:30</t>
  </si>
  <si>
    <t>ESCALA 12X36 VARIAVEL</t>
  </si>
  <si>
    <t>Cópia da jornada de trabalho 000162 - 20/09/2023 13:18:19</t>
  </si>
  <si>
    <t>JORNADA OPERAÇÃO 05:30 09:50 11:20 14:20</t>
  </si>
  <si>
    <t>JORNADA 17:00/20:00/21:30/01:06</t>
  </si>
  <si>
    <t>JORNADA NOTURNA</t>
  </si>
  <si>
    <t>JORNADA FISCAIS 05:50/10:00/11:30/14:40</t>
  </si>
  <si>
    <t xml:space="preserve"> ESTAGIO PSICOLOGIA</t>
  </si>
  <si>
    <t>HORARIO MECANIZADA I</t>
  </si>
  <si>
    <t xml:space="preserve"> JORNADA POSTO </t>
  </si>
  <si>
    <t xml:space="preserve">ESTAGIARIO TARDE </t>
  </si>
  <si>
    <t xml:space="preserve"> ESTAGIARIO JURIDICO TARDE</t>
  </si>
  <si>
    <t>ESTAGIARIA DEPARTAMENTO PESSOAL</t>
  </si>
  <si>
    <t>SERVIÇOS GERAIS CONS PESADA</t>
  </si>
  <si>
    <t>JORNADA - COMPRADOR AQUIRAZ</t>
  </si>
  <si>
    <t>JORNADA COMPRADOR</t>
  </si>
  <si>
    <t>JORNA 06:00-12:00-13:00-16:00 SEGAQUIN/16:00 SEX</t>
  </si>
  <si>
    <t xml:space="preserve">JORNADA INTERMEDIARIO </t>
  </si>
  <si>
    <t>HORARIO 07:00 - 12:00 - 13:00 -17:00</t>
  </si>
  <si>
    <t>MOTORISTAS FTZA - [SEG/SAB | 05:50-09:50/11:20-14:40]</t>
  </si>
  <si>
    <t xml:space="preserve"> JORNADA INTERMEDIARIO </t>
  </si>
  <si>
    <t>JORNADA BAU 07:00/11:00/12:30/16:30 (SEGASAB)</t>
  </si>
  <si>
    <t>JORNADA DOMINGOS 14:00-18:00-19:00-22:20</t>
  </si>
  <si>
    <t xml:space="preserve">JORNADA NOITE - SEGASEX/SAB 18:00/20:30/22:00/01:56 </t>
  </si>
  <si>
    <t>JORNADA SEGASEX 17:00/20:00/21:30/01:06 SAB 16:00</t>
  </si>
  <si>
    <t>JORNADA PNEU</t>
  </si>
  <si>
    <t>ECOPONTO II</t>
  </si>
  <si>
    <t>JORNADA OPERADORES SEGASEX</t>
  </si>
  <si>
    <t xml:space="preserve">HORARIO VIGIA </t>
  </si>
  <si>
    <t>JORNADA CAUCAIA</t>
  </si>
  <si>
    <t>HORARIO CONTROLADOR NOTURNO</t>
  </si>
  <si>
    <t>NOITE - SEGASEX/SAB 17:00/20:00/21:30/01:21/SAB 16:00</t>
  </si>
  <si>
    <t>NOITE - SEGASEX/SAB 18:00/20:00/21:30/01:21/SAB 16:00</t>
  </si>
  <si>
    <t>JORNADA - CONTROLADOR NOTURNO</t>
  </si>
  <si>
    <t>JORNADA NOTURNA 22:30/03:00/04:30/06:37</t>
  </si>
  <si>
    <t>JORNADA OPERADOR</t>
  </si>
  <si>
    <t>JORNADA 13:00/17:00/18:00/21:20</t>
  </si>
  <si>
    <t>Aprendiz 06:00hs Tarde:alho 000019 - 22/10/2025 10:53:55</t>
  </si>
  <si>
    <t>Aprendiz - 06:00hs Manhã - 22/10/2025 10:58:30</t>
  </si>
  <si>
    <t>APRENDIZ MANHÃ - 06:00 ÁS 12:00</t>
  </si>
  <si>
    <t>APRENDIZ TARDE - 12:00 ÁS 18:00</t>
  </si>
  <si>
    <t>JORNADA DOMINGO - 22:00/02:00/03:00/05:28</t>
  </si>
  <si>
    <t>JORNADA DOMINGO - 15:00/18:00/19:00/23:10</t>
  </si>
  <si>
    <t>JORNADA DOMINGO - 20:00/00:00/01:00/03:40</t>
  </si>
  <si>
    <t>Cópia da jornada de trabalho 000185 - 10/11/2025 08:25:33</t>
  </si>
  <si>
    <t>PORTARIA ADM</t>
  </si>
  <si>
    <t>Jornada de trabalho 00:07  AS 13:00HS</t>
  </si>
  <si>
    <t>APRENDIZ TARDE - SEG A QUIN 12:00 /18:00 SEX 11:00/17:00</t>
  </si>
  <si>
    <t>JORNADA SEGAQUI08:00/11:00/12:00/16:30-SEX15:30</t>
  </si>
  <si>
    <t>APRENDIZ MANHÃ - SEG A SEX 08:00 ÁS 14:00</t>
  </si>
  <si>
    <t>APRENDIZ GARAGEM 11:00/17:00</t>
  </si>
  <si>
    <t xml:space="preserve">JORNADA FÉRIADOS </t>
  </si>
  <si>
    <t>JORNADA OP</t>
  </si>
  <si>
    <t>JORNADA 07:30 ÁS 17:30 1:12H INTERVALO DE SEGUNDA A SEXTA</t>
  </si>
  <si>
    <t>Cópia da jornada de trabalho 000206 - 09/04/2026 14:39:57</t>
  </si>
  <si>
    <t xml:space="preserve"> HORARIO 0700 - 1200 - 1300 -1700</t>
  </si>
  <si>
    <t>ADM MANHA</t>
  </si>
  <si>
    <t>APRENDIZ T</t>
  </si>
  <si>
    <t>CONSTRUÇAO CIVIL</t>
  </si>
  <si>
    <t>ADM II OF</t>
  </si>
  <si>
    <t>ADM 2</t>
  </si>
  <si>
    <t>OPERACIONAL MAQUINAS</t>
  </si>
  <si>
    <t>N 2</t>
  </si>
  <si>
    <t>SER VI</t>
  </si>
  <si>
    <t>SER N (OLD)</t>
  </si>
  <si>
    <t>N 1</t>
  </si>
  <si>
    <t>SG ESPECIAL URBANA</t>
  </si>
  <si>
    <t>ESPEPIAL GARI</t>
  </si>
  <si>
    <t>N 3</t>
  </si>
  <si>
    <t>Maquinas e Equipamentos</t>
  </si>
  <si>
    <t>ESCALA 12X36</t>
  </si>
  <si>
    <t>PET N</t>
  </si>
  <si>
    <t xml:space="preserve">ADM PET </t>
  </si>
  <si>
    <t>PET ADM</t>
  </si>
  <si>
    <t>ESCALA 12 x 36</t>
  </si>
  <si>
    <t>ESCALA 12X36 DIURNA</t>
  </si>
  <si>
    <t>ESCALA 12X36 NOTURNA</t>
  </si>
  <si>
    <t xml:space="preserve">06:00 11:00 12:30 16:30 SEG A QUINT 06:00 AS 11:00 12:30 AS </t>
  </si>
  <si>
    <t>PET-SERV.GERAIS</t>
  </si>
  <si>
    <t>PET  I</t>
  </si>
  <si>
    <t>ESCALA PET I</t>
  </si>
  <si>
    <t>ESCALA PET II</t>
  </si>
  <si>
    <t>PET II</t>
  </si>
  <si>
    <t xml:space="preserve">ESCALA PET </t>
  </si>
  <si>
    <t>ESCALA PET III</t>
  </si>
  <si>
    <t>PET - 1</t>
  </si>
  <si>
    <t>ADM PET - ADMINISTRAÇÃO</t>
  </si>
  <si>
    <t>ESCALA JARDINEIRO</t>
  </si>
  <si>
    <t>HORARIO LAGOA</t>
  </si>
  <si>
    <t>PET ESTAGIO II</t>
  </si>
  <si>
    <t>PET SEG A SAB</t>
  </si>
  <si>
    <t xml:space="preserve">HORARIO SERV GERAIS </t>
  </si>
  <si>
    <t>NOVO HORARIO PET</t>
  </si>
  <si>
    <t>HORARIO PET ESCALA II</t>
  </si>
  <si>
    <t>PET ESTAGIO TARDE</t>
  </si>
  <si>
    <t>PET ESTAGIO COMERCIAL</t>
  </si>
  <si>
    <t>PET NV</t>
  </si>
  <si>
    <t>PET DIURNA NV</t>
  </si>
  <si>
    <t>PET 08:00 AS 13:00</t>
  </si>
  <si>
    <t>CONSTRUÇÃO CIVIL</t>
  </si>
  <si>
    <t>NOITE - [SEG/SAB | 18:00-20:30/22:00-02:50]</t>
  </si>
  <si>
    <t>Código Identificador do Evento</t>
  </si>
  <si>
    <t>Descrição do Evento</t>
  </si>
  <si>
    <t>Totalizador do Evento</t>
  </si>
  <si>
    <t>Indicador de Estado do Evento</t>
  </si>
  <si>
    <t>Indicativo de Composição de Comissão</t>
  </si>
  <si>
    <t>Provento/Desconto</t>
  </si>
  <si>
    <t>Valor/Hora/Dia/Referência</t>
  </si>
  <si>
    <t>Porcentagem de Incidência</t>
  </si>
  <si>
    <t>Código de Cálculo</t>
  </si>
  <si>
    <t>Prioridade do Evento</t>
  </si>
  <si>
    <t>Código da Fórmula de Valor</t>
  </si>
  <si>
    <t>Código da Fórmula de Hora</t>
  </si>
  <si>
    <t>Código da Fórmula de Referência</t>
  </si>
  <si>
    <t>Código da Fórmula de Crédito</t>
  </si>
  <si>
    <t>Incidência de Inss</t>
  </si>
  <si>
    <t>Incidência de Irrf</t>
  </si>
  <si>
    <t>Incidência de Fgts</t>
  </si>
  <si>
    <t>Incidência de Rais</t>
  </si>
  <si>
    <t>Incidência no Informe de Rendimentos</t>
  </si>
  <si>
    <t>Incidência do Dsr</t>
  </si>
  <si>
    <t>Incidência em Vale-Transporte</t>
  </si>
  <si>
    <t>Incidência de Irrf nas Férias</t>
  </si>
  <si>
    <t>Incidência no Terço de Férias</t>
  </si>
  <si>
    <t>Incidência em Salário-Família</t>
  </si>
  <si>
    <t>Incidência de Inss no 13. Salário</t>
  </si>
  <si>
    <t>Incidência de Irrf no 13. Salário</t>
  </si>
  <si>
    <t>Incremento de Acumuladores</t>
  </si>
  <si>
    <t>Incidência de Salário</t>
  </si>
  <si>
    <t>Prop. de Acordo com a Admissão</t>
  </si>
  <si>
    <t>Proporcionalizar de Acordo com a Licença</t>
  </si>
  <si>
    <t>Proporcionalizar de Acordo com as Férias</t>
  </si>
  <si>
    <t>Dedutível de Irrf</t>
  </si>
  <si>
    <t>Estorna Somente em Irrf de Férias</t>
  </si>
  <si>
    <t>Indicativo de Est. de Base de Sal. Fam.</t>
  </si>
  <si>
    <t>Indicativo de Est da Base de Vale-Transp</t>
  </si>
  <si>
    <t>Indicativo de Est.De Inss no 13. Sal.</t>
  </si>
  <si>
    <t>Grupo Aas</t>
  </si>
  <si>
    <t>Indicativo de Evento a Lançar</t>
  </si>
  <si>
    <t>Número da Conta para Crédito</t>
  </si>
  <si>
    <t>Número da Conta para Débito</t>
  </si>
  <si>
    <t>Número do Histórico Padrão</t>
  </si>
  <si>
    <t>Complemento do Histórico</t>
  </si>
  <si>
    <t>No Conta Gerencial para Crédito</t>
  </si>
  <si>
    <t>No Conta Gerencial para Débito</t>
  </si>
  <si>
    <t>Evento de Diferença de Salário</t>
  </si>
  <si>
    <t>Código do Rateio que o Evento Segue</t>
  </si>
  <si>
    <t>Sal.Composto Base de Calc. do Evento</t>
  </si>
  <si>
    <t>Se o Evento Será Descont.No Mês Seguinte</t>
  </si>
  <si>
    <t>Segue Rateio de Tomador de Serviço</t>
  </si>
  <si>
    <t>Indic. de Evento para Pag. Obrigatório</t>
  </si>
  <si>
    <t>Existe Intgr Contábil Conta Crédito</t>
  </si>
  <si>
    <t>Existe Intgr Contábil Conta Dédito</t>
  </si>
  <si>
    <t>Existe Intgr Contábil Conta Ger Crédito</t>
  </si>
  <si>
    <t>Existe Intgr Contábil Conta Ger Dédito</t>
  </si>
  <si>
    <t>Existe Intgr Func Contab Conta Crédito</t>
  </si>
  <si>
    <t>Existe Intgr Func Contab Conta Dédito</t>
  </si>
  <si>
    <t>Existe Intgr Func Ger Conta Crédito</t>
  </si>
  <si>
    <t>Existe Intgr Func Ger Conta Débito</t>
  </si>
  <si>
    <t>Indicativo para Contab. Parcial</t>
  </si>
  <si>
    <t>Evento Incide em Adic. Substituição</t>
  </si>
  <si>
    <t>Indicativo de Est. da Base de Fgts 13O.</t>
  </si>
  <si>
    <t>Indicativo de Est. da Base de Irrf 13O.</t>
  </si>
  <si>
    <t>Evento de Insuficiência de Saldos</t>
  </si>
  <si>
    <t>Evento incide em pensão</t>
  </si>
  <si>
    <t>Evento incide em pensão de férias</t>
  </si>
  <si>
    <t>Evento incide em pensão de 13º salário</t>
  </si>
  <si>
    <t>Evento incide em pensão de part. Lucros</t>
  </si>
  <si>
    <t>Fórmula para compor Compl. Histórico</t>
  </si>
  <si>
    <t>Período de cálculo do rateio de eventos</t>
  </si>
  <si>
    <t>Estorna FGTS</t>
  </si>
  <si>
    <t>Estorna INSS</t>
  </si>
  <si>
    <t>Estorna IRRF</t>
  </si>
  <si>
    <t>Incide FGTS 13</t>
  </si>
  <si>
    <t>Proporcionalizar de acordo com demissão.</t>
  </si>
  <si>
    <t>Exibir Evento na Entrada de Mov. via Web</t>
  </si>
  <si>
    <t>Código do centro de custo do evento</t>
  </si>
  <si>
    <t>Codigo de rubrica</t>
  </si>
  <si>
    <t>Conteúdo do memo (começa com /@ e termina com @/)</t>
  </si>
  <si>
    <t>Indicativo de Evento Inativo</t>
  </si>
  <si>
    <t>Indicativo de Estorno da Base de Cálculo</t>
  </si>
  <si>
    <t>Indicativo de Estorno da Base de Férias</t>
  </si>
  <si>
    <t>Identificador do memo</t>
  </si>
  <si>
    <t xml:space="preserve">JORNADA OPERADOR </t>
  </si>
  <si>
    <t>Segue rateio de salário composto</t>
  </si>
  <si>
    <t>Conta Reversão</t>
  </si>
  <si>
    <t>Fórmula para evento relacionado.</t>
  </si>
  <si>
    <t>Remunerações Quadro de Pessoal</t>
  </si>
  <si>
    <t>Ordem cálculo dentro de uma prioridade</t>
  </si>
  <si>
    <t>Evento dedutível em IRRF de 13o</t>
  </si>
  <si>
    <t>Evento dedutível em IRRF de férias</t>
  </si>
  <si>
    <t>Segue rateio do movimento de ensino</t>
  </si>
  <si>
    <t>Natureza da rubrica</t>
  </si>
  <si>
    <t>Incidência de INSS suspensa em decorrência de decisão judicial (campo descontinuado e substituido para o campo 136 INCINSSSUSPENSAO)</t>
  </si>
  <si>
    <t>Incidência de IRRF suspensa em decorrência de decisão judicial (campo descontinuado e substituido para o campo 137 INCIRRFSUSPENSAO)</t>
  </si>
  <si>
    <t>Incidência de FGTS suspensa em decorrência de decisão judicial
(Valores válidos : 1, 2, 3)</t>
  </si>
  <si>
    <t>HORARIO 06:00-12:00-13:00-1600 SEG A QUIN 15:00 SEX</t>
  </si>
  <si>
    <t>Número do Processo Administrativo/Judicial</t>
  </si>
  <si>
    <t>Código Correspondente ao Tipo de Processo (A - Administrativo, J - Judicial)</t>
  </si>
  <si>
    <t>Extensão da Decisão/Sentença</t>
  </si>
  <si>
    <t>HORARIO MISTO - OBRA E DLU</t>
  </si>
  <si>
    <t>Incidência de Contribuição Sindical Suspensa</t>
  </si>
  <si>
    <t>Jornada de trabalho 000155 - 10/04/2024 12:05:25</t>
  </si>
  <si>
    <t>Incidência de Salário Maternidade Suspensa</t>
  </si>
  <si>
    <t>JORNADA OP. MAQUINA</t>
  </si>
  <si>
    <t>Incide no Custo do funcionário</t>
  </si>
  <si>
    <t>Identificador do Item Contábil</t>
  </si>
  <si>
    <t>Identificador da Classe de Valor</t>
  </si>
  <si>
    <t>Tipo de Benefício PPE</t>
  </si>
  <si>
    <t>JORNADA ZELADOR 6X1</t>
  </si>
  <si>
    <t>Tipo de Desconto PPE</t>
  </si>
  <si>
    <t>Incidência de PIS</t>
  </si>
  <si>
    <t>Estorna PIS</t>
  </si>
  <si>
    <t>Compõe Remuneração Base de Professor</t>
  </si>
  <si>
    <t>JORNADA ZELADOR 12X36</t>
  </si>
  <si>
    <t>Rendimento não tributável em função de acordos internacionais de bitributação</t>
  </si>
  <si>
    <t>Não é base de cálculo em função de acordos internacionais de previdência social</t>
  </si>
  <si>
    <t>Incidência de INSS 13º suspensa em decorrência de decisão judicial (campo descontinuado e substituido para o campo 136 INCINSSSUSPENSAO)</t>
  </si>
  <si>
    <t>JORNADA CONTROLADOR 07:00/12:00/13:12/17:00</t>
  </si>
  <si>
    <t>Incidência de IRRF 13º suspensa em decorrência de decisão judicial (campo descontinuado e substituido para o campo 137 INCIRRFSUSPENSAO)</t>
  </si>
  <si>
    <t>Incidência de FGTS 13º suspensa em decorrência de decisão judicial</t>
  </si>
  <si>
    <t>Incidência de IRRF Férias suspensa em decorrência de decisão judicial (campo descontinuado e substituido para o campo 137 INCIRRFSUSPENSAO)</t>
  </si>
  <si>
    <t>ESCALA 12X36 18:00/23:00/00:00/06:00</t>
  </si>
  <si>
    <t>Incidência de IRRF PLR suspensa em decorrência de decisão judicial (campo descontinuado e substituido para o campo 137 INCIRRFSUSPENSAO)</t>
  </si>
  <si>
    <t>Incidência de INSS Sal.Matern. suspensa em decorrência de decisão judicial (campo descontinuado e substituido para o campo 136 INCINSSSUSPENSAO)</t>
  </si>
  <si>
    <t>Incidência de INSS Sal.Mater.13º suspensa em decorrência de decisão judicial (campo descontinuado e substituido para o campo 136 INCINSSSUSPENSAO)</t>
  </si>
  <si>
    <t>Incidência de Contribuição Sindical</t>
  </si>
  <si>
    <t>ESCALA 12X36 06:00/10:00/11:00/18:00</t>
  </si>
  <si>
    <t>ESCALA 12X36 06:00/11:00/12:00/18:00</t>
  </si>
  <si>
    <t>Forçar incidência de IRRF</t>
  </si>
  <si>
    <t>Incidência de IRRF Forçada</t>
  </si>
  <si>
    <t>ADM-PATIO</t>
  </si>
  <si>
    <t>Isento de IRRF</t>
  </si>
  <si>
    <t>Incidência IRRF Isenção</t>
  </si>
  <si>
    <t>Não calcula diferença para este evento</t>
  </si>
  <si>
    <t>Incidência de Suspensão para Contribuição Previdenciária (Aba Proventos)</t>
  </si>
  <si>
    <t>Seg a Sexta-08:00 as 17:00-Sáb-08:00 as 12:00hs</t>
  </si>
  <si>
    <t>Evento de Diferença de Salário Negativa</t>
  </si>
  <si>
    <t>Incidência de INSS exclusiva do empregador (Aba Proventos)</t>
  </si>
  <si>
    <t>Incidência de INSS exclusiva do segurado - 13º salário</t>
  </si>
  <si>
    <t>Incidência de INSS exclusiva do empregador (Aba Descontos)</t>
  </si>
  <si>
    <t>Incidência de INSS suspensa em decorrência de decisão judicial
(Valores válidos: 91, 92, 93, 94)</t>
  </si>
  <si>
    <t>Incidência de IRRF suspensa em decorrência de decisão judicial(Valores válidos: Conforme tabela 21 do eSocial independente do layout do eSocial)</t>
  </si>
  <si>
    <t>Compõe o teto remuneratório específico (art. 37, XI, da CF/1988)</t>
  </si>
  <si>
    <t>Incidência de Suspensão para Contribuição Previvenciária (Aba Descontos)</t>
  </si>
  <si>
    <t>Incidência de INSS décimo terceiro exclusiva do empregador (Aba Proventos)</t>
  </si>
  <si>
    <t>Incidência de INSS décimo terceiro exclusiva do empregador (Aba Descontos)</t>
  </si>
  <si>
    <t>Incidência para as contribuições do Regime Próprio de Previdência Social - RPPS/regime militar (Aba Proventos)</t>
  </si>
  <si>
    <t>Incidência para as contribuições do Regime Próprio de Previdência Social - RPPS/regime militar (Aba Descontos)</t>
  </si>
  <si>
    <t>Tipo de Previdência Complementar</t>
  </si>
  <si>
    <t>Incidência PIS/PASEP</t>
  </si>
  <si>
    <t>25</t>
  </si>
  <si>
    <t>26</t>
  </si>
  <si>
    <t>27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</si>
  <si>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</si>
  <si>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</si>
  <si>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</si>
  <si>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</si>
  <si>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</si>
  <si>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</si>
  <si>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</si>
  <si>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</si>
  <si>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</si>
  <si>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</si>
  <si>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</si>
  <si>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</si>
  <si>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</si>
  <si>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</si>
  <si>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</si>
  <si>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</si>
  <si>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</si>
  <si>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</si>
  <si>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</si>
  <si>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65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</si>
  <si>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</si>
  <si>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</si>
  <si>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</si>
  <si>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</si>
  <si>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</si>
  <si>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</si>
  <si>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</si>
  <si>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</si>
  <si>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</si>
  <si>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</si>
  <si>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</si>
  <si>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</si>
  <si>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</si>
  <si>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</si>
  <si>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</si>
  <si>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</si>
  <si>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</si>
  <si>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</si>
  <si>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</si>
  <si>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</si>
  <si>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</si>
  <si>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</si>
  <si>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</si>
  <si>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</si>
  <si>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</si>
  <si>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</si>
  <si>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</si>
  <si>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</si>
  <si>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</si>
  <si>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</si>
  <si>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101</t>
  </si>
  <si>
    <t>103</t>
  </si>
  <si>
    <t>105</t>
  </si>
  <si>
    <t>107</t>
  </si>
  <si>
    <t>108</t>
  </si>
  <si>
    <t>111</t>
  </si>
  <si>
    <t>112</t>
  </si>
  <si>
    <t>115</t>
  </si>
  <si>
    <t>118</t>
  </si>
  <si>
    <t>121</t>
  </si>
  <si>
    <t>123</t>
  </si>
  <si>
    <t>125</t>
  </si>
  <si>
    <t>126</t>
  </si>
  <si>
    <t>127</t>
  </si>
  <si>
    <t>129</t>
  </si>
  <si>
    <t>130</t>
  </si>
  <si>
    <t>133</t>
  </si>
  <si>
    <t>134</t>
  </si>
  <si>
    <t>135</t>
  </si>
  <si>
    <t>138</t>
  </si>
  <si>
    <t>139</t>
  </si>
  <si>
    <t>140</t>
  </si>
  <si>
    <t>142</t>
  </si>
  <si>
    <t>145</t>
  </si>
  <si>
    <t>PEVENTO.CODIGO</t>
  </si>
  <si>
    <t>PEVENTO.DESCRICAO</t>
  </si>
  <si>
    <t>PEVENTO.TOTALIZADOR</t>
  </si>
  <si>
    <t>PEVENTO.CHAVE</t>
  </si>
  <si>
    <t>PEVENTO.COMPOECOMISSAO</t>
  </si>
  <si>
    <t>PEVENTO.PROVDESCBASE</t>
  </si>
  <si>
    <t>PEVENTO.VALHORDIAREF</t>
  </si>
  <si>
    <t>PEVENTO.PORCINCID</t>
  </si>
  <si>
    <t>PEVENTO.CODIGOCALCULO</t>
  </si>
  <si>
    <t>PEVENTO.PRIORIDADE</t>
  </si>
  <si>
    <t>PEVENTO.FORMULAVALOR</t>
  </si>
  <si>
    <t>PEVENTO.FORMULAHORA</t>
  </si>
  <si>
    <t>PEVENTO.FORMULAREF</t>
  </si>
  <si>
    <t>PEVENTO.FORMULACRITICA</t>
  </si>
  <si>
    <t>PEVENTO.INCINSS</t>
  </si>
  <si>
    <t>PEVENTO.INCIRRF</t>
  </si>
  <si>
    <t>PEVENTO.INCFGTS</t>
  </si>
  <si>
    <t>PEVENTO.INCRAIS</t>
  </si>
  <si>
    <t>PEVENTO.INCINFREND</t>
  </si>
  <si>
    <t>PEVENTO.INCDSR</t>
  </si>
  <si>
    <t>PEVENTO.INCVALETRANSP</t>
  </si>
  <si>
    <t>PEVENTO.INCIRRFFERIAS</t>
  </si>
  <si>
    <t>PEVENTO.INCTERCOFERIAS</t>
  </si>
  <si>
    <t>PEVENTO.INCSALFAMILIA</t>
  </si>
  <si>
    <t>PEVENTO.INCINSS13</t>
  </si>
  <si>
    <t>PEVENTO.INCIRRF13</t>
  </si>
  <si>
    <t>PEVENTO.INCACUMULADOR</t>
  </si>
  <si>
    <t>PEVENTO.INCSALARIO</t>
  </si>
  <si>
    <t>PEVENTO.PROPORCADMISSAO</t>
  </si>
  <si>
    <t>PEVENTO.PROPORCLICENCA</t>
  </si>
  <si>
    <t>PEVENTO.PROPORCFERIAS</t>
  </si>
  <si>
    <t>PEVENTO.DEDUTIVELIRRF</t>
  </si>
  <si>
    <t>PEVENTO.ESTIRRFFERIAS</t>
  </si>
  <si>
    <t>PEVENTO.ESTCALCSALFAM</t>
  </si>
  <si>
    <t>PEVENTO.ESTCALCVALETR</t>
  </si>
  <si>
    <t>PEVENTO.ESTINSS13</t>
  </si>
  <si>
    <t>PEVENTO.GRUPOAAS</t>
  </si>
  <si>
    <t>PEVENTO.EVTALANCAR</t>
  </si>
  <si>
    <t>PEVENTO.CONTACREDITO</t>
  </si>
  <si>
    <t>PEVENTO.CONTADEBITO</t>
  </si>
  <si>
    <t>PEVENTO.NROHISTPADRAO</t>
  </si>
  <si>
    <t>PEVENTO.COMPLHISTORICO</t>
  </si>
  <si>
    <t>PEVENTO.CGCREDITO</t>
  </si>
  <si>
    <t>PEVENTO.CGDEBITO</t>
  </si>
  <si>
    <t>PEVENTO.CODEVENTODIF</t>
  </si>
  <si>
    <t>PEVENTO.CODRATEIO</t>
  </si>
  <si>
    <t>PEVENTO.BASESALCOMPOSTO</t>
  </si>
  <si>
    <t>PEVENTO.DESCONTOPERDOADO</t>
  </si>
  <si>
    <t>PEVENTO.PROPPORTOMADOR</t>
  </si>
  <si>
    <t>PEVENTO.PAGOBRIGATORIO</t>
  </si>
  <si>
    <t>PEVENTO.TEMINTCONTCC</t>
  </si>
  <si>
    <t>PEVENTO.TEMINTCONTCD</t>
  </si>
  <si>
    <t>PEVENTO.TEMINTCONTGC</t>
  </si>
  <si>
    <t>PEVENTO.TEMINTCONTGD</t>
  </si>
  <si>
    <t>PEVENTO.TEMINTFUNCCC</t>
  </si>
  <si>
    <t>PEVENTO.TEMINTFUNCCD</t>
  </si>
  <si>
    <t>PEVENTO.TEMINTFUNCGC</t>
  </si>
  <si>
    <t>PEVENTO.TEMINTFUNCGD</t>
  </si>
  <si>
    <t>PEVENTO.CONTPARCIAL</t>
  </si>
  <si>
    <t>PEVENTO.INCSUBSTITUICAO</t>
  </si>
  <si>
    <t>PEVENTO.ESTFGTS13</t>
  </si>
  <si>
    <t>PEVENTO.ESTIRRF13</t>
  </si>
  <si>
    <t>PEVENTO.CODEVENTOINSUF</t>
  </si>
  <si>
    <t>PEVENTO.INCPENSAO</t>
  </si>
  <si>
    <t>PEVENTO.INCPENSAOFERIAS</t>
  </si>
  <si>
    <t>PEVENTO.INCPENSAO13SAL</t>
  </si>
  <si>
    <t>PEVENTO.INCPENSAOPARTICIP</t>
  </si>
  <si>
    <t>PEVENTO.FORMCOMPLHIST</t>
  </si>
  <si>
    <t>PEVENTO.PERCALCRATEIO</t>
  </si>
  <si>
    <t>PEVENTO.ESTFGTS</t>
  </si>
  <si>
    <t>PEVENTO.ESTINSS</t>
  </si>
  <si>
    <t>PEVENTO.ESTIRRF</t>
  </si>
  <si>
    <t>PEVENTO.INCFGTS13</t>
  </si>
  <si>
    <t>PEVENTO.PROPORCDEMISSAO</t>
  </si>
  <si>
    <t>PEVENTO.EVENTOEXIBIDOENTRADADADOSWEB</t>
  </si>
  <si>
    <t>PEVENTO.CCUSTO</t>
  </si>
  <si>
    <t>PEVENTO.CODRUBRICA</t>
  </si>
  <si>
    <t>PMEMO.VALMEMO</t>
  </si>
  <si>
    <t>PEVENTO.INATIVO</t>
  </si>
  <si>
    <t>PEVENTO.ESTCALCULO</t>
  </si>
  <si>
    <t>PEVENTO.ESTCALCFERIAS</t>
  </si>
  <si>
    <t>PEVENTO.IDANOTACAO</t>
  </si>
  <si>
    <t>PEVENTO.SEGUERATEIOSALCMP</t>
  </si>
  <si>
    <t>PEVENTO.CONTAREVERSAO</t>
  </si>
  <si>
    <t>PEVENTO.FORMULAEVTRELAC</t>
  </si>
  <si>
    <t>PEVENTO.QUADROREM</t>
  </si>
  <si>
    <t>PEVENTO.ORDEMCALCULO</t>
  </si>
  <si>
    <t>PEVENTO.DEDUTIVELIRRF13</t>
  </si>
  <si>
    <t>PEVENTO.DEDUTIVELIRRFFERIAS</t>
  </si>
  <si>
    <t>PEVENTO.SEGUERATEIOMOVENSINO</t>
  </si>
  <si>
    <t>PARA IMPORTAR</t>
  </si>
  <si>
    <t>CONST [SEG/QUI | 07:00-11:30/12:30-17:00-SEX 16:00]</t>
  </si>
  <si>
    <t>JORNADA NOTURNA PATIO</t>
  </si>
  <si>
    <t>JORNADA 08:00-12:00-13:00-17:00 SEG A SEX 08:00-12:00 SAB</t>
  </si>
  <si>
    <t>JORNADA GARAGEM</t>
  </si>
  <si>
    <t>JORNADA  GARAGEM</t>
  </si>
  <si>
    <t>HORARIO CAFETERIA - 13:40/18:00/19:00/22:00</t>
  </si>
  <si>
    <t>JORNADA 16:10-20:30-22:00-00:37 [SEG A SAB] - GARI FTZA</t>
  </si>
  <si>
    <t>JORNADA 19:00/21:30/23:00/02:56</t>
  </si>
  <si>
    <t>JORNADA 12X36 (08:00 ÁS 20:00)</t>
  </si>
  <si>
    <t>Horario Cafeteria - 2 - 09:00-13:00 - 14:00-17:20</t>
  </si>
  <si>
    <t>JORNADA 12X36 DIA (HORARIO 10:00 ÁS 22:00)</t>
  </si>
  <si>
    <t>Jornada de trabalho 000187 - 07:00 as 19:00hs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</si>
</sst>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  <scheme val="minor"/>
    </font>
    <font>
      <color rgb="FF0000FF"/>
      <name val="Arial"/>
      <scheme val="minor"/>
    </font>
    <font>
      <sz val="11.0"/>
      <color rgb="FF0000FF"/>
      <name val="Calibri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-apple-system"/>
    </font>
    <font>
      <sz val="11.0"/>
      <color rgb="FFFF0000"/>
      <name val="-apple-system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00D8FF"/>
        <bgColor rgb="FF00D8FF"/>
      </patternFill>
    </fill>
    <fill>
      <patternFill patternType="solid">
        <fgColor rgb="FFFFFFFF"/>
        <bgColor rgb="FFFFFFFF"/>
      </patternFill>
    </fill>
    <fill>
      <patternFill patternType="solid">
        <fgColor rgb="FFFFBF00"/>
        <bgColor rgb="FFFFBF00"/>
      </patternFill>
    </fill>
    <fill>
      <patternFill patternType="solid">
        <fgColor rgb="FFFEF8E3"/>
        <bgColor rgb="FFFEF8E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left/>
      <right/>
      <top/>
      <bottom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3" fontId="2" numFmtId="49" xfId="0" applyAlignment="1" applyBorder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vertical="bottom"/>
    </xf>
    <xf borderId="0" fillId="2" fontId="1" numFmtId="49" xfId="0" applyAlignment="1" applyFont="1" applyNumberFormat="1">
      <alignment readingOrder="0" vertical="bottom"/>
    </xf>
    <xf borderId="0" fillId="4" fontId="3" numFmtId="49" xfId="0" applyAlignment="1" applyFill="1" applyFont="1" applyNumberFormat="1">
      <alignment vertical="bottom"/>
    </xf>
    <xf borderId="1" fillId="5" fontId="2" numFmtId="49" xfId="0" applyAlignment="1" applyBorder="1" applyFill="1" applyFont="1" applyNumberFormat="1">
      <alignment horizontal="center" shrinkToFit="0" vertical="bottom" wrapText="0"/>
    </xf>
    <xf borderId="1" fillId="4" fontId="3" numFmtId="49" xfId="0" applyAlignment="1" applyBorder="1" applyFont="1" applyNumberFormat="1">
      <alignment vertical="bottom"/>
    </xf>
    <xf borderId="0" fillId="6" fontId="3" numFmtId="49" xfId="0" applyAlignment="1" applyFill="1" applyFont="1" applyNumberFormat="1">
      <alignment vertical="bottom"/>
    </xf>
    <xf borderId="1" fillId="4" fontId="3" numFmtId="49" xfId="0" applyAlignment="1" applyBorder="1" applyFont="1" applyNumberFormat="1">
      <alignment readingOrder="0" vertical="bottom"/>
    </xf>
    <xf borderId="0" fillId="4" fontId="3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1" fillId="6" fontId="3" numFmtId="49" xfId="0" applyAlignment="1" applyBorder="1" applyFont="1" applyNumberFormat="1">
      <alignment vertical="bottom"/>
    </xf>
    <xf borderId="1" fillId="6" fontId="3" numFmtId="49" xfId="0" applyAlignment="1" applyBorder="1" applyFont="1" applyNumberFormat="1">
      <alignment readingOrder="0" vertical="bottom"/>
    </xf>
    <xf borderId="0" fillId="6" fontId="3" numFmtId="49" xfId="0" applyAlignment="1" applyFont="1" applyNumberFormat="1">
      <alignment readingOrder="0" vertical="bottom"/>
    </xf>
    <xf borderId="1" fillId="0" fontId="3" numFmtId="49" xfId="0" applyAlignment="1" applyBorder="1" applyFont="1" applyNumberFormat="1">
      <alignment readingOrder="0" vertical="bottom"/>
    </xf>
    <xf borderId="0" fillId="7" fontId="3" numFmtId="49" xfId="0" applyAlignment="1" applyFill="1" applyFont="1" applyNumberFormat="1">
      <alignment readingOrder="0" vertical="bottom"/>
    </xf>
    <xf borderId="1" fillId="7" fontId="3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9" numFmtId="49" xfId="0" applyAlignment="1" applyBorder="1" applyFont="1" applyNumberFormat="1">
      <alignment readingOrder="0" vertical="bottom"/>
    </xf>
    <xf borderId="0" fillId="8" fontId="8" numFmtId="0" xfId="0" applyAlignment="1" applyFill="1" applyFont="1">
      <alignment readingOrder="0"/>
    </xf>
    <xf borderId="0" fillId="8" fontId="8" numFmtId="0" xfId="0" applyFont="1"/>
    <xf borderId="0" fillId="6" fontId="3" numFmtId="49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borderId="1" fillId="6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3" fontId="2" numFmtId="49" xfId="0" applyAlignment="1" applyBorder="1" applyFont="1" applyNumberForma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0"/>
    </xf>
    <xf borderId="1" fillId="4" fontId="3" numFmtId="0" xfId="0" applyAlignment="1" applyBorder="1" applyFont="1">
      <alignment readingOrder="0" vertical="bottom"/>
    </xf>
    <xf borderId="0" fillId="0" fontId="10" numFmtId="49" xfId="0" applyAlignment="1" applyFont="1" applyNumberFormat="1">
      <alignment horizontal="center" shrinkToFit="0" vertical="bottom" wrapText="0"/>
    </xf>
    <xf borderId="0" fillId="0" fontId="10" numFmtId="49" xfId="0" applyAlignment="1" applyFont="1" applyNumberFormat="1">
      <alignment shrinkToFit="0" vertical="bottom" wrapText="0"/>
    </xf>
    <xf borderId="1" fillId="3" fontId="2" numFmtId="49" xfId="0" applyAlignment="1" applyBorder="1" applyFont="1" applyNumberFormat="1">
      <alignment horizontal="left" shrinkToFit="0" vertical="bottom" wrapText="0"/>
    </xf>
    <xf borderId="0" fillId="0" fontId="4" numFmtId="49" xfId="0" applyAlignment="1" applyFont="1" applyNumberFormat="1">
      <alignment horizontal="left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readingOrder="0"/>
    </xf>
    <xf borderId="0" fillId="0" fontId="7" numFmtId="49" xfId="0" applyFont="1" applyNumberFormat="1"/>
    <xf borderId="0" fillId="0" fontId="11" numFmtId="49" xfId="0" applyAlignment="1" applyFont="1" applyNumberFormat="1">
      <alignment vertical="bottom"/>
    </xf>
    <xf borderId="0" fillId="0" fontId="11" numFmtId="49" xfId="0" applyAlignment="1" applyFont="1" applyNumberFormat="1">
      <alignment readingOrder="0" vertical="bottom"/>
    </xf>
    <xf borderId="0" fillId="0" fontId="7" numFmtId="0" xfId="0" applyAlignment="1" applyFont="1">
      <alignment horizontal="left" readingOrder="0"/>
    </xf>
    <xf borderId="0" fillId="0" fontId="4" numFmtId="49" xfId="0" applyAlignment="1" applyFont="1" applyNumberFormat="1">
      <alignment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0" fillId="0" fontId="12" numFmtId="49" xfId="0" applyAlignment="1" applyFont="1" applyNumberFormat="1">
      <alignment horizontal="center" readingOrder="0" shrinkToFit="0" vertical="bottom" wrapText="0"/>
    </xf>
    <xf borderId="0" fillId="4" fontId="13" numFmtId="49" xfId="0" applyAlignment="1" applyFont="1" applyNumberFormat="1">
      <alignment readingOrder="0" shrinkToFit="0" vertical="bottom" wrapText="0"/>
    </xf>
    <xf borderId="0" fillId="0" fontId="12" numFmtId="49" xfId="0" applyAlignment="1" applyFont="1" applyNumberFormat="1">
      <alignment shrinkToFit="0" vertical="bottom" wrapText="0"/>
    </xf>
    <xf borderId="0" fillId="6" fontId="13" numFmtId="49" xfId="0" applyAlignment="1" applyFont="1" applyNumberFormat="1">
      <alignment readingOrder="0" shrinkToFit="0" vertical="bottom" wrapText="0"/>
    </xf>
    <xf borderId="0" fillId="3" fontId="14" numFmtId="49" xfId="0" applyAlignment="1" applyFont="1" applyNumberFormat="1">
      <alignment horizontal="center" readingOrder="0" shrinkToFit="0" vertical="bottom" wrapText="0"/>
    </xf>
    <xf borderId="0" fillId="5" fontId="14" numFmtId="49" xfId="0" applyAlignment="1" applyFont="1" applyNumberFormat="1">
      <alignment horizontal="center" readingOrder="0" shrinkToFit="0" vertical="bottom" wrapText="0"/>
    </xf>
    <xf borderId="0" fillId="0" fontId="13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center"/>
    </xf>
    <xf borderId="2" fillId="0" fontId="15" numFmtId="49" xfId="0" applyAlignment="1" applyBorder="1" applyFont="1" applyNumberFormat="1">
      <alignment horizontal="left" readingOrder="0" shrinkToFit="0" vertical="center" wrapText="1"/>
    </xf>
    <xf borderId="2" fillId="0" fontId="16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17" numFmtId="49" xfId="0" applyAlignment="1" applyFont="1" applyNumberFormat="1">
      <alignment horizontal="center" shrinkToFit="0" vertical="center" wrapText="1"/>
    </xf>
    <xf borderId="2" fillId="0" fontId="15" numFmtId="49" xfId="0" applyAlignment="1" applyBorder="1" applyFont="1" applyNumberFormat="1">
      <alignment horizontal="left" readingOrder="0" vertical="center"/>
    </xf>
    <xf borderId="2" fillId="0" fontId="16" numFmtId="49" xfId="0" applyAlignment="1" applyBorder="1" applyFont="1" applyNumberFormat="1">
      <alignment horizontal="left" readingOrder="0" vertical="center"/>
    </xf>
    <xf borderId="0" fillId="0" fontId="6" numFmtId="49" xfId="0" applyAlignment="1" applyFont="1" applyNumberFormat="1">
      <alignment vertical="center"/>
    </xf>
    <xf borderId="0" fillId="0" fontId="17" numFmtId="49" xfId="0" applyAlignment="1" applyFont="1" applyNumberFormat="1">
      <alignment horizontal="center" vertical="center"/>
    </xf>
    <xf borderId="0" fillId="0" fontId="17" numFmtId="49" xfId="0" applyAlignment="1" applyFont="1" applyNumberFormat="1">
      <alignment horizontal="left" vertical="center"/>
    </xf>
    <xf borderId="0" fillId="0" fontId="7" numFmtId="49" xfId="0" applyAlignment="1" applyFont="1" applyNumberFormat="1">
      <alignment readingOrder="0" vertical="center"/>
    </xf>
    <xf borderId="0" fillId="0" fontId="7" numFmtId="49" xfId="0" applyAlignment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DADOS_RM_MOTIV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1" name="Table_1" id="1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2.xml><?xml version="1.0" encoding="utf-8"?>
<table xmlns="http://schemas.openxmlformats.org/spreadsheetml/2006/main" ref="A1:B32" displayName="Table_2" name="Table_2" id="2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 outlineLevelCol="1"/>
  <cols>
    <col customWidth="1" min="2" max="2" width="30.0"/>
  </cols>
  <sheetData>
    <row r="1">
      <c r="A1" s="3" t="s">
        <v>7</v>
      </c>
      <c r="B1" s="3" t="s">
        <v>2</v>
      </c>
    </row>
    <row r="2">
      <c r="A2" s="5" t="s">
        <v>12</v>
      </c>
      <c r="B2" s="5" t="s">
        <v>15</v>
      </c>
    </row>
    <row r="3">
      <c r="A3" s="8" t="s">
        <v>17</v>
      </c>
      <c r="B3" s="8" t="s">
        <v>21</v>
      </c>
    </row>
    <row r="4">
      <c r="A4" s="5" t="s">
        <v>23</v>
      </c>
      <c r="B4" s="5" t="s">
        <v>25</v>
      </c>
    </row>
    <row r="5">
      <c r="A5" s="8" t="s">
        <v>27</v>
      </c>
      <c r="B5" s="8" t="s">
        <v>30</v>
      </c>
    </row>
    <row r="6">
      <c r="A6" s="5" t="s">
        <v>32</v>
      </c>
      <c r="B6" s="5" t="s">
        <v>34</v>
      </c>
    </row>
    <row r="7">
      <c r="A7" s="8" t="s">
        <v>35</v>
      </c>
      <c r="B7" s="8" t="s">
        <v>37</v>
      </c>
    </row>
    <row r="8">
      <c r="A8" s="5" t="s">
        <v>39</v>
      </c>
      <c r="B8" s="5" t="s">
        <v>40</v>
      </c>
    </row>
    <row r="9">
      <c r="A9" s="8" t="s">
        <v>42</v>
      </c>
      <c r="B9" s="8" t="s">
        <v>45</v>
      </c>
    </row>
    <row r="10">
      <c r="A10" s="5" t="s">
        <v>46</v>
      </c>
      <c r="B10" s="5" t="s">
        <v>48</v>
      </c>
    </row>
    <row r="11">
      <c r="A11" s="8" t="s">
        <v>50</v>
      </c>
      <c r="B11" s="8" t="s">
        <v>51</v>
      </c>
    </row>
    <row r="12">
      <c r="A12" s="5" t="s">
        <v>52</v>
      </c>
      <c r="B12" s="5" t="s">
        <v>53</v>
      </c>
    </row>
    <row r="13">
      <c r="A13" s="8" t="s">
        <v>54</v>
      </c>
      <c r="B13" s="8" t="s">
        <v>56</v>
      </c>
    </row>
    <row r="14">
      <c r="A14" s="5" t="s">
        <v>57</v>
      </c>
      <c r="B14" s="5" t="s">
        <v>58</v>
      </c>
    </row>
    <row r="15">
      <c r="A15" s="8" t="s">
        <v>59</v>
      </c>
      <c r="B15" s="8" t="s">
        <v>60</v>
      </c>
    </row>
    <row r="16">
      <c r="A16" s="5" t="s">
        <v>61</v>
      </c>
      <c r="B16" s="5" t="s">
        <v>62</v>
      </c>
    </row>
    <row r="17">
      <c r="A17" s="8" t="s">
        <v>65</v>
      </c>
      <c r="B17" s="8" t="s">
        <v>66</v>
      </c>
    </row>
    <row r="18">
      <c r="A18" s="5" t="s">
        <v>67</v>
      </c>
      <c r="B18" s="5" t="s">
        <v>69</v>
      </c>
    </row>
    <row r="19">
      <c r="A19" s="8" t="s">
        <v>71</v>
      </c>
      <c r="B19" s="8" t="s">
        <v>72</v>
      </c>
    </row>
    <row r="20">
      <c r="A20" s="5" t="s">
        <v>73</v>
      </c>
      <c r="B20" s="5" t="s">
        <v>75</v>
      </c>
    </row>
    <row r="21">
      <c r="A21" s="8" t="s">
        <v>76</v>
      </c>
      <c r="B21" s="8" t="s">
        <v>77</v>
      </c>
    </row>
    <row r="22">
      <c r="A22" s="5" t="s">
        <v>78</v>
      </c>
      <c r="B22" s="5" t="s">
        <v>79</v>
      </c>
    </row>
    <row r="23">
      <c r="A23" s="8" t="s">
        <v>81</v>
      </c>
      <c r="B23" s="8" t="s">
        <v>82</v>
      </c>
    </row>
    <row r="24">
      <c r="A24" s="5" t="s">
        <v>83</v>
      </c>
      <c r="B24" s="5" t="s">
        <v>85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7.25"/>
    <col customWidth="1" min="2" max="2" width="41.5"/>
    <col customWidth="1" min="3" max="3" width="10.75"/>
    <col customWidth="1" min="4" max="4" width="12.88"/>
    <col customWidth="1" min="5" max="5" width="52.13"/>
    <col customWidth="1" min="6" max="6" width="8.88"/>
    <col customWidth="1" min="7" max="7" width="7.63"/>
    <col customWidth="1" min="8" max="8" width="38.63"/>
    <col customWidth="1" min="9" max="9" width="2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4" t="s">
        <v>8</v>
      </c>
      <c r="G1" s="4"/>
      <c r="H1" s="4" t="s">
        <v>14</v>
      </c>
      <c r="I1" s="4"/>
    </row>
    <row r="2">
      <c r="A2" s="7" t="s">
        <v>16</v>
      </c>
      <c r="B2" s="9" t="s">
        <v>19</v>
      </c>
      <c r="C2" s="7" t="s">
        <v>22</v>
      </c>
      <c r="D2" s="7" t="s">
        <v>26</v>
      </c>
      <c r="E2" s="9" t="s">
        <v>29</v>
      </c>
      <c r="F2" s="10" t="s">
        <v>16</v>
      </c>
      <c r="G2" s="10">
        <f t="shared" ref="G2:G121" si="1">IF(F2=A2,1,FALSE)</f>
        <v>1</v>
      </c>
      <c r="H2" s="10" t="s">
        <v>55</v>
      </c>
      <c r="I2" s="10">
        <f t="shared" ref="I2:I24" si="2">IF(H2=B2,1,FALSE)</f>
        <v>1</v>
      </c>
    </row>
    <row r="3">
      <c r="A3" s="13" t="s">
        <v>64</v>
      </c>
      <c r="B3" s="14" t="s">
        <v>70</v>
      </c>
      <c r="C3" s="13" t="s">
        <v>22</v>
      </c>
      <c r="D3" s="13" t="s">
        <v>74</v>
      </c>
      <c r="E3" s="14" t="s">
        <v>29</v>
      </c>
      <c r="F3" s="15" t="s">
        <v>64</v>
      </c>
      <c r="G3" s="10">
        <f t="shared" si="1"/>
        <v>1</v>
      </c>
      <c r="H3" s="15" t="s">
        <v>80</v>
      </c>
      <c r="I3" s="10">
        <f t="shared" si="2"/>
        <v>1</v>
      </c>
    </row>
    <row r="4">
      <c r="A4" s="7" t="s">
        <v>84</v>
      </c>
      <c r="B4" s="7" t="s">
        <v>86</v>
      </c>
      <c r="C4" s="7" t="s">
        <v>87</v>
      </c>
      <c r="D4" s="7" t="s">
        <v>88</v>
      </c>
      <c r="E4" s="9" t="s">
        <v>89</v>
      </c>
      <c r="F4" s="10" t="s">
        <v>84</v>
      </c>
      <c r="G4" s="10">
        <f t="shared" si="1"/>
        <v>1</v>
      </c>
      <c r="H4" s="10" t="s">
        <v>90</v>
      </c>
      <c r="I4" s="10">
        <f t="shared" si="2"/>
        <v>1</v>
      </c>
    </row>
    <row r="5">
      <c r="A5" s="13" t="s">
        <v>38</v>
      </c>
      <c r="B5" s="13" t="s">
        <v>91</v>
      </c>
      <c r="C5" s="13" t="s">
        <v>87</v>
      </c>
      <c r="D5" s="13" t="s">
        <v>88</v>
      </c>
      <c r="E5" s="13" t="s">
        <v>92</v>
      </c>
      <c r="F5" s="15" t="s">
        <v>38</v>
      </c>
      <c r="G5" s="10">
        <f t="shared" si="1"/>
        <v>1</v>
      </c>
      <c r="H5" s="15" t="s">
        <v>94</v>
      </c>
      <c r="I5" s="10">
        <f t="shared" si="2"/>
        <v>1</v>
      </c>
    </row>
    <row r="6">
      <c r="A6" s="7" t="s">
        <v>97</v>
      </c>
      <c r="B6" s="7" t="s">
        <v>98</v>
      </c>
      <c r="C6" s="7" t="s">
        <v>22</v>
      </c>
      <c r="D6" s="7" t="s">
        <v>88</v>
      </c>
      <c r="E6" s="9" t="s">
        <v>100</v>
      </c>
      <c r="F6" s="10" t="s">
        <v>97</v>
      </c>
      <c r="G6" s="10">
        <f t="shared" si="1"/>
        <v>1</v>
      </c>
      <c r="H6" s="10" t="s">
        <v>101</v>
      </c>
      <c r="I6" s="10">
        <f t="shared" si="2"/>
        <v>1</v>
      </c>
    </row>
    <row r="7">
      <c r="A7" s="13" t="s">
        <v>102</v>
      </c>
      <c r="B7" s="13" t="s">
        <v>103</v>
      </c>
      <c r="C7" s="13" t="s">
        <v>87</v>
      </c>
      <c r="D7" s="13" t="s">
        <v>88</v>
      </c>
      <c r="E7" s="13" t="s">
        <v>104</v>
      </c>
      <c r="F7" s="15" t="s">
        <v>102</v>
      </c>
      <c r="G7" s="10">
        <f t="shared" si="1"/>
        <v>1</v>
      </c>
      <c r="H7" s="15" t="s">
        <v>105</v>
      </c>
      <c r="I7" s="10">
        <f t="shared" si="2"/>
        <v>1</v>
      </c>
    </row>
    <row r="8">
      <c r="A8" s="7" t="s">
        <v>106</v>
      </c>
      <c r="B8" s="7" t="s">
        <v>107</v>
      </c>
      <c r="C8" s="7" t="s">
        <v>22</v>
      </c>
      <c r="D8" s="7" t="s">
        <v>88</v>
      </c>
      <c r="E8" s="7" t="s">
        <v>110</v>
      </c>
      <c r="F8" s="10" t="s">
        <v>106</v>
      </c>
      <c r="G8" s="10">
        <f t="shared" si="1"/>
        <v>1</v>
      </c>
      <c r="H8" s="10" t="s">
        <v>111</v>
      </c>
      <c r="I8" s="10">
        <f t="shared" si="2"/>
        <v>1</v>
      </c>
    </row>
    <row r="9">
      <c r="A9" s="13" t="s">
        <v>112</v>
      </c>
      <c r="B9" s="13" t="s">
        <v>113</v>
      </c>
      <c r="C9" s="13" t="s">
        <v>87</v>
      </c>
      <c r="D9" s="13" t="s">
        <v>74</v>
      </c>
      <c r="E9" s="13" t="s">
        <v>117</v>
      </c>
      <c r="F9" s="15" t="s">
        <v>112</v>
      </c>
      <c r="G9" s="10">
        <f t="shared" si="1"/>
        <v>1</v>
      </c>
      <c r="H9" s="15" t="s">
        <v>123</v>
      </c>
      <c r="I9" s="10">
        <f t="shared" si="2"/>
        <v>1</v>
      </c>
    </row>
    <row r="10">
      <c r="A10" s="7" t="s">
        <v>124</v>
      </c>
      <c r="B10" s="7" t="s">
        <v>125</v>
      </c>
      <c r="C10" s="7" t="s">
        <v>22</v>
      </c>
      <c r="D10" s="7" t="s">
        <v>88</v>
      </c>
      <c r="E10" s="9" t="s">
        <v>126</v>
      </c>
      <c r="F10" s="10" t="s">
        <v>124</v>
      </c>
      <c r="G10" s="10">
        <f t="shared" si="1"/>
        <v>1</v>
      </c>
      <c r="H10" s="10" t="s">
        <v>127</v>
      </c>
      <c r="I10" s="10">
        <f t="shared" si="2"/>
        <v>1</v>
      </c>
    </row>
    <row r="11">
      <c r="A11" s="13" t="s">
        <v>128</v>
      </c>
      <c r="B11" s="13" t="s">
        <v>130</v>
      </c>
      <c r="C11" s="13" t="s">
        <v>22</v>
      </c>
      <c r="D11" s="13" t="s">
        <v>88</v>
      </c>
      <c r="E11" s="13" t="s">
        <v>132</v>
      </c>
      <c r="F11" s="15" t="s">
        <v>128</v>
      </c>
      <c r="G11" s="10">
        <f t="shared" si="1"/>
        <v>1</v>
      </c>
      <c r="H11" s="15" t="s">
        <v>133</v>
      </c>
      <c r="I11" s="10">
        <f t="shared" si="2"/>
        <v>1</v>
      </c>
    </row>
    <row r="12">
      <c r="A12" s="7" t="s">
        <v>137</v>
      </c>
      <c r="B12" s="7" t="s">
        <v>138</v>
      </c>
      <c r="C12" s="7" t="s">
        <v>87</v>
      </c>
      <c r="D12" s="7" t="s">
        <v>88</v>
      </c>
      <c r="E12" s="9" t="s">
        <v>89</v>
      </c>
      <c r="F12" s="10" t="s">
        <v>137</v>
      </c>
      <c r="G12" s="10">
        <f t="shared" si="1"/>
        <v>1</v>
      </c>
      <c r="H12" s="10" t="s">
        <v>141</v>
      </c>
      <c r="I12" s="10">
        <f t="shared" si="2"/>
        <v>1</v>
      </c>
    </row>
    <row r="13">
      <c r="A13" s="13" t="s">
        <v>142</v>
      </c>
      <c r="B13" s="14" t="s">
        <v>143</v>
      </c>
      <c r="C13" s="13" t="s">
        <v>87</v>
      </c>
      <c r="D13" s="13" t="s">
        <v>74</v>
      </c>
      <c r="E13" s="14" t="s">
        <v>145</v>
      </c>
      <c r="F13" s="15" t="s">
        <v>142</v>
      </c>
      <c r="G13" s="10">
        <f t="shared" si="1"/>
        <v>1</v>
      </c>
      <c r="H13" s="15" t="s">
        <v>146</v>
      </c>
      <c r="I13" s="10">
        <f t="shared" si="2"/>
        <v>1</v>
      </c>
    </row>
    <row r="14">
      <c r="A14" s="7" t="s">
        <v>147</v>
      </c>
      <c r="B14" s="9" t="s">
        <v>149</v>
      </c>
      <c r="C14" s="7" t="s">
        <v>87</v>
      </c>
      <c r="D14" s="7" t="s">
        <v>88</v>
      </c>
      <c r="E14" s="9" t="s">
        <v>150</v>
      </c>
      <c r="F14" s="10" t="s">
        <v>147</v>
      </c>
      <c r="G14" s="10">
        <f t="shared" si="1"/>
        <v>1</v>
      </c>
      <c r="H14" s="10" t="s">
        <v>151</v>
      </c>
      <c r="I14" s="10">
        <f t="shared" si="2"/>
        <v>1</v>
      </c>
    </row>
    <row r="15">
      <c r="A15" s="13" t="s">
        <v>155</v>
      </c>
      <c r="B15" s="13" t="s">
        <v>158</v>
      </c>
      <c r="C15" s="13" t="s">
        <v>22</v>
      </c>
      <c r="D15" s="13" t="s">
        <v>26</v>
      </c>
      <c r="E15" s="14" t="s">
        <v>29</v>
      </c>
      <c r="F15" s="15" t="s">
        <v>155</v>
      </c>
      <c r="G15" s="10">
        <f t="shared" si="1"/>
        <v>1</v>
      </c>
      <c r="H15" s="15" t="s">
        <v>160</v>
      </c>
      <c r="I15" s="10">
        <f t="shared" si="2"/>
        <v>1</v>
      </c>
    </row>
    <row r="16">
      <c r="A16" s="7" t="s">
        <v>115</v>
      </c>
      <c r="B16" s="9" t="s">
        <v>161</v>
      </c>
      <c r="C16" s="7" t="s">
        <v>22</v>
      </c>
      <c r="D16" s="7" t="s">
        <v>88</v>
      </c>
      <c r="E16" s="7" t="s">
        <v>163</v>
      </c>
      <c r="F16" s="10" t="s">
        <v>115</v>
      </c>
      <c r="G16" s="10">
        <f t="shared" si="1"/>
        <v>1</v>
      </c>
      <c r="H16" s="10" t="s">
        <v>164</v>
      </c>
      <c r="I16" s="10">
        <f t="shared" si="2"/>
        <v>1</v>
      </c>
    </row>
    <row r="17">
      <c r="A17" s="13" t="s">
        <v>165</v>
      </c>
      <c r="B17" s="13" t="s">
        <v>166</v>
      </c>
      <c r="C17" s="13" t="s">
        <v>22</v>
      </c>
      <c r="D17" s="13" t="s">
        <v>88</v>
      </c>
      <c r="E17" s="14" t="s">
        <v>167</v>
      </c>
      <c r="F17" s="15" t="s">
        <v>165</v>
      </c>
      <c r="G17" s="10">
        <f t="shared" si="1"/>
        <v>1</v>
      </c>
      <c r="H17" s="15" t="s">
        <v>168</v>
      </c>
      <c r="I17" s="10">
        <f t="shared" si="2"/>
        <v>1</v>
      </c>
    </row>
    <row r="18">
      <c r="A18" s="7" t="s">
        <v>172</v>
      </c>
      <c r="B18" s="7" t="s">
        <v>174</v>
      </c>
      <c r="C18" s="7" t="s">
        <v>22</v>
      </c>
      <c r="D18" s="7" t="s">
        <v>88</v>
      </c>
      <c r="E18" s="9" t="s">
        <v>175</v>
      </c>
      <c r="F18" s="10" t="s">
        <v>172</v>
      </c>
      <c r="G18" s="10">
        <f t="shared" si="1"/>
        <v>1</v>
      </c>
      <c r="H18" s="10" t="s">
        <v>177</v>
      </c>
      <c r="I18" s="10">
        <f t="shared" si="2"/>
        <v>1</v>
      </c>
    </row>
    <row r="19">
      <c r="A19" s="13" t="s">
        <v>179</v>
      </c>
      <c r="B19" s="13" t="s">
        <v>180</v>
      </c>
      <c r="C19" s="13" t="s">
        <v>22</v>
      </c>
      <c r="D19" s="13" t="s">
        <v>88</v>
      </c>
      <c r="E19" s="13" t="s">
        <v>163</v>
      </c>
      <c r="F19" s="15" t="s">
        <v>179</v>
      </c>
      <c r="G19" s="10">
        <f t="shared" si="1"/>
        <v>1</v>
      </c>
      <c r="H19" s="15" t="s">
        <v>181</v>
      </c>
      <c r="I19" s="10">
        <f t="shared" si="2"/>
        <v>1</v>
      </c>
    </row>
    <row r="20">
      <c r="A20" s="7" t="s">
        <v>139</v>
      </c>
      <c r="B20" s="7" t="s">
        <v>156</v>
      </c>
      <c r="C20" s="7" t="s">
        <v>87</v>
      </c>
      <c r="D20" s="7" t="s">
        <v>88</v>
      </c>
      <c r="E20" s="7" t="s">
        <v>183</v>
      </c>
      <c r="F20" s="10" t="s">
        <v>139</v>
      </c>
      <c r="G20" s="10">
        <f t="shared" si="1"/>
        <v>1</v>
      </c>
      <c r="H20" s="10" t="s">
        <v>184</v>
      </c>
      <c r="I20" s="10">
        <f t="shared" si="2"/>
        <v>1</v>
      </c>
    </row>
    <row r="21">
      <c r="A21" s="13" t="s">
        <v>185</v>
      </c>
      <c r="B21" s="14" t="s">
        <v>187</v>
      </c>
      <c r="C21" s="13" t="s">
        <v>22</v>
      </c>
      <c r="D21" s="13" t="s">
        <v>88</v>
      </c>
      <c r="E21" s="13" t="s">
        <v>191</v>
      </c>
      <c r="F21" s="15" t="s">
        <v>185</v>
      </c>
      <c r="G21" s="10">
        <f t="shared" si="1"/>
        <v>1</v>
      </c>
      <c r="H21" s="15" t="s">
        <v>192</v>
      </c>
      <c r="I21" s="10">
        <f t="shared" si="2"/>
        <v>1</v>
      </c>
    </row>
    <row r="22">
      <c r="A22" s="7" t="s">
        <v>194</v>
      </c>
      <c r="B22" s="9" t="s">
        <v>196</v>
      </c>
      <c r="C22" s="7" t="s">
        <v>87</v>
      </c>
      <c r="D22" s="7" t="s">
        <v>88</v>
      </c>
      <c r="E22" s="7" t="s">
        <v>191</v>
      </c>
      <c r="F22" s="10" t="s">
        <v>194</v>
      </c>
      <c r="G22" s="10">
        <f t="shared" si="1"/>
        <v>1</v>
      </c>
      <c r="H22" s="10" t="s">
        <v>197</v>
      </c>
      <c r="I22" s="10">
        <f t="shared" si="2"/>
        <v>1</v>
      </c>
    </row>
    <row r="23">
      <c r="A23" s="13" t="s">
        <v>199</v>
      </c>
      <c r="B23" s="13" t="s">
        <v>200</v>
      </c>
      <c r="C23" s="13" t="s">
        <v>22</v>
      </c>
      <c r="D23" s="13" t="s">
        <v>88</v>
      </c>
      <c r="E23" s="13" t="s">
        <v>201</v>
      </c>
      <c r="F23" s="15" t="s">
        <v>199</v>
      </c>
      <c r="G23" s="10">
        <f t="shared" si="1"/>
        <v>1</v>
      </c>
      <c r="H23" s="15" t="s">
        <v>203</v>
      </c>
      <c r="I23" s="10">
        <f t="shared" si="2"/>
        <v>1</v>
      </c>
    </row>
    <row r="24">
      <c r="A24" s="7" t="s">
        <v>206</v>
      </c>
      <c r="B24" s="7" t="s">
        <v>207</v>
      </c>
      <c r="C24" s="7" t="s">
        <v>22</v>
      </c>
      <c r="D24" s="7" t="s">
        <v>88</v>
      </c>
      <c r="E24" s="7" t="s">
        <v>208</v>
      </c>
      <c r="F24" s="10" t="s">
        <v>206</v>
      </c>
      <c r="G24" s="10">
        <f t="shared" si="1"/>
        <v>1</v>
      </c>
      <c r="H24" s="10" t="s">
        <v>210</v>
      </c>
      <c r="I24" s="10">
        <f t="shared" si="2"/>
        <v>1</v>
      </c>
    </row>
    <row r="25">
      <c r="A25" s="13" t="s">
        <v>211</v>
      </c>
      <c r="B25" s="14" t="s">
        <v>212</v>
      </c>
      <c r="C25" s="13" t="s">
        <v>22</v>
      </c>
      <c r="D25" s="13" t="s">
        <v>88</v>
      </c>
      <c r="E25" s="14" t="s">
        <v>214</v>
      </c>
      <c r="F25" s="15" t="s">
        <v>211</v>
      </c>
      <c r="G25" s="10">
        <f t="shared" si="1"/>
        <v>1</v>
      </c>
      <c r="H25" s="15" t="s">
        <v>215</v>
      </c>
      <c r="I25" s="10" t="s">
        <v>47</v>
      </c>
    </row>
    <row r="26">
      <c r="A26" s="7" t="s">
        <v>216</v>
      </c>
      <c r="B26" s="7" t="s">
        <v>217</v>
      </c>
      <c r="C26" s="7" t="s">
        <v>22</v>
      </c>
      <c r="D26" s="7" t="s">
        <v>88</v>
      </c>
      <c r="E26" s="9" t="s">
        <v>218</v>
      </c>
      <c r="F26" s="10" t="s">
        <v>216</v>
      </c>
      <c r="G26" s="10">
        <f t="shared" si="1"/>
        <v>1</v>
      </c>
      <c r="H26" s="10" t="s">
        <v>222</v>
      </c>
      <c r="I26" s="10">
        <f t="shared" ref="I26:I38" si="3">IF(H26=B26,1,FALSE)</f>
        <v>1</v>
      </c>
    </row>
    <row r="27">
      <c r="A27" s="13" t="s">
        <v>225</v>
      </c>
      <c r="B27" s="14" t="s">
        <v>226</v>
      </c>
      <c r="C27" s="13" t="s">
        <v>227</v>
      </c>
      <c r="D27" s="13" t="s">
        <v>88</v>
      </c>
      <c r="E27" s="13" t="s">
        <v>229</v>
      </c>
      <c r="F27" s="15" t="s">
        <v>225</v>
      </c>
      <c r="G27" s="10">
        <f t="shared" si="1"/>
        <v>1</v>
      </c>
      <c r="H27" s="15" t="s">
        <v>230</v>
      </c>
      <c r="I27" s="10">
        <f t="shared" si="3"/>
        <v>1</v>
      </c>
    </row>
    <row r="28">
      <c r="A28" s="7" t="s">
        <v>231</v>
      </c>
      <c r="B28" s="7" t="s">
        <v>232</v>
      </c>
      <c r="C28" s="7" t="s">
        <v>227</v>
      </c>
      <c r="D28" s="7" t="s">
        <v>88</v>
      </c>
      <c r="E28" s="7" t="s">
        <v>229</v>
      </c>
      <c r="F28" s="10" t="s">
        <v>231</v>
      </c>
      <c r="G28" s="10">
        <f t="shared" si="1"/>
        <v>1</v>
      </c>
      <c r="H28" s="10" t="s">
        <v>235</v>
      </c>
      <c r="I28" s="10">
        <f t="shared" si="3"/>
        <v>1</v>
      </c>
    </row>
    <row r="29">
      <c r="A29" s="13" t="s">
        <v>237</v>
      </c>
      <c r="B29" s="13" t="s">
        <v>238</v>
      </c>
      <c r="C29" s="13" t="s">
        <v>227</v>
      </c>
      <c r="D29" s="13" t="s">
        <v>88</v>
      </c>
      <c r="E29" s="13" t="s">
        <v>229</v>
      </c>
      <c r="F29" s="15" t="s">
        <v>237</v>
      </c>
      <c r="G29" s="10">
        <f t="shared" si="1"/>
        <v>1</v>
      </c>
      <c r="H29" s="15" t="s">
        <v>239</v>
      </c>
      <c r="I29" s="10">
        <f t="shared" si="3"/>
        <v>1</v>
      </c>
    </row>
    <row r="30">
      <c r="A30" s="7" t="s">
        <v>240</v>
      </c>
      <c r="B30" s="7" t="s">
        <v>241</v>
      </c>
      <c r="C30" s="7" t="s">
        <v>227</v>
      </c>
      <c r="D30" s="7" t="s">
        <v>88</v>
      </c>
      <c r="E30" s="7" t="s">
        <v>229</v>
      </c>
      <c r="F30" s="10" t="s">
        <v>240</v>
      </c>
      <c r="G30" s="10">
        <f t="shared" si="1"/>
        <v>1</v>
      </c>
      <c r="H30" s="10" t="s">
        <v>244</v>
      </c>
      <c r="I30" s="10">
        <f t="shared" si="3"/>
        <v>1</v>
      </c>
    </row>
    <row r="31">
      <c r="A31" s="13" t="s">
        <v>246</v>
      </c>
      <c r="B31" s="14" t="s">
        <v>247</v>
      </c>
      <c r="C31" s="13" t="s">
        <v>87</v>
      </c>
      <c r="D31" s="13" t="s">
        <v>88</v>
      </c>
      <c r="E31" s="13" t="s">
        <v>92</v>
      </c>
      <c r="F31" s="15" t="s">
        <v>246</v>
      </c>
      <c r="G31" s="10">
        <f t="shared" si="1"/>
        <v>1</v>
      </c>
      <c r="H31" s="15" t="s">
        <v>249</v>
      </c>
      <c r="I31" s="10">
        <f t="shared" si="3"/>
        <v>1</v>
      </c>
    </row>
    <row r="32">
      <c r="A32" s="7" t="s">
        <v>250</v>
      </c>
      <c r="B32" s="7" t="s">
        <v>251</v>
      </c>
      <c r="C32" s="7" t="s">
        <v>227</v>
      </c>
      <c r="D32" s="7" t="s">
        <v>88</v>
      </c>
      <c r="E32" s="7" t="s">
        <v>229</v>
      </c>
      <c r="F32" s="10" t="s">
        <v>250</v>
      </c>
      <c r="G32" s="10">
        <f t="shared" si="1"/>
        <v>1</v>
      </c>
      <c r="H32" s="10" t="s">
        <v>252</v>
      </c>
      <c r="I32" s="10">
        <f t="shared" si="3"/>
        <v>1</v>
      </c>
    </row>
    <row r="33">
      <c r="A33" s="13" t="s">
        <v>253</v>
      </c>
      <c r="B33" s="13" t="s">
        <v>254</v>
      </c>
      <c r="C33" s="13" t="s">
        <v>227</v>
      </c>
      <c r="D33" s="13" t="s">
        <v>88</v>
      </c>
      <c r="E33" s="13" t="s">
        <v>229</v>
      </c>
      <c r="F33" s="15" t="s">
        <v>253</v>
      </c>
      <c r="G33" s="10">
        <f t="shared" si="1"/>
        <v>1</v>
      </c>
      <c r="H33" s="15" t="s">
        <v>255</v>
      </c>
      <c r="I33" s="10">
        <f t="shared" si="3"/>
        <v>1</v>
      </c>
    </row>
    <row r="34">
      <c r="A34" s="7" t="s">
        <v>258</v>
      </c>
      <c r="B34" s="7" t="s">
        <v>260</v>
      </c>
      <c r="C34" s="7" t="s">
        <v>227</v>
      </c>
      <c r="D34" s="7" t="s">
        <v>88</v>
      </c>
      <c r="E34" s="7" t="s">
        <v>229</v>
      </c>
      <c r="F34" s="10" t="s">
        <v>258</v>
      </c>
      <c r="G34" s="10">
        <f t="shared" si="1"/>
        <v>1</v>
      </c>
      <c r="H34" s="10" t="s">
        <v>261</v>
      </c>
      <c r="I34" s="10">
        <f t="shared" si="3"/>
        <v>1</v>
      </c>
    </row>
    <row r="35">
      <c r="A35" s="13" t="s">
        <v>263</v>
      </c>
      <c r="B35" s="13" t="s">
        <v>264</v>
      </c>
      <c r="C35" s="13" t="s">
        <v>22</v>
      </c>
      <c r="D35" s="13" t="s">
        <v>88</v>
      </c>
      <c r="E35" s="14" t="s">
        <v>265</v>
      </c>
      <c r="F35" s="15" t="s">
        <v>263</v>
      </c>
      <c r="G35" s="10">
        <f t="shared" si="1"/>
        <v>1</v>
      </c>
      <c r="H35" s="15" t="s">
        <v>266</v>
      </c>
      <c r="I35" s="10">
        <f t="shared" si="3"/>
        <v>1</v>
      </c>
    </row>
    <row r="36">
      <c r="A36" s="7" t="s">
        <v>267</v>
      </c>
      <c r="B36" s="7" t="s">
        <v>268</v>
      </c>
      <c r="C36" s="7" t="s">
        <v>87</v>
      </c>
      <c r="D36" s="7" t="s">
        <v>88</v>
      </c>
      <c r="E36" s="9" t="s">
        <v>270</v>
      </c>
      <c r="F36" s="10" t="s">
        <v>267</v>
      </c>
      <c r="G36" s="10">
        <f t="shared" si="1"/>
        <v>1</v>
      </c>
      <c r="H36" s="10" t="s">
        <v>271</v>
      </c>
      <c r="I36" s="10">
        <f t="shared" si="3"/>
        <v>1</v>
      </c>
    </row>
    <row r="37">
      <c r="A37" s="13" t="s">
        <v>275</v>
      </c>
      <c r="B37" s="13" t="s">
        <v>277</v>
      </c>
      <c r="C37" s="13" t="s">
        <v>87</v>
      </c>
      <c r="D37" s="13" t="s">
        <v>88</v>
      </c>
      <c r="E37" s="14" t="s">
        <v>279</v>
      </c>
      <c r="F37" s="15" t="s">
        <v>275</v>
      </c>
      <c r="G37" s="10">
        <f t="shared" si="1"/>
        <v>1</v>
      </c>
      <c r="H37" s="15" t="s">
        <v>278</v>
      </c>
      <c r="I37" s="10">
        <f t="shared" si="3"/>
        <v>1</v>
      </c>
    </row>
    <row r="38">
      <c r="A38" s="7" t="s">
        <v>281</v>
      </c>
      <c r="B38" s="7" t="s">
        <v>284</v>
      </c>
      <c r="C38" s="7" t="s">
        <v>22</v>
      </c>
      <c r="D38" s="7" t="s">
        <v>88</v>
      </c>
      <c r="E38" s="7" t="s">
        <v>287</v>
      </c>
      <c r="F38" s="10" t="s">
        <v>281</v>
      </c>
      <c r="G38" s="10">
        <f t="shared" si="1"/>
        <v>1</v>
      </c>
      <c r="H38" s="10" t="s">
        <v>283</v>
      </c>
      <c r="I38" s="10">
        <f t="shared" si="3"/>
        <v>1</v>
      </c>
    </row>
    <row r="39">
      <c r="A39" s="13" t="s">
        <v>286</v>
      </c>
      <c r="B39" s="13" t="s">
        <v>290</v>
      </c>
      <c r="C39" s="13" t="s">
        <v>22</v>
      </c>
      <c r="D39" s="13" t="s">
        <v>88</v>
      </c>
      <c r="E39" s="14" t="s">
        <v>167</v>
      </c>
      <c r="F39" s="15" t="s">
        <v>286</v>
      </c>
      <c r="G39" s="10">
        <f t="shared" si="1"/>
        <v>1</v>
      </c>
      <c r="H39" s="15" t="s">
        <v>288</v>
      </c>
      <c r="I39" s="10" t="s">
        <v>47</v>
      </c>
    </row>
    <row r="40">
      <c r="A40" s="7" t="s">
        <v>289</v>
      </c>
      <c r="B40" s="9" t="s">
        <v>298</v>
      </c>
      <c r="C40" s="7" t="s">
        <v>22</v>
      </c>
      <c r="D40" s="7" t="s">
        <v>88</v>
      </c>
      <c r="E40" s="9" t="s">
        <v>299</v>
      </c>
      <c r="F40" s="10" t="s">
        <v>289</v>
      </c>
      <c r="G40" s="10">
        <f t="shared" si="1"/>
        <v>1</v>
      </c>
      <c r="H40" s="10" t="s">
        <v>291</v>
      </c>
      <c r="I40" s="10">
        <f t="shared" ref="I40:I70" si="4">IF(H40=B40,1,FALSE)</f>
        <v>1</v>
      </c>
    </row>
    <row r="41">
      <c r="A41" s="13" t="s">
        <v>296</v>
      </c>
      <c r="B41" s="14" t="s">
        <v>305</v>
      </c>
      <c r="C41" s="13" t="s">
        <v>22</v>
      </c>
      <c r="D41" s="13" t="s">
        <v>88</v>
      </c>
      <c r="E41" s="14" t="s">
        <v>167</v>
      </c>
      <c r="F41" s="15" t="s">
        <v>296</v>
      </c>
      <c r="G41" s="10">
        <f t="shared" si="1"/>
        <v>1</v>
      </c>
      <c r="H41" s="15" t="s">
        <v>297</v>
      </c>
      <c r="I41" s="10">
        <f t="shared" si="4"/>
        <v>1</v>
      </c>
    </row>
    <row r="42">
      <c r="A42" s="7" t="s">
        <v>301</v>
      </c>
      <c r="B42" s="9" t="s">
        <v>312</v>
      </c>
      <c r="C42" s="7" t="s">
        <v>22</v>
      </c>
      <c r="D42" s="7" t="s">
        <v>88</v>
      </c>
      <c r="E42" s="9" t="s">
        <v>167</v>
      </c>
      <c r="F42" s="10" t="s">
        <v>301</v>
      </c>
      <c r="G42" s="10">
        <f t="shared" si="1"/>
        <v>1</v>
      </c>
      <c r="H42" s="10" t="s">
        <v>302</v>
      </c>
      <c r="I42" s="10">
        <f t="shared" si="4"/>
        <v>1</v>
      </c>
    </row>
    <row r="43">
      <c r="A43" s="13" t="s">
        <v>304</v>
      </c>
      <c r="B43" s="14" t="s">
        <v>315</v>
      </c>
      <c r="C43" s="13" t="s">
        <v>22</v>
      </c>
      <c r="D43" s="13" t="s">
        <v>88</v>
      </c>
      <c r="E43" s="14" t="s">
        <v>167</v>
      </c>
      <c r="F43" s="15" t="s">
        <v>304</v>
      </c>
      <c r="G43" s="10">
        <f t="shared" si="1"/>
        <v>1</v>
      </c>
      <c r="H43" s="15" t="s">
        <v>306</v>
      </c>
      <c r="I43" s="10">
        <f t="shared" si="4"/>
        <v>1</v>
      </c>
    </row>
    <row r="44">
      <c r="A44" s="7" t="s">
        <v>308</v>
      </c>
      <c r="B44" s="9" t="s">
        <v>319</v>
      </c>
      <c r="C44" s="7" t="s">
        <v>87</v>
      </c>
      <c r="D44" s="7" t="s">
        <v>88</v>
      </c>
      <c r="E44" s="7" t="s">
        <v>183</v>
      </c>
      <c r="F44" s="10" t="s">
        <v>308</v>
      </c>
      <c r="G44" s="10">
        <f t="shared" si="1"/>
        <v>1</v>
      </c>
      <c r="H44" s="10" t="s">
        <v>310</v>
      </c>
      <c r="I44" s="10">
        <f t="shared" si="4"/>
        <v>1</v>
      </c>
    </row>
    <row r="45">
      <c r="A45" s="13" t="s">
        <v>313</v>
      </c>
      <c r="B45" s="13" t="s">
        <v>326</v>
      </c>
      <c r="C45" s="13" t="s">
        <v>227</v>
      </c>
      <c r="D45" s="13" t="s">
        <v>88</v>
      </c>
      <c r="E45" s="14" t="s">
        <v>167</v>
      </c>
      <c r="F45" s="15" t="s">
        <v>313</v>
      </c>
      <c r="G45" s="10">
        <f t="shared" si="1"/>
        <v>1</v>
      </c>
      <c r="H45" s="15" t="s">
        <v>314</v>
      </c>
      <c r="I45" s="10">
        <f t="shared" si="4"/>
        <v>1</v>
      </c>
    </row>
    <row r="46">
      <c r="A46" s="7" t="s">
        <v>316</v>
      </c>
      <c r="B46" s="9" t="s">
        <v>331</v>
      </c>
      <c r="C46" s="7" t="s">
        <v>22</v>
      </c>
      <c r="D46" s="7" t="s">
        <v>88</v>
      </c>
      <c r="E46" s="9" t="s">
        <v>167</v>
      </c>
      <c r="F46" s="10" t="s">
        <v>316</v>
      </c>
      <c r="G46" s="10">
        <f t="shared" si="1"/>
        <v>1</v>
      </c>
      <c r="H46" s="10" t="s">
        <v>317</v>
      </c>
      <c r="I46" s="10">
        <f t="shared" si="4"/>
        <v>1</v>
      </c>
    </row>
    <row r="47">
      <c r="A47" s="13" t="s">
        <v>318</v>
      </c>
      <c r="B47" s="13" t="s">
        <v>335</v>
      </c>
      <c r="C47" s="13" t="s">
        <v>22</v>
      </c>
      <c r="D47" s="13" t="s">
        <v>88</v>
      </c>
      <c r="E47" s="14" t="s">
        <v>336</v>
      </c>
      <c r="F47" s="15" t="s">
        <v>318</v>
      </c>
      <c r="G47" s="10">
        <f t="shared" si="1"/>
        <v>1</v>
      </c>
      <c r="H47" s="15" t="s">
        <v>320</v>
      </c>
      <c r="I47" s="10">
        <f t="shared" si="4"/>
        <v>1</v>
      </c>
    </row>
    <row r="48">
      <c r="A48" s="7" t="s">
        <v>259</v>
      </c>
      <c r="B48" s="7" t="s">
        <v>282</v>
      </c>
      <c r="C48" s="7" t="s">
        <v>87</v>
      </c>
      <c r="D48" s="7" t="s">
        <v>88</v>
      </c>
      <c r="E48" s="7" t="s">
        <v>343</v>
      </c>
      <c r="F48" s="10" t="s">
        <v>259</v>
      </c>
      <c r="G48" s="10">
        <f t="shared" si="1"/>
        <v>1</v>
      </c>
      <c r="H48" s="10" t="s">
        <v>327</v>
      </c>
      <c r="I48" s="10">
        <f t="shared" si="4"/>
        <v>1</v>
      </c>
    </row>
    <row r="49">
      <c r="A49" s="13" t="s">
        <v>329</v>
      </c>
      <c r="B49" s="14" t="s">
        <v>346</v>
      </c>
      <c r="C49" s="13" t="s">
        <v>22</v>
      </c>
      <c r="D49" s="13" t="s">
        <v>88</v>
      </c>
      <c r="E49" s="14" t="s">
        <v>349</v>
      </c>
      <c r="F49" s="15" t="s">
        <v>329</v>
      </c>
      <c r="G49" s="10">
        <f t="shared" si="1"/>
        <v>1</v>
      </c>
      <c r="H49" s="15" t="s">
        <v>330</v>
      </c>
      <c r="I49" s="10">
        <f t="shared" si="4"/>
        <v>1</v>
      </c>
    </row>
    <row r="50">
      <c r="A50" s="7" t="s">
        <v>333</v>
      </c>
      <c r="B50" s="9" t="s">
        <v>353</v>
      </c>
      <c r="C50" s="7" t="s">
        <v>87</v>
      </c>
      <c r="D50" s="7" t="s">
        <v>88</v>
      </c>
      <c r="E50" s="7" t="s">
        <v>92</v>
      </c>
      <c r="F50" s="10" t="s">
        <v>333</v>
      </c>
      <c r="G50" s="10">
        <f t="shared" si="1"/>
        <v>1</v>
      </c>
      <c r="H50" s="10" t="s">
        <v>334</v>
      </c>
      <c r="I50" s="10">
        <f t="shared" si="4"/>
        <v>1</v>
      </c>
    </row>
    <row r="51">
      <c r="A51" s="13" t="s">
        <v>339</v>
      </c>
      <c r="B51" s="13" t="s">
        <v>359</v>
      </c>
      <c r="C51" s="13" t="s">
        <v>22</v>
      </c>
      <c r="D51" s="13" t="s">
        <v>360</v>
      </c>
      <c r="E51" s="14" t="s">
        <v>29</v>
      </c>
      <c r="F51" s="15" t="s">
        <v>339</v>
      </c>
      <c r="G51" s="10">
        <f t="shared" si="1"/>
        <v>1</v>
      </c>
      <c r="H51" s="15" t="s">
        <v>341</v>
      </c>
      <c r="I51" s="10">
        <f t="shared" si="4"/>
        <v>1</v>
      </c>
    </row>
    <row r="52">
      <c r="A52" s="7" t="s">
        <v>344</v>
      </c>
      <c r="B52" s="7" t="s">
        <v>363</v>
      </c>
      <c r="C52" s="7" t="s">
        <v>87</v>
      </c>
      <c r="D52" s="7" t="s">
        <v>88</v>
      </c>
      <c r="E52" s="9" t="s">
        <v>270</v>
      </c>
      <c r="F52" s="10" t="s">
        <v>344</v>
      </c>
      <c r="G52" s="10">
        <f t="shared" si="1"/>
        <v>1</v>
      </c>
      <c r="H52" s="10" t="s">
        <v>345</v>
      </c>
      <c r="I52" s="10">
        <f t="shared" si="4"/>
        <v>1</v>
      </c>
    </row>
    <row r="53">
      <c r="A53" s="13" t="s">
        <v>347</v>
      </c>
      <c r="B53" s="13" t="s">
        <v>367</v>
      </c>
      <c r="C53" s="13" t="s">
        <v>22</v>
      </c>
      <c r="D53" s="13" t="s">
        <v>88</v>
      </c>
      <c r="E53" s="14" t="s">
        <v>370</v>
      </c>
      <c r="F53" s="15" t="s">
        <v>347</v>
      </c>
      <c r="G53" s="10">
        <f t="shared" si="1"/>
        <v>1</v>
      </c>
      <c r="H53" s="15" t="s">
        <v>348</v>
      </c>
      <c r="I53" s="10">
        <f t="shared" si="4"/>
        <v>1</v>
      </c>
    </row>
    <row r="54">
      <c r="A54" s="7" t="s">
        <v>351</v>
      </c>
      <c r="B54" s="7" t="s">
        <v>372</v>
      </c>
      <c r="C54" s="7" t="s">
        <v>22</v>
      </c>
      <c r="D54" s="7" t="s">
        <v>88</v>
      </c>
      <c r="E54" s="9" t="s">
        <v>375</v>
      </c>
      <c r="F54" s="10" t="s">
        <v>351</v>
      </c>
      <c r="G54" s="10">
        <f t="shared" si="1"/>
        <v>1</v>
      </c>
      <c r="H54" s="10" t="s">
        <v>352</v>
      </c>
      <c r="I54" s="10">
        <f t="shared" si="4"/>
        <v>1</v>
      </c>
    </row>
    <row r="55">
      <c r="A55" s="13" t="s">
        <v>357</v>
      </c>
      <c r="B55" s="13" t="s">
        <v>377</v>
      </c>
      <c r="C55" s="13" t="s">
        <v>227</v>
      </c>
      <c r="D55" s="13" t="s">
        <v>88</v>
      </c>
      <c r="E55" s="13" t="s">
        <v>229</v>
      </c>
      <c r="F55" s="15" t="s">
        <v>357</v>
      </c>
      <c r="G55" s="10">
        <f t="shared" si="1"/>
        <v>1</v>
      </c>
      <c r="H55" s="15" t="s">
        <v>358</v>
      </c>
      <c r="I55" s="10">
        <f t="shared" si="4"/>
        <v>1</v>
      </c>
    </row>
    <row r="56">
      <c r="A56" s="7" t="s">
        <v>361</v>
      </c>
      <c r="B56" s="9" t="s">
        <v>380</v>
      </c>
      <c r="C56" s="7" t="s">
        <v>22</v>
      </c>
      <c r="D56" s="7" t="s">
        <v>88</v>
      </c>
      <c r="E56" s="9" t="s">
        <v>382</v>
      </c>
      <c r="F56" s="10" t="s">
        <v>361</v>
      </c>
      <c r="G56" s="10">
        <f t="shared" si="1"/>
        <v>1</v>
      </c>
      <c r="H56" s="10" t="s">
        <v>362</v>
      </c>
      <c r="I56" s="10">
        <f t="shared" si="4"/>
        <v>1</v>
      </c>
    </row>
    <row r="57">
      <c r="A57" s="13" t="s">
        <v>365</v>
      </c>
      <c r="B57" s="13" t="s">
        <v>386</v>
      </c>
      <c r="C57" s="13" t="s">
        <v>22</v>
      </c>
      <c r="D57" s="13" t="s">
        <v>88</v>
      </c>
      <c r="E57" s="14" t="s">
        <v>299</v>
      </c>
      <c r="F57" s="15" t="s">
        <v>365</v>
      </c>
      <c r="G57" s="10">
        <f t="shared" si="1"/>
        <v>1</v>
      </c>
      <c r="H57" s="15" t="s">
        <v>366</v>
      </c>
      <c r="I57" s="10">
        <f t="shared" si="4"/>
        <v>1</v>
      </c>
    </row>
    <row r="58">
      <c r="A58" s="7" t="s">
        <v>368</v>
      </c>
      <c r="B58" s="7" t="s">
        <v>389</v>
      </c>
      <c r="C58" s="7" t="s">
        <v>87</v>
      </c>
      <c r="D58" s="7" t="s">
        <v>88</v>
      </c>
      <c r="E58" s="7" t="s">
        <v>92</v>
      </c>
      <c r="F58" s="10" t="s">
        <v>368</v>
      </c>
      <c r="G58" s="10">
        <f t="shared" si="1"/>
        <v>1</v>
      </c>
      <c r="H58" s="10" t="s">
        <v>371</v>
      </c>
      <c r="I58" s="10">
        <f t="shared" si="4"/>
        <v>1</v>
      </c>
    </row>
    <row r="59">
      <c r="A59" s="13" t="s">
        <v>373</v>
      </c>
      <c r="B59" s="13" t="s">
        <v>395</v>
      </c>
      <c r="C59" s="13" t="s">
        <v>227</v>
      </c>
      <c r="D59" s="13" t="s">
        <v>88</v>
      </c>
      <c r="E59" s="13" t="s">
        <v>229</v>
      </c>
      <c r="F59" s="15" t="s">
        <v>373</v>
      </c>
      <c r="G59" s="10">
        <f t="shared" si="1"/>
        <v>1</v>
      </c>
      <c r="H59" s="15" t="s">
        <v>374</v>
      </c>
      <c r="I59" s="10">
        <f t="shared" si="4"/>
        <v>1</v>
      </c>
    </row>
    <row r="60">
      <c r="A60" s="7" t="s">
        <v>376</v>
      </c>
      <c r="B60" s="7" t="s">
        <v>398</v>
      </c>
      <c r="C60" s="7" t="s">
        <v>22</v>
      </c>
      <c r="D60" s="7" t="s">
        <v>88</v>
      </c>
      <c r="E60" s="9" t="s">
        <v>299</v>
      </c>
      <c r="F60" s="10" t="s">
        <v>376</v>
      </c>
      <c r="G60" s="10">
        <f t="shared" si="1"/>
        <v>1</v>
      </c>
      <c r="H60" s="10" t="s">
        <v>378</v>
      </c>
      <c r="I60" s="10">
        <f t="shared" si="4"/>
        <v>1</v>
      </c>
    </row>
    <row r="61">
      <c r="A61" s="13" t="s">
        <v>379</v>
      </c>
      <c r="B61" s="13" t="s">
        <v>400</v>
      </c>
      <c r="C61" s="13" t="s">
        <v>87</v>
      </c>
      <c r="D61" s="13" t="s">
        <v>88</v>
      </c>
      <c r="E61" s="14" t="s">
        <v>279</v>
      </c>
      <c r="F61" s="15" t="s">
        <v>379</v>
      </c>
      <c r="G61" s="10">
        <f t="shared" si="1"/>
        <v>1</v>
      </c>
      <c r="H61" s="15" t="s">
        <v>381</v>
      </c>
      <c r="I61" s="10">
        <f t="shared" si="4"/>
        <v>1</v>
      </c>
    </row>
    <row r="62">
      <c r="A62" s="7" t="s">
        <v>387</v>
      </c>
      <c r="B62" s="9" t="s">
        <v>404</v>
      </c>
      <c r="C62" s="7" t="s">
        <v>87</v>
      </c>
      <c r="D62" s="7" t="s">
        <v>88</v>
      </c>
      <c r="E62" s="7" t="s">
        <v>92</v>
      </c>
      <c r="F62" s="10" t="s">
        <v>387</v>
      </c>
      <c r="G62" s="10">
        <f t="shared" si="1"/>
        <v>1</v>
      </c>
      <c r="H62" s="10" t="s">
        <v>388</v>
      </c>
      <c r="I62" s="10">
        <f t="shared" si="4"/>
        <v>1</v>
      </c>
    </row>
    <row r="63">
      <c r="A63" s="13" t="s">
        <v>390</v>
      </c>
      <c r="B63" s="13" t="s">
        <v>406</v>
      </c>
      <c r="C63" s="13" t="s">
        <v>22</v>
      </c>
      <c r="D63" s="13" t="s">
        <v>74</v>
      </c>
      <c r="E63" s="14" t="s">
        <v>410</v>
      </c>
      <c r="F63" s="15" t="s">
        <v>390</v>
      </c>
      <c r="G63" s="10">
        <f t="shared" si="1"/>
        <v>1</v>
      </c>
      <c r="H63" s="15" t="s">
        <v>391</v>
      </c>
      <c r="I63" s="10">
        <f t="shared" si="4"/>
        <v>1</v>
      </c>
    </row>
    <row r="64">
      <c r="A64" s="7" t="s">
        <v>393</v>
      </c>
      <c r="B64" s="9" t="s">
        <v>413</v>
      </c>
      <c r="C64" s="7" t="s">
        <v>22</v>
      </c>
      <c r="D64" s="7" t="s">
        <v>88</v>
      </c>
      <c r="E64" s="9" t="s">
        <v>214</v>
      </c>
      <c r="F64" s="10" t="s">
        <v>393</v>
      </c>
      <c r="G64" s="10">
        <f t="shared" si="1"/>
        <v>1</v>
      </c>
      <c r="H64" s="10" t="s">
        <v>394</v>
      </c>
      <c r="I64" s="10">
        <f t="shared" si="4"/>
        <v>1</v>
      </c>
    </row>
    <row r="65">
      <c r="A65" s="13" t="s">
        <v>396</v>
      </c>
      <c r="B65" s="13" t="s">
        <v>417</v>
      </c>
      <c r="C65" s="13" t="s">
        <v>87</v>
      </c>
      <c r="D65" s="13" t="s">
        <v>88</v>
      </c>
      <c r="E65" s="13" t="s">
        <v>104</v>
      </c>
      <c r="F65" s="15" t="s">
        <v>396</v>
      </c>
      <c r="G65" s="10">
        <f t="shared" si="1"/>
        <v>1</v>
      </c>
      <c r="H65" s="15" t="s">
        <v>397</v>
      </c>
      <c r="I65" s="10">
        <f t="shared" si="4"/>
        <v>1</v>
      </c>
    </row>
    <row r="66">
      <c r="A66" s="7" t="s">
        <v>399</v>
      </c>
      <c r="B66" s="7" t="s">
        <v>420</v>
      </c>
      <c r="C66" s="7" t="s">
        <v>22</v>
      </c>
      <c r="D66" s="7" t="s">
        <v>88</v>
      </c>
      <c r="E66" s="9" t="s">
        <v>100</v>
      </c>
      <c r="F66" s="10" t="s">
        <v>399</v>
      </c>
      <c r="G66" s="10">
        <f t="shared" si="1"/>
        <v>1</v>
      </c>
      <c r="H66" s="10" t="s">
        <v>401</v>
      </c>
      <c r="I66" s="10">
        <f t="shared" si="4"/>
        <v>1</v>
      </c>
    </row>
    <row r="67">
      <c r="A67" s="13" t="s">
        <v>402</v>
      </c>
      <c r="B67" s="13" t="s">
        <v>424</v>
      </c>
      <c r="C67" s="13" t="s">
        <v>22</v>
      </c>
      <c r="D67" s="13" t="s">
        <v>88</v>
      </c>
      <c r="E67" s="14" t="s">
        <v>426</v>
      </c>
      <c r="F67" s="15" t="s">
        <v>402</v>
      </c>
      <c r="G67" s="10">
        <f t="shared" si="1"/>
        <v>1</v>
      </c>
      <c r="H67" s="15" t="s">
        <v>403</v>
      </c>
      <c r="I67" s="10">
        <f t="shared" si="4"/>
        <v>1</v>
      </c>
    </row>
    <row r="68">
      <c r="A68" s="7" t="s">
        <v>311</v>
      </c>
      <c r="B68" s="7" t="s">
        <v>342</v>
      </c>
      <c r="C68" s="7" t="s">
        <v>22</v>
      </c>
      <c r="D68" s="7" t="s">
        <v>88</v>
      </c>
      <c r="E68" s="7" t="s">
        <v>429</v>
      </c>
      <c r="F68" s="10" t="s">
        <v>311</v>
      </c>
      <c r="G68" s="10">
        <f t="shared" si="1"/>
        <v>1</v>
      </c>
      <c r="H68" s="10" t="s">
        <v>407</v>
      </c>
      <c r="I68" s="10">
        <f t="shared" si="4"/>
        <v>1</v>
      </c>
    </row>
    <row r="69">
      <c r="A69" s="13" t="s">
        <v>412</v>
      </c>
      <c r="B69" s="13" t="s">
        <v>431</v>
      </c>
      <c r="C69" s="13" t="s">
        <v>227</v>
      </c>
      <c r="D69" s="13" t="s">
        <v>88</v>
      </c>
      <c r="E69" s="13" t="s">
        <v>229</v>
      </c>
      <c r="F69" s="15" t="s">
        <v>412</v>
      </c>
      <c r="G69" s="10">
        <f t="shared" si="1"/>
        <v>1</v>
      </c>
      <c r="H69" s="15" t="s">
        <v>414</v>
      </c>
      <c r="I69" s="10">
        <f t="shared" si="4"/>
        <v>1</v>
      </c>
    </row>
    <row r="70">
      <c r="A70" s="7" t="s">
        <v>415</v>
      </c>
      <c r="B70" s="9" t="s">
        <v>437</v>
      </c>
      <c r="C70" s="7" t="s">
        <v>22</v>
      </c>
      <c r="D70" s="7" t="s">
        <v>88</v>
      </c>
      <c r="E70" s="7" t="s">
        <v>287</v>
      </c>
      <c r="F70" s="10" t="s">
        <v>415</v>
      </c>
      <c r="G70" s="10">
        <f t="shared" si="1"/>
        <v>1</v>
      </c>
      <c r="H70" s="10" t="s">
        <v>416</v>
      </c>
      <c r="I70" s="10">
        <f t="shared" si="4"/>
        <v>1</v>
      </c>
    </row>
    <row r="71">
      <c r="A71" s="13" t="s">
        <v>418</v>
      </c>
      <c r="B71" s="13" t="s">
        <v>438</v>
      </c>
      <c r="C71" s="13" t="s">
        <v>87</v>
      </c>
      <c r="D71" s="13" t="s">
        <v>74</v>
      </c>
      <c r="E71" s="13" t="s">
        <v>441</v>
      </c>
      <c r="F71" s="15" t="s">
        <v>418</v>
      </c>
      <c r="G71" s="10">
        <f t="shared" si="1"/>
        <v>1</v>
      </c>
      <c r="H71" s="15" t="s">
        <v>419</v>
      </c>
      <c r="I71" s="10" t="s">
        <v>47</v>
      </c>
    </row>
    <row r="72">
      <c r="A72" s="7" t="s">
        <v>422</v>
      </c>
      <c r="B72" s="7" t="s">
        <v>444</v>
      </c>
      <c r="C72" s="7" t="s">
        <v>22</v>
      </c>
      <c r="D72" s="7" t="s">
        <v>88</v>
      </c>
      <c r="E72" s="9" t="s">
        <v>446</v>
      </c>
      <c r="F72" s="10" t="s">
        <v>422</v>
      </c>
      <c r="G72" s="10">
        <f t="shared" si="1"/>
        <v>1</v>
      </c>
      <c r="H72" s="10" t="s">
        <v>423</v>
      </c>
      <c r="I72" s="10">
        <f t="shared" ref="I72:I84" si="5">IF(H72=B72,1,FALSE)</f>
        <v>1</v>
      </c>
    </row>
    <row r="73">
      <c r="A73" s="13" t="s">
        <v>427</v>
      </c>
      <c r="B73" s="13" t="s">
        <v>451</v>
      </c>
      <c r="C73" s="13" t="s">
        <v>227</v>
      </c>
      <c r="D73" s="13" t="s">
        <v>88</v>
      </c>
      <c r="E73" s="13" t="s">
        <v>229</v>
      </c>
      <c r="F73" s="15" t="s">
        <v>427</v>
      </c>
      <c r="G73" s="10">
        <f t="shared" si="1"/>
        <v>1</v>
      </c>
      <c r="H73" s="15" t="s">
        <v>428</v>
      </c>
      <c r="I73" s="10">
        <f t="shared" si="5"/>
        <v>1</v>
      </c>
    </row>
    <row r="74">
      <c r="A74" s="7" t="s">
        <v>430</v>
      </c>
      <c r="B74" s="7" t="s">
        <v>456</v>
      </c>
      <c r="C74" s="7" t="s">
        <v>227</v>
      </c>
      <c r="D74" s="7" t="s">
        <v>88</v>
      </c>
      <c r="E74" s="7" t="s">
        <v>229</v>
      </c>
      <c r="F74" s="10" t="s">
        <v>430</v>
      </c>
      <c r="G74" s="10">
        <f t="shared" si="1"/>
        <v>1</v>
      </c>
      <c r="H74" s="10" t="s">
        <v>432</v>
      </c>
      <c r="I74" s="10">
        <f t="shared" si="5"/>
        <v>1</v>
      </c>
    </row>
    <row r="75">
      <c r="A75" s="13" t="s">
        <v>435</v>
      </c>
      <c r="B75" s="13" t="s">
        <v>459</v>
      </c>
      <c r="C75" s="13" t="s">
        <v>227</v>
      </c>
      <c r="D75" s="13" t="s">
        <v>88</v>
      </c>
      <c r="E75" s="13" t="s">
        <v>229</v>
      </c>
      <c r="F75" s="15" t="s">
        <v>435</v>
      </c>
      <c r="G75" s="10">
        <f t="shared" si="1"/>
        <v>1</v>
      </c>
      <c r="H75" s="15" t="s">
        <v>436</v>
      </c>
      <c r="I75" s="10">
        <f t="shared" si="5"/>
        <v>1</v>
      </c>
    </row>
    <row r="76">
      <c r="A76" s="7" t="s">
        <v>439</v>
      </c>
      <c r="B76" s="9" t="s">
        <v>462</v>
      </c>
      <c r="C76" s="7" t="s">
        <v>22</v>
      </c>
      <c r="D76" s="7" t="s">
        <v>88</v>
      </c>
      <c r="E76" s="9" t="s">
        <v>464</v>
      </c>
      <c r="F76" s="10" t="s">
        <v>439</v>
      </c>
      <c r="G76" s="10">
        <f t="shared" si="1"/>
        <v>1</v>
      </c>
      <c r="H76" s="10" t="s">
        <v>440</v>
      </c>
      <c r="I76" s="10">
        <f t="shared" si="5"/>
        <v>1</v>
      </c>
    </row>
    <row r="77">
      <c r="A77" s="13" t="s">
        <v>443</v>
      </c>
      <c r="B77" s="13" t="s">
        <v>466</v>
      </c>
      <c r="C77" s="13" t="s">
        <v>22</v>
      </c>
      <c r="D77" s="13" t="s">
        <v>88</v>
      </c>
      <c r="E77" s="14" t="s">
        <v>167</v>
      </c>
      <c r="F77" s="15" t="s">
        <v>443</v>
      </c>
      <c r="G77" s="10">
        <f t="shared" si="1"/>
        <v>1</v>
      </c>
      <c r="H77" s="15" t="s">
        <v>445</v>
      </c>
      <c r="I77" s="10">
        <f t="shared" si="5"/>
        <v>1</v>
      </c>
    </row>
    <row r="78">
      <c r="A78" s="7" t="s">
        <v>447</v>
      </c>
      <c r="B78" s="9" t="s">
        <v>470</v>
      </c>
      <c r="C78" s="7" t="s">
        <v>22</v>
      </c>
      <c r="D78" s="7" t="s">
        <v>88</v>
      </c>
      <c r="E78" s="9" t="s">
        <v>167</v>
      </c>
      <c r="F78" s="10" t="s">
        <v>447</v>
      </c>
      <c r="G78" s="10">
        <f t="shared" si="1"/>
        <v>1</v>
      </c>
      <c r="H78" s="10" t="s">
        <v>448</v>
      </c>
      <c r="I78" s="10">
        <f t="shared" si="5"/>
        <v>1</v>
      </c>
    </row>
    <row r="79">
      <c r="A79" s="13" t="s">
        <v>449</v>
      </c>
      <c r="B79" s="13" t="s">
        <v>474</v>
      </c>
      <c r="C79" s="13" t="s">
        <v>227</v>
      </c>
      <c r="D79" s="13" t="s">
        <v>88</v>
      </c>
      <c r="E79" s="14" t="s">
        <v>167</v>
      </c>
      <c r="F79" s="15" t="s">
        <v>449</v>
      </c>
      <c r="G79" s="10">
        <f t="shared" si="1"/>
        <v>1</v>
      </c>
      <c r="H79" s="15" t="s">
        <v>450</v>
      </c>
      <c r="I79" s="10">
        <f t="shared" si="5"/>
        <v>1</v>
      </c>
    </row>
    <row r="80">
      <c r="A80" s="7" t="s">
        <v>454</v>
      </c>
      <c r="B80" s="7" t="s">
        <v>479</v>
      </c>
      <c r="C80" s="7" t="s">
        <v>22</v>
      </c>
      <c r="D80" s="7" t="s">
        <v>88</v>
      </c>
      <c r="E80" s="9" t="s">
        <v>167</v>
      </c>
      <c r="F80" s="10" t="s">
        <v>454</v>
      </c>
      <c r="G80" s="10">
        <f t="shared" si="1"/>
        <v>1</v>
      </c>
      <c r="H80" s="10" t="s">
        <v>455</v>
      </c>
      <c r="I80" s="10">
        <f t="shared" si="5"/>
        <v>1</v>
      </c>
    </row>
    <row r="81">
      <c r="A81" s="13" t="s">
        <v>457</v>
      </c>
      <c r="B81" s="13" t="s">
        <v>483</v>
      </c>
      <c r="C81" s="13" t="s">
        <v>22</v>
      </c>
      <c r="D81" s="13" t="s">
        <v>88</v>
      </c>
      <c r="E81" s="14" t="s">
        <v>167</v>
      </c>
      <c r="F81" s="15" t="s">
        <v>457</v>
      </c>
      <c r="G81" s="10">
        <f t="shared" si="1"/>
        <v>1</v>
      </c>
      <c r="H81" s="15" t="s">
        <v>458</v>
      </c>
      <c r="I81" s="10">
        <f t="shared" si="5"/>
        <v>1</v>
      </c>
    </row>
    <row r="82">
      <c r="A82" s="7" t="s">
        <v>460</v>
      </c>
      <c r="B82" s="7" t="s">
        <v>489</v>
      </c>
      <c r="C82" s="7" t="s">
        <v>22</v>
      </c>
      <c r="D82" s="7" t="s">
        <v>88</v>
      </c>
      <c r="E82" s="9" t="s">
        <v>167</v>
      </c>
      <c r="F82" s="10" t="s">
        <v>460</v>
      </c>
      <c r="G82" s="10">
        <f t="shared" si="1"/>
        <v>1</v>
      </c>
      <c r="H82" s="10" t="s">
        <v>461</v>
      </c>
      <c r="I82" s="10">
        <f t="shared" si="5"/>
        <v>1</v>
      </c>
    </row>
    <row r="83">
      <c r="A83" s="13" t="s">
        <v>463</v>
      </c>
      <c r="B83" s="14" t="s">
        <v>493</v>
      </c>
      <c r="C83" s="13" t="s">
        <v>22</v>
      </c>
      <c r="D83" s="13" t="s">
        <v>26</v>
      </c>
      <c r="E83" s="14" t="s">
        <v>495</v>
      </c>
      <c r="F83" s="15" t="s">
        <v>463</v>
      </c>
      <c r="G83" s="10">
        <f t="shared" si="1"/>
        <v>1</v>
      </c>
      <c r="H83" s="15" t="s">
        <v>465</v>
      </c>
      <c r="I83" s="10">
        <f t="shared" si="5"/>
        <v>1</v>
      </c>
    </row>
    <row r="84">
      <c r="A84" s="7" t="s">
        <v>468</v>
      </c>
      <c r="B84" s="9" t="s">
        <v>499</v>
      </c>
      <c r="C84" s="7" t="s">
        <v>22</v>
      </c>
      <c r="D84" s="7" t="s">
        <v>74</v>
      </c>
      <c r="E84" s="9" t="s">
        <v>495</v>
      </c>
      <c r="F84" s="10" t="s">
        <v>468</v>
      </c>
      <c r="G84" s="10">
        <f t="shared" si="1"/>
        <v>1</v>
      </c>
      <c r="H84" s="10" t="s">
        <v>469</v>
      </c>
      <c r="I84" s="10">
        <f t="shared" si="5"/>
        <v>1</v>
      </c>
    </row>
    <row r="85">
      <c r="A85" s="13" t="s">
        <v>471</v>
      </c>
      <c r="B85" s="13" t="s">
        <v>506</v>
      </c>
      <c r="C85" s="13" t="s">
        <v>22</v>
      </c>
      <c r="D85" s="13" t="s">
        <v>88</v>
      </c>
      <c r="E85" s="14" t="s">
        <v>509</v>
      </c>
      <c r="F85" s="15" t="s">
        <v>471</v>
      </c>
      <c r="G85" s="10">
        <f t="shared" si="1"/>
        <v>1</v>
      </c>
      <c r="H85" s="15" t="s">
        <v>472</v>
      </c>
      <c r="I85" s="10" t="s">
        <v>47</v>
      </c>
    </row>
    <row r="86">
      <c r="A86" s="7" t="s">
        <v>475</v>
      </c>
      <c r="B86" s="9" t="s">
        <v>515</v>
      </c>
      <c r="C86" s="7" t="s">
        <v>22</v>
      </c>
      <c r="D86" s="7" t="s">
        <v>88</v>
      </c>
      <c r="E86" s="9" t="s">
        <v>167</v>
      </c>
      <c r="F86" s="10" t="s">
        <v>475</v>
      </c>
      <c r="G86" s="10">
        <f t="shared" si="1"/>
        <v>1</v>
      </c>
      <c r="H86" s="10" t="s">
        <v>476</v>
      </c>
      <c r="I86" s="10">
        <f t="shared" ref="I86:I136" si="6">IF(H86=B86,1,FALSE)</f>
        <v>1</v>
      </c>
    </row>
    <row r="87">
      <c r="A87" s="13" t="s">
        <v>477</v>
      </c>
      <c r="B87" s="13" t="s">
        <v>525</v>
      </c>
      <c r="C87" s="13" t="s">
        <v>22</v>
      </c>
      <c r="D87" s="13" t="s">
        <v>88</v>
      </c>
      <c r="E87" s="14" t="s">
        <v>167</v>
      </c>
      <c r="F87" s="15" t="s">
        <v>477</v>
      </c>
      <c r="G87" s="10">
        <f t="shared" si="1"/>
        <v>1</v>
      </c>
      <c r="H87" s="15" t="s">
        <v>478</v>
      </c>
      <c r="I87" s="10">
        <f t="shared" si="6"/>
        <v>1</v>
      </c>
    </row>
    <row r="88">
      <c r="A88" s="7" t="s">
        <v>480</v>
      </c>
      <c r="B88" s="9" t="s">
        <v>531</v>
      </c>
      <c r="C88" s="7" t="s">
        <v>22</v>
      </c>
      <c r="D88" s="7" t="s">
        <v>88</v>
      </c>
      <c r="E88" s="9" t="s">
        <v>167</v>
      </c>
      <c r="F88" s="10" t="s">
        <v>480</v>
      </c>
      <c r="G88" s="10">
        <f t="shared" si="1"/>
        <v>1</v>
      </c>
      <c r="H88" s="10" t="s">
        <v>481</v>
      </c>
      <c r="I88" s="10">
        <f t="shared" si="6"/>
        <v>1</v>
      </c>
    </row>
    <row r="89">
      <c r="A89" s="13" t="s">
        <v>485</v>
      </c>
      <c r="B89" s="13" t="s">
        <v>543</v>
      </c>
      <c r="C89" s="13" t="s">
        <v>22</v>
      </c>
      <c r="D89" s="13" t="s">
        <v>88</v>
      </c>
      <c r="E89" s="14" t="s">
        <v>349</v>
      </c>
      <c r="F89" s="15" t="s">
        <v>485</v>
      </c>
      <c r="G89" s="10">
        <f t="shared" si="1"/>
        <v>1</v>
      </c>
      <c r="H89" s="15" t="s">
        <v>486</v>
      </c>
      <c r="I89" s="10">
        <f t="shared" si="6"/>
        <v>1</v>
      </c>
    </row>
    <row r="90">
      <c r="A90" s="7" t="s">
        <v>487</v>
      </c>
      <c r="B90" s="9" t="s">
        <v>547</v>
      </c>
      <c r="C90" s="7" t="s">
        <v>22</v>
      </c>
      <c r="D90" s="7" t="s">
        <v>88</v>
      </c>
      <c r="E90" s="9" t="s">
        <v>349</v>
      </c>
      <c r="F90" s="10" t="s">
        <v>487</v>
      </c>
      <c r="G90" s="10">
        <f t="shared" si="1"/>
        <v>1</v>
      </c>
      <c r="H90" s="10" t="s">
        <v>488</v>
      </c>
      <c r="I90" s="10">
        <f t="shared" si="6"/>
        <v>1</v>
      </c>
    </row>
    <row r="91">
      <c r="A91" s="13" t="s">
        <v>490</v>
      </c>
      <c r="B91" s="13" t="s">
        <v>553</v>
      </c>
      <c r="C91" s="13" t="s">
        <v>22</v>
      </c>
      <c r="D91" s="13" t="s">
        <v>88</v>
      </c>
      <c r="E91" s="14" t="s">
        <v>410</v>
      </c>
      <c r="F91" s="15" t="s">
        <v>490</v>
      </c>
      <c r="G91" s="10">
        <f t="shared" si="1"/>
        <v>1</v>
      </c>
      <c r="H91" s="15" t="s">
        <v>491</v>
      </c>
      <c r="I91" s="10">
        <f t="shared" si="6"/>
        <v>1</v>
      </c>
    </row>
    <row r="92">
      <c r="A92" s="7" t="s">
        <v>186</v>
      </c>
      <c r="B92" s="7" t="s">
        <v>559</v>
      </c>
      <c r="C92" s="7" t="s">
        <v>22</v>
      </c>
      <c r="D92" s="7" t="s">
        <v>88</v>
      </c>
      <c r="E92" s="9" t="s">
        <v>410</v>
      </c>
      <c r="F92" s="10" t="s">
        <v>186</v>
      </c>
      <c r="G92" s="10">
        <f t="shared" si="1"/>
        <v>1</v>
      </c>
      <c r="H92" s="10" t="s">
        <v>492</v>
      </c>
      <c r="I92" s="10">
        <f t="shared" si="6"/>
        <v>1</v>
      </c>
    </row>
    <row r="93">
      <c r="A93" s="13" t="s">
        <v>157</v>
      </c>
      <c r="B93" s="14" t="s">
        <v>176</v>
      </c>
      <c r="C93" s="13" t="s">
        <v>87</v>
      </c>
      <c r="D93" s="13" t="s">
        <v>88</v>
      </c>
      <c r="E93" s="13" t="s">
        <v>564</v>
      </c>
      <c r="F93" s="15" t="s">
        <v>157</v>
      </c>
      <c r="G93" s="10">
        <f t="shared" si="1"/>
        <v>1</v>
      </c>
      <c r="H93" s="15" t="s">
        <v>494</v>
      </c>
      <c r="I93" s="10">
        <f t="shared" si="6"/>
        <v>1</v>
      </c>
    </row>
    <row r="94">
      <c r="A94" s="7" t="s">
        <v>497</v>
      </c>
      <c r="B94" s="9" t="s">
        <v>565</v>
      </c>
      <c r="C94" s="7" t="s">
        <v>22</v>
      </c>
      <c r="D94" s="7" t="s">
        <v>74</v>
      </c>
      <c r="E94" s="9" t="s">
        <v>567</v>
      </c>
      <c r="F94" s="10" t="s">
        <v>497</v>
      </c>
      <c r="G94" s="10">
        <f t="shared" si="1"/>
        <v>1</v>
      </c>
      <c r="H94" s="10" t="s">
        <v>498</v>
      </c>
      <c r="I94" s="10">
        <f t="shared" si="6"/>
        <v>1</v>
      </c>
    </row>
    <row r="95">
      <c r="A95" s="13" t="s">
        <v>501</v>
      </c>
      <c r="B95" s="13" t="s">
        <v>570</v>
      </c>
      <c r="C95" s="13" t="s">
        <v>22</v>
      </c>
      <c r="D95" s="13" t="s">
        <v>88</v>
      </c>
      <c r="E95" s="14" t="s">
        <v>573</v>
      </c>
      <c r="F95" s="15" t="s">
        <v>501</v>
      </c>
      <c r="G95" s="10">
        <f t="shared" si="1"/>
        <v>1</v>
      </c>
      <c r="H95" s="15" t="s">
        <v>502</v>
      </c>
      <c r="I95" s="10">
        <f t="shared" si="6"/>
        <v>1</v>
      </c>
    </row>
    <row r="96">
      <c r="A96" s="7" t="s">
        <v>504</v>
      </c>
      <c r="B96" s="7" t="s">
        <v>579</v>
      </c>
      <c r="C96" s="7" t="s">
        <v>22</v>
      </c>
      <c r="D96" s="7" t="s">
        <v>88</v>
      </c>
      <c r="E96" s="9" t="s">
        <v>464</v>
      </c>
      <c r="F96" s="10" t="s">
        <v>504</v>
      </c>
      <c r="G96" s="10">
        <f t="shared" si="1"/>
        <v>1</v>
      </c>
      <c r="H96" s="10" t="s">
        <v>505</v>
      </c>
      <c r="I96" s="10">
        <f t="shared" si="6"/>
        <v>1</v>
      </c>
    </row>
    <row r="97">
      <c r="A97" s="13" t="s">
        <v>507</v>
      </c>
      <c r="B97" s="14" t="s">
        <v>582</v>
      </c>
      <c r="C97" s="13" t="s">
        <v>87</v>
      </c>
      <c r="D97" s="13" t="s">
        <v>360</v>
      </c>
      <c r="E97" s="14" t="s">
        <v>585</v>
      </c>
      <c r="F97" s="15" t="s">
        <v>507</v>
      </c>
      <c r="G97" s="10">
        <f t="shared" si="1"/>
        <v>1</v>
      </c>
      <c r="H97" s="15" t="s">
        <v>508</v>
      </c>
      <c r="I97" s="10">
        <f t="shared" si="6"/>
        <v>1</v>
      </c>
    </row>
    <row r="98">
      <c r="A98" s="7" t="s">
        <v>511</v>
      </c>
      <c r="B98" s="9" t="s">
        <v>588</v>
      </c>
      <c r="C98" s="7" t="s">
        <v>87</v>
      </c>
      <c r="D98" s="7" t="s">
        <v>88</v>
      </c>
      <c r="E98" s="9" t="s">
        <v>589</v>
      </c>
      <c r="F98" s="10" t="s">
        <v>511</v>
      </c>
      <c r="G98" s="10">
        <f t="shared" si="1"/>
        <v>1</v>
      </c>
      <c r="H98" s="10" t="s">
        <v>512</v>
      </c>
      <c r="I98" s="10">
        <f t="shared" si="6"/>
        <v>1</v>
      </c>
    </row>
    <row r="99">
      <c r="A99" s="13" t="s">
        <v>514</v>
      </c>
      <c r="B99" s="14" t="s">
        <v>592</v>
      </c>
      <c r="C99" s="13" t="s">
        <v>87</v>
      </c>
      <c r="D99" s="13" t="s">
        <v>88</v>
      </c>
      <c r="E99" s="14" t="s">
        <v>89</v>
      </c>
      <c r="F99" s="15" t="s">
        <v>514</v>
      </c>
      <c r="G99" s="10">
        <f t="shared" si="1"/>
        <v>1</v>
      </c>
      <c r="H99" s="15" t="s">
        <v>516</v>
      </c>
      <c r="I99" s="10">
        <f t="shared" si="6"/>
        <v>1</v>
      </c>
    </row>
    <row r="100">
      <c r="A100" s="7" t="s">
        <v>518</v>
      </c>
      <c r="B100" s="9" t="s">
        <v>595</v>
      </c>
      <c r="C100" s="7" t="s">
        <v>22</v>
      </c>
      <c r="D100" s="7" t="s">
        <v>88</v>
      </c>
      <c r="E100" s="9" t="s">
        <v>573</v>
      </c>
      <c r="F100" s="10" t="s">
        <v>518</v>
      </c>
      <c r="G100" s="10">
        <f t="shared" si="1"/>
        <v>1</v>
      </c>
      <c r="H100" s="10" t="s">
        <v>520</v>
      </c>
      <c r="I100" s="10">
        <f t="shared" si="6"/>
        <v>1</v>
      </c>
    </row>
    <row r="101">
      <c r="A101" s="13" t="s">
        <v>521</v>
      </c>
      <c r="B101" s="14" t="s">
        <v>599</v>
      </c>
      <c r="C101" s="13" t="s">
        <v>87</v>
      </c>
      <c r="D101" s="13" t="s">
        <v>88</v>
      </c>
      <c r="E101" s="13" t="s">
        <v>343</v>
      </c>
      <c r="F101" s="15" t="s">
        <v>521</v>
      </c>
      <c r="G101" s="10">
        <f t="shared" si="1"/>
        <v>1</v>
      </c>
      <c r="H101" s="15" t="s">
        <v>522</v>
      </c>
      <c r="I101" s="10">
        <f t="shared" si="6"/>
        <v>1</v>
      </c>
    </row>
    <row r="102">
      <c r="A102" s="7" t="s">
        <v>523</v>
      </c>
      <c r="B102" s="9" t="s">
        <v>605</v>
      </c>
      <c r="C102" s="7" t="s">
        <v>22</v>
      </c>
      <c r="D102" s="7" t="s">
        <v>88</v>
      </c>
      <c r="E102" s="9" t="s">
        <v>100</v>
      </c>
      <c r="F102" s="10" t="s">
        <v>523</v>
      </c>
      <c r="G102" s="10">
        <f t="shared" si="1"/>
        <v>1</v>
      </c>
      <c r="H102" s="10" t="s">
        <v>524</v>
      </c>
      <c r="I102" s="10">
        <f t="shared" si="6"/>
        <v>1</v>
      </c>
    </row>
    <row r="103">
      <c r="A103" s="13" t="s">
        <v>526</v>
      </c>
      <c r="B103" s="14" t="s">
        <v>615</v>
      </c>
      <c r="C103" s="13" t="s">
        <v>22</v>
      </c>
      <c r="D103" s="13" t="s">
        <v>88</v>
      </c>
      <c r="E103" s="13" t="s">
        <v>618</v>
      </c>
      <c r="F103" s="15" t="s">
        <v>526</v>
      </c>
      <c r="G103" s="10">
        <f t="shared" si="1"/>
        <v>1</v>
      </c>
      <c r="H103" s="15" t="s">
        <v>527</v>
      </c>
      <c r="I103" s="10">
        <f t="shared" si="6"/>
        <v>1</v>
      </c>
    </row>
    <row r="104">
      <c r="A104" s="7" t="s">
        <v>529</v>
      </c>
      <c r="B104" s="7" t="s">
        <v>623</v>
      </c>
      <c r="C104" s="7" t="s">
        <v>87</v>
      </c>
      <c r="D104" s="7" t="s">
        <v>88</v>
      </c>
      <c r="E104" s="7" t="s">
        <v>627</v>
      </c>
      <c r="F104" s="10" t="s">
        <v>529</v>
      </c>
      <c r="G104" s="10">
        <f t="shared" si="1"/>
        <v>1</v>
      </c>
      <c r="H104" s="10" t="s">
        <v>530</v>
      </c>
      <c r="I104" s="10">
        <f t="shared" si="6"/>
        <v>1</v>
      </c>
    </row>
    <row r="105">
      <c r="A105" s="13" t="s">
        <v>533</v>
      </c>
      <c r="B105" s="14" t="s">
        <v>629</v>
      </c>
      <c r="C105" s="13" t="s">
        <v>22</v>
      </c>
      <c r="D105" s="13" t="s">
        <v>88</v>
      </c>
      <c r="E105" s="14" t="s">
        <v>632</v>
      </c>
      <c r="F105" s="15" t="s">
        <v>533</v>
      </c>
      <c r="G105" s="10">
        <f t="shared" si="1"/>
        <v>1</v>
      </c>
      <c r="H105" s="15" t="s">
        <v>534</v>
      </c>
      <c r="I105" s="10">
        <f t="shared" si="6"/>
        <v>1</v>
      </c>
    </row>
    <row r="106">
      <c r="A106" s="7" t="s">
        <v>537</v>
      </c>
      <c r="B106" s="7" t="s">
        <v>635</v>
      </c>
      <c r="C106" s="7" t="s">
        <v>22</v>
      </c>
      <c r="D106" s="7" t="s">
        <v>88</v>
      </c>
      <c r="E106" s="9" t="s">
        <v>167</v>
      </c>
      <c r="F106" s="10" t="s">
        <v>537</v>
      </c>
      <c r="G106" s="10">
        <f t="shared" si="1"/>
        <v>1</v>
      </c>
      <c r="H106" s="10" t="s">
        <v>538</v>
      </c>
      <c r="I106" s="10">
        <f t="shared" si="6"/>
        <v>1</v>
      </c>
    </row>
    <row r="107">
      <c r="A107" s="13" t="s">
        <v>539</v>
      </c>
      <c r="B107" s="13" t="s">
        <v>639</v>
      </c>
      <c r="C107" s="13" t="s">
        <v>22</v>
      </c>
      <c r="D107" s="13" t="s">
        <v>88</v>
      </c>
      <c r="E107" s="14" t="s">
        <v>167</v>
      </c>
      <c r="F107" s="15" t="s">
        <v>539</v>
      </c>
      <c r="G107" s="10">
        <f t="shared" si="1"/>
        <v>1</v>
      </c>
      <c r="H107" s="15" t="s">
        <v>540</v>
      </c>
      <c r="I107" s="10">
        <f t="shared" si="6"/>
        <v>1</v>
      </c>
    </row>
    <row r="108">
      <c r="A108" s="7" t="s">
        <v>541</v>
      </c>
      <c r="B108" s="7" t="s">
        <v>643</v>
      </c>
      <c r="C108" s="7" t="s">
        <v>22</v>
      </c>
      <c r="D108" s="7" t="s">
        <v>88</v>
      </c>
      <c r="E108" s="9" t="s">
        <v>167</v>
      </c>
      <c r="F108" s="10" t="s">
        <v>541</v>
      </c>
      <c r="G108" s="10">
        <f t="shared" si="1"/>
        <v>1</v>
      </c>
      <c r="H108" s="10" t="s">
        <v>542</v>
      </c>
      <c r="I108" s="10">
        <f t="shared" si="6"/>
        <v>1</v>
      </c>
    </row>
    <row r="109">
      <c r="A109" s="13" t="s">
        <v>544</v>
      </c>
      <c r="B109" s="14" t="s">
        <v>649</v>
      </c>
      <c r="C109" s="13" t="s">
        <v>22</v>
      </c>
      <c r="D109" s="13" t="s">
        <v>88</v>
      </c>
      <c r="E109" s="14" t="s">
        <v>651</v>
      </c>
      <c r="F109" s="15" t="s">
        <v>544</v>
      </c>
      <c r="G109" s="10">
        <f t="shared" si="1"/>
        <v>1</v>
      </c>
      <c r="H109" s="15" t="s">
        <v>545</v>
      </c>
      <c r="I109" s="10">
        <f t="shared" si="6"/>
        <v>1</v>
      </c>
    </row>
    <row r="110">
      <c r="A110" s="7" t="s">
        <v>548</v>
      </c>
      <c r="B110" s="9" t="s">
        <v>654</v>
      </c>
      <c r="C110" s="7" t="s">
        <v>22</v>
      </c>
      <c r="D110" s="7" t="s">
        <v>88</v>
      </c>
      <c r="E110" s="9" t="s">
        <v>657</v>
      </c>
      <c r="F110" s="10" t="s">
        <v>548</v>
      </c>
      <c r="G110" s="10">
        <f t="shared" si="1"/>
        <v>1</v>
      </c>
      <c r="H110" s="10" t="s">
        <v>549</v>
      </c>
      <c r="I110" s="10">
        <f t="shared" si="6"/>
        <v>1</v>
      </c>
    </row>
    <row r="111">
      <c r="A111" s="13" t="s">
        <v>551</v>
      </c>
      <c r="B111" s="14" t="s">
        <v>659</v>
      </c>
      <c r="C111" s="13" t="s">
        <v>22</v>
      </c>
      <c r="D111" s="13" t="s">
        <v>88</v>
      </c>
      <c r="E111" s="13" t="s">
        <v>661</v>
      </c>
      <c r="F111" s="15" t="s">
        <v>551</v>
      </c>
      <c r="G111" s="10">
        <f t="shared" si="1"/>
        <v>1</v>
      </c>
      <c r="H111" s="15" t="s">
        <v>552</v>
      </c>
      <c r="I111" s="10">
        <f t="shared" si="6"/>
        <v>1</v>
      </c>
    </row>
    <row r="112">
      <c r="A112" s="7" t="s">
        <v>554</v>
      </c>
      <c r="B112" s="7" t="s">
        <v>666</v>
      </c>
      <c r="C112" s="7" t="s">
        <v>22</v>
      </c>
      <c r="D112" s="7" t="s">
        <v>88</v>
      </c>
      <c r="E112" s="9" t="s">
        <v>370</v>
      </c>
      <c r="F112" s="10" t="s">
        <v>554</v>
      </c>
      <c r="G112" s="10">
        <f t="shared" si="1"/>
        <v>1</v>
      </c>
      <c r="H112" s="10" t="s">
        <v>555</v>
      </c>
      <c r="I112" s="10">
        <f t="shared" si="6"/>
        <v>1</v>
      </c>
    </row>
    <row r="113">
      <c r="A113" s="13" t="s">
        <v>556</v>
      </c>
      <c r="B113" s="14" t="s">
        <v>669</v>
      </c>
      <c r="C113" s="13" t="s">
        <v>22</v>
      </c>
      <c r="D113" s="13" t="s">
        <v>74</v>
      </c>
      <c r="E113" s="14" t="s">
        <v>671</v>
      </c>
      <c r="F113" s="15" t="s">
        <v>556</v>
      </c>
      <c r="G113" s="10">
        <f t="shared" si="1"/>
        <v>1</v>
      </c>
      <c r="H113" s="15" t="s">
        <v>557</v>
      </c>
      <c r="I113" s="10">
        <f t="shared" si="6"/>
        <v>1</v>
      </c>
    </row>
    <row r="114">
      <c r="A114" s="7" t="s">
        <v>560</v>
      </c>
      <c r="B114" s="7" t="s">
        <v>673</v>
      </c>
      <c r="C114" s="7" t="s">
        <v>22</v>
      </c>
      <c r="D114" s="7" t="s">
        <v>88</v>
      </c>
      <c r="E114" s="9" t="s">
        <v>218</v>
      </c>
      <c r="F114" s="10" t="s">
        <v>560</v>
      </c>
      <c r="G114" s="10">
        <f t="shared" si="1"/>
        <v>1</v>
      </c>
      <c r="H114" s="10" t="s">
        <v>561</v>
      </c>
      <c r="I114" s="10">
        <f t="shared" si="6"/>
        <v>1</v>
      </c>
    </row>
    <row r="115">
      <c r="A115" s="13" t="s">
        <v>562</v>
      </c>
      <c r="B115" s="13" t="s">
        <v>678</v>
      </c>
      <c r="C115" s="13" t="s">
        <v>22</v>
      </c>
      <c r="D115" s="13" t="s">
        <v>88</v>
      </c>
      <c r="E115" s="14" t="s">
        <v>214</v>
      </c>
      <c r="F115" s="15" t="s">
        <v>562</v>
      </c>
      <c r="G115" s="10">
        <f t="shared" si="1"/>
        <v>1</v>
      </c>
      <c r="H115" s="15" t="s">
        <v>563</v>
      </c>
      <c r="I115" s="10">
        <f t="shared" si="6"/>
        <v>1</v>
      </c>
    </row>
    <row r="116">
      <c r="A116" s="7" t="s">
        <v>566</v>
      </c>
      <c r="B116" s="7" t="s">
        <v>684</v>
      </c>
      <c r="C116" s="7" t="s">
        <v>22</v>
      </c>
      <c r="D116" s="7" t="s">
        <v>88</v>
      </c>
      <c r="E116" s="7" t="s">
        <v>564</v>
      </c>
      <c r="F116" s="10" t="s">
        <v>566</v>
      </c>
      <c r="G116" s="10">
        <f t="shared" si="1"/>
        <v>1</v>
      </c>
      <c r="H116" s="10" t="s">
        <v>568</v>
      </c>
      <c r="I116" s="10">
        <f t="shared" si="6"/>
        <v>1</v>
      </c>
    </row>
    <row r="117">
      <c r="A117" s="13" t="s">
        <v>569</v>
      </c>
      <c r="B117" s="13" t="s">
        <v>687</v>
      </c>
      <c r="C117" s="13" t="s">
        <v>22</v>
      </c>
      <c r="D117" s="13" t="s">
        <v>88</v>
      </c>
      <c r="E117" s="14" t="s">
        <v>495</v>
      </c>
      <c r="F117" s="15" t="s">
        <v>569</v>
      </c>
      <c r="G117" s="10">
        <f t="shared" si="1"/>
        <v>1</v>
      </c>
      <c r="H117" s="15" t="s">
        <v>571</v>
      </c>
      <c r="I117" s="10">
        <f t="shared" si="6"/>
        <v>1</v>
      </c>
    </row>
    <row r="118">
      <c r="A118" s="7" t="s">
        <v>572</v>
      </c>
      <c r="B118" s="9" t="s">
        <v>689</v>
      </c>
      <c r="C118" s="7" t="s">
        <v>22</v>
      </c>
      <c r="D118" s="7" t="s">
        <v>88</v>
      </c>
      <c r="E118" s="9" t="s">
        <v>349</v>
      </c>
      <c r="F118" s="10" t="s">
        <v>572</v>
      </c>
      <c r="G118" s="10">
        <f t="shared" si="1"/>
        <v>1</v>
      </c>
      <c r="H118" s="10" t="s">
        <v>574</v>
      </c>
      <c r="I118" s="10">
        <f t="shared" si="6"/>
        <v>1</v>
      </c>
    </row>
    <row r="119">
      <c r="A119" s="13" t="s">
        <v>575</v>
      </c>
      <c r="B119" s="14" t="s">
        <v>697</v>
      </c>
      <c r="C119" s="13" t="s">
        <v>22</v>
      </c>
      <c r="D119" s="13" t="s">
        <v>88</v>
      </c>
      <c r="E119" s="14" t="s">
        <v>446</v>
      </c>
      <c r="F119" s="15" t="s">
        <v>575</v>
      </c>
      <c r="G119" s="10">
        <f t="shared" si="1"/>
        <v>1</v>
      </c>
      <c r="H119" s="15" t="s">
        <v>576</v>
      </c>
      <c r="I119" s="10">
        <f t="shared" si="6"/>
        <v>1</v>
      </c>
    </row>
    <row r="120">
      <c r="A120" s="7" t="s">
        <v>577</v>
      </c>
      <c r="B120" s="9" t="s">
        <v>701</v>
      </c>
      <c r="C120" s="7" t="s">
        <v>22</v>
      </c>
      <c r="D120" s="7" t="s">
        <v>88</v>
      </c>
      <c r="E120" s="9" t="s">
        <v>410</v>
      </c>
      <c r="F120" s="10" t="s">
        <v>577</v>
      </c>
      <c r="G120" s="10">
        <f t="shared" si="1"/>
        <v>1</v>
      </c>
      <c r="H120" s="10" t="s">
        <v>578</v>
      </c>
      <c r="I120" s="10">
        <f t="shared" si="6"/>
        <v>1</v>
      </c>
    </row>
    <row r="121">
      <c r="A121" s="13" t="s">
        <v>580</v>
      </c>
      <c r="B121" s="13" t="s">
        <v>704</v>
      </c>
      <c r="C121" s="13" t="s">
        <v>87</v>
      </c>
      <c r="D121" s="13" t="s">
        <v>88</v>
      </c>
      <c r="E121" s="13" t="s">
        <v>343</v>
      </c>
      <c r="F121" s="15" t="s">
        <v>580</v>
      </c>
      <c r="G121" s="10">
        <f t="shared" si="1"/>
        <v>1</v>
      </c>
      <c r="H121" s="15" t="s">
        <v>581</v>
      </c>
      <c r="I121" s="10">
        <f t="shared" si="6"/>
        <v>1</v>
      </c>
    </row>
    <row r="122">
      <c r="A122" s="7" t="s">
        <v>707</v>
      </c>
      <c r="B122" s="9" t="s">
        <v>709</v>
      </c>
      <c r="C122" s="7" t="s">
        <v>22</v>
      </c>
      <c r="D122" s="7" t="s">
        <v>88</v>
      </c>
      <c r="E122" s="9" t="s">
        <v>712</v>
      </c>
      <c r="F122" s="17"/>
      <c r="G122" s="17"/>
      <c r="H122" s="10"/>
      <c r="I122" s="10" t="b">
        <f t="shared" si="6"/>
        <v>0</v>
      </c>
    </row>
    <row r="123">
      <c r="A123" s="13" t="s">
        <v>583</v>
      </c>
      <c r="B123" s="13" t="s">
        <v>715</v>
      </c>
      <c r="C123" s="13" t="s">
        <v>22</v>
      </c>
      <c r="D123" s="13" t="s">
        <v>88</v>
      </c>
      <c r="E123" s="14" t="s">
        <v>214</v>
      </c>
      <c r="F123" s="10" t="s">
        <v>583</v>
      </c>
      <c r="G123" s="10">
        <f t="shared" ref="G123:G357" si="7">IF(F123=A123,1,FALSE)</f>
        <v>1</v>
      </c>
      <c r="H123" s="10" t="s">
        <v>584</v>
      </c>
      <c r="I123" s="10">
        <f t="shared" si="6"/>
        <v>1</v>
      </c>
    </row>
    <row r="124">
      <c r="A124" s="7" t="s">
        <v>586</v>
      </c>
      <c r="B124" s="7" t="s">
        <v>722</v>
      </c>
      <c r="C124" s="7" t="s">
        <v>22</v>
      </c>
      <c r="D124" s="7" t="s">
        <v>88</v>
      </c>
      <c r="E124" s="9" t="s">
        <v>349</v>
      </c>
      <c r="F124" s="15" t="s">
        <v>586</v>
      </c>
      <c r="G124" s="10">
        <f t="shared" si="7"/>
        <v>1</v>
      </c>
      <c r="H124" s="15" t="s">
        <v>587</v>
      </c>
      <c r="I124" s="10">
        <f t="shared" si="6"/>
        <v>1</v>
      </c>
    </row>
    <row r="125">
      <c r="A125" s="13" t="s">
        <v>590</v>
      </c>
      <c r="B125" s="14" t="s">
        <v>727</v>
      </c>
      <c r="C125" s="13" t="s">
        <v>22</v>
      </c>
      <c r="D125" s="13" t="s">
        <v>88</v>
      </c>
      <c r="E125" s="14" t="s">
        <v>349</v>
      </c>
      <c r="F125" s="10" t="s">
        <v>590</v>
      </c>
      <c r="G125" s="10">
        <f t="shared" si="7"/>
        <v>1</v>
      </c>
      <c r="H125" s="10" t="s">
        <v>591</v>
      </c>
      <c r="I125" s="10">
        <f t="shared" si="6"/>
        <v>1</v>
      </c>
    </row>
    <row r="126">
      <c r="A126" s="7" t="s">
        <v>593</v>
      </c>
      <c r="B126" s="9" t="s">
        <v>730</v>
      </c>
      <c r="C126" s="7" t="s">
        <v>87</v>
      </c>
      <c r="D126" s="7" t="s">
        <v>26</v>
      </c>
      <c r="E126" s="7" t="s">
        <v>117</v>
      </c>
      <c r="F126" s="15" t="s">
        <v>593</v>
      </c>
      <c r="G126" s="10">
        <f t="shared" si="7"/>
        <v>1</v>
      </c>
      <c r="H126" s="15" t="s">
        <v>594</v>
      </c>
      <c r="I126" s="10">
        <f t="shared" si="6"/>
        <v>1</v>
      </c>
    </row>
    <row r="127">
      <c r="A127" s="13" t="s">
        <v>596</v>
      </c>
      <c r="B127" s="13" t="s">
        <v>735</v>
      </c>
      <c r="C127" s="13" t="s">
        <v>22</v>
      </c>
      <c r="D127" s="13" t="s">
        <v>88</v>
      </c>
      <c r="E127" s="14" t="s">
        <v>410</v>
      </c>
      <c r="F127" s="10" t="s">
        <v>596</v>
      </c>
      <c r="G127" s="10">
        <f t="shared" si="7"/>
        <v>1</v>
      </c>
      <c r="H127" s="10" t="s">
        <v>597</v>
      </c>
      <c r="I127" s="10">
        <f t="shared" si="6"/>
        <v>1</v>
      </c>
    </row>
    <row r="128">
      <c r="A128" s="7" t="s">
        <v>307</v>
      </c>
      <c r="B128" s="7" t="s">
        <v>741</v>
      </c>
      <c r="C128" s="7" t="s">
        <v>22</v>
      </c>
      <c r="D128" s="7" t="s">
        <v>88</v>
      </c>
      <c r="E128" s="7" t="s">
        <v>743</v>
      </c>
      <c r="F128" s="15" t="s">
        <v>307</v>
      </c>
      <c r="G128" s="10">
        <f t="shared" si="7"/>
        <v>1</v>
      </c>
      <c r="H128" s="15" t="s">
        <v>598</v>
      </c>
      <c r="I128" s="10">
        <f t="shared" si="6"/>
        <v>1</v>
      </c>
    </row>
    <row r="129">
      <c r="A129" s="13" t="s">
        <v>601</v>
      </c>
      <c r="B129" s="13" t="s">
        <v>746</v>
      </c>
      <c r="C129" s="13" t="s">
        <v>87</v>
      </c>
      <c r="D129" s="13" t="s">
        <v>88</v>
      </c>
      <c r="E129" s="13" t="s">
        <v>343</v>
      </c>
      <c r="F129" s="10" t="s">
        <v>601</v>
      </c>
      <c r="G129" s="10">
        <f t="shared" si="7"/>
        <v>1</v>
      </c>
      <c r="H129" s="10" t="s">
        <v>602</v>
      </c>
      <c r="I129" s="10">
        <f t="shared" si="6"/>
        <v>1</v>
      </c>
    </row>
    <row r="130">
      <c r="A130" s="7" t="s">
        <v>603</v>
      </c>
      <c r="B130" s="7" t="s">
        <v>749</v>
      </c>
      <c r="C130" s="7" t="s">
        <v>22</v>
      </c>
      <c r="D130" s="7" t="s">
        <v>88</v>
      </c>
      <c r="E130" s="9" t="s">
        <v>382</v>
      </c>
      <c r="F130" s="15" t="s">
        <v>603</v>
      </c>
      <c r="G130" s="10">
        <f t="shared" si="7"/>
        <v>1</v>
      </c>
      <c r="H130" s="15" t="s">
        <v>604</v>
      </c>
      <c r="I130" s="10">
        <f t="shared" si="6"/>
        <v>1</v>
      </c>
    </row>
    <row r="131">
      <c r="A131" s="13" t="s">
        <v>606</v>
      </c>
      <c r="B131" s="13" t="s">
        <v>754</v>
      </c>
      <c r="C131" s="13" t="s">
        <v>87</v>
      </c>
      <c r="D131" s="13" t="s">
        <v>88</v>
      </c>
      <c r="E131" s="14" t="s">
        <v>89</v>
      </c>
      <c r="F131" s="10" t="s">
        <v>606</v>
      </c>
      <c r="G131" s="10">
        <f t="shared" si="7"/>
        <v>1</v>
      </c>
      <c r="H131" s="10" t="s">
        <v>607</v>
      </c>
      <c r="I131" s="10">
        <f t="shared" si="6"/>
        <v>1</v>
      </c>
    </row>
    <row r="132">
      <c r="A132" s="7" t="s">
        <v>757</v>
      </c>
      <c r="B132" s="9" t="s">
        <v>758</v>
      </c>
      <c r="C132" s="7" t="s">
        <v>87</v>
      </c>
      <c r="D132" s="7" t="s">
        <v>88</v>
      </c>
      <c r="E132" s="7" t="s">
        <v>564</v>
      </c>
      <c r="F132" s="15" t="s">
        <v>757</v>
      </c>
      <c r="G132" s="10">
        <f t="shared" si="7"/>
        <v>1</v>
      </c>
      <c r="H132" s="15" t="s">
        <v>764</v>
      </c>
      <c r="I132" s="10">
        <f t="shared" si="6"/>
        <v>1</v>
      </c>
    </row>
    <row r="133">
      <c r="A133" s="13" t="s">
        <v>767</v>
      </c>
      <c r="B133" s="13" t="s">
        <v>768</v>
      </c>
      <c r="C133" s="13" t="s">
        <v>87</v>
      </c>
      <c r="D133" s="13" t="s">
        <v>88</v>
      </c>
      <c r="E133" s="13" t="s">
        <v>564</v>
      </c>
      <c r="F133" s="10" t="s">
        <v>767</v>
      </c>
      <c r="G133" s="10">
        <f t="shared" si="7"/>
        <v>1</v>
      </c>
      <c r="H133" s="10" t="s">
        <v>771</v>
      </c>
      <c r="I133" s="10">
        <f t="shared" si="6"/>
        <v>1</v>
      </c>
    </row>
    <row r="134">
      <c r="A134" s="7" t="s">
        <v>608</v>
      </c>
      <c r="B134" s="7" t="s">
        <v>773</v>
      </c>
      <c r="C134" s="7" t="s">
        <v>22</v>
      </c>
      <c r="D134" s="7" t="s">
        <v>88</v>
      </c>
      <c r="E134" s="9" t="s">
        <v>382</v>
      </c>
      <c r="F134" s="15" t="s">
        <v>608</v>
      </c>
      <c r="G134" s="10">
        <f t="shared" si="7"/>
        <v>1</v>
      </c>
      <c r="H134" s="15" t="s">
        <v>610</v>
      </c>
      <c r="I134" s="10">
        <f t="shared" si="6"/>
        <v>1</v>
      </c>
    </row>
    <row r="135">
      <c r="A135" s="13" t="s">
        <v>613</v>
      </c>
      <c r="B135" s="13" t="s">
        <v>777</v>
      </c>
      <c r="C135" s="13" t="s">
        <v>22</v>
      </c>
      <c r="D135" s="13" t="s">
        <v>88</v>
      </c>
      <c r="E135" s="14" t="s">
        <v>382</v>
      </c>
      <c r="F135" s="10" t="s">
        <v>613</v>
      </c>
      <c r="G135" s="10">
        <f t="shared" si="7"/>
        <v>1</v>
      </c>
      <c r="H135" s="10" t="s">
        <v>614</v>
      </c>
      <c r="I135" s="10">
        <f t="shared" si="6"/>
        <v>1</v>
      </c>
    </row>
    <row r="136">
      <c r="A136" s="7" t="s">
        <v>616</v>
      </c>
      <c r="B136" s="7" t="s">
        <v>785</v>
      </c>
      <c r="C136" s="7" t="s">
        <v>22</v>
      </c>
      <c r="D136" s="7" t="s">
        <v>88</v>
      </c>
      <c r="E136" s="9" t="s">
        <v>175</v>
      </c>
      <c r="F136" s="15" t="s">
        <v>616</v>
      </c>
      <c r="G136" s="10">
        <f t="shared" si="7"/>
        <v>1</v>
      </c>
      <c r="H136" s="15" t="s">
        <v>617</v>
      </c>
      <c r="I136" s="10">
        <f t="shared" si="6"/>
        <v>1</v>
      </c>
    </row>
    <row r="137">
      <c r="A137" s="13" t="s">
        <v>619</v>
      </c>
      <c r="B137" s="13" t="s">
        <v>788</v>
      </c>
      <c r="C137" s="13" t="s">
        <v>22</v>
      </c>
      <c r="D137" s="13" t="s">
        <v>88</v>
      </c>
      <c r="E137" s="14" t="s">
        <v>464</v>
      </c>
      <c r="F137" s="10" t="s">
        <v>619</v>
      </c>
      <c r="G137" s="10">
        <f t="shared" si="7"/>
        <v>1</v>
      </c>
      <c r="H137" s="10" t="s">
        <v>620</v>
      </c>
      <c r="I137" s="10" t="s">
        <v>47</v>
      </c>
    </row>
    <row r="138">
      <c r="A138" s="7" t="s">
        <v>621</v>
      </c>
      <c r="B138" s="9" t="s">
        <v>791</v>
      </c>
      <c r="C138" s="7" t="s">
        <v>22</v>
      </c>
      <c r="D138" s="7" t="s">
        <v>88</v>
      </c>
      <c r="E138" s="9" t="s">
        <v>792</v>
      </c>
      <c r="F138" s="15" t="s">
        <v>621</v>
      </c>
      <c r="G138" s="10">
        <f t="shared" si="7"/>
        <v>1</v>
      </c>
      <c r="H138" s="15" t="s">
        <v>622</v>
      </c>
      <c r="I138" s="10">
        <f t="shared" ref="I138:I155" si="8">IF(H138=B138,1,FALSE)</f>
        <v>1</v>
      </c>
    </row>
    <row r="139">
      <c r="A139" s="13" t="s">
        <v>625</v>
      </c>
      <c r="B139" s="13" t="s">
        <v>798</v>
      </c>
      <c r="C139" s="13" t="s">
        <v>87</v>
      </c>
      <c r="D139" s="13" t="s">
        <v>88</v>
      </c>
      <c r="E139" s="14" t="s">
        <v>802</v>
      </c>
      <c r="F139" s="10" t="s">
        <v>625</v>
      </c>
      <c r="G139" s="10">
        <f t="shared" si="7"/>
        <v>1</v>
      </c>
      <c r="H139" s="10" t="s">
        <v>626</v>
      </c>
      <c r="I139" s="10">
        <f t="shared" si="8"/>
        <v>1</v>
      </c>
    </row>
    <row r="140">
      <c r="A140" s="7" t="s">
        <v>272</v>
      </c>
      <c r="B140" s="9" t="s">
        <v>808</v>
      </c>
      <c r="C140" s="7" t="s">
        <v>22</v>
      </c>
      <c r="D140" s="7" t="s">
        <v>88</v>
      </c>
      <c r="E140" s="7" t="s">
        <v>564</v>
      </c>
      <c r="F140" s="15" t="s">
        <v>272</v>
      </c>
      <c r="G140" s="10">
        <f t="shared" si="7"/>
        <v>1</v>
      </c>
      <c r="H140" s="15" t="s">
        <v>812</v>
      </c>
      <c r="I140" s="10">
        <f t="shared" si="8"/>
        <v>1</v>
      </c>
    </row>
    <row r="141">
      <c r="A141" s="13" t="s">
        <v>630</v>
      </c>
      <c r="B141" s="14" t="s">
        <v>815</v>
      </c>
      <c r="C141" s="13" t="s">
        <v>22</v>
      </c>
      <c r="D141" s="13" t="s">
        <v>88</v>
      </c>
      <c r="E141" s="14" t="s">
        <v>464</v>
      </c>
      <c r="F141" s="10" t="s">
        <v>630</v>
      </c>
      <c r="G141" s="10">
        <f t="shared" si="7"/>
        <v>1</v>
      </c>
      <c r="H141" s="10" t="s">
        <v>634</v>
      </c>
      <c r="I141" s="10">
        <f t="shared" si="8"/>
        <v>1</v>
      </c>
    </row>
    <row r="142">
      <c r="A142" s="7" t="s">
        <v>636</v>
      </c>
      <c r="B142" s="7" t="s">
        <v>817</v>
      </c>
      <c r="C142" s="7" t="s">
        <v>22</v>
      </c>
      <c r="D142" s="7" t="s">
        <v>88</v>
      </c>
      <c r="E142" s="9" t="s">
        <v>464</v>
      </c>
      <c r="F142" s="15" t="s">
        <v>636</v>
      </c>
      <c r="G142" s="10">
        <f t="shared" si="7"/>
        <v>1</v>
      </c>
      <c r="H142" s="15" t="s">
        <v>637</v>
      </c>
      <c r="I142" s="10">
        <f t="shared" si="8"/>
        <v>1</v>
      </c>
    </row>
    <row r="143">
      <c r="A143" s="13" t="s">
        <v>638</v>
      </c>
      <c r="B143" s="14" t="s">
        <v>824</v>
      </c>
      <c r="C143" s="13" t="s">
        <v>22</v>
      </c>
      <c r="D143" s="13" t="s">
        <v>88</v>
      </c>
      <c r="E143" s="14" t="s">
        <v>464</v>
      </c>
      <c r="F143" s="10" t="s">
        <v>638</v>
      </c>
      <c r="G143" s="10">
        <f t="shared" si="7"/>
        <v>1</v>
      </c>
      <c r="H143" s="10" t="s">
        <v>640</v>
      </c>
      <c r="I143" s="10">
        <f t="shared" si="8"/>
        <v>1</v>
      </c>
    </row>
    <row r="144">
      <c r="A144" s="7" t="s">
        <v>641</v>
      </c>
      <c r="B144" s="9" t="s">
        <v>828</v>
      </c>
      <c r="C144" s="7" t="s">
        <v>22</v>
      </c>
      <c r="D144" s="7" t="s">
        <v>88</v>
      </c>
      <c r="E144" s="9" t="s">
        <v>464</v>
      </c>
      <c r="F144" s="15" t="s">
        <v>641</v>
      </c>
      <c r="G144" s="10">
        <f t="shared" si="7"/>
        <v>1</v>
      </c>
      <c r="H144" s="15" t="s">
        <v>642</v>
      </c>
      <c r="I144" s="10">
        <f t="shared" si="8"/>
        <v>1</v>
      </c>
    </row>
    <row r="145">
      <c r="A145" s="13" t="s">
        <v>644</v>
      </c>
      <c r="B145" s="13" t="s">
        <v>831</v>
      </c>
      <c r="C145" s="13" t="s">
        <v>22</v>
      </c>
      <c r="D145" s="13" t="s">
        <v>88</v>
      </c>
      <c r="E145" s="13" t="s">
        <v>132</v>
      </c>
      <c r="F145" s="10" t="s">
        <v>644</v>
      </c>
      <c r="G145" s="10">
        <f t="shared" si="7"/>
        <v>1</v>
      </c>
      <c r="H145" s="10" t="s">
        <v>645</v>
      </c>
      <c r="I145" s="10">
        <f t="shared" si="8"/>
        <v>1</v>
      </c>
    </row>
    <row r="146">
      <c r="A146" s="7" t="s">
        <v>646</v>
      </c>
      <c r="B146" s="9" t="s">
        <v>836</v>
      </c>
      <c r="C146" s="7" t="s">
        <v>22</v>
      </c>
      <c r="D146" s="7" t="s">
        <v>74</v>
      </c>
      <c r="E146" s="9" t="s">
        <v>671</v>
      </c>
      <c r="F146" s="15" t="s">
        <v>646</v>
      </c>
      <c r="G146" s="10">
        <f t="shared" si="7"/>
        <v>1</v>
      </c>
      <c r="H146" s="15" t="s">
        <v>647</v>
      </c>
      <c r="I146" s="10">
        <f t="shared" si="8"/>
        <v>1</v>
      </c>
    </row>
    <row r="147">
      <c r="A147" s="13" t="s">
        <v>294</v>
      </c>
      <c r="B147" s="13" t="s">
        <v>323</v>
      </c>
      <c r="C147" s="13" t="s">
        <v>22</v>
      </c>
      <c r="D147" s="13" t="s">
        <v>26</v>
      </c>
      <c r="E147" s="13" t="s">
        <v>843</v>
      </c>
      <c r="F147" s="10" t="s">
        <v>294</v>
      </c>
      <c r="G147" s="10">
        <f t="shared" si="7"/>
        <v>1</v>
      </c>
      <c r="H147" s="10" t="s">
        <v>648</v>
      </c>
      <c r="I147" s="10">
        <f t="shared" si="8"/>
        <v>1</v>
      </c>
    </row>
    <row r="148">
      <c r="A148" s="7" t="s">
        <v>844</v>
      </c>
      <c r="B148" s="9" t="s">
        <v>846</v>
      </c>
      <c r="C148" s="7" t="s">
        <v>22</v>
      </c>
      <c r="D148" s="7" t="s">
        <v>88</v>
      </c>
      <c r="E148" s="7" t="s">
        <v>564</v>
      </c>
      <c r="F148" s="15" t="s">
        <v>844</v>
      </c>
      <c r="G148" s="10">
        <f t="shared" si="7"/>
        <v>1</v>
      </c>
      <c r="H148" s="15" t="s">
        <v>848</v>
      </c>
      <c r="I148" s="10">
        <f t="shared" si="8"/>
        <v>1</v>
      </c>
    </row>
    <row r="149">
      <c r="A149" s="13" t="s">
        <v>652</v>
      </c>
      <c r="B149" s="13" t="s">
        <v>849</v>
      </c>
      <c r="C149" s="13" t="s">
        <v>22</v>
      </c>
      <c r="D149" s="13" t="s">
        <v>88</v>
      </c>
      <c r="E149" s="14" t="s">
        <v>632</v>
      </c>
      <c r="F149" s="10" t="s">
        <v>652</v>
      </c>
      <c r="G149" s="10">
        <f t="shared" si="7"/>
        <v>1</v>
      </c>
      <c r="H149" s="10" t="s">
        <v>653</v>
      </c>
      <c r="I149" s="10">
        <f t="shared" si="8"/>
        <v>1</v>
      </c>
    </row>
    <row r="150">
      <c r="A150" s="7" t="s">
        <v>655</v>
      </c>
      <c r="B150" s="7" t="s">
        <v>856</v>
      </c>
      <c r="C150" s="7" t="s">
        <v>22</v>
      </c>
      <c r="D150" s="7" t="s">
        <v>88</v>
      </c>
      <c r="E150" s="9" t="s">
        <v>632</v>
      </c>
      <c r="F150" s="15" t="s">
        <v>655</v>
      </c>
      <c r="G150" s="10">
        <f t="shared" si="7"/>
        <v>1</v>
      </c>
      <c r="H150" s="15" t="s">
        <v>656</v>
      </c>
      <c r="I150" s="10">
        <f t="shared" si="8"/>
        <v>1</v>
      </c>
    </row>
    <row r="151">
      <c r="A151" s="13" t="s">
        <v>658</v>
      </c>
      <c r="B151" s="14" t="s">
        <v>859</v>
      </c>
      <c r="C151" s="13" t="s">
        <v>22</v>
      </c>
      <c r="D151" s="13" t="s">
        <v>88</v>
      </c>
      <c r="E151" s="14" t="s">
        <v>862</v>
      </c>
      <c r="F151" s="10" t="s">
        <v>658</v>
      </c>
      <c r="G151" s="10">
        <f t="shared" si="7"/>
        <v>1</v>
      </c>
      <c r="H151" s="10" t="s">
        <v>660</v>
      </c>
      <c r="I151" s="10">
        <f t="shared" si="8"/>
        <v>1</v>
      </c>
    </row>
    <row r="152">
      <c r="A152" s="7" t="s">
        <v>116</v>
      </c>
      <c r="B152" s="7" t="s">
        <v>867</v>
      </c>
      <c r="C152" s="7" t="s">
        <v>22</v>
      </c>
      <c r="D152" s="7" t="s">
        <v>88</v>
      </c>
      <c r="E152" s="7" t="s">
        <v>201</v>
      </c>
      <c r="F152" s="15" t="s">
        <v>116</v>
      </c>
      <c r="G152" s="10">
        <f t="shared" si="7"/>
        <v>1</v>
      </c>
      <c r="H152" s="15" t="s">
        <v>665</v>
      </c>
      <c r="I152" s="10">
        <f t="shared" si="8"/>
        <v>1</v>
      </c>
    </row>
    <row r="153">
      <c r="A153" s="13" t="s">
        <v>667</v>
      </c>
      <c r="B153" s="13" t="s">
        <v>873</v>
      </c>
      <c r="C153" s="13" t="s">
        <v>87</v>
      </c>
      <c r="D153" s="13" t="s">
        <v>88</v>
      </c>
      <c r="E153" s="13" t="s">
        <v>343</v>
      </c>
      <c r="F153" s="10" t="s">
        <v>667</v>
      </c>
      <c r="G153" s="10">
        <f t="shared" si="7"/>
        <v>1</v>
      </c>
      <c r="H153" s="10" t="s">
        <v>668</v>
      </c>
      <c r="I153" s="10">
        <f t="shared" si="8"/>
        <v>1</v>
      </c>
    </row>
    <row r="154">
      <c r="A154" s="7" t="s">
        <v>670</v>
      </c>
      <c r="B154" s="7" t="s">
        <v>877</v>
      </c>
      <c r="C154" s="7" t="s">
        <v>22</v>
      </c>
      <c r="D154" s="7" t="s">
        <v>88</v>
      </c>
      <c r="E154" s="7" t="s">
        <v>564</v>
      </c>
      <c r="F154" s="15" t="s">
        <v>670</v>
      </c>
      <c r="G154" s="10">
        <f t="shared" si="7"/>
        <v>1</v>
      </c>
      <c r="H154" s="15" t="s">
        <v>672</v>
      </c>
      <c r="I154" s="10">
        <f t="shared" si="8"/>
        <v>1</v>
      </c>
    </row>
    <row r="155">
      <c r="A155" s="13" t="s">
        <v>674</v>
      </c>
      <c r="B155" s="13" t="s">
        <v>881</v>
      </c>
      <c r="C155" s="13" t="s">
        <v>227</v>
      </c>
      <c r="D155" s="13" t="s">
        <v>88</v>
      </c>
      <c r="E155" s="13" t="s">
        <v>229</v>
      </c>
      <c r="F155" s="10" t="s">
        <v>674</v>
      </c>
      <c r="G155" s="10">
        <f t="shared" si="7"/>
        <v>1</v>
      </c>
      <c r="H155" s="10" t="s">
        <v>675</v>
      </c>
      <c r="I155" s="10">
        <f t="shared" si="8"/>
        <v>1</v>
      </c>
    </row>
    <row r="156">
      <c r="A156" s="7" t="s">
        <v>676</v>
      </c>
      <c r="B156" s="7" t="s">
        <v>886</v>
      </c>
      <c r="C156" s="7" t="s">
        <v>87</v>
      </c>
      <c r="D156" s="7" t="s">
        <v>88</v>
      </c>
      <c r="E156" s="9" t="s">
        <v>890</v>
      </c>
      <c r="F156" s="15" t="s">
        <v>676</v>
      </c>
      <c r="G156" s="10">
        <f t="shared" si="7"/>
        <v>1</v>
      </c>
      <c r="H156" s="15" t="s">
        <v>677</v>
      </c>
      <c r="I156" s="10" t="s">
        <v>47</v>
      </c>
    </row>
    <row r="157">
      <c r="A157" s="13" t="s">
        <v>682</v>
      </c>
      <c r="B157" s="13" t="s">
        <v>893</v>
      </c>
      <c r="C157" s="13" t="s">
        <v>87</v>
      </c>
      <c r="D157" s="13" t="s">
        <v>88</v>
      </c>
      <c r="E157" s="14" t="s">
        <v>890</v>
      </c>
      <c r="F157" s="10" t="s">
        <v>682</v>
      </c>
      <c r="G157" s="10">
        <f t="shared" si="7"/>
        <v>1</v>
      </c>
      <c r="H157" s="10" t="s">
        <v>683</v>
      </c>
      <c r="I157" s="10" t="s">
        <v>47</v>
      </c>
    </row>
    <row r="158">
      <c r="A158" s="7" t="s">
        <v>685</v>
      </c>
      <c r="B158" s="7" t="s">
        <v>896</v>
      </c>
      <c r="C158" s="7" t="s">
        <v>87</v>
      </c>
      <c r="D158" s="7" t="s">
        <v>88</v>
      </c>
      <c r="E158" s="9" t="s">
        <v>890</v>
      </c>
      <c r="F158" s="15" t="s">
        <v>685</v>
      </c>
      <c r="G158" s="10">
        <f t="shared" si="7"/>
        <v>1</v>
      </c>
      <c r="H158" s="15" t="s">
        <v>686</v>
      </c>
      <c r="I158" s="10" t="s">
        <v>47</v>
      </c>
    </row>
    <row r="159">
      <c r="A159" s="13" t="s">
        <v>688</v>
      </c>
      <c r="B159" s="13" t="s">
        <v>899</v>
      </c>
      <c r="C159" s="13" t="s">
        <v>87</v>
      </c>
      <c r="D159" s="13" t="s">
        <v>88</v>
      </c>
      <c r="E159" s="14" t="s">
        <v>890</v>
      </c>
      <c r="F159" s="10" t="s">
        <v>688</v>
      </c>
      <c r="G159" s="10">
        <f t="shared" si="7"/>
        <v>1</v>
      </c>
      <c r="H159" s="10" t="s">
        <v>686</v>
      </c>
      <c r="I159" s="10" t="s">
        <v>47</v>
      </c>
    </row>
    <row r="160">
      <c r="A160" s="7" t="s">
        <v>690</v>
      </c>
      <c r="B160" s="7" t="s">
        <v>904</v>
      </c>
      <c r="C160" s="7" t="s">
        <v>87</v>
      </c>
      <c r="D160" s="7" t="s">
        <v>88</v>
      </c>
      <c r="E160" s="9" t="s">
        <v>906</v>
      </c>
      <c r="F160" s="15" t="s">
        <v>690</v>
      </c>
      <c r="G160" s="10">
        <f t="shared" si="7"/>
        <v>1</v>
      </c>
      <c r="H160" s="15" t="s">
        <v>692</v>
      </c>
      <c r="I160" s="10">
        <f t="shared" ref="I160:I998" si="9">IF(H160=B160,1,FALSE)</f>
        <v>1</v>
      </c>
    </row>
    <row r="161">
      <c r="A161" s="13" t="s">
        <v>698</v>
      </c>
      <c r="B161" s="14" t="s">
        <v>911</v>
      </c>
      <c r="C161" s="13" t="s">
        <v>22</v>
      </c>
      <c r="D161" s="13" t="s">
        <v>74</v>
      </c>
      <c r="E161" s="14" t="s">
        <v>671</v>
      </c>
      <c r="F161" s="10" t="s">
        <v>698</v>
      </c>
      <c r="G161" s="10">
        <f t="shared" si="7"/>
        <v>1</v>
      </c>
      <c r="H161" s="10" t="s">
        <v>699</v>
      </c>
      <c r="I161" s="10">
        <f t="shared" si="9"/>
        <v>1</v>
      </c>
    </row>
    <row r="162">
      <c r="A162" s="7" t="s">
        <v>700</v>
      </c>
      <c r="B162" s="7" t="s">
        <v>914</v>
      </c>
      <c r="C162" s="7" t="s">
        <v>87</v>
      </c>
      <c r="D162" s="7" t="s">
        <v>26</v>
      </c>
      <c r="E162" s="7" t="s">
        <v>117</v>
      </c>
      <c r="F162" s="15" t="s">
        <v>700</v>
      </c>
      <c r="G162" s="10">
        <f t="shared" si="7"/>
        <v>1</v>
      </c>
      <c r="H162" s="15" t="s">
        <v>702</v>
      </c>
      <c r="I162" s="10">
        <f t="shared" si="9"/>
        <v>1</v>
      </c>
    </row>
    <row r="163">
      <c r="A163" s="13" t="s">
        <v>703</v>
      </c>
      <c r="B163" s="13" t="s">
        <v>921</v>
      </c>
      <c r="C163" s="13" t="s">
        <v>87</v>
      </c>
      <c r="D163" s="13" t="s">
        <v>88</v>
      </c>
      <c r="E163" s="13" t="s">
        <v>343</v>
      </c>
      <c r="F163" s="10" t="s">
        <v>703</v>
      </c>
      <c r="G163" s="10">
        <f t="shared" si="7"/>
        <v>1</v>
      </c>
      <c r="H163" s="10" t="s">
        <v>705</v>
      </c>
      <c r="I163" s="10">
        <f t="shared" si="9"/>
        <v>1</v>
      </c>
    </row>
    <row r="164">
      <c r="A164" s="7" t="s">
        <v>706</v>
      </c>
      <c r="B164" s="7" t="s">
        <v>927</v>
      </c>
      <c r="C164" s="7" t="s">
        <v>22</v>
      </c>
      <c r="D164" s="7" t="s">
        <v>26</v>
      </c>
      <c r="E164" s="7" t="s">
        <v>163</v>
      </c>
      <c r="F164" s="15" t="s">
        <v>706</v>
      </c>
      <c r="G164" s="10">
        <f t="shared" si="7"/>
        <v>1</v>
      </c>
      <c r="H164" s="15" t="s">
        <v>708</v>
      </c>
      <c r="I164" s="10">
        <f t="shared" si="9"/>
        <v>1</v>
      </c>
    </row>
    <row r="165">
      <c r="A165" s="13" t="s">
        <v>713</v>
      </c>
      <c r="B165" s="14" t="s">
        <v>933</v>
      </c>
      <c r="C165" s="13" t="s">
        <v>87</v>
      </c>
      <c r="D165" s="13" t="s">
        <v>88</v>
      </c>
      <c r="E165" s="13" t="s">
        <v>104</v>
      </c>
      <c r="F165" s="10" t="s">
        <v>713</v>
      </c>
      <c r="G165" s="10">
        <f t="shared" si="7"/>
        <v>1</v>
      </c>
      <c r="H165" s="10" t="s">
        <v>714</v>
      </c>
      <c r="I165" s="10">
        <f t="shared" si="9"/>
        <v>1</v>
      </c>
    </row>
    <row r="166">
      <c r="A166" s="7" t="s">
        <v>716</v>
      </c>
      <c r="B166" s="7" t="s">
        <v>937</v>
      </c>
      <c r="C166" s="7" t="s">
        <v>22</v>
      </c>
      <c r="D166" s="7" t="s">
        <v>88</v>
      </c>
      <c r="E166" s="7" t="s">
        <v>564</v>
      </c>
      <c r="F166" s="15" t="s">
        <v>716</v>
      </c>
      <c r="G166" s="10">
        <f t="shared" si="7"/>
        <v>1</v>
      </c>
      <c r="H166" s="15" t="s">
        <v>717</v>
      </c>
      <c r="I166" s="10">
        <f t="shared" si="9"/>
        <v>1</v>
      </c>
    </row>
    <row r="167">
      <c r="A167" s="13" t="s">
        <v>718</v>
      </c>
      <c r="B167" s="14" t="s">
        <v>940</v>
      </c>
      <c r="C167" s="13" t="s">
        <v>87</v>
      </c>
      <c r="D167" s="13" t="s">
        <v>360</v>
      </c>
      <c r="E167" s="13" t="s">
        <v>343</v>
      </c>
      <c r="F167" s="10" t="s">
        <v>718</v>
      </c>
      <c r="G167" s="10">
        <f t="shared" si="7"/>
        <v>1</v>
      </c>
      <c r="H167" s="10" t="s">
        <v>719</v>
      </c>
      <c r="I167" s="10">
        <f t="shared" si="9"/>
        <v>1</v>
      </c>
    </row>
    <row r="168">
      <c r="A168" s="7" t="s">
        <v>720</v>
      </c>
      <c r="B168" s="9" t="s">
        <v>944</v>
      </c>
      <c r="C168" s="7" t="s">
        <v>87</v>
      </c>
      <c r="D168" s="7" t="s">
        <v>88</v>
      </c>
      <c r="E168" s="7" t="s">
        <v>343</v>
      </c>
      <c r="F168" s="15" t="s">
        <v>720</v>
      </c>
      <c r="G168" s="10">
        <f t="shared" si="7"/>
        <v>1</v>
      </c>
      <c r="H168" s="15" t="s">
        <v>721</v>
      </c>
      <c r="I168" s="10">
        <f t="shared" si="9"/>
        <v>1</v>
      </c>
    </row>
    <row r="169">
      <c r="A169" s="13" t="s">
        <v>724</v>
      </c>
      <c r="B169" s="13" t="s">
        <v>950</v>
      </c>
      <c r="C169" s="13" t="s">
        <v>87</v>
      </c>
      <c r="D169" s="13" t="s">
        <v>88</v>
      </c>
      <c r="E169" s="13" t="s">
        <v>117</v>
      </c>
      <c r="F169" s="10" t="s">
        <v>724</v>
      </c>
      <c r="G169" s="10">
        <f t="shared" si="7"/>
        <v>1</v>
      </c>
      <c r="H169" s="10" t="s">
        <v>726</v>
      </c>
      <c r="I169" s="10">
        <f t="shared" si="9"/>
        <v>1</v>
      </c>
    </row>
    <row r="170">
      <c r="A170" s="7" t="s">
        <v>728</v>
      </c>
      <c r="B170" s="7" t="s">
        <v>955</v>
      </c>
      <c r="C170" s="7" t="s">
        <v>87</v>
      </c>
      <c r="D170" s="7" t="s">
        <v>360</v>
      </c>
      <c r="E170" s="7" t="s">
        <v>343</v>
      </c>
      <c r="F170" s="15" t="s">
        <v>728</v>
      </c>
      <c r="G170" s="10">
        <f t="shared" si="7"/>
        <v>1</v>
      </c>
      <c r="H170" s="15" t="s">
        <v>729</v>
      </c>
      <c r="I170" s="10">
        <f t="shared" si="9"/>
        <v>1</v>
      </c>
    </row>
    <row r="171">
      <c r="A171" s="13" t="s">
        <v>220</v>
      </c>
      <c r="B171" s="14" t="s">
        <v>961</v>
      </c>
      <c r="C171" s="13" t="s">
        <v>22</v>
      </c>
      <c r="D171" s="13" t="s">
        <v>88</v>
      </c>
      <c r="E171" s="14" t="s">
        <v>963</v>
      </c>
      <c r="F171" s="10" t="s">
        <v>220</v>
      </c>
      <c r="G171" s="10">
        <f t="shared" si="7"/>
        <v>1</v>
      </c>
      <c r="H171" s="10" t="s">
        <v>731</v>
      </c>
      <c r="I171" s="10">
        <f t="shared" si="9"/>
        <v>1</v>
      </c>
    </row>
    <row r="172">
      <c r="A172" s="7" t="s">
        <v>733</v>
      </c>
      <c r="B172" s="7" t="s">
        <v>966</v>
      </c>
      <c r="C172" s="7" t="s">
        <v>22</v>
      </c>
      <c r="D172" s="7" t="s">
        <v>88</v>
      </c>
      <c r="E172" s="9" t="s">
        <v>967</v>
      </c>
      <c r="F172" s="15" t="s">
        <v>733</v>
      </c>
      <c r="G172" s="10">
        <f t="shared" si="7"/>
        <v>1</v>
      </c>
      <c r="H172" s="15" t="s">
        <v>734</v>
      </c>
      <c r="I172" s="10">
        <f t="shared" si="9"/>
        <v>1</v>
      </c>
    </row>
    <row r="173">
      <c r="A173" s="13" t="s">
        <v>737</v>
      </c>
      <c r="B173" s="13" t="s">
        <v>971</v>
      </c>
      <c r="C173" s="13" t="s">
        <v>87</v>
      </c>
      <c r="D173" s="13" t="s">
        <v>88</v>
      </c>
      <c r="E173" s="13" t="s">
        <v>343</v>
      </c>
      <c r="F173" s="10" t="s">
        <v>737</v>
      </c>
      <c r="G173" s="10">
        <f t="shared" si="7"/>
        <v>1</v>
      </c>
      <c r="H173" s="10" t="s">
        <v>738</v>
      </c>
      <c r="I173" s="10">
        <f t="shared" si="9"/>
        <v>1</v>
      </c>
    </row>
    <row r="174">
      <c r="A174" s="7" t="s">
        <v>742</v>
      </c>
      <c r="B174" s="7" t="s">
        <v>975</v>
      </c>
      <c r="C174" s="7" t="s">
        <v>22</v>
      </c>
      <c r="D174" s="7" t="s">
        <v>26</v>
      </c>
      <c r="E174" s="9" t="s">
        <v>978</v>
      </c>
      <c r="F174" s="15" t="s">
        <v>742</v>
      </c>
      <c r="G174" s="10">
        <f t="shared" si="7"/>
        <v>1</v>
      </c>
      <c r="H174" s="17" t="s">
        <v>744</v>
      </c>
      <c r="I174" s="10" t="b">
        <f t="shared" si="9"/>
        <v>0</v>
      </c>
    </row>
    <row r="175">
      <c r="A175" s="13" t="s">
        <v>694</v>
      </c>
      <c r="B175" s="13" t="s">
        <v>696</v>
      </c>
      <c r="C175" s="13" t="s">
        <v>22</v>
      </c>
      <c r="D175" s="13" t="s">
        <v>88</v>
      </c>
      <c r="E175" s="14" t="s">
        <v>981</v>
      </c>
      <c r="F175" s="10" t="s">
        <v>694</v>
      </c>
      <c r="G175" s="10">
        <f t="shared" si="7"/>
        <v>1</v>
      </c>
      <c r="H175" s="10" t="s">
        <v>747</v>
      </c>
      <c r="I175" s="10">
        <f t="shared" si="9"/>
        <v>1</v>
      </c>
    </row>
    <row r="176">
      <c r="A176" s="7" t="s">
        <v>750</v>
      </c>
      <c r="B176" s="7" t="s">
        <v>987</v>
      </c>
      <c r="C176" s="7" t="s">
        <v>87</v>
      </c>
      <c r="D176" s="7" t="s">
        <v>88</v>
      </c>
      <c r="E176" s="7" t="s">
        <v>92</v>
      </c>
      <c r="F176" s="15" t="s">
        <v>750</v>
      </c>
      <c r="G176" s="10">
        <f t="shared" si="7"/>
        <v>1</v>
      </c>
      <c r="H176" s="15" t="s">
        <v>751</v>
      </c>
      <c r="I176" s="10">
        <f t="shared" si="9"/>
        <v>1</v>
      </c>
    </row>
    <row r="177">
      <c r="A177" s="13" t="s">
        <v>752</v>
      </c>
      <c r="B177" s="13" t="s">
        <v>991</v>
      </c>
      <c r="C177" s="13" t="s">
        <v>87</v>
      </c>
      <c r="D177" s="13" t="s">
        <v>88</v>
      </c>
      <c r="E177" s="13" t="s">
        <v>117</v>
      </c>
      <c r="F177" s="10" t="s">
        <v>752</v>
      </c>
      <c r="G177" s="10">
        <f t="shared" si="7"/>
        <v>1</v>
      </c>
      <c r="H177" s="10" t="s">
        <v>753</v>
      </c>
      <c r="I177" s="10">
        <f t="shared" si="9"/>
        <v>1</v>
      </c>
    </row>
    <row r="178">
      <c r="A178" s="7" t="s">
        <v>755</v>
      </c>
      <c r="B178" s="9" t="s">
        <v>994</v>
      </c>
      <c r="C178" s="7" t="s">
        <v>227</v>
      </c>
      <c r="D178" s="7" t="s">
        <v>88</v>
      </c>
      <c r="E178" s="9" t="s">
        <v>995</v>
      </c>
      <c r="F178" s="15" t="s">
        <v>755</v>
      </c>
      <c r="G178" s="10">
        <f t="shared" si="7"/>
        <v>1</v>
      </c>
      <c r="H178" s="15" t="s">
        <v>756</v>
      </c>
      <c r="I178" s="10">
        <f t="shared" si="9"/>
        <v>1</v>
      </c>
    </row>
    <row r="179">
      <c r="A179" s="13" t="s">
        <v>761</v>
      </c>
      <c r="B179" s="14" t="s">
        <v>999</v>
      </c>
      <c r="C179" s="13" t="s">
        <v>87</v>
      </c>
      <c r="D179" s="13" t="s">
        <v>88</v>
      </c>
      <c r="E179" s="14" t="s">
        <v>651</v>
      </c>
      <c r="F179" s="10" t="s">
        <v>761</v>
      </c>
      <c r="G179" s="10">
        <f t="shared" si="7"/>
        <v>1</v>
      </c>
      <c r="H179" s="10" t="s">
        <v>763</v>
      </c>
      <c r="I179" s="10">
        <f t="shared" si="9"/>
        <v>1</v>
      </c>
    </row>
    <row r="180">
      <c r="A180" s="7" t="s">
        <v>769</v>
      </c>
      <c r="B180" s="9" t="s">
        <v>1006</v>
      </c>
      <c r="C180" s="7" t="s">
        <v>87</v>
      </c>
      <c r="D180" s="7" t="s">
        <v>88</v>
      </c>
      <c r="E180" s="9" t="s">
        <v>657</v>
      </c>
      <c r="F180" s="15" t="s">
        <v>769</v>
      </c>
      <c r="G180" s="10">
        <f t="shared" si="7"/>
        <v>1</v>
      </c>
      <c r="H180" s="15" t="s">
        <v>770</v>
      </c>
      <c r="I180" s="10">
        <f t="shared" si="9"/>
        <v>1</v>
      </c>
    </row>
    <row r="181">
      <c r="A181" s="13" t="s">
        <v>772</v>
      </c>
      <c r="B181" s="13" t="s">
        <v>1010</v>
      </c>
      <c r="C181" s="13" t="s">
        <v>87</v>
      </c>
      <c r="D181" s="13" t="s">
        <v>88</v>
      </c>
      <c r="E181" s="13" t="s">
        <v>441</v>
      </c>
      <c r="F181" s="10" t="s">
        <v>772</v>
      </c>
      <c r="G181" s="10">
        <f t="shared" si="7"/>
        <v>1</v>
      </c>
      <c r="H181" s="10" t="s">
        <v>774</v>
      </c>
      <c r="I181" s="10">
        <f t="shared" si="9"/>
        <v>1</v>
      </c>
    </row>
    <row r="182">
      <c r="A182" s="7" t="s">
        <v>775</v>
      </c>
      <c r="B182" s="7" t="s">
        <v>1013</v>
      </c>
      <c r="C182" s="7" t="s">
        <v>22</v>
      </c>
      <c r="D182" s="7" t="s">
        <v>88</v>
      </c>
      <c r="E182" s="7" t="s">
        <v>1015</v>
      </c>
      <c r="F182" s="15" t="s">
        <v>775</v>
      </c>
      <c r="G182" s="10">
        <f t="shared" si="7"/>
        <v>1</v>
      </c>
      <c r="H182" s="15" t="s">
        <v>776</v>
      </c>
      <c r="I182" s="10">
        <f t="shared" si="9"/>
        <v>1</v>
      </c>
    </row>
    <row r="183">
      <c r="A183" s="13" t="s">
        <v>781</v>
      </c>
      <c r="B183" s="13" t="s">
        <v>1017</v>
      </c>
      <c r="C183" s="13" t="s">
        <v>87</v>
      </c>
      <c r="D183" s="13" t="s">
        <v>26</v>
      </c>
      <c r="E183" s="13" t="s">
        <v>117</v>
      </c>
      <c r="F183" s="10" t="s">
        <v>781</v>
      </c>
      <c r="G183" s="10">
        <f t="shared" si="7"/>
        <v>1</v>
      </c>
      <c r="H183" s="10" t="s">
        <v>783</v>
      </c>
      <c r="I183" s="10">
        <f t="shared" si="9"/>
        <v>1</v>
      </c>
    </row>
    <row r="184">
      <c r="A184" s="7" t="s">
        <v>786</v>
      </c>
      <c r="B184" s="7" t="s">
        <v>1020</v>
      </c>
      <c r="C184" s="7" t="s">
        <v>227</v>
      </c>
      <c r="D184" s="7" t="s">
        <v>26</v>
      </c>
      <c r="E184" s="7" t="s">
        <v>229</v>
      </c>
      <c r="F184" s="15" t="s">
        <v>786</v>
      </c>
      <c r="G184" s="10">
        <f t="shared" si="7"/>
        <v>1</v>
      </c>
      <c r="H184" s="15" t="s">
        <v>787</v>
      </c>
      <c r="I184" s="10">
        <f t="shared" si="9"/>
        <v>1</v>
      </c>
    </row>
    <row r="185">
      <c r="A185" s="13" t="s">
        <v>789</v>
      </c>
      <c r="B185" s="14" t="s">
        <v>1025</v>
      </c>
      <c r="C185" s="13" t="s">
        <v>227</v>
      </c>
      <c r="D185" s="13" t="s">
        <v>88</v>
      </c>
      <c r="E185" s="14" t="s">
        <v>995</v>
      </c>
      <c r="F185" s="10" t="s">
        <v>789</v>
      </c>
      <c r="G185" s="10">
        <f t="shared" si="7"/>
        <v>1</v>
      </c>
      <c r="H185" s="10" t="s">
        <v>790</v>
      </c>
      <c r="I185" s="10">
        <f t="shared" si="9"/>
        <v>1</v>
      </c>
    </row>
    <row r="186">
      <c r="A186" s="7" t="s">
        <v>793</v>
      </c>
      <c r="B186" s="9" t="s">
        <v>1032</v>
      </c>
      <c r="C186" s="7" t="s">
        <v>22</v>
      </c>
      <c r="D186" s="7" t="s">
        <v>88</v>
      </c>
      <c r="E186" s="9" t="s">
        <v>167</v>
      </c>
      <c r="F186" s="15" t="s">
        <v>793</v>
      </c>
      <c r="G186" s="10">
        <f t="shared" si="7"/>
        <v>1</v>
      </c>
      <c r="H186" s="15" t="s">
        <v>794</v>
      </c>
      <c r="I186" s="10">
        <f t="shared" si="9"/>
        <v>1</v>
      </c>
    </row>
    <row r="187">
      <c r="A187" s="13" t="s">
        <v>795</v>
      </c>
      <c r="B187" s="14" t="s">
        <v>1035</v>
      </c>
      <c r="C187" s="13" t="s">
        <v>22</v>
      </c>
      <c r="D187" s="13" t="s">
        <v>88</v>
      </c>
      <c r="E187" s="14" t="s">
        <v>509</v>
      </c>
      <c r="F187" s="10" t="s">
        <v>795</v>
      </c>
      <c r="G187" s="10">
        <f t="shared" si="7"/>
        <v>1</v>
      </c>
      <c r="H187" s="10" t="s">
        <v>796</v>
      </c>
      <c r="I187" s="10">
        <f t="shared" si="9"/>
        <v>1</v>
      </c>
    </row>
    <row r="188">
      <c r="A188" s="7" t="s">
        <v>800</v>
      </c>
      <c r="B188" s="7" t="s">
        <v>1040</v>
      </c>
      <c r="C188" s="7" t="s">
        <v>22</v>
      </c>
      <c r="D188" s="7" t="s">
        <v>88</v>
      </c>
      <c r="E188" s="9" t="s">
        <v>1041</v>
      </c>
      <c r="F188" s="15" t="s">
        <v>800</v>
      </c>
      <c r="G188" s="10">
        <f t="shared" si="7"/>
        <v>1</v>
      </c>
      <c r="H188" s="15" t="s">
        <v>801</v>
      </c>
      <c r="I188" s="10">
        <f t="shared" si="9"/>
        <v>1</v>
      </c>
    </row>
    <row r="189">
      <c r="A189" s="13" t="s">
        <v>804</v>
      </c>
      <c r="B189" s="14" t="s">
        <v>1044</v>
      </c>
      <c r="C189" s="13" t="s">
        <v>87</v>
      </c>
      <c r="D189" s="13" t="s">
        <v>88</v>
      </c>
      <c r="E189" s="14" t="s">
        <v>89</v>
      </c>
      <c r="F189" s="10" t="s">
        <v>804</v>
      </c>
      <c r="G189" s="10">
        <f t="shared" si="7"/>
        <v>1</v>
      </c>
      <c r="H189" s="10" t="s">
        <v>805</v>
      </c>
      <c r="I189" s="10">
        <f t="shared" si="9"/>
        <v>1</v>
      </c>
    </row>
    <row r="190">
      <c r="A190" s="7" t="s">
        <v>806</v>
      </c>
      <c r="B190" s="7" t="s">
        <v>1049</v>
      </c>
      <c r="C190" s="7" t="s">
        <v>227</v>
      </c>
      <c r="D190" s="7" t="s">
        <v>88</v>
      </c>
      <c r="E190" s="7" t="s">
        <v>229</v>
      </c>
      <c r="F190" s="15" t="s">
        <v>806</v>
      </c>
      <c r="G190" s="10">
        <f t="shared" si="7"/>
        <v>1</v>
      </c>
      <c r="H190" s="15" t="s">
        <v>807</v>
      </c>
      <c r="I190" s="10">
        <f t="shared" si="9"/>
        <v>1</v>
      </c>
    </row>
    <row r="191">
      <c r="A191" s="13" t="s">
        <v>809</v>
      </c>
      <c r="B191" s="13" t="s">
        <v>1052</v>
      </c>
      <c r="C191" s="13" t="s">
        <v>22</v>
      </c>
      <c r="D191" s="13" t="s">
        <v>74</v>
      </c>
      <c r="E191" s="13" t="s">
        <v>287</v>
      </c>
      <c r="F191" s="10" t="s">
        <v>809</v>
      </c>
      <c r="G191" s="10">
        <f t="shared" si="7"/>
        <v>1</v>
      </c>
      <c r="H191" s="10" t="s">
        <v>810</v>
      </c>
      <c r="I191" s="10">
        <f t="shared" si="9"/>
        <v>1</v>
      </c>
    </row>
    <row r="192">
      <c r="A192" s="7" t="s">
        <v>811</v>
      </c>
      <c r="B192" s="9" t="s">
        <v>1056</v>
      </c>
      <c r="C192" s="7" t="s">
        <v>87</v>
      </c>
      <c r="D192" s="7" t="s">
        <v>88</v>
      </c>
      <c r="E192" s="9" t="s">
        <v>890</v>
      </c>
      <c r="F192" s="15" t="s">
        <v>811</v>
      </c>
      <c r="G192" s="10">
        <f t="shared" si="7"/>
        <v>1</v>
      </c>
      <c r="H192" s="15" t="s">
        <v>813</v>
      </c>
      <c r="I192" s="10" t="b">
        <f t="shared" si="9"/>
        <v>0</v>
      </c>
    </row>
    <row r="193">
      <c r="A193" s="13" t="s">
        <v>814</v>
      </c>
      <c r="B193" s="14" t="s">
        <v>1060</v>
      </c>
      <c r="C193" s="13" t="s">
        <v>87</v>
      </c>
      <c r="D193" s="13" t="s">
        <v>88</v>
      </c>
      <c r="E193" s="14" t="s">
        <v>890</v>
      </c>
      <c r="F193" s="10" t="s">
        <v>814</v>
      </c>
      <c r="G193" s="10">
        <f t="shared" si="7"/>
        <v>1</v>
      </c>
      <c r="H193" s="10" t="s">
        <v>686</v>
      </c>
      <c r="I193" s="10" t="b">
        <f t="shared" si="9"/>
        <v>0</v>
      </c>
    </row>
    <row r="194">
      <c r="A194" s="7" t="s">
        <v>816</v>
      </c>
      <c r="B194" s="9" t="s">
        <v>1064</v>
      </c>
      <c r="C194" s="7" t="s">
        <v>87</v>
      </c>
      <c r="D194" s="7" t="s">
        <v>88</v>
      </c>
      <c r="E194" s="9" t="s">
        <v>906</v>
      </c>
      <c r="F194" s="15" t="s">
        <v>816</v>
      </c>
      <c r="G194" s="10">
        <f t="shared" si="7"/>
        <v>1</v>
      </c>
      <c r="H194" s="15" t="s">
        <v>818</v>
      </c>
      <c r="I194" s="10">
        <f t="shared" si="9"/>
        <v>1</v>
      </c>
    </row>
    <row r="195">
      <c r="A195" s="13" t="s">
        <v>819</v>
      </c>
      <c r="B195" s="14" t="s">
        <v>1068</v>
      </c>
      <c r="C195" s="13" t="s">
        <v>87</v>
      </c>
      <c r="D195" s="13" t="s">
        <v>88</v>
      </c>
      <c r="E195" s="14" t="s">
        <v>906</v>
      </c>
      <c r="F195" s="10" t="s">
        <v>819</v>
      </c>
      <c r="G195" s="10">
        <f t="shared" si="7"/>
        <v>1</v>
      </c>
      <c r="H195" s="10" t="s">
        <v>820</v>
      </c>
      <c r="I195" s="10">
        <f t="shared" si="9"/>
        <v>1</v>
      </c>
    </row>
    <row r="196">
      <c r="A196" s="7" t="s">
        <v>821</v>
      </c>
      <c r="B196" s="7" t="s">
        <v>1071</v>
      </c>
      <c r="C196" s="7" t="s">
        <v>87</v>
      </c>
      <c r="D196" s="7" t="s">
        <v>74</v>
      </c>
      <c r="E196" s="7" t="s">
        <v>343</v>
      </c>
      <c r="F196" s="15" t="s">
        <v>821</v>
      </c>
      <c r="G196" s="10">
        <f t="shared" si="7"/>
        <v>1</v>
      </c>
      <c r="H196" s="15" t="s">
        <v>822</v>
      </c>
      <c r="I196" s="10">
        <f t="shared" si="9"/>
        <v>1</v>
      </c>
    </row>
    <row r="197">
      <c r="A197" s="13" t="s">
        <v>825</v>
      </c>
      <c r="B197" s="14" t="s">
        <v>1077</v>
      </c>
      <c r="C197" s="13" t="s">
        <v>87</v>
      </c>
      <c r="D197" s="13" t="s">
        <v>88</v>
      </c>
      <c r="E197" s="13" t="s">
        <v>343</v>
      </c>
      <c r="F197" s="10" t="s">
        <v>825</v>
      </c>
      <c r="G197" s="10">
        <f t="shared" si="7"/>
        <v>1</v>
      </c>
      <c r="H197" s="10" t="s">
        <v>826</v>
      </c>
      <c r="I197" s="10">
        <f t="shared" si="9"/>
        <v>1</v>
      </c>
    </row>
    <row r="198">
      <c r="A198" s="7" t="s">
        <v>782</v>
      </c>
      <c r="B198" s="7" t="s">
        <v>784</v>
      </c>
      <c r="C198" s="7" t="s">
        <v>87</v>
      </c>
      <c r="D198" s="7" t="s">
        <v>88</v>
      </c>
      <c r="E198" s="9" t="s">
        <v>802</v>
      </c>
      <c r="F198" s="15" t="s">
        <v>782</v>
      </c>
      <c r="G198" s="10">
        <f t="shared" si="7"/>
        <v>1</v>
      </c>
      <c r="H198" s="15" t="s">
        <v>827</v>
      </c>
      <c r="I198" s="10">
        <f t="shared" si="9"/>
        <v>1</v>
      </c>
    </row>
    <row r="199">
      <c r="A199" s="13" t="s">
        <v>829</v>
      </c>
      <c r="B199" s="13" t="s">
        <v>1084</v>
      </c>
      <c r="C199" s="13" t="s">
        <v>87</v>
      </c>
      <c r="D199" s="13" t="s">
        <v>88</v>
      </c>
      <c r="E199" s="13" t="s">
        <v>343</v>
      </c>
      <c r="F199" s="10" t="s">
        <v>829</v>
      </c>
      <c r="G199" s="10">
        <f t="shared" si="7"/>
        <v>1</v>
      </c>
      <c r="H199" s="10" t="s">
        <v>830</v>
      </c>
      <c r="I199" s="10">
        <f t="shared" si="9"/>
        <v>1</v>
      </c>
    </row>
    <row r="200">
      <c r="A200" s="7" t="s">
        <v>832</v>
      </c>
      <c r="B200" s="7" t="s">
        <v>1089</v>
      </c>
      <c r="C200" s="7" t="s">
        <v>227</v>
      </c>
      <c r="D200" s="7" t="s">
        <v>88</v>
      </c>
      <c r="E200" s="9" t="s">
        <v>1091</v>
      </c>
      <c r="F200" s="15" t="s">
        <v>832</v>
      </c>
      <c r="G200" s="10">
        <f t="shared" si="7"/>
        <v>1</v>
      </c>
      <c r="H200" s="15" t="s">
        <v>833</v>
      </c>
      <c r="I200" s="10">
        <f t="shared" si="9"/>
        <v>1</v>
      </c>
    </row>
    <row r="201">
      <c r="A201" s="13" t="s">
        <v>838</v>
      </c>
      <c r="B201" s="14" t="s">
        <v>1094</v>
      </c>
      <c r="C201" s="13" t="s">
        <v>87</v>
      </c>
      <c r="D201" s="13" t="s">
        <v>88</v>
      </c>
      <c r="E201" s="14" t="s">
        <v>657</v>
      </c>
      <c r="F201" s="10" t="s">
        <v>838</v>
      </c>
      <c r="G201" s="10">
        <f t="shared" si="7"/>
        <v>1</v>
      </c>
      <c r="H201" s="10" t="s">
        <v>839</v>
      </c>
      <c r="I201" s="10">
        <f t="shared" si="9"/>
        <v>1</v>
      </c>
    </row>
    <row r="202">
      <c r="A202" s="7" t="s">
        <v>245</v>
      </c>
      <c r="B202" s="7" t="s">
        <v>262</v>
      </c>
      <c r="C202" s="7" t="s">
        <v>87</v>
      </c>
      <c r="D202" s="7" t="s">
        <v>88</v>
      </c>
      <c r="E202" s="7" t="s">
        <v>1099</v>
      </c>
      <c r="F202" s="15" t="s">
        <v>245</v>
      </c>
      <c r="G202" s="10">
        <f t="shared" si="7"/>
        <v>1</v>
      </c>
      <c r="H202" s="15" t="s">
        <v>840</v>
      </c>
      <c r="I202" s="10">
        <f t="shared" si="9"/>
        <v>1</v>
      </c>
    </row>
    <row r="203">
      <c r="A203" s="13" t="s">
        <v>321</v>
      </c>
      <c r="B203" s="14" t="s">
        <v>1102</v>
      </c>
      <c r="C203" s="13" t="s">
        <v>22</v>
      </c>
      <c r="D203" s="13" t="s">
        <v>88</v>
      </c>
      <c r="E203" s="14" t="s">
        <v>632</v>
      </c>
      <c r="F203" s="10" t="s">
        <v>321</v>
      </c>
      <c r="G203" s="10">
        <f t="shared" si="7"/>
        <v>1</v>
      </c>
      <c r="H203" s="10" t="s">
        <v>842</v>
      </c>
      <c r="I203" s="10" t="b">
        <f t="shared" si="9"/>
        <v>0</v>
      </c>
    </row>
    <row r="204">
      <c r="A204" s="7" t="s">
        <v>845</v>
      </c>
      <c r="B204" s="7" t="s">
        <v>1105</v>
      </c>
      <c r="C204" s="7" t="s">
        <v>227</v>
      </c>
      <c r="D204" s="7" t="s">
        <v>88</v>
      </c>
      <c r="E204" s="7" t="s">
        <v>229</v>
      </c>
      <c r="F204" s="15" t="s">
        <v>845</v>
      </c>
      <c r="G204" s="10">
        <f t="shared" si="7"/>
        <v>1</v>
      </c>
      <c r="H204" s="15" t="s">
        <v>847</v>
      </c>
      <c r="I204" s="10">
        <f t="shared" si="9"/>
        <v>1</v>
      </c>
    </row>
    <row r="205">
      <c r="A205" s="13" t="s">
        <v>337</v>
      </c>
      <c r="B205" s="13" t="s">
        <v>459</v>
      </c>
      <c r="C205" s="13" t="s">
        <v>227</v>
      </c>
      <c r="D205" s="13" t="s">
        <v>88</v>
      </c>
      <c r="E205" s="13" t="s">
        <v>229</v>
      </c>
      <c r="F205" s="10" t="s">
        <v>337</v>
      </c>
      <c r="G205" s="10">
        <f t="shared" si="7"/>
        <v>1</v>
      </c>
      <c r="H205" s="10" t="s">
        <v>436</v>
      </c>
      <c r="I205" s="10">
        <f t="shared" si="9"/>
        <v>1</v>
      </c>
    </row>
    <row r="206">
      <c r="A206" s="7" t="s">
        <v>850</v>
      </c>
      <c r="B206" s="7" t="s">
        <v>1112</v>
      </c>
      <c r="C206" s="7" t="s">
        <v>227</v>
      </c>
      <c r="D206" s="7" t="s">
        <v>88</v>
      </c>
      <c r="E206" s="7" t="s">
        <v>229</v>
      </c>
      <c r="F206" s="15" t="s">
        <v>850</v>
      </c>
      <c r="G206" s="10">
        <f t="shared" si="7"/>
        <v>1</v>
      </c>
      <c r="H206" s="15" t="s">
        <v>851</v>
      </c>
      <c r="I206" s="10">
        <f t="shared" si="9"/>
        <v>1</v>
      </c>
    </row>
    <row r="207">
      <c r="A207" s="13" t="s">
        <v>852</v>
      </c>
      <c r="B207" s="13" t="s">
        <v>1116</v>
      </c>
      <c r="C207" s="13" t="s">
        <v>227</v>
      </c>
      <c r="D207" s="13" t="s">
        <v>88</v>
      </c>
      <c r="E207" s="13" t="s">
        <v>229</v>
      </c>
      <c r="F207" s="10" t="s">
        <v>852</v>
      </c>
      <c r="G207" s="10">
        <f t="shared" si="7"/>
        <v>1</v>
      </c>
      <c r="H207" s="10" t="s">
        <v>853</v>
      </c>
      <c r="I207" s="10">
        <f t="shared" si="9"/>
        <v>1</v>
      </c>
    </row>
    <row r="208">
      <c r="A208" s="7" t="s">
        <v>854</v>
      </c>
      <c r="B208" s="7" t="s">
        <v>1119</v>
      </c>
      <c r="C208" s="7" t="s">
        <v>227</v>
      </c>
      <c r="D208" s="7" t="s">
        <v>88</v>
      </c>
      <c r="E208" s="7" t="s">
        <v>229</v>
      </c>
      <c r="F208" s="15" t="s">
        <v>854</v>
      </c>
      <c r="G208" s="10">
        <f t="shared" si="7"/>
        <v>1</v>
      </c>
      <c r="H208" s="15" t="s">
        <v>855</v>
      </c>
      <c r="I208" s="10">
        <f t="shared" si="9"/>
        <v>1</v>
      </c>
    </row>
    <row r="209">
      <c r="A209" s="13" t="s">
        <v>857</v>
      </c>
      <c r="B209" s="13" t="s">
        <v>1123</v>
      </c>
      <c r="C209" s="13" t="s">
        <v>227</v>
      </c>
      <c r="D209" s="13" t="s">
        <v>88</v>
      </c>
      <c r="E209" s="14" t="s">
        <v>89</v>
      </c>
      <c r="F209" s="10" t="s">
        <v>857</v>
      </c>
      <c r="G209" s="10">
        <f t="shared" si="7"/>
        <v>1</v>
      </c>
      <c r="H209" s="10" t="s">
        <v>858</v>
      </c>
      <c r="I209" s="10">
        <f t="shared" si="9"/>
        <v>1</v>
      </c>
    </row>
    <row r="210">
      <c r="A210" s="7" t="s">
        <v>1126</v>
      </c>
      <c r="B210" s="9" t="s">
        <v>1127</v>
      </c>
      <c r="C210" s="7" t="s">
        <v>22</v>
      </c>
      <c r="D210" s="7" t="s">
        <v>88</v>
      </c>
      <c r="E210" s="7" t="s">
        <v>564</v>
      </c>
      <c r="F210" s="15" t="s">
        <v>1126</v>
      </c>
      <c r="G210" s="10">
        <f t="shared" si="7"/>
        <v>1</v>
      </c>
      <c r="H210" s="15" t="s">
        <v>1130</v>
      </c>
      <c r="I210" s="10">
        <f t="shared" si="9"/>
        <v>1</v>
      </c>
    </row>
    <row r="211">
      <c r="A211" s="13" t="s">
        <v>860</v>
      </c>
      <c r="B211" s="14" t="s">
        <v>1132</v>
      </c>
      <c r="C211" s="13" t="s">
        <v>87</v>
      </c>
      <c r="D211" s="13" t="s">
        <v>88</v>
      </c>
      <c r="E211" s="14" t="s">
        <v>1134</v>
      </c>
      <c r="F211" s="10" t="s">
        <v>860</v>
      </c>
      <c r="G211" s="10">
        <f t="shared" si="7"/>
        <v>1</v>
      </c>
      <c r="H211" s="10" t="s">
        <v>861</v>
      </c>
      <c r="I211" s="10">
        <f t="shared" si="9"/>
        <v>1</v>
      </c>
    </row>
    <row r="212">
      <c r="A212" s="7" t="s">
        <v>866</v>
      </c>
      <c r="B212" s="9" t="s">
        <v>1137</v>
      </c>
      <c r="C212" s="7" t="s">
        <v>87</v>
      </c>
      <c r="D212" s="7" t="s">
        <v>88</v>
      </c>
      <c r="E212" s="9" t="s">
        <v>89</v>
      </c>
      <c r="F212" s="15" t="s">
        <v>866</v>
      </c>
      <c r="G212" s="10">
        <f t="shared" si="7"/>
        <v>1</v>
      </c>
      <c r="H212" s="15" t="s">
        <v>868</v>
      </c>
      <c r="I212" s="10">
        <f t="shared" si="9"/>
        <v>1</v>
      </c>
    </row>
    <row r="213">
      <c r="A213" s="13" t="s">
        <v>869</v>
      </c>
      <c r="B213" s="14" t="s">
        <v>1140</v>
      </c>
      <c r="C213" s="13" t="s">
        <v>87</v>
      </c>
      <c r="D213" s="13" t="s">
        <v>88</v>
      </c>
      <c r="E213" s="14" t="s">
        <v>89</v>
      </c>
      <c r="F213" s="10" t="s">
        <v>869</v>
      </c>
      <c r="G213" s="10">
        <f t="shared" si="7"/>
        <v>1</v>
      </c>
      <c r="H213" s="10" t="s">
        <v>870</v>
      </c>
      <c r="I213" s="10">
        <f t="shared" si="9"/>
        <v>1</v>
      </c>
    </row>
    <row r="214">
      <c r="A214" s="7" t="s">
        <v>871</v>
      </c>
      <c r="B214" s="7" t="s">
        <v>1145</v>
      </c>
      <c r="C214" s="7" t="s">
        <v>87</v>
      </c>
      <c r="D214" s="7" t="s">
        <v>88</v>
      </c>
      <c r="E214" s="7" t="s">
        <v>343</v>
      </c>
      <c r="F214" s="15" t="s">
        <v>871</v>
      </c>
      <c r="G214" s="10">
        <f t="shared" si="7"/>
        <v>1</v>
      </c>
      <c r="H214" s="15" t="s">
        <v>872</v>
      </c>
      <c r="I214" s="10">
        <f t="shared" si="9"/>
        <v>1</v>
      </c>
    </row>
    <row r="215">
      <c r="A215" s="13" t="s">
        <v>874</v>
      </c>
      <c r="B215" s="13" t="s">
        <v>1149</v>
      </c>
      <c r="C215" s="13" t="s">
        <v>227</v>
      </c>
      <c r="D215" s="13" t="s">
        <v>88</v>
      </c>
      <c r="E215" s="13" t="s">
        <v>229</v>
      </c>
      <c r="F215" s="10" t="s">
        <v>874</v>
      </c>
      <c r="G215" s="10">
        <f t="shared" si="7"/>
        <v>1</v>
      </c>
      <c r="H215" s="10" t="s">
        <v>875</v>
      </c>
      <c r="I215" s="10">
        <f t="shared" si="9"/>
        <v>1</v>
      </c>
    </row>
    <row r="216">
      <c r="A216" s="7" t="s">
        <v>739</v>
      </c>
      <c r="B216" s="9" t="s">
        <v>1153</v>
      </c>
      <c r="C216" s="7" t="s">
        <v>22</v>
      </c>
      <c r="D216" s="7" t="s">
        <v>26</v>
      </c>
      <c r="E216" s="9" t="s">
        <v>671</v>
      </c>
      <c r="F216" s="15" t="s">
        <v>739</v>
      </c>
      <c r="G216" s="10">
        <f t="shared" si="7"/>
        <v>1</v>
      </c>
      <c r="H216" s="15" t="s">
        <v>876</v>
      </c>
      <c r="I216" s="10">
        <f t="shared" si="9"/>
        <v>1</v>
      </c>
    </row>
    <row r="217">
      <c r="A217" s="13" t="s">
        <v>723</v>
      </c>
      <c r="B217" s="13" t="s">
        <v>1156</v>
      </c>
      <c r="C217" s="13" t="s">
        <v>22</v>
      </c>
      <c r="D217" s="13" t="s">
        <v>88</v>
      </c>
      <c r="E217" s="14" t="s">
        <v>792</v>
      </c>
      <c r="F217" s="10" t="s">
        <v>723</v>
      </c>
      <c r="G217" s="10">
        <f t="shared" si="7"/>
        <v>1</v>
      </c>
      <c r="H217" s="10" t="s">
        <v>878</v>
      </c>
      <c r="I217" s="10">
        <f t="shared" si="9"/>
        <v>1</v>
      </c>
    </row>
    <row r="218">
      <c r="A218" s="7" t="s">
        <v>879</v>
      </c>
      <c r="B218" s="7" t="s">
        <v>1161</v>
      </c>
      <c r="C218" s="7" t="s">
        <v>227</v>
      </c>
      <c r="D218" s="7" t="s">
        <v>88</v>
      </c>
      <c r="E218" s="7" t="s">
        <v>229</v>
      </c>
      <c r="F218" s="15" t="s">
        <v>879</v>
      </c>
      <c r="G218" s="10">
        <f t="shared" si="7"/>
        <v>1</v>
      </c>
      <c r="H218" s="15" t="s">
        <v>880</v>
      </c>
      <c r="I218" s="10">
        <f t="shared" si="9"/>
        <v>1</v>
      </c>
    </row>
    <row r="219">
      <c r="A219" s="13" t="s">
        <v>882</v>
      </c>
      <c r="B219" s="13" t="s">
        <v>1165</v>
      </c>
      <c r="C219" s="13" t="s">
        <v>87</v>
      </c>
      <c r="D219" s="13" t="s">
        <v>88</v>
      </c>
      <c r="E219" s="14" t="s">
        <v>802</v>
      </c>
      <c r="F219" s="10" t="s">
        <v>882</v>
      </c>
      <c r="G219" s="10">
        <f t="shared" si="7"/>
        <v>1</v>
      </c>
      <c r="H219" s="10" t="s">
        <v>883</v>
      </c>
      <c r="I219" s="10" t="b">
        <f t="shared" si="9"/>
        <v>0</v>
      </c>
    </row>
    <row r="220">
      <c r="A220" s="7" t="s">
        <v>884</v>
      </c>
      <c r="B220" s="7" t="s">
        <v>1169</v>
      </c>
      <c r="C220" s="7" t="s">
        <v>22</v>
      </c>
      <c r="D220" s="7" t="s">
        <v>88</v>
      </c>
      <c r="E220" s="9" t="s">
        <v>1170</v>
      </c>
      <c r="F220" s="15" t="s">
        <v>884</v>
      </c>
      <c r="G220" s="10">
        <f t="shared" si="7"/>
        <v>1</v>
      </c>
      <c r="H220" s="15" t="s">
        <v>885</v>
      </c>
      <c r="I220" s="10">
        <f t="shared" si="9"/>
        <v>1</v>
      </c>
    </row>
    <row r="221">
      <c r="A221" s="13" t="s">
        <v>888</v>
      </c>
      <c r="B221" s="13" t="s">
        <v>1172</v>
      </c>
      <c r="C221" s="13" t="s">
        <v>22</v>
      </c>
      <c r="D221" s="13" t="s">
        <v>88</v>
      </c>
      <c r="E221" s="13" t="s">
        <v>163</v>
      </c>
      <c r="F221" s="10" t="s">
        <v>888</v>
      </c>
      <c r="G221" s="10">
        <f t="shared" si="7"/>
        <v>1</v>
      </c>
      <c r="H221" s="10" t="s">
        <v>891</v>
      </c>
      <c r="I221" s="10">
        <f t="shared" si="9"/>
        <v>1</v>
      </c>
    </row>
    <row r="222">
      <c r="A222" s="7" t="s">
        <v>256</v>
      </c>
      <c r="B222" s="7" t="s">
        <v>1177</v>
      </c>
      <c r="C222" s="7" t="s">
        <v>227</v>
      </c>
      <c r="D222" s="7" t="s">
        <v>88</v>
      </c>
      <c r="E222" s="7" t="s">
        <v>229</v>
      </c>
      <c r="F222" s="15" t="s">
        <v>256</v>
      </c>
      <c r="G222" s="10">
        <f t="shared" si="7"/>
        <v>1</v>
      </c>
      <c r="H222" s="15" t="s">
        <v>894</v>
      </c>
      <c r="I222" s="10">
        <f t="shared" si="9"/>
        <v>1</v>
      </c>
    </row>
    <row r="223">
      <c r="A223" s="13" t="s">
        <v>895</v>
      </c>
      <c r="B223" s="14" t="s">
        <v>1181</v>
      </c>
      <c r="C223" s="13" t="s">
        <v>87</v>
      </c>
      <c r="D223" s="13" t="s">
        <v>88</v>
      </c>
      <c r="E223" s="14" t="s">
        <v>150</v>
      </c>
      <c r="F223" s="10" t="s">
        <v>895</v>
      </c>
      <c r="G223" s="10">
        <f t="shared" si="7"/>
        <v>1</v>
      </c>
      <c r="H223" s="10" t="s">
        <v>897</v>
      </c>
      <c r="I223" s="10">
        <f t="shared" si="9"/>
        <v>1</v>
      </c>
    </row>
    <row r="224">
      <c r="A224" s="7" t="s">
        <v>898</v>
      </c>
      <c r="B224" s="7" t="s">
        <v>1184</v>
      </c>
      <c r="C224" s="7" t="s">
        <v>87</v>
      </c>
      <c r="D224" s="7" t="s">
        <v>88</v>
      </c>
      <c r="E224" s="9" t="s">
        <v>802</v>
      </c>
      <c r="F224" s="15" t="s">
        <v>898</v>
      </c>
      <c r="G224" s="10">
        <f t="shared" si="7"/>
        <v>1</v>
      </c>
      <c r="H224" s="15" t="s">
        <v>900</v>
      </c>
      <c r="I224" s="10">
        <f t="shared" si="9"/>
        <v>1</v>
      </c>
    </row>
    <row r="225">
      <c r="A225" s="13" t="s">
        <v>901</v>
      </c>
      <c r="B225" s="14" t="s">
        <v>1188</v>
      </c>
      <c r="C225" s="13" t="s">
        <v>227</v>
      </c>
      <c r="D225" s="13" t="s">
        <v>88</v>
      </c>
      <c r="E225" s="13" t="s">
        <v>229</v>
      </c>
      <c r="F225" s="10" t="s">
        <v>901</v>
      </c>
      <c r="G225" s="10">
        <f t="shared" si="7"/>
        <v>1</v>
      </c>
      <c r="H225" s="10" t="s">
        <v>903</v>
      </c>
      <c r="I225" s="10">
        <f t="shared" si="9"/>
        <v>1</v>
      </c>
    </row>
    <row r="226">
      <c r="A226" s="7" t="s">
        <v>907</v>
      </c>
      <c r="B226" s="7" t="s">
        <v>1191</v>
      </c>
      <c r="C226" s="7" t="s">
        <v>227</v>
      </c>
      <c r="D226" s="7" t="s">
        <v>88</v>
      </c>
      <c r="E226" s="7" t="s">
        <v>229</v>
      </c>
      <c r="F226" s="15" t="s">
        <v>907</v>
      </c>
      <c r="G226" s="10">
        <f t="shared" si="7"/>
        <v>1</v>
      </c>
      <c r="H226" s="15" t="s">
        <v>908</v>
      </c>
      <c r="I226" s="10">
        <f t="shared" si="9"/>
        <v>1</v>
      </c>
    </row>
    <row r="227">
      <c r="A227" s="13" t="s">
        <v>909</v>
      </c>
      <c r="B227" s="13" t="s">
        <v>1195</v>
      </c>
      <c r="C227" s="13" t="s">
        <v>227</v>
      </c>
      <c r="D227" s="13" t="s">
        <v>88</v>
      </c>
      <c r="E227" s="13" t="s">
        <v>229</v>
      </c>
      <c r="F227" s="10" t="s">
        <v>909</v>
      </c>
      <c r="G227" s="10">
        <f t="shared" si="7"/>
        <v>1</v>
      </c>
      <c r="H227" s="10" t="s">
        <v>910</v>
      </c>
      <c r="I227" s="10">
        <f t="shared" si="9"/>
        <v>1</v>
      </c>
    </row>
    <row r="228">
      <c r="A228" s="7" t="s">
        <v>912</v>
      </c>
      <c r="B228" s="9" t="s">
        <v>1201</v>
      </c>
      <c r="C228" s="7" t="s">
        <v>227</v>
      </c>
      <c r="D228" s="7" t="s">
        <v>88</v>
      </c>
      <c r="E228" s="7" t="s">
        <v>229</v>
      </c>
      <c r="F228" s="15" t="s">
        <v>912</v>
      </c>
      <c r="G228" s="10">
        <f t="shared" si="7"/>
        <v>1</v>
      </c>
      <c r="H228" s="15" t="s">
        <v>913</v>
      </c>
      <c r="I228" s="10">
        <f t="shared" si="9"/>
        <v>1</v>
      </c>
    </row>
    <row r="229">
      <c r="A229" s="13" t="s">
        <v>915</v>
      </c>
      <c r="B229" s="14" t="s">
        <v>1204</v>
      </c>
      <c r="C229" s="13" t="s">
        <v>227</v>
      </c>
      <c r="D229" s="13" t="s">
        <v>88</v>
      </c>
      <c r="E229" s="13" t="s">
        <v>229</v>
      </c>
      <c r="F229" s="10" t="s">
        <v>915</v>
      </c>
      <c r="G229" s="10">
        <f t="shared" si="7"/>
        <v>1</v>
      </c>
      <c r="H229" s="10" t="s">
        <v>916</v>
      </c>
      <c r="I229" s="10">
        <f t="shared" si="9"/>
        <v>1</v>
      </c>
    </row>
    <row r="230">
      <c r="A230" s="7" t="s">
        <v>917</v>
      </c>
      <c r="B230" s="7" t="s">
        <v>1207</v>
      </c>
      <c r="C230" s="7" t="s">
        <v>227</v>
      </c>
      <c r="D230" s="7" t="s">
        <v>88</v>
      </c>
      <c r="E230" s="7" t="s">
        <v>229</v>
      </c>
      <c r="F230" s="15" t="s">
        <v>917</v>
      </c>
      <c r="G230" s="10">
        <f t="shared" si="7"/>
        <v>1</v>
      </c>
      <c r="H230" s="15" t="s">
        <v>918</v>
      </c>
      <c r="I230" s="10">
        <f t="shared" si="9"/>
        <v>1</v>
      </c>
    </row>
    <row r="231">
      <c r="A231" s="13" t="s">
        <v>919</v>
      </c>
      <c r="B231" s="13" t="s">
        <v>1211</v>
      </c>
      <c r="C231" s="13" t="s">
        <v>227</v>
      </c>
      <c r="D231" s="13" t="s">
        <v>88</v>
      </c>
      <c r="E231" s="13" t="s">
        <v>229</v>
      </c>
      <c r="F231" s="10" t="s">
        <v>919</v>
      </c>
      <c r="G231" s="10">
        <f t="shared" si="7"/>
        <v>1</v>
      </c>
      <c r="H231" s="10" t="s">
        <v>920</v>
      </c>
      <c r="I231" s="10">
        <f t="shared" si="9"/>
        <v>1</v>
      </c>
    </row>
    <row r="232">
      <c r="A232" s="7" t="s">
        <v>922</v>
      </c>
      <c r="B232" s="7" t="s">
        <v>1215</v>
      </c>
      <c r="C232" s="7" t="s">
        <v>22</v>
      </c>
      <c r="D232" s="7" t="s">
        <v>88</v>
      </c>
      <c r="E232" s="9" t="s">
        <v>1216</v>
      </c>
      <c r="F232" s="15" t="s">
        <v>922</v>
      </c>
      <c r="G232" s="10">
        <f t="shared" si="7"/>
        <v>1</v>
      </c>
      <c r="H232" s="15" t="s">
        <v>923</v>
      </c>
      <c r="I232" s="10">
        <f t="shared" si="9"/>
        <v>1</v>
      </c>
    </row>
    <row r="233">
      <c r="A233" s="13" t="s">
        <v>925</v>
      </c>
      <c r="B233" s="14" t="s">
        <v>1219</v>
      </c>
      <c r="C233" s="13" t="s">
        <v>87</v>
      </c>
      <c r="D233" s="13" t="s">
        <v>88</v>
      </c>
      <c r="E233" s="14" t="s">
        <v>802</v>
      </c>
      <c r="F233" s="10" t="s">
        <v>925</v>
      </c>
      <c r="G233" s="10">
        <f t="shared" si="7"/>
        <v>1</v>
      </c>
      <c r="H233" s="10" t="s">
        <v>926</v>
      </c>
      <c r="I233" s="10">
        <f t="shared" si="9"/>
        <v>1</v>
      </c>
    </row>
    <row r="234">
      <c r="A234" s="7" t="s">
        <v>929</v>
      </c>
      <c r="B234" s="7" t="s">
        <v>1224</v>
      </c>
      <c r="C234" s="7" t="s">
        <v>22</v>
      </c>
      <c r="D234" s="7" t="s">
        <v>88</v>
      </c>
      <c r="E234" s="9" t="s">
        <v>1227</v>
      </c>
      <c r="F234" s="15" t="s">
        <v>929</v>
      </c>
      <c r="G234" s="10">
        <f t="shared" si="7"/>
        <v>1</v>
      </c>
      <c r="H234" s="15" t="s">
        <v>932</v>
      </c>
      <c r="I234" s="10">
        <f t="shared" si="9"/>
        <v>1</v>
      </c>
    </row>
    <row r="235">
      <c r="A235" s="13" t="s">
        <v>935</v>
      </c>
      <c r="B235" s="14" t="s">
        <v>1230</v>
      </c>
      <c r="C235" s="13" t="s">
        <v>22</v>
      </c>
      <c r="D235" s="13" t="s">
        <v>88</v>
      </c>
      <c r="E235" s="14" t="s">
        <v>632</v>
      </c>
      <c r="F235" s="10" t="s">
        <v>935</v>
      </c>
      <c r="G235" s="10">
        <f t="shared" si="7"/>
        <v>1</v>
      </c>
      <c r="H235" s="10" t="s">
        <v>936</v>
      </c>
      <c r="I235" s="10" t="b">
        <f t="shared" si="9"/>
        <v>0</v>
      </c>
    </row>
    <row r="236">
      <c r="A236" s="7" t="s">
        <v>938</v>
      </c>
      <c r="B236" s="7" t="s">
        <v>1234</v>
      </c>
      <c r="C236" s="7" t="s">
        <v>87</v>
      </c>
      <c r="D236" s="7" t="s">
        <v>88</v>
      </c>
      <c r="E236" s="9" t="s">
        <v>589</v>
      </c>
      <c r="F236" s="15" t="s">
        <v>938</v>
      </c>
      <c r="G236" s="10">
        <f t="shared" si="7"/>
        <v>1</v>
      </c>
      <c r="H236" s="15" t="s">
        <v>939</v>
      </c>
      <c r="I236" s="10">
        <f t="shared" si="9"/>
        <v>1</v>
      </c>
    </row>
    <row r="237">
      <c r="A237" s="13" t="s">
        <v>941</v>
      </c>
      <c r="B237" s="14" t="s">
        <v>1236</v>
      </c>
      <c r="C237" s="13" t="s">
        <v>87</v>
      </c>
      <c r="D237" s="13" t="s">
        <v>74</v>
      </c>
      <c r="E237" s="13" t="s">
        <v>117</v>
      </c>
      <c r="F237" s="10" t="s">
        <v>941</v>
      </c>
      <c r="G237" s="10">
        <f t="shared" si="7"/>
        <v>1</v>
      </c>
      <c r="H237" s="10" t="s">
        <v>942</v>
      </c>
      <c r="I237" s="10">
        <f t="shared" si="9"/>
        <v>1</v>
      </c>
    </row>
    <row r="238">
      <c r="A238" s="7" t="s">
        <v>945</v>
      </c>
      <c r="B238" s="7" t="s">
        <v>1239</v>
      </c>
      <c r="C238" s="7" t="s">
        <v>87</v>
      </c>
      <c r="D238" s="7" t="s">
        <v>88</v>
      </c>
      <c r="E238" s="9" t="s">
        <v>89</v>
      </c>
      <c r="F238" s="15" t="s">
        <v>945</v>
      </c>
      <c r="G238" s="10">
        <f t="shared" si="7"/>
        <v>1</v>
      </c>
      <c r="H238" s="15" t="s">
        <v>946</v>
      </c>
      <c r="I238" s="10">
        <f t="shared" si="9"/>
        <v>1</v>
      </c>
    </row>
    <row r="239">
      <c r="A239" s="13" t="s">
        <v>947</v>
      </c>
      <c r="B239" s="13" t="s">
        <v>1243</v>
      </c>
      <c r="C239" s="13" t="s">
        <v>227</v>
      </c>
      <c r="D239" s="13" t="s">
        <v>88</v>
      </c>
      <c r="E239" s="13" t="s">
        <v>229</v>
      </c>
      <c r="F239" s="10" t="s">
        <v>947</v>
      </c>
      <c r="G239" s="10">
        <f t="shared" si="7"/>
        <v>1</v>
      </c>
      <c r="H239" s="10" t="s">
        <v>948</v>
      </c>
      <c r="I239" s="10">
        <f t="shared" si="9"/>
        <v>1</v>
      </c>
    </row>
    <row r="240">
      <c r="A240" s="7" t="s">
        <v>949</v>
      </c>
      <c r="B240" s="9" t="s">
        <v>1247</v>
      </c>
      <c r="C240" s="7" t="s">
        <v>22</v>
      </c>
      <c r="D240" s="7" t="s">
        <v>88</v>
      </c>
      <c r="E240" s="7" t="s">
        <v>1251</v>
      </c>
      <c r="F240" s="15" t="s">
        <v>949</v>
      </c>
      <c r="G240" s="10">
        <f t="shared" si="7"/>
        <v>1</v>
      </c>
      <c r="H240" s="15" t="s">
        <v>951</v>
      </c>
      <c r="I240" s="10">
        <f t="shared" si="9"/>
        <v>1</v>
      </c>
    </row>
    <row r="241">
      <c r="A241" s="13" t="s">
        <v>340</v>
      </c>
      <c r="B241" s="14" t="s">
        <v>385</v>
      </c>
      <c r="C241" s="13" t="s">
        <v>22</v>
      </c>
      <c r="D241" s="13" t="s">
        <v>88</v>
      </c>
      <c r="E241" s="14" t="s">
        <v>1255</v>
      </c>
      <c r="F241" s="10" t="s">
        <v>340</v>
      </c>
      <c r="G241" s="10">
        <f t="shared" si="7"/>
        <v>1</v>
      </c>
      <c r="H241" s="10" t="s">
        <v>952</v>
      </c>
      <c r="I241" s="10">
        <f t="shared" si="9"/>
        <v>1</v>
      </c>
    </row>
    <row r="242">
      <c r="A242" s="7" t="s">
        <v>954</v>
      </c>
      <c r="B242" s="9" t="s">
        <v>1258</v>
      </c>
      <c r="C242" s="7" t="s">
        <v>22</v>
      </c>
      <c r="D242" s="7" t="s">
        <v>88</v>
      </c>
      <c r="E242" s="9" t="s">
        <v>1255</v>
      </c>
      <c r="F242" s="15" t="s">
        <v>954</v>
      </c>
      <c r="G242" s="10">
        <f t="shared" si="7"/>
        <v>1</v>
      </c>
      <c r="H242" s="15" t="s">
        <v>956</v>
      </c>
      <c r="I242" s="10">
        <f t="shared" si="9"/>
        <v>1</v>
      </c>
    </row>
    <row r="243">
      <c r="A243" s="13" t="s">
        <v>958</v>
      </c>
      <c r="B243" s="13" t="s">
        <v>1261</v>
      </c>
      <c r="C243" s="13" t="s">
        <v>22</v>
      </c>
      <c r="D243" s="13" t="s">
        <v>88</v>
      </c>
      <c r="E243" s="14" t="s">
        <v>299</v>
      </c>
      <c r="F243" s="10" t="s">
        <v>958</v>
      </c>
      <c r="G243" s="10">
        <f t="shared" si="7"/>
        <v>1</v>
      </c>
      <c r="H243" s="10" t="s">
        <v>959</v>
      </c>
      <c r="I243" s="10">
        <f t="shared" si="9"/>
        <v>1</v>
      </c>
    </row>
    <row r="244">
      <c r="A244" s="7" t="s">
        <v>960</v>
      </c>
      <c r="B244" s="7" t="s">
        <v>1265</v>
      </c>
      <c r="C244" s="7" t="s">
        <v>22</v>
      </c>
      <c r="D244" s="7" t="s">
        <v>88</v>
      </c>
      <c r="E244" s="9" t="s">
        <v>299</v>
      </c>
      <c r="F244" s="15" t="s">
        <v>960</v>
      </c>
      <c r="G244" s="10">
        <f t="shared" si="7"/>
        <v>1</v>
      </c>
      <c r="H244" s="15" t="s">
        <v>962</v>
      </c>
      <c r="I244" s="10">
        <f t="shared" si="9"/>
        <v>1</v>
      </c>
    </row>
    <row r="245">
      <c r="A245" s="13" t="s">
        <v>964</v>
      </c>
      <c r="B245" s="14" t="s">
        <v>1268</v>
      </c>
      <c r="C245" s="13" t="s">
        <v>22</v>
      </c>
      <c r="D245" s="13" t="s">
        <v>88</v>
      </c>
      <c r="E245" s="13" t="s">
        <v>287</v>
      </c>
      <c r="F245" s="10" t="s">
        <v>964</v>
      </c>
      <c r="G245" s="10">
        <f t="shared" si="7"/>
        <v>1</v>
      </c>
      <c r="H245" s="10" t="s">
        <v>965</v>
      </c>
      <c r="I245" s="10">
        <f t="shared" si="9"/>
        <v>1</v>
      </c>
    </row>
    <row r="246">
      <c r="A246" s="7" t="s">
        <v>968</v>
      </c>
      <c r="B246" s="7" t="s">
        <v>1272</v>
      </c>
      <c r="C246" s="7" t="s">
        <v>22</v>
      </c>
      <c r="D246" s="7" t="s">
        <v>88</v>
      </c>
      <c r="E246" s="9" t="s">
        <v>167</v>
      </c>
      <c r="F246" s="15" t="s">
        <v>968</v>
      </c>
      <c r="G246" s="10">
        <f t="shared" si="7"/>
        <v>1</v>
      </c>
      <c r="H246" s="15" t="s">
        <v>969</v>
      </c>
      <c r="I246" s="10">
        <f t="shared" si="9"/>
        <v>1</v>
      </c>
    </row>
    <row r="247">
      <c r="A247" s="13" t="s">
        <v>973</v>
      </c>
      <c r="B247" s="13" t="s">
        <v>1275</v>
      </c>
      <c r="C247" s="13" t="s">
        <v>22</v>
      </c>
      <c r="D247" s="13" t="s">
        <v>88</v>
      </c>
      <c r="E247" s="14" t="s">
        <v>495</v>
      </c>
      <c r="F247" s="10" t="s">
        <v>973</v>
      </c>
      <c r="G247" s="10">
        <f t="shared" si="7"/>
        <v>1</v>
      </c>
      <c r="H247" s="10" t="s">
        <v>974</v>
      </c>
      <c r="I247" s="10">
        <f t="shared" si="9"/>
        <v>1</v>
      </c>
    </row>
    <row r="248">
      <c r="A248" s="7" t="s">
        <v>976</v>
      </c>
      <c r="B248" s="7" t="s">
        <v>1279</v>
      </c>
      <c r="C248" s="7" t="s">
        <v>87</v>
      </c>
      <c r="D248" s="7" t="s">
        <v>88</v>
      </c>
      <c r="E248" s="9" t="s">
        <v>89</v>
      </c>
      <c r="F248" s="15" t="s">
        <v>976</v>
      </c>
      <c r="G248" s="10">
        <f t="shared" si="7"/>
        <v>1</v>
      </c>
      <c r="H248" s="15" t="s">
        <v>977</v>
      </c>
      <c r="I248" s="10">
        <f t="shared" si="9"/>
        <v>1</v>
      </c>
    </row>
    <row r="249">
      <c r="A249" s="13" t="s">
        <v>979</v>
      </c>
      <c r="B249" s="13" t="s">
        <v>1283</v>
      </c>
      <c r="C249" s="13" t="s">
        <v>227</v>
      </c>
      <c r="D249" s="13" t="s">
        <v>88</v>
      </c>
      <c r="E249" s="13" t="s">
        <v>229</v>
      </c>
      <c r="F249" s="10" t="s">
        <v>979</v>
      </c>
      <c r="G249" s="10">
        <f t="shared" si="7"/>
        <v>1</v>
      </c>
      <c r="H249" s="10" t="s">
        <v>980</v>
      </c>
      <c r="I249" s="10">
        <f t="shared" si="9"/>
        <v>1</v>
      </c>
    </row>
    <row r="250">
      <c r="A250" s="7" t="s">
        <v>982</v>
      </c>
      <c r="B250" s="7" t="s">
        <v>1286</v>
      </c>
      <c r="C250" s="7" t="s">
        <v>87</v>
      </c>
      <c r="D250" s="7" t="s">
        <v>88</v>
      </c>
      <c r="E250" s="9" t="s">
        <v>89</v>
      </c>
      <c r="F250" s="15" t="s">
        <v>982</v>
      </c>
      <c r="G250" s="10">
        <f t="shared" si="7"/>
        <v>1</v>
      </c>
      <c r="H250" s="15" t="s">
        <v>983</v>
      </c>
      <c r="I250" s="10">
        <f t="shared" si="9"/>
        <v>1</v>
      </c>
    </row>
    <row r="251">
      <c r="A251" s="13" t="s">
        <v>984</v>
      </c>
      <c r="B251" s="13" t="s">
        <v>1289</v>
      </c>
      <c r="C251" s="13" t="s">
        <v>227</v>
      </c>
      <c r="D251" s="13" t="s">
        <v>88</v>
      </c>
      <c r="E251" s="13" t="s">
        <v>229</v>
      </c>
      <c r="F251" s="10" t="s">
        <v>984</v>
      </c>
      <c r="G251" s="10">
        <f t="shared" si="7"/>
        <v>1</v>
      </c>
      <c r="H251" s="10" t="s">
        <v>986</v>
      </c>
      <c r="I251" s="10">
        <f t="shared" si="9"/>
        <v>1</v>
      </c>
    </row>
    <row r="252">
      <c r="A252" s="7" t="s">
        <v>988</v>
      </c>
      <c r="B252" s="7" t="s">
        <v>1293</v>
      </c>
      <c r="C252" s="7" t="s">
        <v>227</v>
      </c>
      <c r="D252" s="7" t="s">
        <v>88</v>
      </c>
      <c r="E252" s="7" t="s">
        <v>229</v>
      </c>
      <c r="F252" s="15" t="s">
        <v>988</v>
      </c>
      <c r="G252" s="10">
        <f t="shared" si="7"/>
        <v>1</v>
      </c>
      <c r="H252" s="15" t="s">
        <v>989</v>
      </c>
      <c r="I252" s="10">
        <f t="shared" si="9"/>
        <v>1</v>
      </c>
    </row>
    <row r="253">
      <c r="A253" s="13" t="s">
        <v>990</v>
      </c>
      <c r="B253" s="14" t="s">
        <v>1296</v>
      </c>
      <c r="C253" s="13" t="s">
        <v>227</v>
      </c>
      <c r="D253" s="13" t="s">
        <v>88</v>
      </c>
      <c r="E253" s="13" t="s">
        <v>229</v>
      </c>
      <c r="F253" s="10" t="s">
        <v>990</v>
      </c>
      <c r="G253" s="10">
        <f t="shared" si="7"/>
        <v>1</v>
      </c>
      <c r="H253" s="10" t="s">
        <v>992</v>
      </c>
      <c r="I253" s="10">
        <f t="shared" si="9"/>
        <v>1</v>
      </c>
    </row>
    <row r="254">
      <c r="A254" s="7" t="s">
        <v>993</v>
      </c>
      <c r="B254" s="7" t="s">
        <v>1116</v>
      </c>
      <c r="C254" s="7" t="s">
        <v>227</v>
      </c>
      <c r="D254" s="7" t="s">
        <v>88</v>
      </c>
      <c r="E254" s="7" t="s">
        <v>229</v>
      </c>
      <c r="F254" s="15" t="s">
        <v>993</v>
      </c>
      <c r="G254" s="10">
        <f t="shared" si="7"/>
        <v>1</v>
      </c>
      <c r="H254" s="15" t="s">
        <v>853</v>
      </c>
      <c r="I254" s="10">
        <f t="shared" si="9"/>
        <v>1</v>
      </c>
    </row>
    <row r="255">
      <c r="A255" s="13" t="s">
        <v>996</v>
      </c>
      <c r="B255" s="14" t="s">
        <v>1303</v>
      </c>
      <c r="C255" s="13" t="s">
        <v>22</v>
      </c>
      <c r="D255" s="13" t="s">
        <v>88</v>
      </c>
      <c r="E255" s="14" t="s">
        <v>167</v>
      </c>
      <c r="F255" s="10" t="s">
        <v>996</v>
      </c>
      <c r="G255" s="10">
        <f t="shared" si="7"/>
        <v>1</v>
      </c>
      <c r="H255" s="10" t="s">
        <v>997</v>
      </c>
      <c r="I255" s="10">
        <f t="shared" si="9"/>
        <v>1</v>
      </c>
    </row>
    <row r="256">
      <c r="A256" s="7" t="s">
        <v>1001</v>
      </c>
      <c r="B256" s="9" t="s">
        <v>1306</v>
      </c>
      <c r="C256" s="7" t="s">
        <v>22</v>
      </c>
      <c r="D256" s="7" t="s">
        <v>88</v>
      </c>
      <c r="E256" s="9" t="s">
        <v>167</v>
      </c>
      <c r="F256" s="15" t="s">
        <v>1001</v>
      </c>
      <c r="G256" s="10">
        <f t="shared" si="7"/>
        <v>1</v>
      </c>
      <c r="H256" s="15" t="s">
        <v>1002</v>
      </c>
      <c r="I256" s="10">
        <f t="shared" si="9"/>
        <v>1</v>
      </c>
    </row>
    <row r="257">
      <c r="A257" s="13" t="s">
        <v>1003</v>
      </c>
      <c r="B257" s="14" t="s">
        <v>1309</v>
      </c>
      <c r="C257" s="13" t="s">
        <v>87</v>
      </c>
      <c r="D257" s="13" t="s">
        <v>88</v>
      </c>
      <c r="E257" s="14" t="s">
        <v>150</v>
      </c>
      <c r="F257" s="10" t="s">
        <v>1003</v>
      </c>
      <c r="G257" s="10">
        <f t="shared" si="7"/>
        <v>1</v>
      </c>
      <c r="H257" s="10" t="s">
        <v>1004</v>
      </c>
      <c r="I257" s="10">
        <f t="shared" si="9"/>
        <v>1</v>
      </c>
    </row>
    <row r="258">
      <c r="A258" s="7" t="s">
        <v>1005</v>
      </c>
      <c r="B258" s="9" t="s">
        <v>1313</v>
      </c>
      <c r="C258" s="7" t="s">
        <v>87</v>
      </c>
      <c r="D258" s="7" t="s">
        <v>88</v>
      </c>
      <c r="E258" s="9" t="s">
        <v>150</v>
      </c>
      <c r="F258" s="15" t="s">
        <v>1005</v>
      </c>
      <c r="G258" s="10">
        <f t="shared" si="7"/>
        <v>1</v>
      </c>
      <c r="H258" s="15" t="s">
        <v>1007</v>
      </c>
      <c r="I258" s="10">
        <f t="shared" si="9"/>
        <v>1</v>
      </c>
    </row>
    <row r="259">
      <c r="A259" s="13" t="s">
        <v>1008</v>
      </c>
      <c r="B259" s="13" t="s">
        <v>1317</v>
      </c>
      <c r="C259" s="13" t="s">
        <v>227</v>
      </c>
      <c r="D259" s="13" t="s">
        <v>88</v>
      </c>
      <c r="E259" s="13" t="s">
        <v>229</v>
      </c>
      <c r="F259" s="10" t="s">
        <v>1008</v>
      </c>
      <c r="G259" s="10">
        <f t="shared" si="7"/>
        <v>1</v>
      </c>
      <c r="H259" s="10" t="s">
        <v>1009</v>
      </c>
      <c r="I259" s="10">
        <f t="shared" si="9"/>
        <v>1</v>
      </c>
    </row>
    <row r="260">
      <c r="A260" s="7" t="s">
        <v>1011</v>
      </c>
      <c r="B260" s="7" t="s">
        <v>1322</v>
      </c>
      <c r="C260" s="7" t="s">
        <v>87</v>
      </c>
      <c r="D260" s="7" t="s">
        <v>88</v>
      </c>
      <c r="E260" s="7" t="s">
        <v>92</v>
      </c>
      <c r="F260" s="15" t="s">
        <v>1011</v>
      </c>
      <c r="G260" s="10">
        <f t="shared" si="7"/>
        <v>1</v>
      </c>
      <c r="H260" s="15" t="s">
        <v>1012</v>
      </c>
      <c r="I260" s="10">
        <f t="shared" si="9"/>
        <v>1</v>
      </c>
    </row>
    <row r="261">
      <c r="A261" s="13" t="s">
        <v>1014</v>
      </c>
      <c r="B261" s="13" t="s">
        <v>1327</v>
      </c>
      <c r="C261" s="13" t="s">
        <v>87</v>
      </c>
      <c r="D261" s="13" t="s">
        <v>88</v>
      </c>
      <c r="E261" s="14" t="s">
        <v>89</v>
      </c>
      <c r="F261" s="10" t="s">
        <v>1014</v>
      </c>
      <c r="G261" s="10">
        <f t="shared" si="7"/>
        <v>1</v>
      </c>
      <c r="H261" s="10" t="s">
        <v>1016</v>
      </c>
      <c r="I261" s="10">
        <f t="shared" si="9"/>
        <v>1</v>
      </c>
    </row>
    <row r="262">
      <c r="A262" s="7" t="s">
        <v>1018</v>
      </c>
      <c r="B262" s="7" t="s">
        <v>1332</v>
      </c>
      <c r="C262" s="7" t="s">
        <v>227</v>
      </c>
      <c r="D262" s="7" t="s">
        <v>88</v>
      </c>
      <c r="E262" s="7" t="s">
        <v>229</v>
      </c>
      <c r="F262" s="15" t="s">
        <v>1018</v>
      </c>
      <c r="G262" s="10">
        <f t="shared" si="7"/>
        <v>1</v>
      </c>
      <c r="H262" s="15" t="s">
        <v>1019</v>
      </c>
      <c r="I262" s="10">
        <f t="shared" si="9"/>
        <v>1</v>
      </c>
    </row>
    <row r="263">
      <c r="A263" s="13" t="s">
        <v>1021</v>
      </c>
      <c r="B263" s="13" t="s">
        <v>1335</v>
      </c>
      <c r="C263" s="13" t="s">
        <v>87</v>
      </c>
      <c r="D263" s="13" t="s">
        <v>88</v>
      </c>
      <c r="E263" s="13" t="s">
        <v>92</v>
      </c>
      <c r="F263" s="10" t="s">
        <v>1021</v>
      </c>
      <c r="G263" s="10">
        <f t="shared" si="7"/>
        <v>1</v>
      </c>
      <c r="H263" s="10" t="s">
        <v>1022</v>
      </c>
      <c r="I263" s="10">
        <f t="shared" si="9"/>
        <v>1</v>
      </c>
    </row>
    <row r="264">
      <c r="A264" s="7" t="s">
        <v>1023</v>
      </c>
      <c r="B264" s="9" t="s">
        <v>1338</v>
      </c>
      <c r="C264" s="7" t="s">
        <v>87</v>
      </c>
      <c r="D264" s="7" t="s">
        <v>88</v>
      </c>
      <c r="E264" s="7" t="s">
        <v>92</v>
      </c>
      <c r="F264" s="15" t="s">
        <v>1023</v>
      </c>
      <c r="G264" s="10">
        <f t="shared" si="7"/>
        <v>1</v>
      </c>
      <c r="H264" s="15" t="s">
        <v>1024</v>
      </c>
      <c r="I264" s="10">
        <f t="shared" si="9"/>
        <v>1</v>
      </c>
    </row>
    <row r="265">
      <c r="A265" s="13" t="s">
        <v>1026</v>
      </c>
      <c r="B265" s="13" t="s">
        <v>1344</v>
      </c>
      <c r="C265" s="13" t="s">
        <v>227</v>
      </c>
      <c r="D265" s="13" t="s">
        <v>74</v>
      </c>
      <c r="E265" s="13" t="s">
        <v>229</v>
      </c>
      <c r="F265" s="10" t="s">
        <v>1026</v>
      </c>
      <c r="G265" s="10">
        <f t="shared" si="7"/>
        <v>1</v>
      </c>
      <c r="H265" s="10" t="s">
        <v>1027</v>
      </c>
      <c r="I265" s="10">
        <f t="shared" si="9"/>
        <v>1</v>
      </c>
    </row>
    <row r="266">
      <c r="A266" s="7" t="s">
        <v>1030</v>
      </c>
      <c r="B266" s="9" t="s">
        <v>1347</v>
      </c>
      <c r="C266" s="7" t="s">
        <v>87</v>
      </c>
      <c r="D266" s="7" t="s">
        <v>88</v>
      </c>
      <c r="E266" s="9" t="s">
        <v>279</v>
      </c>
      <c r="F266" s="15" t="s">
        <v>1030</v>
      </c>
      <c r="G266" s="10">
        <f t="shared" si="7"/>
        <v>1</v>
      </c>
      <c r="H266" s="15" t="s">
        <v>1031</v>
      </c>
      <c r="I266" s="10">
        <f t="shared" si="9"/>
        <v>1</v>
      </c>
    </row>
    <row r="267">
      <c r="A267" s="13" t="s">
        <v>1033</v>
      </c>
      <c r="B267" s="13" t="s">
        <v>1351</v>
      </c>
      <c r="C267" s="13" t="s">
        <v>227</v>
      </c>
      <c r="D267" s="13" t="s">
        <v>88</v>
      </c>
      <c r="E267" s="13" t="s">
        <v>229</v>
      </c>
      <c r="F267" s="10" t="s">
        <v>1033</v>
      </c>
      <c r="G267" s="10">
        <f t="shared" si="7"/>
        <v>1</v>
      </c>
      <c r="H267" s="10" t="s">
        <v>1034</v>
      </c>
      <c r="I267" s="10">
        <f t="shared" si="9"/>
        <v>1</v>
      </c>
    </row>
    <row r="268">
      <c r="A268" s="7" t="s">
        <v>1036</v>
      </c>
      <c r="B268" s="7" t="s">
        <v>1355</v>
      </c>
      <c r="C268" s="7" t="s">
        <v>227</v>
      </c>
      <c r="D268" s="7" t="s">
        <v>88</v>
      </c>
      <c r="E268" s="7" t="s">
        <v>229</v>
      </c>
      <c r="F268" s="15" t="s">
        <v>1036</v>
      </c>
      <c r="G268" s="10">
        <f t="shared" si="7"/>
        <v>1</v>
      </c>
      <c r="H268" s="15" t="s">
        <v>1037</v>
      </c>
      <c r="I268" s="10">
        <f t="shared" si="9"/>
        <v>1</v>
      </c>
    </row>
    <row r="269">
      <c r="A269" s="13" t="s">
        <v>1038</v>
      </c>
      <c r="B269" s="14" t="s">
        <v>1358</v>
      </c>
      <c r="C269" s="13" t="s">
        <v>22</v>
      </c>
      <c r="D269" s="13" t="s">
        <v>88</v>
      </c>
      <c r="E269" s="14" t="s">
        <v>167</v>
      </c>
      <c r="F269" s="10" t="s">
        <v>1038</v>
      </c>
      <c r="G269" s="10">
        <f t="shared" si="7"/>
        <v>1</v>
      </c>
      <c r="H269" s="10" t="s">
        <v>1039</v>
      </c>
      <c r="I269" s="10">
        <f t="shared" si="9"/>
        <v>1</v>
      </c>
    </row>
    <row r="270">
      <c r="A270" s="7" t="s">
        <v>1042</v>
      </c>
      <c r="B270" s="9" t="s">
        <v>1364</v>
      </c>
      <c r="C270" s="7" t="s">
        <v>227</v>
      </c>
      <c r="D270" s="7" t="s">
        <v>88</v>
      </c>
      <c r="E270" s="7" t="s">
        <v>229</v>
      </c>
      <c r="F270" s="15" t="s">
        <v>1042</v>
      </c>
      <c r="G270" s="10">
        <f t="shared" si="7"/>
        <v>1</v>
      </c>
      <c r="H270" s="15" t="s">
        <v>1043</v>
      </c>
      <c r="I270" s="10">
        <f t="shared" si="9"/>
        <v>1</v>
      </c>
    </row>
    <row r="271">
      <c r="A271" s="13" t="s">
        <v>1045</v>
      </c>
      <c r="B271" s="14" t="s">
        <v>1367</v>
      </c>
      <c r="C271" s="13" t="s">
        <v>22</v>
      </c>
      <c r="D271" s="13" t="s">
        <v>88</v>
      </c>
      <c r="E271" s="14" t="s">
        <v>299</v>
      </c>
      <c r="F271" s="10" t="s">
        <v>1045</v>
      </c>
      <c r="G271" s="10">
        <f t="shared" si="7"/>
        <v>1</v>
      </c>
      <c r="H271" s="10" t="s">
        <v>1046</v>
      </c>
      <c r="I271" s="10">
        <f t="shared" si="9"/>
        <v>1</v>
      </c>
    </row>
    <row r="272">
      <c r="A272" s="7" t="s">
        <v>1047</v>
      </c>
      <c r="B272" s="7" t="s">
        <v>1370</v>
      </c>
      <c r="C272" s="7" t="s">
        <v>22</v>
      </c>
      <c r="D272" s="7" t="s">
        <v>88</v>
      </c>
      <c r="E272" s="9" t="s">
        <v>175</v>
      </c>
      <c r="F272" s="15" t="s">
        <v>1047</v>
      </c>
      <c r="G272" s="10">
        <f t="shared" si="7"/>
        <v>1</v>
      </c>
      <c r="H272" s="15" t="s">
        <v>1048</v>
      </c>
      <c r="I272" s="10">
        <f t="shared" si="9"/>
        <v>1</v>
      </c>
    </row>
    <row r="273">
      <c r="A273" s="13" t="s">
        <v>1050</v>
      </c>
      <c r="B273" s="14" t="s">
        <v>1374</v>
      </c>
      <c r="C273" s="13" t="s">
        <v>87</v>
      </c>
      <c r="D273" s="13" t="s">
        <v>88</v>
      </c>
      <c r="E273" s="14" t="s">
        <v>89</v>
      </c>
      <c r="F273" s="10" t="s">
        <v>1050</v>
      </c>
      <c r="G273" s="10">
        <f t="shared" si="7"/>
        <v>1</v>
      </c>
      <c r="H273" s="10" t="s">
        <v>1051</v>
      </c>
      <c r="I273" s="10">
        <f t="shared" si="9"/>
        <v>1</v>
      </c>
    </row>
    <row r="274">
      <c r="A274" s="7" t="s">
        <v>1053</v>
      </c>
      <c r="B274" s="7" t="s">
        <v>1378</v>
      </c>
      <c r="C274" s="7" t="s">
        <v>227</v>
      </c>
      <c r="D274" s="7" t="s">
        <v>88</v>
      </c>
      <c r="E274" s="7" t="s">
        <v>229</v>
      </c>
      <c r="F274" s="15" t="s">
        <v>1053</v>
      </c>
      <c r="G274" s="10">
        <f t="shared" si="7"/>
        <v>1</v>
      </c>
      <c r="H274" s="15" t="s">
        <v>1054</v>
      </c>
      <c r="I274" s="10">
        <f t="shared" si="9"/>
        <v>1</v>
      </c>
    </row>
    <row r="275">
      <c r="A275" s="13" t="s">
        <v>1055</v>
      </c>
      <c r="B275" s="13" t="s">
        <v>1381</v>
      </c>
      <c r="C275" s="13" t="s">
        <v>227</v>
      </c>
      <c r="D275" s="13" t="s">
        <v>88</v>
      </c>
      <c r="E275" s="13" t="s">
        <v>229</v>
      </c>
      <c r="F275" s="10" t="s">
        <v>1055</v>
      </c>
      <c r="G275" s="10">
        <f t="shared" si="7"/>
        <v>1</v>
      </c>
      <c r="H275" s="10" t="s">
        <v>1057</v>
      </c>
      <c r="I275" s="10">
        <f t="shared" si="9"/>
        <v>1</v>
      </c>
    </row>
    <row r="276">
      <c r="A276" s="7" t="s">
        <v>173</v>
      </c>
      <c r="B276" s="7" t="s">
        <v>193</v>
      </c>
      <c r="C276" s="7" t="s">
        <v>87</v>
      </c>
      <c r="D276" s="7" t="s">
        <v>88</v>
      </c>
      <c r="E276" s="7" t="s">
        <v>343</v>
      </c>
      <c r="F276" s="15" t="s">
        <v>173</v>
      </c>
      <c r="G276" s="10">
        <f t="shared" si="7"/>
        <v>1</v>
      </c>
      <c r="H276" s="15" t="s">
        <v>1058</v>
      </c>
      <c r="I276" s="10">
        <f t="shared" si="9"/>
        <v>1</v>
      </c>
    </row>
    <row r="277">
      <c r="A277" s="13" t="s">
        <v>930</v>
      </c>
      <c r="B277" s="14" t="s">
        <v>931</v>
      </c>
      <c r="C277" s="13" t="s">
        <v>87</v>
      </c>
      <c r="D277" s="13" t="s">
        <v>88</v>
      </c>
      <c r="E277" s="14" t="s">
        <v>651</v>
      </c>
      <c r="F277" s="10" t="s">
        <v>930</v>
      </c>
      <c r="G277" s="10">
        <f t="shared" si="7"/>
        <v>1</v>
      </c>
      <c r="H277" s="10" t="s">
        <v>1059</v>
      </c>
      <c r="I277" s="10">
        <f t="shared" si="9"/>
        <v>1</v>
      </c>
    </row>
    <row r="278">
      <c r="A278" s="7" t="s">
        <v>1061</v>
      </c>
      <c r="B278" s="7" t="s">
        <v>1392</v>
      </c>
      <c r="C278" s="7" t="s">
        <v>87</v>
      </c>
      <c r="D278" s="7" t="s">
        <v>26</v>
      </c>
      <c r="E278" s="7" t="s">
        <v>343</v>
      </c>
      <c r="F278" s="15" t="s">
        <v>1061</v>
      </c>
      <c r="G278" s="10">
        <f t="shared" si="7"/>
        <v>1</v>
      </c>
      <c r="H278" s="15" t="s">
        <v>1062</v>
      </c>
      <c r="I278" s="10">
        <f t="shared" si="9"/>
        <v>1</v>
      </c>
    </row>
    <row r="279">
      <c r="A279" s="13" t="s">
        <v>1063</v>
      </c>
      <c r="B279" s="13" t="s">
        <v>1394</v>
      </c>
      <c r="C279" s="13" t="s">
        <v>87</v>
      </c>
      <c r="D279" s="13" t="s">
        <v>26</v>
      </c>
      <c r="E279" s="13" t="s">
        <v>343</v>
      </c>
      <c r="F279" s="10" t="s">
        <v>1063</v>
      </c>
      <c r="G279" s="10">
        <f t="shared" si="7"/>
        <v>1</v>
      </c>
      <c r="H279" s="10" t="s">
        <v>1065</v>
      </c>
      <c r="I279" s="10">
        <f t="shared" si="9"/>
        <v>1</v>
      </c>
    </row>
    <row r="280">
      <c r="A280" s="7" t="s">
        <v>1066</v>
      </c>
      <c r="B280" s="9" t="s">
        <v>1397</v>
      </c>
      <c r="C280" s="7" t="s">
        <v>87</v>
      </c>
      <c r="D280" s="7" t="s">
        <v>26</v>
      </c>
      <c r="E280" s="7" t="s">
        <v>343</v>
      </c>
      <c r="F280" s="15" t="s">
        <v>1066</v>
      </c>
      <c r="G280" s="10">
        <f t="shared" si="7"/>
        <v>1</v>
      </c>
      <c r="H280" s="15" t="s">
        <v>1067</v>
      </c>
      <c r="I280" s="10">
        <f t="shared" si="9"/>
        <v>1</v>
      </c>
    </row>
    <row r="281">
      <c r="A281" s="13" t="s">
        <v>1069</v>
      </c>
      <c r="B281" s="13" t="s">
        <v>1401</v>
      </c>
      <c r="C281" s="13" t="s">
        <v>227</v>
      </c>
      <c r="D281" s="13" t="s">
        <v>88</v>
      </c>
      <c r="E281" s="13" t="s">
        <v>229</v>
      </c>
      <c r="F281" s="10" t="s">
        <v>1069</v>
      </c>
      <c r="G281" s="10">
        <f t="shared" si="7"/>
        <v>1</v>
      </c>
      <c r="H281" s="10" t="s">
        <v>1070</v>
      </c>
      <c r="I281" s="10">
        <f t="shared" si="9"/>
        <v>1</v>
      </c>
    </row>
    <row r="282">
      <c r="A282" s="7" t="s">
        <v>1072</v>
      </c>
      <c r="B282" s="9" t="s">
        <v>1407</v>
      </c>
      <c r="C282" s="7" t="s">
        <v>87</v>
      </c>
      <c r="D282" s="7" t="s">
        <v>88</v>
      </c>
      <c r="E282" s="9" t="s">
        <v>89</v>
      </c>
      <c r="F282" s="15" t="s">
        <v>1072</v>
      </c>
      <c r="G282" s="10">
        <f t="shared" si="7"/>
        <v>1</v>
      </c>
      <c r="H282" s="15" t="s">
        <v>1073</v>
      </c>
      <c r="I282" s="10">
        <f t="shared" si="9"/>
        <v>1</v>
      </c>
    </row>
    <row r="283">
      <c r="A283" s="13" t="s">
        <v>1075</v>
      </c>
      <c r="B283" s="13" t="s">
        <v>1413</v>
      </c>
      <c r="C283" s="13" t="s">
        <v>227</v>
      </c>
      <c r="D283" s="13" t="s">
        <v>88</v>
      </c>
      <c r="E283" s="13" t="s">
        <v>229</v>
      </c>
      <c r="F283" s="10" t="s">
        <v>1075</v>
      </c>
      <c r="G283" s="10">
        <f t="shared" si="7"/>
        <v>1</v>
      </c>
      <c r="H283" s="10" t="s">
        <v>1076</v>
      </c>
      <c r="I283" s="10">
        <f t="shared" si="9"/>
        <v>1</v>
      </c>
    </row>
    <row r="284">
      <c r="A284" s="7" t="s">
        <v>1078</v>
      </c>
      <c r="B284" s="7" t="s">
        <v>1417</v>
      </c>
      <c r="C284" s="7" t="s">
        <v>22</v>
      </c>
      <c r="D284" s="7" t="s">
        <v>88</v>
      </c>
      <c r="E284" s="9" t="s">
        <v>100</v>
      </c>
      <c r="F284" s="15" t="s">
        <v>1078</v>
      </c>
      <c r="G284" s="10">
        <f t="shared" si="7"/>
        <v>1</v>
      </c>
      <c r="H284" s="15" t="s">
        <v>1079</v>
      </c>
      <c r="I284" s="10">
        <f t="shared" si="9"/>
        <v>1</v>
      </c>
    </row>
    <row r="285">
      <c r="A285" s="13" t="s">
        <v>1080</v>
      </c>
      <c r="B285" s="14" t="s">
        <v>1420</v>
      </c>
      <c r="C285" s="13" t="s">
        <v>87</v>
      </c>
      <c r="D285" s="13" t="s">
        <v>88</v>
      </c>
      <c r="E285" s="14" t="s">
        <v>150</v>
      </c>
      <c r="F285" s="10" t="s">
        <v>1080</v>
      </c>
      <c r="G285" s="10">
        <f t="shared" si="7"/>
        <v>1</v>
      </c>
      <c r="H285" s="10" t="s">
        <v>1081</v>
      </c>
      <c r="I285" s="10">
        <f t="shared" si="9"/>
        <v>1</v>
      </c>
    </row>
    <row r="286">
      <c r="A286" s="7" t="s">
        <v>1082</v>
      </c>
      <c r="B286" s="9" t="s">
        <v>1425</v>
      </c>
      <c r="C286" s="7" t="s">
        <v>87</v>
      </c>
      <c r="D286" s="7" t="s">
        <v>88</v>
      </c>
      <c r="E286" s="9" t="s">
        <v>150</v>
      </c>
      <c r="F286" s="15" t="s">
        <v>1082</v>
      </c>
      <c r="G286" s="10">
        <f t="shared" si="7"/>
        <v>1</v>
      </c>
      <c r="H286" s="15" t="s">
        <v>1083</v>
      </c>
      <c r="I286" s="10">
        <f t="shared" si="9"/>
        <v>1</v>
      </c>
    </row>
    <row r="287">
      <c r="A287" s="13" t="s">
        <v>1085</v>
      </c>
      <c r="B287" s="14" t="s">
        <v>1431</v>
      </c>
      <c r="C287" s="13" t="s">
        <v>87</v>
      </c>
      <c r="D287" s="13" t="s">
        <v>74</v>
      </c>
      <c r="E287" s="14" t="s">
        <v>145</v>
      </c>
      <c r="F287" s="10" t="s">
        <v>1085</v>
      </c>
      <c r="G287" s="10">
        <f t="shared" si="7"/>
        <v>1</v>
      </c>
      <c r="H287" s="10" t="s">
        <v>1086</v>
      </c>
      <c r="I287" s="10">
        <f t="shared" si="9"/>
        <v>1</v>
      </c>
    </row>
    <row r="288">
      <c r="A288" s="7" t="s">
        <v>1087</v>
      </c>
      <c r="B288" s="9" t="s">
        <v>1436</v>
      </c>
      <c r="C288" s="7" t="s">
        <v>87</v>
      </c>
      <c r="D288" s="7" t="s">
        <v>88</v>
      </c>
      <c r="E288" s="9" t="s">
        <v>150</v>
      </c>
      <c r="F288" s="15" t="s">
        <v>1087</v>
      </c>
      <c r="G288" s="10">
        <f t="shared" si="7"/>
        <v>1</v>
      </c>
      <c r="H288" s="15" t="s">
        <v>1088</v>
      </c>
      <c r="I288" s="10">
        <f t="shared" si="9"/>
        <v>1</v>
      </c>
    </row>
    <row r="289">
      <c r="A289" s="13" t="s">
        <v>1092</v>
      </c>
      <c r="B289" s="14" t="s">
        <v>1440</v>
      </c>
      <c r="C289" s="13" t="s">
        <v>87</v>
      </c>
      <c r="D289" s="13" t="s">
        <v>88</v>
      </c>
      <c r="E289" s="14" t="s">
        <v>150</v>
      </c>
      <c r="F289" s="10" t="s">
        <v>1092</v>
      </c>
      <c r="G289" s="10">
        <f t="shared" si="7"/>
        <v>1</v>
      </c>
      <c r="H289" s="10" t="s">
        <v>1093</v>
      </c>
      <c r="I289" s="10">
        <f t="shared" si="9"/>
        <v>1</v>
      </c>
    </row>
    <row r="290">
      <c r="A290" s="7" t="s">
        <v>1095</v>
      </c>
      <c r="B290" s="9" t="s">
        <v>1442</v>
      </c>
      <c r="C290" s="7" t="s">
        <v>87</v>
      </c>
      <c r="D290" s="7" t="s">
        <v>88</v>
      </c>
      <c r="E290" s="9" t="s">
        <v>150</v>
      </c>
      <c r="F290" s="15" t="s">
        <v>1095</v>
      </c>
      <c r="G290" s="10">
        <f t="shared" si="7"/>
        <v>1</v>
      </c>
      <c r="H290" s="15" t="s">
        <v>1096</v>
      </c>
      <c r="I290" s="10">
        <f t="shared" si="9"/>
        <v>1</v>
      </c>
    </row>
    <row r="291">
      <c r="A291" s="13" t="s">
        <v>1445</v>
      </c>
      <c r="B291" s="14" t="s">
        <v>1447</v>
      </c>
      <c r="C291" s="13" t="s">
        <v>87</v>
      </c>
      <c r="D291" s="13" t="s">
        <v>88</v>
      </c>
      <c r="E291" s="13" t="s">
        <v>564</v>
      </c>
      <c r="F291" s="10" t="s">
        <v>1445</v>
      </c>
      <c r="G291" s="10">
        <f t="shared" si="7"/>
        <v>1</v>
      </c>
      <c r="H291" s="10" t="s">
        <v>1449</v>
      </c>
      <c r="I291" s="10">
        <f t="shared" si="9"/>
        <v>1</v>
      </c>
    </row>
    <row r="292">
      <c r="A292" s="7" t="s">
        <v>1097</v>
      </c>
      <c r="B292" s="7" t="s">
        <v>1451</v>
      </c>
      <c r="C292" s="7" t="s">
        <v>87</v>
      </c>
      <c r="D292" s="7" t="s">
        <v>26</v>
      </c>
      <c r="E292" s="7" t="s">
        <v>343</v>
      </c>
      <c r="F292" s="15" t="s">
        <v>1097</v>
      </c>
      <c r="G292" s="10">
        <f t="shared" si="7"/>
        <v>1</v>
      </c>
      <c r="H292" s="15" t="s">
        <v>1098</v>
      </c>
      <c r="I292" s="10">
        <f t="shared" si="9"/>
        <v>1</v>
      </c>
    </row>
    <row r="293">
      <c r="A293" s="13" t="s">
        <v>1100</v>
      </c>
      <c r="B293" s="13" t="s">
        <v>1455</v>
      </c>
      <c r="C293" s="13" t="s">
        <v>87</v>
      </c>
      <c r="D293" s="13" t="s">
        <v>26</v>
      </c>
      <c r="E293" s="13" t="s">
        <v>343</v>
      </c>
      <c r="F293" s="10" t="s">
        <v>1100</v>
      </c>
      <c r="G293" s="10">
        <f t="shared" si="7"/>
        <v>1</v>
      </c>
      <c r="H293" s="10" t="s">
        <v>1101</v>
      </c>
      <c r="I293" s="10">
        <f t="shared" si="9"/>
        <v>1</v>
      </c>
    </row>
    <row r="294">
      <c r="A294" s="7" t="s">
        <v>1103</v>
      </c>
      <c r="B294" s="7" t="s">
        <v>1460</v>
      </c>
      <c r="C294" s="7" t="s">
        <v>87</v>
      </c>
      <c r="D294" s="7" t="s">
        <v>26</v>
      </c>
      <c r="E294" s="7" t="s">
        <v>343</v>
      </c>
      <c r="F294" s="15" t="s">
        <v>1103</v>
      </c>
      <c r="G294" s="10">
        <f t="shared" si="7"/>
        <v>1</v>
      </c>
      <c r="H294" s="15" t="s">
        <v>1104</v>
      </c>
      <c r="I294" s="10">
        <f t="shared" si="9"/>
        <v>1</v>
      </c>
    </row>
    <row r="295">
      <c r="A295" s="13" t="s">
        <v>1106</v>
      </c>
      <c r="B295" s="13" t="s">
        <v>1463</v>
      </c>
      <c r="C295" s="13" t="s">
        <v>87</v>
      </c>
      <c r="D295" s="13" t="s">
        <v>26</v>
      </c>
      <c r="E295" s="13" t="s">
        <v>343</v>
      </c>
      <c r="F295" s="10" t="s">
        <v>1106</v>
      </c>
      <c r="G295" s="10">
        <f t="shared" si="7"/>
        <v>1</v>
      </c>
      <c r="H295" s="10" t="s">
        <v>1107</v>
      </c>
      <c r="I295" s="10">
        <f t="shared" si="9"/>
        <v>1</v>
      </c>
    </row>
    <row r="296">
      <c r="A296" s="7" t="s">
        <v>1109</v>
      </c>
      <c r="B296" s="7" t="s">
        <v>1466</v>
      </c>
      <c r="C296" s="7" t="s">
        <v>87</v>
      </c>
      <c r="D296" s="7" t="s">
        <v>26</v>
      </c>
      <c r="E296" s="7" t="s">
        <v>343</v>
      </c>
      <c r="F296" s="15" t="s">
        <v>1109</v>
      </c>
      <c r="G296" s="10">
        <f t="shared" si="7"/>
        <v>1</v>
      </c>
      <c r="H296" s="15" t="s">
        <v>1110</v>
      </c>
      <c r="I296" s="10">
        <f t="shared" si="9"/>
        <v>1</v>
      </c>
    </row>
    <row r="297">
      <c r="A297" s="13" t="s">
        <v>1111</v>
      </c>
      <c r="B297" s="13" t="s">
        <v>1469</v>
      </c>
      <c r="C297" s="13" t="s">
        <v>87</v>
      </c>
      <c r="D297" s="13" t="s">
        <v>26</v>
      </c>
      <c r="E297" s="13" t="s">
        <v>343</v>
      </c>
      <c r="F297" s="10" t="s">
        <v>1111</v>
      </c>
      <c r="G297" s="10">
        <f t="shared" si="7"/>
        <v>1</v>
      </c>
      <c r="H297" s="10" t="s">
        <v>1113</v>
      </c>
      <c r="I297" s="10">
        <f t="shared" si="9"/>
        <v>1</v>
      </c>
    </row>
    <row r="298">
      <c r="A298" s="7" t="s">
        <v>1114</v>
      </c>
      <c r="B298" s="7" t="s">
        <v>1475</v>
      </c>
      <c r="C298" s="7" t="s">
        <v>87</v>
      </c>
      <c r="D298" s="7" t="s">
        <v>26</v>
      </c>
      <c r="E298" s="7" t="s">
        <v>343</v>
      </c>
      <c r="F298" s="15" t="s">
        <v>1114</v>
      </c>
      <c r="G298" s="10">
        <f t="shared" si="7"/>
        <v>1</v>
      </c>
      <c r="H298" s="15" t="s">
        <v>1115</v>
      </c>
      <c r="I298" s="10">
        <f t="shared" si="9"/>
        <v>1</v>
      </c>
    </row>
    <row r="299">
      <c r="A299" s="13" t="s">
        <v>1117</v>
      </c>
      <c r="B299" s="13" t="s">
        <v>1479</v>
      </c>
      <c r="C299" s="13" t="s">
        <v>87</v>
      </c>
      <c r="D299" s="13" t="s">
        <v>26</v>
      </c>
      <c r="E299" s="13" t="s">
        <v>343</v>
      </c>
      <c r="F299" s="10" t="s">
        <v>1117</v>
      </c>
      <c r="G299" s="10">
        <f t="shared" si="7"/>
        <v>1</v>
      </c>
      <c r="H299" s="10" t="s">
        <v>1118</v>
      </c>
      <c r="I299" s="10">
        <f t="shared" si="9"/>
        <v>1</v>
      </c>
    </row>
    <row r="300">
      <c r="A300" s="7" t="s">
        <v>679</v>
      </c>
      <c r="B300" s="7" t="s">
        <v>1484</v>
      </c>
      <c r="C300" s="7" t="s">
        <v>87</v>
      </c>
      <c r="D300" s="7" t="s">
        <v>26</v>
      </c>
      <c r="E300" s="7" t="s">
        <v>343</v>
      </c>
      <c r="F300" s="15" t="s">
        <v>679</v>
      </c>
      <c r="G300" s="10">
        <f t="shared" si="7"/>
        <v>1</v>
      </c>
      <c r="H300" s="15" t="s">
        <v>1120</v>
      </c>
      <c r="I300" s="10">
        <f t="shared" si="9"/>
        <v>1</v>
      </c>
    </row>
    <row r="301">
      <c r="A301" s="13" t="s">
        <v>1121</v>
      </c>
      <c r="B301" s="13" t="s">
        <v>1488</v>
      </c>
      <c r="C301" s="13" t="s">
        <v>22</v>
      </c>
      <c r="D301" s="13" t="s">
        <v>88</v>
      </c>
      <c r="E301" s="14" t="s">
        <v>218</v>
      </c>
      <c r="F301" s="10" t="s">
        <v>1121</v>
      </c>
      <c r="G301" s="10">
        <f t="shared" si="7"/>
        <v>1</v>
      </c>
      <c r="H301" s="10" t="s">
        <v>1122</v>
      </c>
      <c r="I301" s="10">
        <f t="shared" si="9"/>
        <v>1</v>
      </c>
    </row>
    <row r="302">
      <c r="A302" s="7" t="s">
        <v>1124</v>
      </c>
      <c r="B302" s="7" t="s">
        <v>1493</v>
      </c>
      <c r="C302" s="7" t="s">
        <v>22</v>
      </c>
      <c r="D302" s="7" t="s">
        <v>88</v>
      </c>
      <c r="E302" s="9" t="s">
        <v>218</v>
      </c>
      <c r="F302" s="15" t="s">
        <v>1124</v>
      </c>
      <c r="G302" s="10">
        <f t="shared" si="7"/>
        <v>1</v>
      </c>
      <c r="H302" s="15" t="s">
        <v>1125</v>
      </c>
      <c r="I302" s="10">
        <f t="shared" si="9"/>
        <v>1</v>
      </c>
    </row>
    <row r="303">
      <c r="A303" s="13" t="s">
        <v>1128</v>
      </c>
      <c r="B303" s="14" t="s">
        <v>1497</v>
      </c>
      <c r="C303" s="13" t="s">
        <v>22</v>
      </c>
      <c r="D303" s="13" t="s">
        <v>88</v>
      </c>
      <c r="E303" s="14" t="s">
        <v>218</v>
      </c>
      <c r="F303" s="10" t="s">
        <v>1128</v>
      </c>
      <c r="G303" s="10">
        <f t="shared" si="7"/>
        <v>1</v>
      </c>
      <c r="H303" s="10" t="s">
        <v>1129</v>
      </c>
      <c r="I303" s="10">
        <f t="shared" si="9"/>
        <v>1</v>
      </c>
    </row>
    <row r="304">
      <c r="A304" s="7" t="s">
        <v>1131</v>
      </c>
      <c r="B304" s="9" t="s">
        <v>1502</v>
      </c>
      <c r="C304" s="7" t="s">
        <v>22</v>
      </c>
      <c r="D304" s="7" t="s">
        <v>88</v>
      </c>
      <c r="E304" s="9" t="s">
        <v>218</v>
      </c>
      <c r="F304" s="15" t="s">
        <v>1131</v>
      </c>
      <c r="G304" s="10">
        <f t="shared" si="7"/>
        <v>1</v>
      </c>
      <c r="H304" s="15" t="s">
        <v>1133</v>
      </c>
      <c r="I304" s="10">
        <f t="shared" si="9"/>
        <v>1</v>
      </c>
    </row>
    <row r="305">
      <c r="A305" s="13" t="s">
        <v>1135</v>
      </c>
      <c r="B305" s="13" t="s">
        <v>1506</v>
      </c>
      <c r="C305" s="13" t="s">
        <v>22</v>
      </c>
      <c r="D305" s="13" t="s">
        <v>88</v>
      </c>
      <c r="E305" s="14" t="s">
        <v>299</v>
      </c>
      <c r="F305" s="10" t="s">
        <v>1135</v>
      </c>
      <c r="G305" s="10">
        <f t="shared" si="7"/>
        <v>1</v>
      </c>
      <c r="H305" s="10" t="s">
        <v>1136</v>
      </c>
      <c r="I305" s="10">
        <f t="shared" si="9"/>
        <v>1</v>
      </c>
    </row>
    <row r="306">
      <c r="A306" s="7" t="s">
        <v>1138</v>
      </c>
      <c r="B306" s="7" t="s">
        <v>1510</v>
      </c>
      <c r="C306" s="7" t="s">
        <v>22</v>
      </c>
      <c r="D306" s="7" t="s">
        <v>88</v>
      </c>
      <c r="E306" s="9" t="s">
        <v>299</v>
      </c>
      <c r="F306" s="15" t="s">
        <v>1138</v>
      </c>
      <c r="G306" s="10">
        <f t="shared" si="7"/>
        <v>1</v>
      </c>
      <c r="H306" s="15" t="s">
        <v>1139</v>
      </c>
      <c r="I306" s="10">
        <f t="shared" si="9"/>
        <v>1</v>
      </c>
    </row>
    <row r="307">
      <c r="A307" s="13" t="s">
        <v>1143</v>
      </c>
      <c r="B307" s="14" t="s">
        <v>1515</v>
      </c>
      <c r="C307" s="13" t="s">
        <v>22</v>
      </c>
      <c r="D307" s="13" t="s">
        <v>88</v>
      </c>
      <c r="E307" s="14" t="s">
        <v>299</v>
      </c>
      <c r="F307" s="10" t="s">
        <v>1143</v>
      </c>
      <c r="G307" s="10">
        <f t="shared" si="7"/>
        <v>1</v>
      </c>
      <c r="H307" s="10" t="s">
        <v>1144</v>
      </c>
      <c r="I307" s="10">
        <f t="shared" si="9"/>
        <v>1</v>
      </c>
    </row>
    <row r="308">
      <c r="A308" s="7" t="s">
        <v>1146</v>
      </c>
      <c r="B308" s="9" t="s">
        <v>1522</v>
      </c>
      <c r="C308" s="7" t="s">
        <v>22</v>
      </c>
      <c r="D308" s="7" t="s">
        <v>88</v>
      </c>
      <c r="E308" s="9" t="s">
        <v>299</v>
      </c>
      <c r="F308" s="15" t="s">
        <v>1146</v>
      </c>
      <c r="G308" s="10">
        <f t="shared" si="7"/>
        <v>1</v>
      </c>
      <c r="H308" s="15" t="s">
        <v>1147</v>
      </c>
      <c r="I308" s="10">
        <f t="shared" si="9"/>
        <v>1</v>
      </c>
    </row>
    <row r="309">
      <c r="A309" s="13" t="s">
        <v>1148</v>
      </c>
      <c r="B309" s="14" t="s">
        <v>1527</v>
      </c>
      <c r="C309" s="13" t="s">
        <v>22</v>
      </c>
      <c r="D309" s="13" t="s">
        <v>88</v>
      </c>
      <c r="E309" s="14" t="s">
        <v>175</v>
      </c>
      <c r="F309" s="10" t="s">
        <v>1148</v>
      </c>
      <c r="G309" s="10">
        <f t="shared" si="7"/>
        <v>1</v>
      </c>
      <c r="H309" s="10" t="s">
        <v>1150</v>
      </c>
      <c r="I309" s="10">
        <f t="shared" si="9"/>
        <v>1</v>
      </c>
    </row>
    <row r="310">
      <c r="A310" s="7" t="s">
        <v>1530</v>
      </c>
      <c r="B310" s="9" t="s">
        <v>1531</v>
      </c>
      <c r="C310" s="7" t="s">
        <v>22</v>
      </c>
      <c r="D310" s="7" t="s">
        <v>88</v>
      </c>
      <c r="E310" s="7" t="s">
        <v>564</v>
      </c>
      <c r="F310" s="15" t="s">
        <v>1530</v>
      </c>
      <c r="G310" s="10">
        <f t="shared" si="7"/>
        <v>1</v>
      </c>
      <c r="H310" s="15" t="s">
        <v>1534</v>
      </c>
      <c r="I310" s="10">
        <f t="shared" si="9"/>
        <v>1</v>
      </c>
    </row>
    <row r="311">
      <c r="A311" s="13" t="s">
        <v>1151</v>
      </c>
      <c r="B311" s="14" t="s">
        <v>1535</v>
      </c>
      <c r="C311" s="13" t="s">
        <v>22</v>
      </c>
      <c r="D311" s="13" t="s">
        <v>88</v>
      </c>
      <c r="E311" s="14" t="s">
        <v>150</v>
      </c>
      <c r="F311" s="10" t="s">
        <v>1151</v>
      </c>
      <c r="G311" s="10">
        <f t="shared" si="7"/>
        <v>1</v>
      </c>
      <c r="H311" s="10" t="s">
        <v>1152</v>
      </c>
      <c r="I311" s="10">
        <f t="shared" si="9"/>
        <v>1</v>
      </c>
    </row>
    <row r="312">
      <c r="A312" s="7" t="s">
        <v>1539</v>
      </c>
      <c r="B312" s="9" t="s">
        <v>1540</v>
      </c>
      <c r="C312" s="7" t="s">
        <v>22</v>
      </c>
      <c r="D312" s="7" t="s">
        <v>88</v>
      </c>
      <c r="E312" s="7" t="s">
        <v>564</v>
      </c>
      <c r="F312" s="15" t="s">
        <v>1539</v>
      </c>
      <c r="G312" s="10">
        <f t="shared" si="7"/>
        <v>1</v>
      </c>
      <c r="H312" s="15" t="s">
        <v>1544</v>
      </c>
      <c r="I312" s="10">
        <f t="shared" si="9"/>
        <v>1</v>
      </c>
    </row>
    <row r="313">
      <c r="A313" s="13" t="s">
        <v>1154</v>
      </c>
      <c r="B313" s="13" t="s">
        <v>1545</v>
      </c>
      <c r="C313" s="13" t="s">
        <v>22</v>
      </c>
      <c r="D313" s="13" t="s">
        <v>88</v>
      </c>
      <c r="E313" s="14" t="s">
        <v>792</v>
      </c>
      <c r="F313" s="10" t="s">
        <v>1154</v>
      </c>
      <c r="G313" s="10">
        <f t="shared" si="7"/>
        <v>1</v>
      </c>
      <c r="H313" s="10" t="s">
        <v>1155</v>
      </c>
      <c r="I313" s="10">
        <f t="shared" si="9"/>
        <v>1</v>
      </c>
    </row>
    <row r="314">
      <c r="A314" s="7" t="s">
        <v>1157</v>
      </c>
      <c r="B314" s="7" t="s">
        <v>1549</v>
      </c>
      <c r="C314" s="7" t="s">
        <v>22</v>
      </c>
      <c r="D314" s="7" t="s">
        <v>88</v>
      </c>
      <c r="E314" s="9" t="s">
        <v>150</v>
      </c>
      <c r="F314" s="15" t="s">
        <v>1157</v>
      </c>
      <c r="G314" s="10">
        <f t="shared" si="7"/>
        <v>1</v>
      </c>
      <c r="H314" s="15" t="s">
        <v>1158</v>
      </c>
      <c r="I314" s="10">
        <f t="shared" si="9"/>
        <v>1</v>
      </c>
    </row>
    <row r="315">
      <c r="A315" s="13" t="s">
        <v>1162</v>
      </c>
      <c r="B315" s="13" t="s">
        <v>1553</v>
      </c>
      <c r="C315" s="13" t="s">
        <v>87</v>
      </c>
      <c r="D315" s="13" t="s">
        <v>26</v>
      </c>
      <c r="E315" s="13" t="s">
        <v>117</v>
      </c>
      <c r="F315" s="10" t="s">
        <v>1162</v>
      </c>
      <c r="G315" s="10">
        <f t="shared" si="7"/>
        <v>1</v>
      </c>
      <c r="H315" s="10" t="s">
        <v>1163</v>
      </c>
      <c r="I315" s="10">
        <f t="shared" si="9"/>
        <v>1</v>
      </c>
    </row>
    <row r="316">
      <c r="A316" s="7" t="s">
        <v>1164</v>
      </c>
      <c r="B316" s="9" t="s">
        <v>1557</v>
      </c>
      <c r="C316" s="7" t="s">
        <v>227</v>
      </c>
      <c r="D316" s="7" t="s">
        <v>88</v>
      </c>
      <c r="E316" s="7" t="s">
        <v>229</v>
      </c>
      <c r="F316" s="15" t="s">
        <v>1164</v>
      </c>
      <c r="G316" s="10">
        <f t="shared" si="7"/>
        <v>1</v>
      </c>
      <c r="H316" s="15" t="s">
        <v>1166</v>
      </c>
      <c r="I316" s="10">
        <f t="shared" si="9"/>
        <v>1</v>
      </c>
    </row>
    <row r="317">
      <c r="A317" s="13" t="s">
        <v>1167</v>
      </c>
      <c r="B317" s="14" t="s">
        <v>1560</v>
      </c>
      <c r="C317" s="13" t="s">
        <v>227</v>
      </c>
      <c r="D317" s="13" t="s">
        <v>88</v>
      </c>
      <c r="E317" s="13" t="s">
        <v>229</v>
      </c>
      <c r="F317" s="10" t="s">
        <v>1167</v>
      </c>
      <c r="G317" s="10">
        <f t="shared" si="7"/>
        <v>1</v>
      </c>
      <c r="H317" s="10" t="s">
        <v>1168</v>
      </c>
      <c r="I317" s="10">
        <f t="shared" si="9"/>
        <v>1</v>
      </c>
    </row>
    <row r="318">
      <c r="A318" s="7" t="s">
        <v>1171</v>
      </c>
      <c r="B318" s="7" t="s">
        <v>1204</v>
      </c>
      <c r="C318" s="7" t="s">
        <v>227</v>
      </c>
      <c r="D318" s="7" t="s">
        <v>88</v>
      </c>
      <c r="E318" s="7" t="s">
        <v>229</v>
      </c>
      <c r="F318" s="15" t="s">
        <v>1171</v>
      </c>
      <c r="G318" s="10">
        <f t="shared" si="7"/>
        <v>1</v>
      </c>
      <c r="H318" s="15" t="s">
        <v>916</v>
      </c>
      <c r="I318" s="10">
        <f t="shared" si="9"/>
        <v>1</v>
      </c>
    </row>
    <row r="319">
      <c r="A319" s="13" t="s">
        <v>1173</v>
      </c>
      <c r="B319" s="13" t="s">
        <v>1567</v>
      </c>
      <c r="C319" s="13" t="s">
        <v>227</v>
      </c>
      <c r="D319" s="13" t="s">
        <v>88</v>
      </c>
      <c r="E319" s="13" t="s">
        <v>229</v>
      </c>
      <c r="F319" s="10" t="s">
        <v>1173</v>
      </c>
      <c r="G319" s="10">
        <f t="shared" si="7"/>
        <v>1</v>
      </c>
      <c r="H319" s="10" t="s">
        <v>1174</v>
      </c>
      <c r="I319" s="10">
        <f t="shared" si="9"/>
        <v>1</v>
      </c>
    </row>
    <row r="320">
      <c r="A320" s="7" t="s">
        <v>1176</v>
      </c>
      <c r="B320" s="7" t="s">
        <v>1571</v>
      </c>
      <c r="C320" s="7" t="s">
        <v>227</v>
      </c>
      <c r="D320" s="7" t="s">
        <v>88</v>
      </c>
      <c r="E320" s="7" t="s">
        <v>229</v>
      </c>
      <c r="F320" s="15" t="s">
        <v>1176</v>
      </c>
      <c r="G320" s="10">
        <f t="shared" si="7"/>
        <v>1</v>
      </c>
      <c r="H320" s="15" t="s">
        <v>1178</v>
      </c>
      <c r="I320" s="10">
        <f t="shared" si="9"/>
        <v>1</v>
      </c>
    </row>
    <row r="321">
      <c r="A321" s="13" t="s">
        <v>1179</v>
      </c>
      <c r="B321" s="14" t="s">
        <v>1574</v>
      </c>
      <c r="C321" s="13" t="s">
        <v>87</v>
      </c>
      <c r="D321" s="13" t="s">
        <v>88</v>
      </c>
      <c r="E321" s="14" t="s">
        <v>279</v>
      </c>
      <c r="F321" s="10" t="s">
        <v>1179</v>
      </c>
      <c r="G321" s="10">
        <f t="shared" si="7"/>
        <v>1</v>
      </c>
      <c r="H321" s="10" t="s">
        <v>1180</v>
      </c>
      <c r="I321" s="10">
        <f t="shared" si="9"/>
        <v>1</v>
      </c>
    </row>
    <row r="322">
      <c r="A322" s="7" t="s">
        <v>1182</v>
      </c>
      <c r="B322" s="7" t="s">
        <v>1579</v>
      </c>
      <c r="C322" s="7" t="s">
        <v>227</v>
      </c>
      <c r="D322" s="7" t="s">
        <v>88</v>
      </c>
      <c r="E322" s="9" t="s">
        <v>1581</v>
      </c>
      <c r="F322" s="15" t="s">
        <v>1182</v>
      </c>
      <c r="G322" s="10">
        <f t="shared" si="7"/>
        <v>1</v>
      </c>
      <c r="H322" s="15" t="s">
        <v>1183</v>
      </c>
      <c r="I322" s="10">
        <f t="shared" si="9"/>
        <v>1</v>
      </c>
    </row>
    <row r="323">
      <c r="A323" s="13" t="s">
        <v>1186</v>
      </c>
      <c r="B323" s="13" t="s">
        <v>1584</v>
      </c>
      <c r="C323" s="13" t="s">
        <v>227</v>
      </c>
      <c r="D323" s="13" t="s">
        <v>88</v>
      </c>
      <c r="E323" s="13" t="s">
        <v>229</v>
      </c>
      <c r="F323" s="10" t="s">
        <v>1186</v>
      </c>
      <c r="G323" s="10">
        <f t="shared" si="7"/>
        <v>1</v>
      </c>
      <c r="H323" s="10" t="s">
        <v>1187</v>
      </c>
      <c r="I323" s="10">
        <f t="shared" si="9"/>
        <v>1</v>
      </c>
    </row>
    <row r="324">
      <c r="A324" s="7" t="s">
        <v>1189</v>
      </c>
      <c r="B324" s="7" t="s">
        <v>1587</v>
      </c>
      <c r="C324" s="7" t="s">
        <v>22</v>
      </c>
      <c r="D324" s="7" t="s">
        <v>88</v>
      </c>
      <c r="E324" s="7" t="s">
        <v>208</v>
      </c>
      <c r="F324" s="15" t="s">
        <v>1189</v>
      </c>
      <c r="G324" s="10">
        <f t="shared" si="7"/>
        <v>1</v>
      </c>
      <c r="H324" s="15" t="s">
        <v>1190</v>
      </c>
      <c r="I324" s="10">
        <f t="shared" si="9"/>
        <v>1</v>
      </c>
    </row>
    <row r="325">
      <c r="A325" s="13" t="s">
        <v>274</v>
      </c>
      <c r="B325" s="14" t="s">
        <v>303</v>
      </c>
      <c r="C325" s="13" t="s">
        <v>22</v>
      </c>
      <c r="D325" s="13" t="s">
        <v>88</v>
      </c>
      <c r="E325" s="13" t="s">
        <v>564</v>
      </c>
      <c r="F325" s="10" t="s">
        <v>274</v>
      </c>
      <c r="G325" s="10">
        <f t="shared" si="7"/>
        <v>1</v>
      </c>
      <c r="H325" s="10" t="s">
        <v>1592</v>
      </c>
      <c r="I325" s="10">
        <f t="shared" si="9"/>
        <v>1</v>
      </c>
    </row>
    <row r="326">
      <c r="A326" s="7" t="s">
        <v>1193</v>
      </c>
      <c r="B326" s="9" t="s">
        <v>1593</v>
      </c>
      <c r="C326" s="7" t="s">
        <v>22</v>
      </c>
      <c r="D326" s="7" t="s">
        <v>88</v>
      </c>
      <c r="E326" s="7" t="s">
        <v>661</v>
      </c>
      <c r="F326" s="15" t="s">
        <v>1193</v>
      </c>
      <c r="G326" s="10">
        <f t="shared" si="7"/>
        <v>1</v>
      </c>
      <c r="H326" s="15" t="s">
        <v>1194</v>
      </c>
      <c r="I326" s="10">
        <f t="shared" si="9"/>
        <v>1</v>
      </c>
    </row>
    <row r="327">
      <c r="A327" s="13" t="s">
        <v>1196</v>
      </c>
      <c r="B327" s="13" t="s">
        <v>1597</v>
      </c>
      <c r="C327" s="13" t="s">
        <v>227</v>
      </c>
      <c r="D327" s="13" t="s">
        <v>88</v>
      </c>
      <c r="E327" s="14" t="s">
        <v>1599</v>
      </c>
      <c r="F327" s="10" t="s">
        <v>1196</v>
      </c>
      <c r="G327" s="10">
        <f t="shared" si="7"/>
        <v>1</v>
      </c>
      <c r="H327" s="10" t="s">
        <v>1197</v>
      </c>
      <c r="I327" s="10">
        <f t="shared" si="9"/>
        <v>1</v>
      </c>
    </row>
    <row r="328">
      <c r="A328" s="7" t="s">
        <v>1199</v>
      </c>
      <c r="B328" s="7" t="s">
        <v>1602</v>
      </c>
      <c r="C328" s="7" t="s">
        <v>227</v>
      </c>
      <c r="D328" s="7" t="s">
        <v>88</v>
      </c>
      <c r="E328" s="9" t="s">
        <v>1599</v>
      </c>
      <c r="F328" s="15" t="s">
        <v>1199</v>
      </c>
      <c r="G328" s="10">
        <f t="shared" si="7"/>
        <v>1</v>
      </c>
      <c r="H328" s="15" t="s">
        <v>1200</v>
      </c>
      <c r="I328" s="10">
        <f t="shared" si="9"/>
        <v>1</v>
      </c>
    </row>
    <row r="329">
      <c r="A329" s="13" t="s">
        <v>1202</v>
      </c>
      <c r="B329" s="14" t="s">
        <v>1605</v>
      </c>
      <c r="C329" s="13" t="s">
        <v>87</v>
      </c>
      <c r="D329" s="13" t="s">
        <v>88</v>
      </c>
      <c r="E329" s="14" t="s">
        <v>802</v>
      </c>
      <c r="F329" s="10" t="s">
        <v>1202</v>
      </c>
      <c r="G329" s="10">
        <f t="shared" si="7"/>
        <v>1</v>
      </c>
      <c r="H329" s="10" t="s">
        <v>1203</v>
      </c>
      <c r="I329" s="10">
        <f t="shared" si="9"/>
        <v>1</v>
      </c>
    </row>
    <row r="330">
      <c r="A330" s="7" t="s">
        <v>1205</v>
      </c>
      <c r="B330" s="7" t="s">
        <v>1610</v>
      </c>
      <c r="C330" s="7" t="s">
        <v>227</v>
      </c>
      <c r="D330" s="7" t="s">
        <v>88</v>
      </c>
      <c r="E330" s="7" t="s">
        <v>229</v>
      </c>
      <c r="F330" s="15" t="s">
        <v>1205</v>
      </c>
      <c r="G330" s="10">
        <f t="shared" si="7"/>
        <v>1</v>
      </c>
      <c r="H330" s="15" t="s">
        <v>1206</v>
      </c>
      <c r="I330" s="10">
        <f t="shared" si="9"/>
        <v>1</v>
      </c>
    </row>
    <row r="331">
      <c r="A331" s="13" t="s">
        <v>1208</v>
      </c>
      <c r="B331" s="13" t="s">
        <v>1614</v>
      </c>
      <c r="C331" s="13" t="s">
        <v>227</v>
      </c>
      <c r="D331" s="13" t="s">
        <v>88</v>
      </c>
      <c r="E331" s="13" t="s">
        <v>229</v>
      </c>
      <c r="F331" s="10" t="s">
        <v>1208</v>
      </c>
      <c r="G331" s="10">
        <f t="shared" si="7"/>
        <v>1</v>
      </c>
      <c r="H331" s="10" t="s">
        <v>1209</v>
      </c>
      <c r="I331" s="10">
        <f t="shared" si="9"/>
        <v>1</v>
      </c>
    </row>
    <row r="332">
      <c r="A332" s="7" t="s">
        <v>1210</v>
      </c>
      <c r="B332" s="7" t="s">
        <v>1617</v>
      </c>
      <c r="C332" s="7" t="s">
        <v>227</v>
      </c>
      <c r="D332" s="7" t="s">
        <v>88</v>
      </c>
      <c r="E332" s="7" t="s">
        <v>229</v>
      </c>
      <c r="F332" s="15" t="s">
        <v>1210</v>
      </c>
      <c r="G332" s="10">
        <f t="shared" si="7"/>
        <v>1</v>
      </c>
      <c r="H332" s="15" t="s">
        <v>1212</v>
      </c>
      <c r="I332" s="10">
        <f t="shared" si="9"/>
        <v>1</v>
      </c>
    </row>
    <row r="333">
      <c r="A333" s="13" t="s">
        <v>1213</v>
      </c>
      <c r="B333" s="13" t="s">
        <v>1621</v>
      </c>
      <c r="C333" s="13" t="s">
        <v>227</v>
      </c>
      <c r="D333" s="13" t="s">
        <v>88</v>
      </c>
      <c r="E333" s="13" t="s">
        <v>229</v>
      </c>
      <c r="F333" s="10" t="s">
        <v>1213</v>
      </c>
      <c r="G333" s="10">
        <f t="shared" si="7"/>
        <v>1</v>
      </c>
      <c r="H333" s="10" t="s">
        <v>1214</v>
      </c>
      <c r="I333" s="10">
        <f t="shared" si="9"/>
        <v>1</v>
      </c>
    </row>
    <row r="334">
      <c r="A334" s="7" t="s">
        <v>1217</v>
      </c>
      <c r="B334" s="7" t="s">
        <v>1626</v>
      </c>
      <c r="C334" s="7" t="s">
        <v>227</v>
      </c>
      <c r="D334" s="7" t="s">
        <v>88</v>
      </c>
      <c r="E334" s="7" t="s">
        <v>229</v>
      </c>
      <c r="F334" s="15" t="s">
        <v>1217</v>
      </c>
      <c r="G334" s="10">
        <f t="shared" si="7"/>
        <v>1</v>
      </c>
      <c r="H334" s="15" t="s">
        <v>1218</v>
      </c>
      <c r="I334" s="10">
        <f t="shared" si="9"/>
        <v>1</v>
      </c>
    </row>
    <row r="335">
      <c r="A335" s="13" t="s">
        <v>1220</v>
      </c>
      <c r="B335" s="13" t="s">
        <v>1630</v>
      </c>
      <c r="C335" s="13" t="s">
        <v>87</v>
      </c>
      <c r="D335" s="13" t="s">
        <v>74</v>
      </c>
      <c r="E335" s="13" t="s">
        <v>441</v>
      </c>
      <c r="F335" s="10" t="s">
        <v>1220</v>
      </c>
      <c r="G335" s="10">
        <f t="shared" si="7"/>
        <v>1</v>
      </c>
      <c r="H335" s="10" t="s">
        <v>1222</v>
      </c>
      <c r="I335" s="10">
        <f t="shared" si="9"/>
        <v>1</v>
      </c>
    </row>
    <row r="336">
      <c r="A336" s="7" t="s">
        <v>1225</v>
      </c>
      <c r="B336" s="7" t="s">
        <v>1634</v>
      </c>
      <c r="C336" s="7" t="s">
        <v>22</v>
      </c>
      <c r="D336" s="7" t="s">
        <v>88</v>
      </c>
      <c r="E336" s="9" t="s">
        <v>1636</v>
      </c>
      <c r="F336" s="15" t="s">
        <v>1225</v>
      </c>
      <c r="G336" s="10">
        <f t="shared" si="7"/>
        <v>1</v>
      </c>
      <c r="H336" s="15" t="s">
        <v>1226</v>
      </c>
      <c r="I336" s="10">
        <f t="shared" si="9"/>
        <v>1</v>
      </c>
    </row>
    <row r="337">
      <c r="A337" s="13" t="s">
        <v>1229</v>
      </c>
      <c r="B337" s="13" t="s">
        <v>1639</v>
      </c>
      <c r="C337" s="13" t="s">
        <v>22</v>
      </c>
      <c r="D337" s="13" t="s">
        <v>88</v>
      </c>
      <c r="E337" s="14" t="s">
        <v>1636</v>
      </c>
      <c r="F337" s="10" t="s">
        <v>1229</v>
      </c>
      <c r="G337" s="10">
        <f t="shared" si="7"/>
        <v>1</v>
      </c>
      <c r="H337" s="10" t="s">
        <v>1231</v>
      </c>
      <c r="I337" s="10">
        <f t="shared" si="9"/>
        <v>1</v>
      </c>
    </row>
    <row r="338">
      <c r="A338" s="7" t="s">
        <v>1232</v>
      </c>
      <c r="B338" s="9" t="s">
        <v>1643</v>
      </c>
      <c r="C338" s="7" t="s">
        <v>87</v>
      </c>
      <c r="D338" s="7" t="s">
        <v>88</v>
      </c>
      <c r="E338" s="7" t="s">
        <v>343</v>
      </c>
      <c r="F338" s="15" t="s">
        <v>1232</v>
      </c>
      <c r="G338" s="10">
        <f t="shared" si="7"/>
        <v>1</v>
      </c>
      <c r="H338" s="15" t="s">
        <v>1233</v>
      </c>
      <c r="I338" s="10">
        <f t="shared" si="9"/>
        <v>1</v>
      </c>
    </row>
    <row r="339">
      <c r="A339" s="13" t="s">
        <v>242</v>
      </c>
      <c r="B339" s="14" t="s">
        <v>1647</v>
      </c>
      <c r="C339" s="13" t="s">
        <v>87</v>
      </c>
      <c r="D339" s="13" t="s">
        <v>88</v>
      </c>
      <c r="E339" s="13" t="s">
        <v>343</v>
      </c>
      <c r="F339" s="10" t="s">
        <v>242</v>
      </c>
      <c r="G339" s="10">
        <f t="shared" si="7"/>
        <v>1</v>
      </c>
      <c r="H339" s="10" t="s">
        <v>1235</v>
      </c>
      <c r="I339" s="10">
        <f t="shared" si="9"/>
        <v>1</v>
      </c>
    </row>
    <row r="340">
      <c r="A340" s="7" t="s">
        <v>1237</v>
      </c>
      <c r="B340" s="7" t="s">
        <v>1651</v>
      </c>
      <c r="C340" s="7" t="s">
        <v>87</v>
      </c>
      <c r="D340" s="7" t="s">
        <v>88</v>
      </c>
      <c r="E340" s="7" t="s">
        <v>343</v>
      </c>
      <c r="F340" s="15" t="s">
        <v>1237</v>
      </c>
      <c r="G340" s="10">
        <f t="shared" si="7"/>
        <v>1</v>
      </c>
      <c r="H340" s="15" t="s">
        <v>1238</v>
      </c>
      <c r="I340" s="10">
        <f t="shared" si="9"/>
        <v>1</v>
      </c>
    </row>
    <row r="341">
      <c r="A341" s="13" t="s">
        <v>1240</v>
      </c>
      <c r="B341" s="13" t="s">
        <v>1655</v>
      </c>
      <c r="C341" s="13" t="s">
        <v>87</v>
      </c>
      <c r="D341" s="13" t="s">
        <v>88</v>
      </c>
      <c r="E341" s="14" t="s">
        <v>802</v>
      </c>
      <c r="F341" s="10" t="s">
        <v>1240</v>
      </c>
      <c r="G341" s="10">
        <f t="shared" si="7"/>
        <v>1</v>
      </c>
      <c r="H341" s="10" t="s">
        <v>1241</v>
      </c>
      <c r="I341" s="10">
        <f t="shared" si="9"/>
        <v>1</v>
      </c>
    </row>
    <row r="342">
      <c r="A342" s="7" t="s">
        <v>1242</v>
      </c>
      <c r="B342" s="9" t="s">
        <v>1659</v>
      </c>
      <c r="C342" s="7" t="s">
        <v>22</v>
      </c>
      <c r="D342" s="7" t="s">
        <v>88</v>
      </c>
      <c r="E342" s="9" t="s">
        <v>279</v>
      </c>
      <c r="F342" s="15" t="s">
        <v>1242</v>
      </c>
      <c r="G342" s="10">
        <f t="shared" si="7"/>
        <v>1</v>
      </c>
      <c r="H342" s="15" t="s">
        <v>1244</v>
      </c>
      <c r="I342" s="10">
        <f t="shared" si="9"/>
        <v>1</v>
      </c>
    </row>
    <row r="343">
      <c r="A343" s="13" t="s">
        <v>153</v>
      </c>
      <c r="B343" s="13" t="s">
        <v>1662</v>
      </c>
      <c r="C343" s="13" t="s">
        <v>227</v>
      </c>
      <c r="D343" s="13" t="s">
        <v>26</v>
      </c>
      <c r="E343" s="13" t="s">
        <v>229</v>
      </c>
      <c r="F343" s="10" t="s">
        <v>153</v>
      </c>
      <c r="G343" s="10">
        <f t="shared" si="7"/>
        <v>1</v>
      </c>
      <c r="H343" s="10" t="s">
        <v>1245</v>
      </c>
      <c r="I343" s="10">
        <f t="shared" si="9"/>
        <v>1</v>
      </c>
    </row>
    <row r="344">
      <c r="A344" s="7" t="s">
        <v>1665</v>
      </c>
      <c r="B344" s="9" t="s">
        <v>1667</v>
      </c>
      <c r="C344" s="7" t="s">
        <v>22</v>
      </c>
      <c r="D344" s="7" t="s">
        <v>88</v>
      </c>
      <c r="E344" s="7" t="s">
        <v>564</v>
      </c>
      <c r="F344" s="15" t="s">
        <v>1665</v>
      </c>
      <c r="G344" s="10">
        <f t="shared" si="7"/>
        <v>1</v>
      </c>
      <c r="H344" s="15" t="s">
        <v>1669</v>
      </c>
      <c r="I344" s="10">
        <f t="shared" si="9"/>
        <v>1</v>
      </c>
    </row>
    <row r="345">
      <c r="A345" s="13" t="s">
        <v>1246</v>
      </c>
      <c r="B345" s="13" t="s">
        <v>1671</v>
      </c>
      <c r="C345" s="13" t="s">
        <v>87</v>
      </c>
      <c r="D345" s="13" t="s">
        <v>88</v>
      </c>
      <c r="E345" s="13" t="s">
        <v>343</v>
      </c>
      <c r="F345" s="10" t="s">
        <v>1246</v>
      </c>
      <c r="G345" s="10">
        <f t="shared" si="7"/>
        <v>1</v>
      </c>
      <c r="H345" s="10" t="s">
        <v>1248</v>
      </c>
      <c r="I345" s="10" t="b">
        <f t="shared" si="9"/>
        <v>0</v>
      </c>
    </row>
    <row r="346">
      <c r="A346" s="7" t="s">
        <v>134</v>
      </c>
      <c r="B346" s="9" t="s">
        <v>1676</v>
      </c>
      <c r="C346" s="7" t="s">
        <v>87</v>
      </c>
      <c r="D346" s="7" t="s">
        <v>88</v>
      </c>
      <c r="E346" s="7" t="s">
        <v>343</v>
      </c>
      <c r="F346" s="15" t="s">
        <v>134</v>
      </c>
      <c r="G346" s="10">
        <f t="shared" si="7"/>
        <v>1</v>
      </c>
      <c r="H346" s="15" t="s">
        <v>1253</v>
      </c>
      <c r="I346" s="10">
        <f t="shared" si="9"/>
        <v>1</v>
      </c>
    </row>
    <row r="347">
      <c r="A347" s="13" t="s">
        <v>1256</v>
      </c>
      <c r="B347" s="13" t="s">
        <v>1679</v>
      </c>
      <c r="C347" s="13" t="s">
        <v>87</v>
      </c>
      <c r="D347" s="13" t="s">
        <v>88</v>
      </c>
      <c r="E347" s="14" t="s">
        <v>802</v>
      </c>
      <c r="F347" s="10" t="s">
        <v>1256</v>
      </c>
      <c r="G347" s="10">
        <f t="shared" si="7"/>
        <v>1</v>
      </c>
      <c r="H347" s="10" t="s">
        <v>1257</v>
      </c>
      <c r="I347" s="10">
        <f t="shared" si="9"/>
        <v>1</v>
      </c>
    </row>
    <row r="348">
      <c r="A348" s="7" t="s">
        <v>1259</v>
      </c>
      <c r="B348" s="7" t="s">
        <v>1682</v>
      </c>
      <c r="C348" s="7" t="s">
        <v>87</v>
      </c>
      <c r="D348" s="7" t="s">
        <v>88</v>
      </c>
      <c r="E348" s="9" t="s">
        <v>802</v>
      </c>
      <c r="F348" s="15" t="s">
        <v>1259</v>
      </c>
      <c r="G348" s="10">
        <f t="shared" si="7"/>
        <v>1</v>
      </c>
      <c r="H348" s="15" t="s">
        <v>1260</v>
      </c>
      <c r="I348" s="10">
        <f t="shared" si="9"/>
        <v>1</v>
      </c>
    </row>
    <row r="349">
      <c r="A349" s="13" t="s">
        <v>1262</v>
      </c>
      <c r="B349" s="14" t="s">
        <v>1687</v>
      </c>
      <c r="C349" s="13" t="s">
        <v>87</v>
      </c>
      <c r="D349" s="13" t="s">
        <v>88</v>
      </c>
      <c r="E349" s="13" t="s">
        <v>343</v>
      </c>
      <c r="F349" s="10" t="s">
        <v>1262</v>
      </c>
      <c r="G349" s="10">
        <f t="shared" si="7"/>
        <v>1</v>
      </c>
      <c r="H349" s="10" t="s">
        <v>1688</v>
      </c>
      <c r="I349" s="10">
        <f t="shared" si="9"/>
        <v>1</v>
      </c>
    </row>
    <row r="350">
      <c r="A350" s="7" t="s">
        <v>1266</v>
      </c>
      <c r="B350" s="9" t="s">
        <v>1691</v>
      </c>
      <c r="C350" s="7" t="s">
        <v>22</v>
      </c>
      <c r="D350" s="7" t="s">
        <v>74</v>
      </c>
      <c r="E350" s="9" t="s">
        <v>29</v>
      </c>
      <c r="F350" s="15" t="s">
        <v>1266</v>
      </c>
      <c r="G350" s="10">
        <f t="shared" si="7"/>
        <v>1</v>
      </c>
      <c r="H350" s="15" t="s">
        <v>1267</v>
      </c>
      <c r="I350" s="10">
        <f t="shared" si="9"/>
        <v>1</v>
      </c>
    </row>
    <row r="351">
      <c r="A351" s="13" t="s">
        <v>609</v>
      </c>
      <c r="B351" s="14" t="s">
        <v>1693</v>
      </c>
      <c r="C351" s="13" t="s">
        <v>87</v>
      </c>
      <c r="D351" s="13" t="s">
        <v>88</v>
      </c>
      <c r="E351" s="14" t="s">
        <v>802</v>
      </c>
      <c r="F351" s="10" t="s">
        <v>609</v>
      </c>
      <c r="G351" s="10">
        <f t="shared" si="7"/>
        <v>1</v>
      </c>
      <c r="H351" s="10" t="s">
        <v>1269</v>
      </c>
      <c r="I351" s="10">
        <f t="shared" si="9"/>
        <v>1</v>
      </c>
    </row>
    <row r="352">
      <c r="A352" s="7" t="s">
        <v>1270</v>
      </c>
      <c r="B352" s="9" t="s">
        <v>1698</v>
      </c>
      <c r="C352" s="7" t="s">
        <v>87</v>
      </c>
      <c r="D352" s="7" t="s">
        <v>88</v>
      </c>
      <c r="E352" s="9" t="s">
        <v>802</v>
      </c>
      <c r="F352" s="15" t="s">
        <v>1270</v>
      </c>
      <c r="G352" s="10">
        <f t="shared" si="7"/>
        <v>1</v>
      </c>
      <c r="H352" s="15" t="s">
        <v>1271</v>
      </c>
      <c r="I352" s="10">
        <f t="shared" si="9"/>
        <v>1</v>
      </c>
    </row>
    <row r="353">
      <c r="A353" s="13" t="s">
        <v>1273</v>
      </c>
      <c r="B353" s="14" t="s">
        <v>1702</v>
      </c>
      <c r="C353" s="13" t="s">
        <v>87</v>
      </c>
      <c r="D353" s="13" t="s">
        <v>88</v>
      </c>
      <c r="E353" s="14" t="s">
        <v>802</v>
      </c>
      <c r="F353" s="10" t="s">
        <v>1273</v>
      </c>
      <c r="G353" s="10">
        <f t="shared" si="7"/>
        <v>1</v>
      </c>
      <c r="H353" s="10" t="s">
        <v>1274</v>
      </c>
      <c r="I353" s="10">
        <f t="shared" si="9"/>
        <v>1</v>
      </c>
    </row>
    <row r="354">
      <c r="A354" s="7" t="s">
        <v>1276</v>
      </c>
      <c r="B354" s="9" t="s">
        <v>1705</v>
      </c>
      <c r="C354" s="7" t="s">
        <v>22</v>
      </c>
      <c r="D354" s="7" t="s">
        <v>88</v>
      </c>
      <c r="E354" s="7" t="s">
        <v>201</v>
      </c>
      <c r="F354" s="15" t="s">
        <v>1276</v>
      </c>
      <c r="G354" s="10">
        <f t="shared" si="7"/>
        <v>1</v>
      </c>
      <c r="H354" s="15" t="s">
        <v>1277</v>
      </c>
      <c r="I354" s="10">
        <f t="shared" si="9"/>
        <v>1</v>
      </c>
    </row>
    <row r="355">
      <c r="A355" s="13" t="s">
        <v>1278</v>
      </c>
      <c r="B355" s="14" t="s">
        <v>1708</v>
      </c>
      <c r="C355" s="13" t="s">
        <v>227</v>
      </c>
      <c r="D355" s="13" t="s">
        <v>88</v>
      </c>
      <c r="E355" s="13" t="s">
        <v>229</v>
      </c>
      <c r="F355" s="10" t="s">
        <v>1278</v>
      </c>
      <c r="G355" s="10">
        <f t="shared" si="7"/>
        <v>1</v>
      </c>
      <c r="H355" s="10" t="s">
        <v>1280</v>
      </c>
      <c r="I355" s="10">
        <f t="shared" si="9"/>
        <v>1</v>
      </c>
    </row>
    <row r="356">
      <c r="A356" s="7" t="s">
        <v>1281</v>
      </c>
      <c r="B356" s="7" t="s">
        <v>1712</v>
      </c>
      <c r="C356" s="7" t="s">
        <v>22</v>
      </c>
      <c r="D356" s="7" t="s">
        <v>88</v>
      </c>
      <c r="E356" s="7" t="s">
        <v>618</v>
      </c>
      <c r="F356" s="15" t="s">
        <v>1281</v>
      </c>
      <c r="G356" s="10">
        <f t="shared" si="7"/>
        <v>1</v>
      </c>
      <c r="H356" s="15" t="s">
        <v>1282</v>
      </c>
      <c r="I356" s="10">
        <f t="shared" si="9"/>
        <v>1</v>
      </c>
    </row>
    <row r="357">
      <c r="A357" s="13" t="s">
        <v>1284</v>
      </c>
      <c r="B357" s="13" t="s">
        <v>1716</v>
      </c>
      <c r="C357" s="13" t="s">
        <v>22</v>
      </c>
      <c r="D357" s="13" t="s">
        <v>88</v>
      </c>
      <c r="E357" s="13" t="s">
        <v>618</v>
      </c>
      <c r="F357" s="10" t="s">
        <v>1284</v>
      </c>
      <c r="G357" s="10">
        <f t="shared" si="7"/>
        <v>1</v>
      </c>
      <c r="H357" s="10" t="s">
        <v>1285</v>
      </c>
      <c r="I357" s="10">
        <f t="shared" si="9"/>
        <v>1</v>
      </c>
    </row>
    <row r="358">
      <c r="A358" s="7" t="s">
        <v>1719</v>
      </c>
      <c r="B358" s="7" t="s">
        <v>1720</v>
      </c>
      <c r="C358" s="7" t="s">
        <v>22</v>
      </c>
      <c r="D358" s="7" t="s">
        <v>26</v>
      </c>
      <c r="E358" s="9" t="s">
        <v>29</v>
      </c>
      <c r="F358" s="17"/>
      <c r="G358" s="17"/>
      <c r="H358" s="15" t="s">
        <v>1288</v>
      </c>
      <c r="I358" s="10" t="b">
        <f t="shared" si="9"/>
        <v>0</v>
      </c>
    </row>
    <row r="359">
      <c r="A359" s="13" t="s">
        <v>1724</v>
      </c>
      <c r="B359" s="13" t="s">
        <v>1725</v>
      </c>
      <c r="C359" s="13" t="s">
        <v>22</v>
      </c>
      <c r="D359" s="13" t="s">
        <v>26</v>
      </c>
      <c r="E359" s="14" t="s">
        <v>29</v>
      </c>
      <c r="F359" s="17"/>
      <c r="G359" s="17"/>
      <c r="H359" s="10" t="s">
        <v>1291</v>
      </c>
      <c r="I359" s="10" t="b">
        <f t="shared" si="9"/>
        <v>0</v>
      </c>
    </row>
    <row r="360">
      <c r="A360" s="7" t="s">
        <v>1729</v>
      </c>
      <c r="B360" s="7" t="s">
        <v>1730</v>
      </c>
      <c r="C360" s="7" t="s">
        <v>22</v>
      </c>
      <c r="D360" s="7" t="s">
        <v>88</v>
      </c>
      <c r="E360" s="9" t="s">
        <v>29</v>
      </c>
      <c r="F360" s="17"/>
      <c r="G360" s="17"/>
      <c r="H360" s="15" t="s">
        <v>1294</v>
      </c>
      <c r="I360" s="10" t="b">
        <f t="shared" si="9"/>
        <v>0</v>
      </c>
    </row>
    <row r="361">
      <c r="A361" s="13" t="s">
        <v>1733</v>
      </c>
      <c r="B361" s="13" t="s">
        <v>1735</v>
      </c>
      <c r="C361" s="13" t="s">
        <v>22</v>
      </c>
      <c r="D361" s="13" t="s">
        <v>88</v>
      </c>
      <c r="E361" s="14" t="s">
        <v>29</v>
      </c>
      <c r="F361" s="17"/>
      <c r="G361" s="17"/>
      <c r="H361" s="10" t="s">
        <v>1295</v>
      </c>
      <c r="I361" s="10" t="b">
        <f t="shared" si="9"/>
        <v>0</v>
      </c>
    </row>
    <row r="362">
      <c r="A362" s="7" t="s">
        <v>1287</v>
      </c>
      <c r="B362" s="9" t="s">
        <v>1739</v>
      </c>
      <c r="C362" s="7" t="s">
        <v>22</v>
      </c>
      <c r="D362" s="7" t="s">
        <v>88</v>
      </c>
      <c r="E362" s="9" t="s">
        <v>963</v>
      </c>
      <c r="F362" s="15" t="s">
        <v>1287</v>
      </c>
      <c r="G362" s="10">
        <f t="shared" ref="G362:G451" si="10">IF(F362=A362,1,FALSE)</f>
        <v>1</v>
      </c>
      <c r="H362" s="15" t="s">
        <v>1298</v>
      </c>
      <c r="I362" s="10" t="b">
        <f t="shared" si="9"/>
        <v>0</v>
      </c>
    </row>
    <row r="363">
      <c r="A363" s="13" t="s">
        <v>1290</v>
      </c>
      <c r="B363" s="14" t="s">
        <v>1742</v>
      </c>
      <c r="C363" s="13" t="s">
        <v>22</v>
      </c>
      <c r="D363" s="13" t="s">
        <v>88</v>
      </c>
      <c r="E363" s="14" t="s">
        <v>963</v>
      </c>
      <c r="F363" s="10" t="s">
        <v>1290</v>
      </c>
      <c r="G363" s="10">
        <f t="shared" si="10"/>
        <v>1</v>
      </c>
      <c r="H363" s="10" t="s">
        <v>1300</v>
      </c>
      <c r="I363" s="10" t="b">
        <f t="shared" si="9"/>
        <v>0</v>
      </c>
    </row>
    <row r="364">
      <c r="A364" s="7" t="s">
        <v>1292</v>
      </c>
      <c r="B364" s="9" t="s">
        <v>1746</v>
      </c>
      <c r="C364" s="7" t="s">
        <v>22</v>
      </c>
      <c r="D364" s="7" t="s">
        <v>88</v>
      </c>
      <c r="E364" s="9" t="s">
        <v>963</v>
      </c>
      <c r="F364" s="15" t="s">
        <v>1292</v>
      </c>
      <c r="G364" s="10">
        <f t="shared" si="10"/>
        <v>1</v>
      </c>
      <c r="H364" s="15" t="s">
        <v>1302</v>
      </c>
      <c r="I364" s="10" t="b">
        <f t="shared" si="9"/>
        <v>0</v>
      </c>
    </row>
    <row r="365">
      <c r="A365" s="13" t="s">
        <v>691</v>
      </c>
      <c r="B365" s="14" t="s">
        <v>1750</v>
      </c>
      <c r="C365" s="13" t="s">
        <v>22</v>
      </c>
      <c r="D365" s="13" t="s">
        <v>88</v>
      </c>
      <c r="E365" s="14" t="s">
        <v>963</v>
      </c>
      <c r="F365" s="10" t="s">
        <v>691</v>
      </c>
      <c r="G365" s="10">
        <f t="shared" si="10"/>
        <v>1</v>
      </c>
      <c r="H365" s="10" t="s">
        <v>1305</v>
      </c>
      <c r="I365" s="10" t="b">
        <f t="shared" si="9"/>
        <v>0</v>
      </c>
    </row>
    <row r="366">
      <c r="A366" s="7" t="s">
        <v>1297</v>
      </c>
      <c r="B366" s="9" t="s">
        <v>1754</v>
      </c>
      <c r="C366" s="7" t="s">
        <v>22</v>
      </c>
      <c r="D366" s="7" t="s">
        <v>88</v>
      </c>
      <c r="E366" s="9" t="s">
        <v>963</v>
      </c>
      <c r="F366" s="15" t="s">
        <v>1297</v>
      </c>
      <c r="G366" s="10">
        <f t="shared" si="10"/>
        <v>1</v>
      </c>
      <c r="H366" s="15" t="s">
        <v>1308</v>
      </c>
      <c r="I366" s="10" t="b">
        <f t="shared" si="9"/>
        <v>0</v>
      </c>
    </row>
    <row r="367">
      <c r="A367" s="13" t="s">
        <v>778</v>
      </c>
      <c r="B367" s="14" t="s">
        <v>1758</v>
      </c>
      <c r="C367" s="13" t="s">
        <v>22</v>
      </c>
      <c r="D367" s="13" t="s">
        <v>88</v>
      </c>
      <c r="E367" s="14" t="s">
        <v>792</v>
      </c>
      <c r="F367" s="10" t="s">
        <v>778</v>
      </c>
      <c r="G367" s="10">
        <f t="shared" si="10"/>
        <v>1</v>
      </c>
      <c r="H367" s="10" t="s">
        <v>1311</v>
      </c>
      <c r="I367" s="10" t="b">
        <f t="shared" si="9"/>
        <v>0</v>
      </c>
    </row>
    <row r="368">
      <c r="A368" s="7" t="s">
        <v>292</v>
      </c>
      <c r="B368" s="9" t="s">
        <v>1762</v>
      </c>
      <c r="C368" s="7" t="s">
        <v>22</v>
      </c>
      <c r="D368" s="7" t="s">
        <v>88</v>
      </c>
      <c r="E368" s="9" t="s">
        <v>792</v>
      </c>
      <c r="F368" s="15" t="s">
        <v>292</v>
      </c>
      <c r="G368" s="10">
        <f t="shared" si="10"/>
        <v>1</v>
      </c>
      <c r="H368" s="15" t="s">
        <v>1314</v>
      </c>
      <c r="I368" s="10" t="b">
        <f t="shared" si="9"/>
        <v>0</v>
      </c>
    </row>
    <row r="369">
      <c r="A369" s="13" t="s">
        <v>1304</v>
      </c>
      <c r="B369" s="14" t="s">
        <v>1765</v>
      </c>
      <c r="C369" s="13" t="s">
        <v>22</v>
      </c>
      <c r="D369" s="13" t="s">
        <v>88</v>
      </c>
      <c r="E369" s="14" t="s">
        <v>567</v>
      </c>
      <c r="F369" s="10" t="s">
        <v>1304</v>
      </c>
      <c r="G369" s="10">
        <f t="shared" si="10"/>
        <v>1</v>
      </c>
      <c r="H369" s="10" t="s">
        <v>1769</v>
      </c>
      <c r="I369" s="10" t="b">
        <f t="shared" si="9"/>
        <v>0</v>
      </c>
    </row>
    <row r="370">
      <c r="A370" s="7" t="s">
        <v>1307</v>
      </c>
      <c r="B370" s="9" t="s">
        <v>1770</v>
      </c>
      <c r="C370" s="7" t="s">
        <v>227</v>
      </c>
      <c r="D370" s="7" t="s">
        <v>88</v>
      </c>
      <c r="E370" s="7" t="s">
        <v>229</v>
      </c>
      <c r="F370" s="15" t="s">
        <v>1307</v>
      </c>
      <c r="G370" s="10">
        <f t="shared" si="10"/>
        <v>1</v>
      </c>
      <c r="H370" s="15" t="s">
        <v>1316</v>
      </c>
      <c r="I370" s="10" t="b">
        <f t="shared" si="9"/>
        <v>0</v>
      </c>
    </row>
    <row r="371">
      <c r="A371" s="13" t="s">
        <v>1310</v>
      </c>
      <c r="B371" s="14" t="s">
        <v>1775</v>
      </c>
      <c r="C371" s="13" t="s">
        <v>227</v>
      </c>
      <c r="D371" s="13" t="s">
        <v>88</v>
      </c>
      <c r="E371" s="13" t="s">
        <v>229</v>
      </c>
      <c r="F371" s="10" t="s">
        <v>1310</v>
      </c>
      <c r="G371" s="10">
        <f t="shared" si="10"/>
        <v>1</v>
      </c>
      <c r="H371" s="10" t="s">
        <v>1319</v>
      </c>
      <c r="I371" s="10" t="b">
        <f t="shared" si="9"/>
        <v>0</v>
      </c>
    </row>
    <row r="372">
      <c r="A372" s="7" t="s">
        <v>1312</v>
      </c>
      <c r="B372" s="9" t="s">
        <v>1778</v>
      </c>
      <c r="C372" s="7" t="s">
        <v>227</v>
      </c>
      <c r="D372" s="7" t="s">
        <v>88</v>
      </c>
      <c r="E372" s="7" t="s">
        <v>229</v>
      </c>
      <c r="F372" s="15" t="s">
        <v>1312</v>
      </c>
      <c r="G372" s="10">
        <f t="shared" si="10"/>
        <v>1</v>
      </c>
      <c r="H372" s="15" t="s">
        <v>1321</v>
      </c>
      <c r="I372" s="10" t="b">
        <f t="shared" si="9"/>
        <v>0</v>
      </c>
    </row>
    <row r="373">
      <c r="A373" s="13" t="s">
        <v>1782</v>
      </c>
      <c r="B373" s="14" t="s">
        <v>1783</v>
      </c>
      <c r="C373" s="13" t="s">
        <v>22</v>
      </c>
      <c r="D373" s="13" t="s">
        <v>88</v>
      </c>
      <c r="E373" s="13" t="s">
        <v>564</v>
      </c>
      <c r="F373" s="10" t="s">
        <v>1782</v>
      </c>
      <c r="G373" s="10">
        <f t="shared" si="10"/>
        <v>1</v>
      </c>
      <c r="H373" s="10" t="s">
        <v>1326</v>
      </c>
      <c r="I373" s="10" t="b">
        <f t="shared" si="9"/>
        <v>0</v>
      </c>
    </row>
    <row r="374">
      <c r="A374" s="7" t="s">
        <v>1315</v>
      </c>
      <c r="B374" s="9" t="s">
        <v>1788</v>
      </c>
      <c r="C374" s="7" t="s">
        <v>87</v>
      </c>
      <c r="D374" s="7" t="s">
        <v>88</v>
      </c>
      <c r="E374" s="9" t="s">
        <v>150</v>
      </c>
      <c r="F374" s="15" t="s">
        <v>1315</v>
      </c>
      <c r="G374" s="10">
        <f t="shared" si="10"/>
        <v>1</v>
      </c>
      <c r="H374" s="15" t="s">
        <v>1329</v>
      </c>
      <c r="I374" s="10" t="b">
        <f t="shared" si="9"/>
        <v>0</v>
      </c>
    </row>
    <row r="375">
      <c r="A375" s="13" t="s">
        <v>1318</v>
      </c>
      <c r="B375" s="14" t="s">
        <v>1791</v>
      </c>
      <c r="C375" s="13" t="s">
        <v>227</v>
      </c>
      <c r="D375" s="13" t="s">
        <v>88</v>
      </c>
      <c r="E375" s="13" t="s">
        <v>229</v>
      </c>
      <c r="F375" s="10" t="s">
        <v>1318</v>
      </c>
      <c r="G375" s="10">
        <f t="shared" si="10"/>
        <v>1</v>
      </c>
      <c r="H375" s="10" t="s">
        <v>1331</v>
      </c>
      <c r="I375" s="10" t="b">
        <f t="shared" si="9"/>
        <v>0</v>
      </c>
    </row>
    <row r="376">
      <c r="A376" s="7" t="s">
        <v>1320</v>
      </c>
      <c r="B376" s="9" t="s">
        <v>1794</v>
      </c>
      <c r="C376" s="7" t="s">
        <v>227</v>
      </c>
      <c r="D376" s="7" t="s">
        <v>88</v>
      </c>
      <c r="E376" s="9" t="s">
        <v>1796</v>
      </c>
      <c r="F376" s="15" t="s">
        <v>1320</v>
      </c>
      <c r="G376" s="10">
        <f t="shared" si="10"/>
        <v>1</v>
      </c>
      <c r="H376" s="15" t="s">
        <v>1334</v>
      </c>
      <c r="I376" s="10" t="b">
        <f t="shared" si="9"/>
        <v>0</v>
      </c>
    </row>
    <row r="377">
      <c r="A377" s="13" t="s">
        <v>1325</v>
      </c>
      <c r="B377" s="14" t="s">
        <v>1799</v>
      </c>
      <c r="C377" s="13" t="s">
        <v>227</v>
      </c>
      <c r="D377" s="13" t="s">
        <v>88</v>
      </c>
      <c r="E377" s="13" t="s">
        <v>229</v>
      </c>
      <c r="F377" s="10" t="s">
        <v>1325</v>
      </c>
      <c r="G377" s="10">
        <f t="shared" si="10"/>
        <v>1</v>
      </c>
      <c r="H377" s="10" t="s">
        <v>1337</v>
      </c>
      <c r="I377" s="10" t="b">
        <f t="shared" si="9"/>
        <v>0</v>
      </c>
    </row>
    <row r="378">
      <c r="A378" s="7" t="s">
        <v>1328</v>
      </c>
      <c r="B378" s="9" t="s">
        <v>1803</v>
      </c>
      <c r="C378" s="7" t="s">
        <v>227</v>
      </c>
      <c r="D378" s="7" t="s">
        <v>88</v>
      </c>
      <c r="E378" s="7" t="s">
        <v>229</v>
      </c>
      <c r="F378" s="15" t="s">
        <v>1328</v>
      </c>
      <c r="G378" s="10">
        <f t="shared" si="10"/>
        <v>1</v>
      </c>
      <c r="H378" s="15" t="s">
        <v>1340</v>
      </c>
      <c r="I378" s="10" t="b">
        <f t="shared" si="9"/>
        <v>0</v>
      </c>
    </row>
    <row r="379">
      <c r="A379" s="13" t="s">
        <v>1330</v>
      </c>
      <c r="B379" s="14" t="s">
        <v>1807</v>
      </c>
      <c r="C379" s="13" t="s">
        <v>87</v>
      </c>
      <c r="D379" s="13" t="s">
        <v>88</v>
      </c>
      <c r="E379" s="14" t="s">
        <v>150</v>
      </c>
      <c r="F379" s="10" t="s">
        <v>1330</v>
      </c>
      <c r="G379" s="10">
        <f t="shared" si="10"/>
        <v>1</v>
      </c>
      <c r="H379" s="10" t="s">
        <v>1343</v>
      </c>
      <c r="I379" s="10" t="b">
        <f t="shared" si="9"/>
        <v>0</v>
      </c>
    </row>
    <row r="380">
      <c r="A380" s="7" t="s">
        <v>1333</v>
      </c>
      <c r="B380" s="9" t="s">
        <v>1811</v>
      </c>
      <c r="C380" s="7" t="s">
        <v>227</v>
      </c>
      <c r="D380" s="7" t="s">
        <v>88</v>
      </c>
      <c r="E380" s="7" t="s">
        <v>229</v>
      </c>
      <c r="F380" s="15" t="s">
        <v>1333</v>
      </c>
      <c r="G380" s="10">
        <f t="shared" si="10"/>
        <v>1</v>
      </c>
      <c r="H380" s="15" t="s">
        <v>1346</v>
      </c>
      <c r="I380" s="10" t="b">
        <f t="shared" si="9"/>
        <v>0</v>
      </c>
    </row>
    <row r="381">
      <c r="A381" s="13" t="s">
        <v>1336</v>
      </c>
      <c r="B381" s="14" t="s">
        <v>1815</v>
      </c>
      <c r="C381" s="13" t="s">
        <v>227</v>
      </c>
      <c r="D381" s="13" t="s">
        <v>88</v>
      </c>
      <c r="E381" s="13" t="s">
        <v>229</v>
      </c>
      <c r="F381" s="10" t="s">
        <v>1336</v>
      </c>
      <c r="G381" s="10">
        <f t="shared" si="10"/>
        <v>1</v>
      </c>
      <c r="H381" s="10" t="s">
        <v>1350</v>
      </c>
      <c r="I381" s="10" t="b">
        <f t="shared" si="9"/>
        <v>0</v>
      </c>
    </row>
    <row r="382">
      <c r="A382" s="7" t="s">
        <v>1339</v>
      </c>
      <c r="B382" s="9" t="s">
        <v>1817</v>
      </c>
      <c r="C382" s="7" t="s">
        <v>227</v>
      </c>
      <c r="D382" s="7" t="s">
        <v>88</v>
      </c>
      <c r="E382" s="7" t="s">
        <v>229</v>
      </c>
      <c r="F382" s="15" t="s">
        <v>1339</v>
      </c>
      <c r="G382" s="10">
        <f t="shared" si="10"/>
        <v>1</v>
      </c>
      <c r="H382" s="15" t="s">
        <v>1353</v>
      </c>
      <c r="I382" s="10" t="b">
        <f t="shared" si="9"/>
        <v>0</v>
      </c>
    </row>
    <row r="383">
      <c r="A383" s="13" t="s">
        <v>1342</v>
      </c>
      <c r="B383" s="13" t="s">
        <v>1821</v>
      </c>
      <c r="C383" s="13" t="s">
        <v>227</v>
      </c>
      <c r="D383" s="13" t="s">
        <v>26</v>
      </c>
      <c r="E383" s="13" t="s">
        <v>229</v>
      </c>
      <c r="F383" s="10" t="s">
        <v>1342</v>
      </c>
      <c r="G383" s="10">
        <f t="shared" si="10"/>
        <v>1</v>
      </c>
      <c r="H383" s="10" t="s">
        <v>1356</v>
      </c>
      <c r="I383" s="10" t="b">
        <f t="shared" si="9"/>
        <v>0</v>
      </c>
    </row>
    <row r="384">
      <c r="A384" s="7" t="s">
        <v>1345</v>
      </c>
      <c r="B384" s="9" t="s">
        <v>1827</v>
      </c>
      <c r="C384" s="7" t="s">
        <v>227</v>
      </c>
      <c r="D384" s="7" t="s">
        <v>88</v>
      </c>
      <c r="E384" s="7" t="s">
        <v>229</v>
      </c>
      <c r="F384" s="15" t="s">
        <v>1345</v>
      </c>
      <c r="G384" s="10">
        <f t="shared" si="10"/>
        <v>1</v>
      </c>
      <c r="H384" s="15" t="s">
        <v>1359</v>
      </c>
      <c r="I384" s="10" t="b">
        <f t="shared" si="9"/>
        <v>0</v>
      </c>
    </row>
    <row r="385">
      <c r="A385" s="13" t="s">
        <v>1349</v>
      </c>
      <c r="B385" s="14" t="s">
        <v>1831</v>
      </c>
      <c r="C385" s="13" t="s">
        <v>227</v>
      </c>
      <c r="D385" s="13" t="s">
        <v>88</v>
      </c>
      <c r="E385" s="13" t="s">
        <v>229</v>
      </c>
      <c r="F385" s="10" t="s">
        <v>1349</v>
      </c>
      <c r="G385" s="10">
        <f t="shared" si="10"/>
        <v>1</v>
      </c>
      <c r="H385" s="10" t="s">
        <v>1361</v>
      </c>
      <c r="I385" s="10" t="b">
        <f t="shared" si="9"/>
        <v>0</v>
      </c>
    </row>
    <row r="386">
      <c r="A386" s="7" t="s">
        <v>1352</v>
      </c>
      <c r="B386" s="9" t="s">
        <v>1834</v>
      </c>
      <c r="C386" s="7" t="s">
        <v>227</v>
      </c>
      <c r="D386" s="7" t="s">
        <v>88</v>
      </c>
      <c r="E386" s="7" t="s">
        <v>229</v>
      </c>
      <c r="F386" s="15" t="s">
        <v>1352</v>
      </c>
      <c r="G386" s="10">
        <f t="shared" si="10"/>
        <v>1</v>
      </c>
      <c r="H386" s="15" t="s">
        <v>1363</v>
      </c>
      <c r="I386" s="10" t="b">
        <f t="shared" si="9"/>
        <v>0</v>
      </c>
    </row>
    <row r="387">
      <c r="A387" s="13" t="s">
        <v>1354</v>
      </c>
      <c r="B387" s="14" t="s">
        <v>1837</v>
      </c>
      <c r="C387" s="13" t="s">
        <v>227</v>
      </c>
      <c r="D387" s="13" t="s">
        <v>88</v>
      </c>
      <c r="E387" s="13" t="s">
        <v>229</v>
      </c>
      <c r="F387" s="10" t="s">
        <v>1354</v>
      </c>
      <c r="G387" s="10">
        <f t="shared" si="10"/>
        <v>1</v>
      </c>
      <c r="H387" s="10" t="s">
        <v>1366</v>
      </c>
      <c r="I387" s="10" t="b">
        <f t="shared" si="9"/>
        <v>0</v>
      </c>
    </row>
    <row r="388">
      <c r="A388" s="7" t="s">
        <v>1357</v>
      </c>
      <c r="B388" s="9" t="s">
        <v>1841</v>
      </c>
      <c r="C388" s="7" t="s">
        <v>227</v>
      </c>
      <c r="D388" s="7" t="s">
        <v>88</v>
      </c>
      <c r="E388" s="7" t="s">
        <v>229</v>
      </c>
      <c r="F388" s="15" t="s">
        <v>1357</v>
      </c>
      <c r="G388" s="10">
        <f t="shared" si="10"/>
        <v>1</v>
      </c>
      <c r="H388" s="15" t="s">
        <v>1369</v>
      </c>
      <c r="I388" s="10" t="b">
        <f t="shared" si="9"/>
        <v>0</v>
      </c>
    </row>
    <row r="389">
      <c r="A389" s="13" t="s">
        <v>1360</v>
      </c>
      <c r="B389" s="14" t="s">
        <v>1845</v>
      </c>
      <c r="C389" s="13" t="s">
        <v>227</v>
      </c>
      <c r="D389" s="13" t="s">
        <v>88</v>
      </c>
      <c r="E389" s="13" t="s">
        <v>229</v>
      </c>
      <c r="F389" s="10" t="s">
        <v>1360</v>
      </c>
      <c r="G389" s="10">
        <f t="shared" si="10"/>
        <v>1</v>
      </c>
      <c r="H389" s="10" t="s">
        <v>1371</v>
      </c>
      <c r="I389" s="10" t="b">
        <f t="shared" si="9"/>
        <v>0</v>
      </c>
    </row>
    <row r="390">
      <c r="A390" s="7" t="s">
        <v>1362</v>
      </c>
      <c r="B390" s="7" t="s">
        <v>1848</v>
      </c>
      <c r="C390" s="7" t="s">
        <v>87</v>
      </c>
      <c r="D390" s="7" t="s">
        <v>88</v>
      </c>
      <c r="E390" s="7" t="s">
        <v>1099</v>
      </c>
      <c r="F390" s="15" t="s">
        <v>1362</v>
      </c>
      <c r="G390" s="10">
        <f t="shared" si="10"/>
        <v>1</v>
      </c>
      <c r="H390" s="15" t="s">
        <v>1375</v>
      </c>
      <c r="I390" s="10" t="b">
        <f t="shared" si="9"/>
        <v>0</v>
      </c>
    </row>
    <row r="391">
      <c r="A391" s="13" t="s">
        <v>1365</v>
      </c>
      <c r="B391" s="14" t="s">
        <v>1852</v>
      </c>
      <c r="C391" s="13" t="s">
        <v>22</v>
      </c>
      <c r="D391" s="13" t="s">
        <v>88</v>
      </c>
      <c r="E391" s="14" t="s">
        <v>1856</v>
      </c>
      <c r="F391" s="10" t="s">
        <v>1365</v>
      </c>
      <c r="G391" s="10">
        <f t="shared" si="10"/>
        <v>1</v>
      </c>
      <c r="H391" s="10" t="s">
        <v>1377</v>
      </c>
      <c r="I391" s="10" t="b">
        <f t="shared" si="9"/>
        <v>0</v>
      </c>
    </row>
    <row r="392">
      <c r="A392" s="7" t="s">
        <v>169</v>
      </c>
      <c r="B392" s="7" t="s">
        <v>1860</v>
      </c>
      <c r="C392" s="7" t="s">
        <v>87</v>
      </c>
      <c r="D392" s="7" t="s">
        <v>88</v>
      </c>
      <c r="E392" s="9" t="s">
        <v>589</v>
      </c>
      <c r="F392" s="15" t="s">
        <v>169</v>
      </c>
      <c r="G392" s="10">
        <f t="shared" si="10"/>
        <v>1</v>
      </c>
      <c r="H392" s="15" t="s">
        <v>1380</v>
      </c>
      <c r="I392" s="10" t="b">
        <f t="shared" si="9"/>
        <v>0</v>
      </c>
    </row>
    <row r="393">
      <c r="A393" s="13" t="s">
        <v>202</v>
      </c>
      <c r="B393" s="14" t="s">
        <v>1864</v>
      </c>
      <c r="C393" s="13" t="s">
        <v>22</v>
      </c>
      <c r="D393" s="13" t="s">
        <v>88</v>
      </c>
      <c r="E393" s="14" t="s">
        <v>1866</v>
      </c>
      <c r="F393" s="10" t="s">
        <v>202</v>
      </c>
      <c r="G393" s="10">
        <f t="shared" si="10"/>
        <v>1</v>
      </c>
      <c r="H393" s="10" t="s">
        <v>1383</v>
      </c>
      <c r="I393" s="10" t="b">
        <f t="shared" si="9"/>
        <v>0</v>
      </c>
    </row>
    <row r="394">
      <c r="A394" s="7" t="s">
        <v>1373</v>
      </c>
      <c r="B394" s="9" t="s">
        <v>1868</v>
      </c>
      <c r="C394" s="7" t="s">
        <v>22</v>
      </c>
      <c r="D394" s="7" t="s">
        <v>88</v>
      </c>
      <c r="E394" s="7" t="s">
        <v>163</v>
      </c>
      <c r="F394" s="15" t="s">
        <v>1373</v>
      </c>
      <c r="G394" s="10">
        <f t="shared" si="10"/>
        <v>1</v>
      </c>
      <c r="H394" s="15" t="s">
        <v>1385</v>
      </c>
      <c r="I394" s="10" t="b">
        <f t="shared" si="9"/>
        <v>0</v>
      </c>
    </row>
    <row r="395">
      <c r="A395" s="13" t="s">
        <v>1376</v>
      </c>
      <c r="B395" s="14" t="s">
        <v>1873</v>
      </c>
      <c r="C395" s="13" t="s">
        <v>87</v>
      </c>
      <c r="D395" s="13" t="s">
        <v>88</v>
      </c>
      <c r="E395" s="14" t="s">
        <v>802</v>
      </c>
      <c r="F395" s="10" t="s">
        <v>1376</v>
      </c>
      <c r="G395" s="10">
        <f t="shared" si="10"/>
        <v>1</v>
      </c>
      <c r="H395" s="10" t="s">
        <v>1387</v>
      </c>
      <c r="I395" s="10" t="b">
        <f t="shared" si="9"/>
        <v>0</v>
      </c>
    </row>
    <row r="396">
      <c r="A396" s="7" t="s">
        <v>1379</v>
      </c>
      <c r="B396" s="9" t="s">
        <v>1876</v>
      </c>
      <c r="C396" s="7" t="s">
        <v>87</v>
      </c>
      <c r="D396" s="7" t="s">
        <v>88</v>
      </c>
      <c r="E396" s="9" t="s">
        <v>589</v>
      </c>
      <c r="F396" s="15" t="s">
        <v>1379</v>
      </c>
      <c r="G396" s="10">
        <f t="shared" si="10"/>
        <v>1</v>
      </c>
      <c r="H396" s="15" t="s">
        <v>1389</v>
      </c>
      <c r="I396" s="10" t="b">
        <f t="shared" si="9"/>
        <v>0</v>
      </c>
    </row>
    <row r="397">
      <c r="A397" s="13" t="s">
        <v>1382</v>
      </c>
      <c r="B397" s="13" t="s">
        <v>1880</v>
      </c>
      <c r="C397" s="13" t="s">
        <v>87</v>
      </c>
      <c r="D397" s="13" t="s">
        <v>88</v>
      </c>
      <c r="E397" s="13" t="s">
        <v>343</v>
      </c>
      <c r="F397" s="10" t="s">
        <v>1382</v>
      </c>
      <c r="G397" s="10">
        <f t="shared" si="10"/>
        <v>1</v>
      </c>
      <c r="H397" s="10" t="s">
        <v>1395</v>
      </c>
      <c r="I397" s="10" t="b">
        <f t="shared" si="9"/>
        <v>0</v>
      </c>
    </row>
    <row r="398">
      <c r="A398" s="7" t="s">
        <v>1384</v>
      </c>
      <c r="B398" s="7" t="s">
        <v>1884</v>
      </c>
      <c r="C398" s="7" t="s">
        <v>87</v>
      </c>
      <c r="D398" s="7" t="s">
        <v>88</v>
      </c>
      <c r="E398" s="7" t="s">
        <v>343</v>
      </c>
      <c r="F398" s="15" t="s">
        <v>1384</v>
      </c>
      <c r="G398" s="10">
        <f t="shared" si="10"/>
        <v>1</v>
      </c>
      <c r="H398" s="15" t="s">
        <v>1398</v>
      </c>
      <c r="I398" s="10" t="b">
        <f t="shared" si="9"/>
        <v>0</v>
      </c>
    </row>
    <row r="399">
      <c r="A399" s="13" t="s">
        <v>1386</v>
      </c>
      <c r="B399" s="13" t="s">
        <v>1888</v>
      </c>
      <c r="C399" s="13" t="s">
        <v>87</v>
      </c>
      <c r="D399" s="13" t="s">
        <v>88</v>
      </c>
      <c r="E399" s="14" t="s">
        <v>802</v>
      </c>
      <c r="F399" s="10" t="s">
        <v>1386</v>
      </c>
      <c r="G399" s="10">
        <f t="shared" si="10"/>
        <v>1</v>
      </c>
      <c r="H399" s="10" t="s">
        <v>1400</v>
      </c>
      <c r="I399" s="10" t="b">
        <f t="shared" si="9"/>
        <v>0</v>
      </c>
    </row>
    <row r="400">
      <c r="A400" s="7" t="s">
        <v>1388</v>
      </c>
      <c r="B400" s="9" t="s">
        <v>1893</v>
      </c>
      <c r="C400" s="7" t="s">
        <v>87</v>
      </c>
      <c r="D400" s="7" t="s">
        <v>88</v>
      </c>
      <c r="E400" s="7" t="s">
        <v>343</v>
      </c>
      <c r="F400" s="15" t="s">
        <v>1388</v>
      </c>
      <c r="G400" s="10">
        <f t="shared" si="10"/>
        <v>1</v>
      </c>
      <c r="H400" s="15" t="s">
        <v>1404</v>
      </c>
      <c r="I400" s="10" t="b">
        <f t="shared" si="9"/>
        <v>0</v>
      </c>
    </row>
    <row r="401">
      <c r="A401" s="13" t="s">
        <v>1393</v>
      </c>
      <c r="B401" s="14" t="s">
        <v>1896</v>
      </c>
      <c r="C401" s="13" t="s">
        <v>87</v>
      </c>
      <c r="D401" s="13" t="s">
        <v>88</v>
      </c>
      <c r="E401" s="13" t="s">
        <v>343</v>
      </c>
      <c r="F401" s="10" t="s">
        <v>1393</v>
      </c>
      <c r="G401" s="10">
        <f t="shared" si="10"/>
        <v>1</v>
      </c>
      <c r="H401" s="10" t="s">
        <v>1406</v>
      </c>
      <c r="I401" s="10" t="b">
        <f t="shared" si="9"/>
        <v>0</v>
      </c>
    </row>
    <row r="402">
      <c r="A402" s="7" t="s">
        <v>1396</v>
      </c>
      <c r="B402" s="9" t="s">
        <v>1899</v>
      </c>
      <c r="C402" s="7" t="s">
        <v>87</v>
      </c>
      <c r="D402" s="7" t="s">
        <v>88</v>
      </c>
      <c r="E402" s="7" t="s">
        <v>343</v>
      </c>
      <c r="F402" s="15" t="s">
        <v>1396</v>
      </c>
      <c r="G402" s="10">
        <f t="shared" si="10"/>
        <v>1</v>
      </c>
      <c r="H402" s="15" t="s">
        <v>1409</v>
      </c>
      <c r="I402" s="10" t="b">
        <f t="shared" si="9"/>
        <v>0</v>
      </c>
    </row>
    <row r="403">
      <c r="A403" s="13" t="s">
        <v>1399</v>
      </c>
      <c r="B403" s="14" t="s">
        <v>1904</v>
      </c>
      <c r="C403" s="13" t="s">
        <v>87</v>
      </c>
      <c r="D403" s="13" t="s">
        <v>88</v>
      </c>
      <c r="E403" s="13" t="s">
        <v>343</v>
      </c>
      <c r="F403" s="10" t="s">
        <v>1399</v>
      </c>
      <c r="G403" s="10">
        <f t="shared" si="10"/>
        <v>1</v>
      </c>
      <c r="H403" s="10" t="s">
        <v>1411</v>
      </c>
      <c r="I403" s="10" t="b">
        <f t="shared" si="9"/>
        <v>0</v>
      </c>
    </row>
    <row r="404">
      <c r="A404" s="7" t="s">
        <v>1403</v>
      </c>
      <c r="B404" s="9" t="s">
        <v>1907</v>
      </c>
      <c r="C404" s="7" t="s">
        <v>87</v>
      </c>
      <c r="D404" s="7" t="s">
        <v>88</v>
      </c>
      <c r="E404" s="7" t="s">
        <v>343</v>
      </c>
      <c r="F404" s="15" t="s">
        <v>1403</v>
      </c>
      <c r="G404" s="10">
        <f t="shared" si="10"/>
        <v>1</v>
      </c>
      <c r="H404" s="15" t="s">
        <v>1414</v>
      </c>
      <c r="I404" s="10" t="b">
        <f t="shared" si="9"/>
        <v>0</v>
      </c>
    </row>
    <row r="405">
      <c r="A405" s="13" t="s">
        <v>1405</v>
      </c>
      <c r="B405" s="14" t="s">
        <v>1910</v>
      </c>
      <c r="C405" s="13" t="s">
        <v>22</v>
      </c>
      <c r="D405" s="13" t="s">
        <v>88</v>
      </c>
      <c r="E405" s="14" t="s">
        <v>509</v>
      </c>
      <c r="F405" s="10" t="s">
        <v>1405</v>
      </c>
      <c r="G405" s="10">
        <f t="shared" si="10"/>
        <v>1</v>
      </c>
      <c r="H405" s="10" t="s">
        <v>1416</v>
      </c>
      <c r="I405" s="10" t="b">
        <f t="shared" si="9"/>
        <v>0</v>
      </c>
    </row>
    <row r="406">
      <c r="A406" s="7" t="s">
        <v>1408</v>
      </c>
      <c r="B406" s="7" t="s">
        <v>1913</v>
      </c>
      <c r="C406" s="7" t="s">
        <v>22</v>
      </c>
      <c r="D406" s="7" t="s">
        <v>88</v>
      </c>
      <c r="E406" s="9" t="s">
        <v>632</v>
      </c>
      <c r="F406" s="15" t="s">
        <v>1408</v>
      </c>
      <c r="G406" s="10">
        <f t="shared" si="10"/>
        <v>1</v>
      </c>
      <c r="H406" s="15" t="s">
        <v>1419</v>
      </c>
      <c r="I406" s="10" t="b">
        <f t="shared" si="9"/>
        <v>0</v>
      </c>
    </row>
    <row r="407">
      <c r="A407" s="13" t="s">
        <v>1410</v>
      </c>
      <c r="B407" s="13" t="s">
        <v>1918</v>
      </c>
      <c r="C407" s="13" t="s">
        <v>22</v>
      </c>
      <c r="D407" s="13" t="s">
        <v>88</v>
      </c>
      <c r="E407" s="13" t="s">
        <v>163</v>
      </c>
      <c r="F407" s="10" t="s">
        <v>1410</v>
      </c>
      <c r="G407" s="10">
        <f t="shared" si="10"/>
        <v>1</v>
      </c>
      <c r="H407" s="10" t="s">
        <v>1422</v>
      </c>
      <c r="I407" s="10" t="b">
        <f t="shared" si="9"/>
        <v>0</v>
      </c>
    </row>
    <row r="408">
      <c r="A408" s="7" t="s">
        <v>1412</v>
      </c>
      <c r="B408" s="7" t="s">
        <v>1921</v>
      </c>
      <c r="C408" s="7" t="s">
        <v>22</v>
      </c>
      <c r="D408" s="7" t="s">
        <v>88</v>
      </c>
      <c r="E408" s="7" t="s">
        <v>201</v>
      </c>
      <c r="F408" s="15" t="s">
        <v>1412</v>
      </c>
      <c r="G408" s="10">
        <f t="shared" si="10"/>
        <v>1</v>
      </c>
      <c r="H408" s="15" t="s">
        <v>1426</v>
      </c>
      <c r="I408" s="10" t="b">
        <f t="shared" si="9"/>
        <v>0</v>
      </c>
    </row>
    <row r="409">
      <c r="A409" s="13" t="s">
        <v>1415</v>
      </c>
      <c r="B409" s="13" t="s">
        <v>1924</v>
      </c>
      <c r="C409" s="13" t="s">
        <v>22</v>
      </c>
      <c r="D409" s="13" t="s">
        <v>88</v>
      </c>
      <c r="E409" s="13" t="s">
        <v>201</v>
      </c>
      <c r="F409" s="10" t="s">
        <v>1415</v>
      </c>
      <c r="G409" s="10">
        <f t="shared" si="10"/>
        <v>1</v>
      </c>
      <c r="H409" s="10" t="s">
        <v>1428</v>
      </c>
      <c r="I409" s="10" t="b">
        <f t="shared" si="9"/>
        <v>0</v>
      </c>
    </row>
    <row r="410">
      <c r="A410" s="7" t="s">
        <v>1418</v>
      </c>
      <c r="B410" s="9" t="s">
        <v>1930</v>
      </c>
      <c r="C410" s="7" t="s">
        <v>22</v>
      </c>
      <c r="D410" s="7" t="s">
        <v>88</v>
      </c>
      <c r="E410" s="9" t="s">
        <v>167</v>
      </c>
      <c r="F410" s="15" t="s">
        <v>1418</v>
      </c>
      <c r="G410" s="10">
        <f t="shared" si="10"/>
        <v>1</v>
      </c>
      <c r="H410" s="15" t="s">
        <v>1430</v>
      </c>
      <c r="I410" s="10" t="b">
        <f t="shared" si="9"/>
        <v>0</v>
      </c>
    </row>
    <row r="411">
      <c r="A411" s="13" t="s">
        <v>1421</v>
      </c>
      <c r="B411" s="14" t="s">
        <v>1933</v>
      </c>
      <c r="C411" s="13" t="s">
        <v>22</v>
      </c>
      <c r="D411" s="13" t="s">
        <v>88</v>
      </c>
      <c r="E411" s="14" t="s">
        <v>299</v>
      </c>
      <c r="F411" s="10" t="s">
        <v>1421</v>
      </c>
      <c r="G411" s="10">
        <f t="shared" si="10"/>
        <v>1</v>
      </c>
      <c r="H411" s="10" t="s">
        <v>1433</v>
      </c>
      <c r="I411" s="10" t="b">
        <f t="shared" si="9"/>
        <v>0</v>
      </c>
    </row>
    <row r="412">
      <c r="A412" s="7" t="s">
        <v>1424</v>
      </c>
      <c r="B412" s="9" t="s">
        <v>1937</v>
      </c>
      <c r="C412" s="7" t="s">
        <v>22</v>
      </c>
      <c r="D412" s="7" t="s">
        <v>88</v>
      </c>
      <c r="E412" s="9" t="s">
        <v>167</v>
      </c>
      <c r="F412" s="15" t="s">
        <v>1424</v>
      </c>
      <c r="G412" s="10">
        <f t="shared" si="10"/>
        <v>1</v>
      </c>
      <c r="H412" s="15" t="s">
        <v>1435</v>
      </c>
      <c r="I412" s="10" t="b">
        <f t="shared" si="9"/>
        <v>0</v>
      </c>
    </row>
    <row r="413">
      <c r="A413" s="13" t="s">
        <v>1427</v>
      </c>
      <c r="B413" s="14" t="s">
        <v>1942</v>
      </c>
      <c r="C413" s="13" t="s">
        <v>22</v>
      </c>
      <c r="D413" s="13" t="s">
        <v>88</v>
      </c>
      <c r="E413" s="14" t="s">
        <v>299</v>
      </c>
      <c r="F413" s="10" t="s">
        <v>1427</v>
      </c>
      <c r="G413" s="10">
        <f t="shared" si="10"/>
        <v>1</v>
      </c>
      <c r="H413" s="10" t="s">
        <v>1439</v>
      </c>
      <c r="I413" s="10" t="b">
        <f t="shared" si="9"/>
        <v>0</v>
      </c>
    </row>
    <row r="414">
      <c r="A414" s="7" t="s">
        <v>1429</v>
      </c>
      <c r="B414" s="9" t="s">
        <v>1945</v>
      </c>
      <c r="C414" s="7" t="s">
        <v>22</v>
      </c>
      <c r="D414" s="7" t="s">
        <v>88</v>
      </c>
      <c r="E414" s="9" t="s">
        <v>167</v>
      </c>
      <c r="F414" s="15" t="s">
        <v>1429</v>
      </c>
      <c r="G414" s="10">
        <f t="shared" si="10"/>
        <v>1</v>
      </c>
      <c r="H414" s="15" t="s">
        <v>1947</v>
      </c>
      <c r="I414" s="10" t="b">
        <f t="shared" si="9"/>
        <v>0</v>
      </c>
    </row>
    <row r="415">
      <c r="A415" s="13" t="s">
        <v>1432</v>
      </c>
      <c r="B415" s="14" t="s">
        <v>1949</v>
      </c>
      <c r="C415" s="13" t="s">
        <v>22</v>
      </c>
      <c r="D415" s="13" t="s">
        <v>88</v>
      </c>
      <c r="E415" s="14" t="s">
        <v>299</v>
      </c>
      <c r="F415" s="10" t="s">
        <v>1432</v>
      </c>
      <c r="G415" s="10">
        <f t="shared" si="10"/>
        <v>1</v>
      </c>
      <c r="H415" s="10" t="s">
        <v>1446</v>
      </c>
      <c r="I415" s="10" t="b">
        <f t="shared" si="9"/>
        <v>0</v>
      </c>
    </row>
    <row r="416">
      <c r="A416" s="7" t="s">
        <v>1434</v>
      </c>
      <c r="B416" s="7" t="s">
        <v>1954</v>
      </c>
      <c r="C416" s="7" t="s">
        <v>22</v>
      </c>
      <c r="D416" s="7" t="s">
        <v>88</v>
      </c>
      <c r="E416" s="9" t="s">
        <v>1956</v>
      </c>
      <c r="F416" s="15" t="s">
        <v>1434</v>
      </c>
      <c r="G416" s="10">
        <f t="shared" si="10"/>
        <v>1</v>
      </c>
      <c r="H416" s="15" t="s">
        <v>1450</v>
      </c>
      <c r="I416" s="10" t="b">
        <f t="shared" si="9"/>
        <v>0</v>
      </c>
    </row>
    <row r="417">
      <c r="A417" s="13" t="s">
        <v>1438</v>
      </c>
      <c r="B417" s="14" t="s">
        <v>1959</v>
      </c>
      <c r="C417" s="13" t="s">
        <v>87</v>
      </c>
      <c r="D417" s="13" t="s">
        <v>26</v>
      </c>
      <c r="E417" s="13" t="s">
        <v>117</v>
      </c>
      <c r="F417" s="10" t="s">
        <v>1438</v>
      </c>
      <c r="G417" s="10">
        <f t="shared" si="10"/>
        <v>1</v>
      </c>
      <c r="H417" s="10" t="s">
        <v>1453</v>
      </c>
      <c r="I417" s="10" t="b">
        <f t="shared" si="9"/>
        <v>0</v>
      </c>
    </row>
    <row r="418">
      <c r="A418" s="7" t="s">
        <v>1441</v>
      </c>
      <c r="B418" s="9" t="s">
        <v>1960</v>
      </c>
      <c r="C418" s="7" t="s">
        <v>227</v>
      </c>
      <c r="D418" s="7" t="s">
        <v>88</v>
      </c>
      <c r="E418" s="7" t="s">
        <v>229</v>
      </c>
      <c r="F418" s="15" t="s">
        <v>1441</v>
      </c>
      <c r="G418" s="10">
        <f t="shared" si="10"/>
        <v>1</v>
      </c>
      <c r="H418" s="15" t="s">
        <v>1456</v>
      </c>
      <c r="I418" s="10" t="b">
        <f t="shared" si="9"/>
        <v>0</v>
      </c>
    </row>
    <row r="419">
      <c r="A419" s="13" t="s">
        <v>1444</v>
      </c>
      <c r="B419" s="13" t="s">
        <v>1964</v>
      </c>
      <c r="C419" s="13" t="s">
        <v>22</v>
      </c>
      <c r="D419" s="13" t="s">
        <v>88</v>
      </c>
      <c r="E419" s="14" t="s">
        <v>792</v>
      </c>
      <c r="F419" s="10" t="s">
        <v>1444</v>
      </c>
      <c r="G419" s="10">
        <f t="shared" si="10"/>
        <v>1</v>
      </c>
      <c r="H419" s="10" t="s">
        <v>1458</v>
      </c>
      <c r="I419" s="10" t="b">
        <f t="shared" si="9"/>
        <v>0</v>
      </c>
    </row>
    <row r="420">
      <c r="A420" s="7" t="s">
        <v>1448</v>
      </c>
      <c r="B420" s="9" t="s">
        <v>1967</v>
      </c>
      <c r="C420" s="7" t="s">
        <v>87</v>
      </c>
      <c r="D420" s="7" t="s">
        <v>88</v>
      </c>
      <c r="E420" s="9" t="s">
        <v>802</v>
      </c>
      <c r="F420" s="15" t="s">
        <v>1448</v>
      </c>
      <c r="G420" s="10">
        <f t="shared" si="10"/>
        <v>1</v>
      </c>
      <c r="H420" s="15" t="s">
        <v>1462</v>
      </c>
      <c r="I420" s="10" t="b">
        <f t="shared" si="9"/>
        <v>0</v>
      </c>
    </row>
    <row r="421">
      <c r="A421" s="13" t="s">
        <v>1452</v>
      </c>
      <c r="B421" s="14" t="s">
        <v>1971</v>
      </c>
      <c r="C421" s="13" t="s">
        <v>87</v>
      </c>
      <c r="D421" s="13" t="s">
        <v>88</v>
      </c>
      <c r="E421" s="13" t="s">
        <v>343</v>
      </c>
      <c r="F421" s="10" t="s">
        <v>1452</v>
      </c>
      <c r="G421" s="10">
        <f t="shared" si="10"/>
        <v>1</v>
      </c>
      <c r="H421" s="10" t="s">
        <v>1465</v>
      </c>
      <c r="I421" s="10" t="b">
        <f t="shared" si="9"/>
        <v>0</v>
      </c>
    </row>
    <row r="422">
      <c r="A422" s="7" t="s">
        <v>1454</v>
      </c>
      <c r="B422" s="9" t="s">
        <v>1975</v>
      </c>
      <c r="C422" s="7" t="s">
        <v>87</v>
      </c>
      <c r="D422" s="7" t="s">
        <v>88</v>
      </c>
      <c r="E422" s="9" t="s">
        <v>802</v>
      </c>
      <c r="F422" s="15" t="s">
        <v>1454</v>
      </c>
      <c r="G422" s="10">
        <f t="shared" si="10"/>
        <v>1</v>
      </c>
      <c r="H422" s="15" t="s">
        <v>1468</v>
      </c>
      <c r="I422" s="10" t="b">
        <f t="shared" si="9"/>
        <v>0</v>
      </c>
    </row>
    <row r="423">
      <c r="A423" s="13" t="s">
        <v>1457</v>
      </c>
      <c r="B423" s="14" t="s">
        <v>1980</v>
      </c>
      <c r="C423" s="13" t="s">
        <v>87</v>
      </c>
      <c r="D423" s="13" t="s">
        <v>88</v>
      </c>
      <c r="E423" s="13" t="s">
        <v>343</v>
      </c>
      <c r="F423" s="10" t="s">
        <v>1457</v>
      </c>
      <c r="G423" s="10">
        <f t="shared" si="10"/>
        <v>1</v>
      </c>
      <c r="H423" s="10" t="s">
        <v>1471</v>
      </c>
      <c r="I423" s="10" t="b">
        <f t="shared" si="9"/>
        <v>0</v>
      </c>
    </row>
    <row r="424">
      <c r="A424" s="7" t="s">
        <v>1461</v>
      </c>
      <c r="B424" s="7" t="s">
        <v>1984</v>
      </c>
      <c r="C424" s="7" t="s">
        <v>227</v>
      </c>
      <c r="D424" s="7" t="s">
        <v>88</v>
      </c>
      <c r="E424" s="7" t="s">
        <v>229</v>
      </c>
      <c r="F424" s="15" t="s">
        <v>1461</v>
      </c>
      <c r="G424" s="10">
        <f t="shared" si="10"/>
        <v>1</v>
      </c>
      <c r="H424" s="15" t="s">
        <v>1474</v>
      </c>
      <c r="I424" s="10" t="b">
        <f t="shared" si="9"/>
        <v>0</v>
      </c>
    </row>
    <row r="425">
      <c r="A425" s="13" t="s">
        <v>1464</v>
      </c>
      <c r="B425" s="14" t="s">
        <v>1988</v>
      </c>
      <c r="C425" s="13" t="s">
        <v>227</v>
      </c>
      <c r="D425" s="13" t="s">
        <v>88</v>
      </c>
      <c r="E425" s="13" t="s">
        <v>229</v>
      </c>
      <c r="F425" s="10" t="s">
        <v>1464</v>
      </c>
      <c r="G425" s="10">
        <f t="shared" si="10"/>
        <v>1</v>
      </c>
      <c r="H425" s="10" t="s">
        <v>1478</v>
      </c>
      <c r="I425" s="10" t="b">
        <f t="shared" si="9"/>
        <v>0</v>
      </c>
    </row>
    <row r="426">
      <c r="A426" s="7" t="s">
        <v>1467</v>
      </c>
      <c r="B426" s="7" t="s">
        <v>1991</v>
      </c>
      <c r="C426" s="7" t="s">
        <v>22</v>
      </c>
      <c r="D426" s="7" t="s">
        <v>26</v>
      </c>
      <c r="E426" s="7" t="s">
        <v>132</v>
      </c>
      <c r="F426" s="15" t="s">
        <v>1467</v>
      </c>
      <c r="G426" s="10">
        <f t="shared" si="10"/>
        <v>1</v>
      </c>
      <c r="H426" s="15" t="s">
        <v>1482</v>
      </c>
      <c r="I426" s="10" t="b">
        <f t="shared" si="9"/>
        <v>0</v>
      </c>
    </row>
    <row r="427">
      <c r="A427" s="13" t="s">
        <v>1470</v>
      </c>
      <c r="B427" s="13" t="s">
        <v>1994</v>
      </c>
      <c r="C427" s="13" t="s">
        <v>22</v>
      </c>
      <c r="D427" s="13" t="s">
        <v>88</v>
      </c>
      <c r="E427" s="13" t="s">
        <v>1995</v>
      </c>
      <c r="F427" s="10" t="s">
        <v>1470</v>
      </c>
      <c r="G427" s="10">
        <f t="shared" si="10"/>
        <v>1</v>
      </c>
      <c r="H427" s="10" t="s">
        <v>1487</v>
      </c>
      <c r="I427" s="10" t="b">
        <f t="shared" si="9"/>
        <v>0</v>
      </c>
    </row>
    <row r="428">
      <c r="A428" s="7" t="s">
        <v>1473</v>
      </c>
      <c r="B428" s="9" t="s">
        <v>1997</v>
      </c>
      <c r="C428" s="7" t="s">
        <v>22</v>
      </c>
      <c r="D428" s="7" t="s">
        <v>88</v>
      </c>
      <c r="E428" s="9" t="s">
        <v>1998</v>
      </c>
      <c r="F428" s="15" t="s">
        <v>1473</v>
      </c>
      <c r="G428" s="10">
        <f t="shared" si="10"/>
        <v>1</v>
      </c>
      <c r="H428" s="15" t="s">
        <v>1491</v>
      </c>
      <c r="I428" s="10" t="b">
        <f t="shared" si="9"/>
        <v>0</v>
      </c>
    </row>
    <row r="429">
      <c r="A429" s="13" t="s">
        <v>1477</v>
      </c>
      <c r="B429" s="14" t="s">
        <v>2000</v>
      </c>
      <c r="C429" s="13" t="s">
        <v>22</v>
      </c>
      <c r="D429" s="13" t="s">
        <v>88</v>
      </c>
      <c r="E429" s="14" t="s">
        <v>2002</v>
      </c>
      <c r="F429" s="10" t="s">
        <v>1477</v>
      </c>
      <c r="G429" s="10">
        <f t="shared" si="10"/>
        <v>1</v>
      </c>
      <c r="H429" s="10" t="s">
        <v>1495</v>
      </c>
      <c r="I429" s="10" t="b">
        <f t="shared" si="9"/>
        <v>0</v>
      </c>
    </row>
    <row r="430">
      <c r="A430" s="7" t="s">
        <v>1481</v>
      </c>
      <c r="B430" s="9" t="s">
        <v>2003</v>
      </c>
      <c r="C430" s="7" t="s">
        <v>22</v>
      </c>
      <c r="D430" s="7" t="s">
        <v>88</v>
      </c>
      <c r="E430" s="9" t="s">
        <v>2005</v>
      </c>
      <c r="F430" s="15" t="s">
        <v>1481</v>
      </c>
      <c r="G430" s="10">
        <f t="shared" si="10"/>
        <v>1</v>
      </c>
      <c r="H430" s="15" t="s">
        <v>1498</v>
      </c>
      <c r="I430" s="10" t="b">
        <f t="shared" si="9"/>
        <v>0</v>
      </c>
    </row>
    <row r="431">
      <c r="A431" s="13" t="s">
        <v>1486</v>
      </c>
      <c r="B431" s="14" t="s">
        <v>2007</v>
      </c>
      <c r="C431" s="13" t="s">
        <v>22</v>
      </c>
      <c r="D431" s="13" t="s">
        <v>88</v>
      </c>
      <c r="E431" s="14" t="s">
        <v>2008</v>
      </c>
      <c r="F431" s="10" t="s">
        <v>1486</v>
      </c>
      <c r="G431" s="10">
        <f t="shared" si="10"/>
        <v>1</v>
      </c>
      <c r="H431" s="10" t="s">
        <v>1501</v>
      </c>
      <c r="I431" s="10" t="b">
        <f t="shared" si="9"/>
        <v>0</v>
      </c>
    </row>
    <row r="432">
      <c r="A432" s="7" t="s">
        <v>1490</v>
      </c>
      <c r="B432" s="9" t="s">
        <v>2010</v>
      </c>
      <c r="C432" s="7" t="s">
        <v>22</v>
      </c>
      <c r="D432" s="7" t="s">
        <v>88</v>
      </c>
      <c r="E432" s="7" t="s">
        <v>2012</v>
      </c>
      <c r="F432" s="15" t="s">
        <v>1490</v>
      </c>
      <c r="G432" s="10">
        <f t="shared" si="10"/>
        <v>1</v>
      </c>
      <c r="H432" s="15" t="s">
        <v>1505</v>
      </c>
      <c r="I432" s="10" t="b">
        <f t="shared" si="9"/>
        <v>0</v>
      </c>
    </row>
    <row r="433">
      <c r="A433" s="13" t="s">
        <v>1494</v>
      </c>
      <c r="B433" s="14" t="s">
        <v>2014</v>
      </c>
      <c r="C433" s="13" t="s">
        <v>22</v>
      </c>
      <c r="D433" s="13" t="s">
        <v>88</v>
      </c>
      <c r="E433" s="13" t="s">
        <v>429</v>
      </c>
      <c r="F433" s="10" t="s">
        <v>1494</v>
      </c>
      <c r="G433" s="10">
        <f t="shared" si="10"/>
        <v>1</v>
      </c>
      <c r="H433" s="10" t="s">
        <v>2018</v>
      </c>
      <c r="I433" s="10" t="b">
        <f t="shared" si="9"/>
        <v>0</v>
      </c>
    </row>
    <row r="434">
      <c r="A434" s="7" t="s">
        <v>1496</v>
      </c>
      <c r="B434" s="9" t="s">
        <v>2019</v>
      </c>
      <c r="C434" s="7" t="s">
        <v>22</v>
      </c>
      <c r="D434" s="7" t="s">
        <v>88</v>
      </c>
      <c r="E434" s="9" t="s">
        <v>2021</v>
      </c>
      <c r="F434" s="15" t="s">
        <v>1496</v>
      </c>
      <c r="G434" s="10">
        <f t="shared" si="10"/>
        <v>1</v>
      </c>
      <c r="H434" s="15" t="s">
        <v>1513</v>
      </c>
      <c r="I434" s="10" t="b">
        <f t="shared" si="9"/>
        <v>0</v>
      </c>
    </row>
    <row r="435">
      <c r="A435" s="13" t="s">
        <v>1500</v>
      </c>
      <c r="B435" s="14" t="s">
        <v>2023</v>
      </c>
      <c r="C435" s="13" t="s">
        <v>22</v>
      </c>
      <c r="D435" s="13" t="s">
        <v>88</v>
      </c>
      <c r="E435" s="14" t="s">
        <v>2025</v>
      </c>
      <c r="F435" s="10" t="s">
        <v>1500</v>
      </c>
      <c r="G435" s="10">
        <f t="shared" si="10"/>
        <v>1</v>
      </c>
      <c r="H435" s="10" t="s">
        <v>1517</v>
      </c>
      <c r="I435" s="10" t="b">
        <f t="shared" si="9"/>
        <v>0</v>
      </c>
    </row>
    <row r="436">
      <c r="A436" s="7" t="s">
        <v>1504</v>
      </c>
      <c r="B436" s="9" t="s">
        <v>2029</v>
      </c>
      <c r="C436" s="7" t="s">
        <v>22</v>
      </c>
      <c r="D436" s="7" t="s">
        <v>88</v>
      </c>
      <c r="E436" s="9" t="s">
        <v>2032</v>
      </c>
      <c r="F436" s="15" t="s">
        <v>1504</v>
      </c>
      <c r="G436" s="10">
        <f t="shared" si="10"/>
        <v>1</v>
      </c>
      <c r="H436" s="15" t="s">
        <v>1520</v>
      </c>
      <c r="I436" s="10" t="b">
        <f t="shared" si="9"/>
        <v>0</v>
      </c>
    </row>
    <row r="437">
      <c r="A437" s="13" t="s">
        <v>1508</v>
      </c>
      <c r="B437" s="14" t="s">
        <v>2035</v>
      </c>
      <c r="C437" s="13" t="s">
        <v>87</v>
      </c>
      <c r="D437" s="13" t="s">
        <v>88</v>
      </c>
      <c r="E437" s="14" t="s">
        <v>2038</v>
      </c>
      <c r="F437" s="10" t="s">
        <v>1508</v>
      </c>
      <c r="G437" s="10">
        <f t="shared" si="10"/>
        <v>1</v>
      </c>
      <c r="H437" s="10" t="s">
        <v>1524</v>
      </c>
      <c r="I437" s="10" t="b">
        <f t="shared" si="9"/>
        <v>0</v>
      </c>
    </row>
    <row r="438">
      <c r="A438" s="7" t="s">
        <v>1512</v>
      </c>
      <c r="B438" s="9" t="s">
        <v>2043</v>
      </c>
      <c r="C438" s="7" t="s">
        <v>87</v>
      </c>
      <c r="D438" s="7" t="s">
        <v>88</v>
      </c>
      <c r="E438" s="9" t="s">
        <v>2045</v>
      </c>
      <c r="F438" s="15" t="s">
        <v>1512</v>
      </c>
      <c r="G438" s="10">
        <f t="shared" si="10"/>
        <v>1</v>
      </c>
      <c r="H438" s="15" t="s">
        <v>1526</v>
      </c>
      <c r="I438" s="10" t="b">
        <f t="shared" si="9"/>
        <v>0</v>
      </c>
    </row>
    <row r="439">
      <c r="A439" s="13" t="s">
        <v>1516</v>
      </c>
      <c r="B439" s="13" t="s">
        <v>2050</v>
      </c>
      <c r="C439" s="13" t="s">
        <v>87</v>
      </c>
      <c r="D439" s="13" t="s">
        <v>88</v>
      </c>
      <c r="E439" s="13" t="s">
        <v>2052</v>
      </c>
      <c r="F439" s="10" t="s">
        <v>1516</v>
      </c>
      <c r="G439" s="10">
        <f t="shared" si="10"/>
        <v>1</v>
      </c>
      <c r="H439" s="10" t="s">
        <v>1529</v>
      </c>
      <c r="I439" s="10" t="b">
        <f t="shared" si="9"/>
        <v>0</v>
      </c>
    </row>
    <row r="440">
      <c r="A440" s="7" t="s">
        <v>1519</v>
      </c>
      <c r="B440" s="7" t="s">
        <v>2056</v>
      </c>
      <c r="C440" s="7" t="s">
        <v>87</v>
      </c>
      <c r="D440" s="7" t="s">
        <v>88</v>
      </c>
      <c r="E440" s="9" t="s">
        <v>2058</v>
      </c>
      <c r="F440" s="15" t="s">
        <v>1519</v>
      </c>
      <c r="G440" s="10">
        <f t="shared" si="10"/>
        <v>1</v>
      </c>
      <c r="H440" s="15" t="s">
        <v>1533</v>
      </c>
      <c r="I440" s="10" t="b">
        <f t="shared" si="9"/>
        <v>0</v>
      </c>
    </row>
    <row r="441">
      <c r="A441" s="13" t="s">
        <v>1523</v>
      </c>
      <c r="B441" s="14" t="s">
        <v>2063</v>
      </c>
      <c r="C441" s="13" t="s">
        <v>87</v>
      </c>
      <c r="D441" s="13" t="s">
        <v>88</v>
      </c>
      <c r="E441" s="14" t="s">
        <v>802</v>
      </c>
      <c r="F441" s="10" t="s">
        <v>1523</v>
      </c>
      <c r="G441" s="10">
        <f t="shared" si="10"/>
        <v>1</v>
      </c>
      <c r="H441" s="10" t="s">
        <v>1536</v>
      </c>
      <c r="I441" s="10" t="b">
        <f t="shared" si="9"/>
        <v>0</v>
      </c>
    </row>
    <row r="442">
      <c r="A442" s="7" t="s">
        <v>1525</v>
      </c>
      <c r="B442" s="9" t="s">
        <v>2068</v>
      </c>
      <c r="C442" s="7" t="s">
        <v>87</v>
      </c>
      <c r="D442" s="7" t="s">
        <v>88</v>
      </c>
      <c r="E442" s="9" t="s">
        <v>802</v>
      </c>
      <c r="F442" s="15" t="s">
        <v>1525</v>
      </c>
      <c r="G442" s="10">
        <f t="shared" si="10"/>
        <v>1</v>
      </c>
      <c r="H442" s="15" t="s">
        <v>1538</v>
      </c>
      <c r="I442" s="10" t="b">
        <f t="shared" si="9"/>
        <v>0</v>
      </c>
    </row>
    <row r="443">
      <c r="A443" s="13" t="s">
        <v>1528</v>
      </c>
      <c r="B443" s="14" t="s">
        <v>2072</v>
      </c>
      <c r="C443" s="13" t="s">
        <v>87</v>
      </c>
      <c r="D443" s="13" t="s">
        <v>88</v>
      </c>
      <c r="E443" s="14" t="s">
        <v>802</v>
      </c>
      <c r="F443" s="10" t="s">
        <v>1528</v>
      </c>
      <c r="G443" s="10">
        <f t="shared" si="10"/>
        <v>1</v>
      </c>
      <c r="H443" s="10" t="s">
        <v>1543</v>
      </c>
      <c r="I443" s="10" t="b">
        <f t="shared" si="9"/>
        <v>0</v>
      </c>
    </row>
    <row r="444">
      <c r="A444" s="7" t="s">
        <v>1532</v>
      </c>
      <c r="B444" s="9" t="s">
        <v>2075</v>
      </c>
      <c r="C444" s="7" t="s">
        <v>87</v>
      </c>
      <c r="D444" s="7" t="s">
        <v>88</v>
      </c>
      <c r="E444" s="9" t="s">
        <v>802</v>
      </c>
      <c r="F444" s="15" t="s">
        <v>1532</v>
      </c>
      <c r="G444" s="10">
        <f t="shared" si="10"/>
        <v>1</v>
      </c>
      <c r="H444" s="15" t="s">
        <v>1547</v>
      </c>
      <c r="I444" s="10" t="b">
        <f t="shared" si="9"/>
        <v>0</v>
      </c>
    </row>
    <row r="445">
      <c r="A445" s="13" t="s">
        <v>122</v>
      </c>
      <c r="B445" s="14" t="s">
        <v>131</v>
      </c>
      <c r="C445" s="13" t="s">
        <v>22</v>
      </c>
      <c r="D445" s="13" t="s">
        <v>88</v>
      </c>
      <c r="E445" s="14" t="s">
        <v>126</v>
      </c>
      <c r="F445" s="10" t="s">
        <v>122</v>
      </c>
      <c r="G445" s="10">
        <f t="shared" si="10"/>
        <v>1</v>
      </c>
      <c r="H445" s="10" t="s">
        <v>1550</v>
      </c>
      <c r="I445" s="10" t="b">
        <f t="shared" si="9"/>
        <v>0</v>
      </c>
    </row>
    <row r="446">
      <c r="A446" s="7" t="s">
        <v>1537</v>
      </c>
      <c r="B446" s="9" t="s">
        <v>2080</v>
      </c>
      <c r="C446" s="7" t="s">
        <v>22</v>
      </c>
      <c r="D446" s="7" t="s">
        <v>88</v>
      </c>
      <c r="E446" s="9" t="s">
        <v>100</v>
      </c>
      <c r="F446" s="15" t="s">
        <v>1537</v>
      </c>
      <c r="G446" s="10">
        <f t="shared" si="10"/>
        <v>1</v>
      </c>
      <c r="H446" s="15" t="s">
        <v>1552</v>
      </c>
      <c r="I446" s="10" t="b">
        <f t="shared" si="9"/>
        <v>0</v>
      </c>
    </row>
    <row r="447">
      <c r="A447" s="13" t="s">
        <v>1541</v>
      </c>
      <c r="B447" s="14" t="s">
        <v>2083</v>
      </c>
      <c r="C447" s="13" t="s">
        <v>227</v>
      </c>
      <c r="D447" s="13" t="s">
        <v>88</v>
      </c>
      <c r="E447" s="13" t="s">
        <v>229</v>
      </c>
      <c r="F447" s="10" t="s">
        <v>1541</v>
      </c>
      <c r="G447" s="10">
        <f t="shared" si="10"/>
        <v>1</v>
      </c>
      <c r="H447" s="10" t="s">
        <v>1556</v>
      </c>
      <c r="I447" s="10" t="b">
        <f t="shared" si="9"/>
        <v>0</v>
      </c>
    </row>
    <row r="448">
      <c r="A448" s="7" t="s">
        <v>1546</v>
      </c>
      <c r="B448" s="9" t="s">
        <v>2086</v>
      </c>
      <c r="C448" s="7" t="s">
        <v>227</v>
      </c>
      <c r="D448" s="7" t="s">
        <v>88</v>
      </c>
      <c r="E448" s="7" t="s">
        <v>229</v>
      </c>
      <c r="F448" s="15" t="s">
        <v>1546</v>
      </c>
      <c r="G448" s="10">
        <f t="shared" si="10"/>
        <v>1</v>
      </c>
      <c r="H448" s="15" t="s">
        <v>1559</v>
      </c>
      <c r="I448" s="10" t="b">
        <f t="shared" si="9"/>
        <v>0</v>
      </c>
    </row>
    <row r="449">
      <c r="A449" s="13" t="s">
        <v>1548</v>
      </c>
      <c r="B449" s="14" t="s">
        <v>2089</v>
      </c>
      <c r="C449" s="13" t="s">
        <v>227</v>
      </c>
      <c r="D449" s="13" t="s">
        <v>88</v>
      </c>
      <c r="E449" s="13" t="s">
        <v>229</v>
      </c>
      <c r="F449" s="10" t="s">
        <v>1548</v>
      </c>
      <c r="G449" s="10">
        <f t="shared" si="10"/>
        <v>1</v>
      </c>
      <c r="H449" s="10" t="s">
        <v>1562</v>
      </c>
      <c r="I449" s="10" t="b">
        <f t="shared" si="9"/>
        <v>0</v>
      </c>
    </row>
    <row r="450">
      <c r="A450" s="7" t="s">
        <v>1551</v>
      </c>
      <c r="B450" s="9" t="s">
        <v>2093</v>
      </c>
      <c r="C450" s="7" t="s">
        <v>227</v>
      </c>
      <c r="D450" s="7" t="s">
        <v>88</v>
      </c>
      <c r="E450" s="7" t="s">
        <v>229</v>
      </c>
      <c r="F450" s="15" t="s">
        <v>1551</v>
      </c>
      <c r="G450" s="10">
        <f t="shared" si="10"/>
        <v>1</v>
      </c>
      <c r="H450" s="15" t="s">
        <v>1564</v>
      </c>
      <c r="I450" s="10" t="b">
        <f t="shared" si="9"/>
        <v>0</v>
      </c>
    </row>
    <row r="451">
      <c r="A451" s="13" t="s">
        <v>1554</v>
      </c>
      <c r="B451" s="14" t="s">
        <v>2097</v>
      </c>
      <c r="C451" s="13" t="s">
        <v>22</v>
      </c>
      <c r="D451" s="13" t="s">
        <v>88</v>
      </c>
      <c r="E451" s="14" t="s">
        <v>2098</v>
      </c>
      <c r="F451" s="10" t="s">
        <v>1554</v>
      </c>
      <c r="G451" s="10">
        <f t="shared" si="10"/>
        <v>1</v>
      </c>
      <c r="H451" s="10" t="s">
        <v>1568</v>
      </c>
      <c r="I451" s="10" t="b">
        <f t="shared" si="9"/>
        <v>0</v>
      </c>
    </row>
    <row r="452">
      <c r="A452" s="7" t="s">
        <v>2101</v>
      </c>
      <c r="B452" s="9" t="s">
        <v>2102</v>
      </c>
      <c r="C452" s="7" t="s">
        <v>22</v>
      </c>
      <c r="D452" s="7" t="s">
        <v>88</v>
      </c>
      <c r="E452" s="9" t="s">
        <v>712</v>
      </c>
      <c r="F452" s="17"/>
      <c r="G452" s="17"/>
      <c r="H452" s="17"/>
      <c r="I452" s="10" t="b">
        <f t="shared" si="9"/>
        <v>0</v>
      </c>
    </row>
    <row r="453">
      <c r="A453" s="13" t="s">
        <v>2106</v>
      </c>
      <c r="B453" s="14" t="s">
        <v>2107</v>
      </c>
      <c r="C453" s="13" t="s">
        <v>22</v>
      </c>
      <c r="D453" s="13" t="s">
        <v>88</v>
      </c>
      <c r="E453" s="14" t="s">
        <v>712</v>
      </c>
      <c r="F453" s="17"/>
      <c r="G453" s="17"/>
      <c r="H453" s="17"/>
      <c r="I453" s="10" t="b">
        <f t="shared" si="9"/>
        <v>0</v>
      </c>
    </row>
    <row r="454">
      <c r="A454" s="7" t="s">
        <v>2110</v>
      </c>
      <c r="B454" s="9" t="s">
        <v>2112</v>
      </c>
      <c r="C454" s="7" t="s">
        <v>22</v>
      </c>
      <c r="D454" s="7" t="s">
        <v>88</v>
      </c>
      <c r="E454" s="9" t="s">
        <v>573</v>
      </c>
      <c r="F454" s="17"/>
      <c r="G454" s="17"/>
      <c r="H454" s="17"/>
      <c r="I454" s="10" t="b">
        <f t="shared" si="9"/>
        <v>0</v>
      </c>
    </row>
    <row r="455">
      <c r="A455" s="13" t="s">
        <v>1558</v>
      </c>
      <c r="B455" s="14" t="s">
        <v>2116</v>
      </c>
      <c r="C455" s="13" t="s">
        <v>22</v>
      </c>
      <c r="D455" s="13" t="s">
        <v>88</v>
      </c>
      <c r="E455" s="14" t="s">
        <v>573</v>
      </c>
      <c r="F455" s="15" t="s">
        <v>1558</v>
      </c>
      <c r="G455" s="10">
        <f t="shared" ref="G455:G459" si="11">IF(F455=A455,1,FALSE)</f>
        <v>1</v>
      </c>
      <c r="H455" s="15" t="s">
        <v>1570</v>
      </c>
      <c r="I455" s="10" t="b">
        <f t="shared" si="9"/>
        <v>0</v>
      </c>
    </row>
    <row r="456">
      <c r="A456" s="7" t="s">
        <v>1561</v>
      </c>
      <c r="B456" s="7" t="s">
        <v>2120</v>
      </c>
      <c r="C456" s="7" t="s">
        <v>22</v>
      </c>
      <c r="D456" s="7" t="s">
        <v>88</v>
      </c>
      <c r="E456" s="7" t="s">
        <v>661</v>
      </c>
      <c r="F456" s="10" t="s">
        <v>1561</v>
      </c>
      <c r="G456" s="10">
        <f t="shared" si="11"/>
        <v>1</v>
      </c>
      <c r="H456" s="10" t="s">
        <v>1573</v>
      </c>
      <c r="I456" s="10" t="b">
        <f t="shared" si="9"/>
        <v>0</v>
      </c>
    </row>
    <row r="457">
      <c r="A457" s="13" t="s">
        <v>1563</v>
      </c>
      <c r="B457" s="13" t="s">
        <v>2123</v>
      </c>
      <c r="C457" s="13" t="s">
        <v>22</v>
      </c>
      <c r="D457" s="13" t="s">
        <v>26</v>
      </c>
      <c r="E457" s="13" t="s">
        <v>2126</v>
      </c>
      <c r="F457" s="15" t="s">
        <v>1563</v>
      </c>
      <c r="G457" s="10">
        <f t="shared" si="11"/>
        <v>1</v>
      </c>
      <c r="H457" s="15" t="s">
        <v>1576</v>
      </c>
      <c r="I457" s="10" t="b">
        <f t="shared" si="9"/>
        <v>0</v>
      </c>
    </row>
    <row r="458">
      <c r="A458" s="7" t="s">
        <v>1566</v>
      </c>
      <c r="B458" s="9" t="s">
        <v>2129</v>
      </c>
      <c r="C458" s="7" t="s">
        <v>22</v>
      </c>
      <c r="D458" s="7" t="s">
        <v>88</v>
      </c>
      <c r="E458" s="9" t="s">
        <v>29</v>
      </c>
      <c r="F458" s="10" t="s">
        <v>1566</v>
      </c>
      <c r="G458" s="10">
        <f t="shared" si="11"/>
        <v>1</v>
      </c>
      <c r="H458" s="10" t="s">
        <v>1580</v>
      </c>
      <c r="I458" s="10" t="b">
        <f t="shared" si="9"/>
        <v>0</v>
      </c>
    </row>
    <row r="459">
      <c r="A459" s="13" t="s">
        <v>1569</v>
      </c>
      <c r="B459" s="14" t="s">
        <v>2132</v>
      </c>
      <c r="C459" s="13" t="s">
        <v>22</v>
      </c>
      <c r="D459" s="13" t="s">
        <v>88</v>
      </c>
      <c r="E459" s="14" t="s">
        <v>29</v>
      </c>
      <c r="F459" s="15" t="s">
        <v>1569</v>
      </c>
      <c r="G459" s="10">
        <f t="shared" si="11"/>
        <v>1</v>
      </c>
      <c r="H459" s="15" t="s">
        <v>1583</v>
      </c>
      <c r="I459" s="10" t="b">
        <f t="shared" si="9"/>
        <v>0</v>
      </c>
    </row>
    <row r="460">
      <c r="A460" s="7" t="s">
        <v>2135</v>
      </c>
      <c r="B460" s="7" t="s">
        <v>2136</v>
      </c>
      <c r="C460" s="7" t="s">
        <v>22</v>
      </c>
      <c r="D460" s="7" t="s">
        <v>26</v>
      </c>
      <c r="E460" s="7" t="s">
        <v>2126</v>
      </c>
      <c r="F460" s="17"/>
      <c r="G460" s="17"/>
      <c r="H460" s="17"/>
      <c r="I460" s="10" t="b">
        <f t="shared" si="9"/>
        <v>0</v>
      </c>
    </row>
    <row r="461">
      <c r="A461" s="13" t="s">
        <v>2139</v>
      </c>
      <c r="B461" s="13" t="s">
        <v>2141</v>
      </c>
      <c r="C461" s="13" t="s">
        <v>22</v>
      </c>
      <c r="D461" s="13" t="s">
        <v>26</v>
      </c>
      <c r="E461" s="14" t="s">
        <v>29</v>
      </c>
      <c r="F461" s="17"/>
      <c r="G461" s="17"/>
      <c r="H461" s="17"/>
      <c r="I461" s="10" t="b">
        <f t="shared" si="9"/>
        <v>0</v>
      </c>
    </row>
    <row r="462">
      <c r="A462" s="7" t="s">
        <v>2143</v>
      </c>
      <c r="B462" s="7" t="s">
        <v>2145</v>
      </c>
      <c r="C462" s="7" t="s">
        <v>22</v>
      </c>
      <c r="D462" s="7" t="s">
        <v>26</v>
      </c>
      <c r="E462" s="9" t="s">
        <v>29</v>
      </c>
      <c r="F462" s="17"/>
      <c r="G462" s="17"/>
      <c r="H462" s="17"/>
      <c r="I462" s="10" t="b">
        <f t="shared" si="9"/>
        <v>0</v>
      </c>
    </row>
    <row r="463">
      <c r="A463" s="13" t="s">
        <v>1572</v>
      </c>
      <c r="B463" s="13" t="s">
        <v>2149</v>
      </c>
      <c r="C463" s="13" t="s">
        <v>22</v>
      </c>
      <c r="D463" s="13" t="s">
        <v>88</v>
      </c>
      <c r="E463" s="13" t="s">
        <v>564</v>
      </c>
      <c r="F463" s="10" t="s">
        <v>1572</v>
      </c>
      <c r="G463" s="10">
        <f t="shared" ref="G463:G490" si="12">IF(F463=A463,1,FALSE)</f>
        <v>1</v>
      </c>
      <c r="H463" s="10" t="s">
        <v>1586</v>
      </c>
      <c r="I463" s="10" t="b">
        <f t="shared" si="9"/>
        <v>0</v>
      </c>
    </row>
    <row r="464">
      <c r="A464" s="7" t="s">
        <v>1575</v>
      </c>
      <c r="B464" s="9" t="s">
        <v>2153</v>
      </c>
      <c r="C464" s="7" t="s">
        <v>22</v>
      </c>
      <c r="D464" s="7" t="s">
        <v>88</v>
      </c>
      <c r="E464" s="9" t="s">
        <v>712</v>
      </c>
      <c r="F464" s="15" t="s">
        <v>1575</v>
      </c>
      <c r="G464" s="10">
        <f t="shared" si="12"/>
        <v>1</v>
      </c>
      <c r="H464" s="15" t="s">
        <v>1589</v>
      </c>
      <c r="I464" s="10" t="b">
        <f t="shared" si="9"/>
        <v>0</v>
      </c>
    </row>
    <row r="465">
      <c r="A465" s="13" t="s">
        <v>1578</v>
      </c>
      <c r="B465" s="14" t="s">
        <v>2157</v>
      </c>
      <c r="C465" s="13" t="s">
        <v>22</v>
      </c>
      <c r="D465" s="13" t="s">
        <v>88</v>
      </c>
      <c r="E465" s="14" t="s">
        <v>712</v>
      </c>
      <c r="F465" s="10" t="s">
        <v>1578</v>
      </c>
      <c r="G465" s="10">
        <f t="shared" si="12"/>
        <v>1</v>
      </c>
      <c r="H465" s="10" t="s">
        <v>1591</v>
      </c>
      <c r="I465" s="10" t="b">
        <f t="shared" si="9"/>
        <v>0</v>
      </c>
    </row>
    <row r="466">
      <c r="A466" s="7" t="s">
        <v>1582</v>
      </c>
      <c r="B466" s="9" t="s">
        <v>2162</v>
      </c>
      <c r="C466" s="7" t="s">
        <v>22</v>
      </c>
      <c r="D466" s="7" t="s">
        <v>88</v>
      </c>
      <c r="E466" s="9" t="s">
        <v>712</v>
      </c>
      <c r="F466" s="15" t="s">
        <v>1582</v>
      </c>
      <c r="G466" s="10">
        <f t="shared" si="12"/>
        <v>1</v>
      </c>
      <c r="H466" s="15" t="s">
        <v>1596</v>
      </c>
      <c r="I466" s="10" t="b">
        <f t="shared" si="9"/>
        <v>0</v>
      </c>
    </row>
    <row r="467">
      <c r="A467" s="13" t="s">
        <v>1585</v>
      </c>
      <c r="B467" s="14" t="s">
        <v>2167</v>
      </c>
      <c r="C467" s="13" t="s">
        <v>22</v>
      </c>
      <c r="D467" s="13" t="s">
        <v>88</v>
      </c>
      <c r="E467" s="14" t="s">
        <v>712</v>
      </c>
      <c r="F467" s="10" t="s">
        <v>1585</v>
      </c>
      <c r="G467" s="10">
        <f t="shared" si="12"/>
        <v>1</v>
      </c>
      <c r="H467" s="10" t="s">
        <v>1601</v>
      </c>
      <c r="I467" s="10" t="b">
        <f t="shared" si="9"/>
        <v>0</v>
      </c>
    </row>
    <row r="468">
      <c r="A468" s="7" t="s">
        <v>1588</v>
      </c>
      <c r="B468" s="9" t="s">
        <v>2170</v>
      </c>
      <c r="C468" s="7" t="s">
        <v>22</v>
      </c>
      <c r="D468" s="7" t="s">
        <v>88</v>
      </c>
      <c r="E468" s="9" t="s">
        <v>573</v>
      </c>
      <c r="F468" s="15" t="s">
        <v>1588</v>
      </c>
      <c r="G468" s="10">
        <f t="shared" si="12"/>
        <v>1</v>
      </c>
      <c r="H468" s="15" t="s">
        <v>1604</v>
      </c>
      <c r="I468" s="10" t="b">
        <f t="shared" si="9"/>
        <v>0</v>
      </c>
    </row>
    <row r="469">
      <c r="A469" s="13" t="s">
        <v>1590</v>
      </c>
      <c r="B469" s="14" t="s">
        <v>2173</v>
      </c>
      <c r="C469" s="13" t="s">
        <v>22</v>
      </c>
      <c r="D469" s="13" t="s">
        <v>88</v>
      </c>
      <c r="E469" s="14" t="s">
        <v>573</v>
      </c>
      <c r="F469" s="10" t="s">
        <v>1590</v>
      </c>
      <c r="G469" s="10">
        <f t="shared" si="12"/>
        <v>1</v>
      </c>
      <c r="H469" s="10" t="s">
        <v>1607</v>
      </c>
      <c r="I469" s="10" t="b">
        <f t="shared" si="9"/>
        <v>0</v>
      </c>
    </row>
    <row r="470">
      <c r="A470" s="7" t="s">
        <v>1594</v>
      </c>
      <c r="B470" s="9" t="s">
        <v>2178</v>
      </c>
      <c r="C470" s="7" t="s">
        <v>22</v>
      </c>
      <c r="D470" s="7" t="s">
        <v>26</v>
      </c>
      <c r="E470" s="9" t="s">
        <v>2181</v>
      </c>
      <c r="F470" s="15" t="s">
        <v>1594</v>
      </c>
      <c r="G470" s="10">
        <f t="shared" si="12"/>
        <v>1</v>
      </c>
      <c r="H470" s="15" t="s">
        <v>2184</v>
      </c>
      <c r="I470" s="10" t="b">
        <f t="shared" si="9"/>
        <v>0</v>
      </c>
    </row>
    <row r="471">
      <c r="A471" s="13" t="s">
        <v>1600</v>
      </c>
      <c r="B471" s="14" t="s">
        <v>2185</v>
      </c>
      <c r="C471" s="13" t="s">
        <v>22</v>
      </c>
      <c r="D471" s="13" t="s">
        <v>26</v>
      </c>
      <c r="E471" s="14" t="s">
        <v>2181</v>
      </c>
      <c r="F471" s="10" t="s">
        <v>1600</v>
      </c>
      <c r="G471" s="10">
        <f t="shared" si="12"/>
        <v>1</v>
      </c>
      <c r="H471" s="10" t="s">
        <v>2188</v>
      </c>
      <c r="I471" s="10" t="b">
        <f t="shared" si="9"/>
        <v>0</v>
      </c>
    </row>
    <row r="472">
      <c r="A472" s="7" t="s">
        <v>1603</v>
      </c>
      <c r="B472" s="7" t="s">
        <v>2189</v>
      </c>
      <c r="C472" s="7" t="s">
        <v>22</v>
      </c>
      <c r="D472" s="7" t="s">
        <v>88</v>
      </c>
      <c r="E472" s="7" t="s">
        <v>661</v>
      </c>
      <c r="F472" s="15" t="s">
        <v>1603</v>
      </c>
      <c r="G472" s="10">
        <f t="shared" si="12"/>
        <v>1</v>
      </c>
      <c r="H472" s="15" t="s">
        <v>1611</v>
      </c>
      <c r="I472" s="10" t="b">
        <f t="shared" si="9"/>
        <v>0</v>
      </c>
    </row>
    <row r="473">
      <c r="A473" s="13" t="s">
        <v>1606</v>
      </c>
      <c r="B473" s="14" t="s">
        <v>2195</v>
      </c>
      <c r="C473" s="13" t="s">
        <v>22</v>
      </c>
      <c r="D473" s="13" t="s">
        <v>88</v>
      </c>
      <c r="E473" s="14" t="s">
        <v>712</v>
      </c>
      <c r="F473" s="10" t="s">
        <v>1606</v>
      </c>
      <c r="G473" s="10">
        <f t="shared" si="12"/>
        <v>1</v>
      </c>
      <c r="H473" s="10" t="s">
        <v>1613</v>
      </c>
      <c r="I473" s="10" t="b">
        <f t="shared" si="9"/>
        <v>0</v>
      </c>
    </row>
    <row r="474">
      <c r="A474" s="7" t="s">
        <v>2203</v>
      </c>
      <c r="B474" s="7" t="s">
        <v>2205</v>
      </c>
      <c r="C474" s="7" t="s">
        <v>22</v>
      </c>
      <c r="D474" s="7" t="s">
        <v>26</v>
      </c>
      <c r="E474" s="9" t="s">
        <v>978</v>
      </c>
      <c r="F474" s="15" t="s">
        <v>2203</v>
      </c>
      <c r="G474" s="10">
        <f t="shared" si="12"/>
        <v>1</v>
      </c>
      <c r="H474" s="15" t="s">
        <v>1616</v>
      </c>
      <c r="I474" s="10" t="b">
        <f t="shared" si="9"/>
        <v>0</v>
      </c>
    </row>
    <row r="475">
      <c r="A475" s="18"/>
      <c r="B475" s="18"/>
      <c r="C475" s="18"/>
      <c r="D475" s="18"/>
      <c r="E475" s="18"/>
      <c r="F475" s="10" t="s">
        <v>2216</v>
      </c>
      <c r="G475" s="10" t="b">
        <f t="shared" si="12"/>
        <v>0</v>
      </c>
      <c r="H475" s="10" t="s">
        <v>1619</v>
      </c>
      <c r="I475" s="10" t="b">
        <f t="shared" si="9"/>
        <v>0</v>
      </c>
    </row>
    <row r="476">
      <c r="A476" s="18"/>
      <c r="B476" s="18"/>
      <c r="C476" s="18"/>
      <c r="D476" s="18"/>
      <c r="E476" s="18"/>
      <c r="F476" s="15" t="s">
        <v>1609</v>
      </c>
      <c r="G476" s="10" t="b">
        <f t="shared" si="12"/>
        <v>0</v>
      </c>
      <c r="H476" s="15" t="s">
        <v>1623</v>
      </c>
      <c r="I476" s="10" t="b">
        <f t="shared" si="9"/>
        <v>0</v>
      </c>
    </row>
    <row r="477">
      <c r="A477" s="18"/>
      <c r="B477" s="18"/>
      <c r="C477" s="18"/>
      <c r="D477" s="18"/>
      <c r="E477" s="18"/>
      <c r="F477" s="10" t="s">
        <v>1612</v>
      </c>
      <c r="G477" s="10" t="b">
        <f t="shared" si="12"/>
        <v>0</v>
      </c>
      <c r="H477" s="10" t="s">
        <v>1625</v>
      </c>
      <c r="I477" s="10" t="b">
        <f t="shared" si="9"/>
        <v>0</v>
      </c>
    </row>
    <row r="478">
      <c r="A478" s="18"/>
      <c r="B478" s="18"/>
      <c r="C478" s="18"/>
      <c r="D478" s="18"/>
      <c r="E478" s="18"/>
      <c r="F478" s="15" t="s">
        <v>1615</v>
      </c>
      <c r="G478" s="10" t="b">
        <f t="shared" si="12"/>
        <v>0</v>
      </c>
      <c r="H478" s="15" t="s">
        <v>2235</v>
      </c>
      <c r="I478" s="10" t="b">
        <f t="shared" si="9"/>
        <v>0</v>
      </c>
    </row>
    <row r="479">
      <c r="A479" s="18"/>
      <c r="B479" s="18"/>
      <c r="C479" s="18"/>
      <c r="D479" s="18"/>
      <c r="E479" s="18"/>
      <c r="F479" s="10" t="s">
        <v>1618</v>
      </c>
      <c r="G479" s="10" t="b">
        <f t="shared" si="12"/>
        <v>0</v>
      </c>
      <c r="H479" s="10" t="s">
        <v>1629</v>
      </c>
      <c r="I479" s="10" t="b">
        <f t="shared" si="9"/>
        <v>0</v>
      </c>
    </row>
    <row r="480">
      <c r="A480" s="18"/>
      <c r="B480" s="18"/>
      <c r="C480" s="18"/>
      <c r="D480" s="18"/>
      <c r="E480" s="18"/>
      <c r="F480" s="15" t="s">
        <v>1622</v>
      </c>
      <c r="G480" s="10" t="b">
        <f t="shared" si="12"/>
        <v>0</v>
      </c>
      <c r="H480" s="15" t="s">
        <v>1632</v>
      </c>
      <c r="I480" s="10" t="b">
        <f t="shared" si="9"/>
        <v>0</v>
      </c>
    </row>
    <row r="481">
      <c r="A481" s="13" t="s">
        <v>1624</v>
      </c>
      <c r="B481" s="14" t="s">
        <v>2252</v>
      </c>
      <c r="C481" s="13" t="s">
        <v>87</v>
      </c>
      <c r="D481" s="13" t="s">
        <v>88</v>
      </c>
      <c r="E481" s="14" t="s">
        <v>2254</v>
      </c>
      <c r="F481" s="10" t="s">
        <v>1624</v>
      </c>
      <c r="G481" s="10">
        <f t="shared" si="12"/>
        <v>1</v>
      </c>
      <c r="H481" s="10" t="s">
        <v>2256</v>
      </c>
      <c r="I481" s="10" t="b">
        <f t="shared" si="9"/>
        <v>0</v>
      </c>
    </row>
    <row r="482">
      <c r="A482" s="7" t="s">
        <v>2259</v>
      </c>
      <c r="B482" s="9" t="s">
        <v>2260</v>
      </c>
      <c r="C482" s="7" t="s">
        <v>87</v>
      </c>
      <c r="D482" s="7" t="s">
        <v>88</v>
      </c>
      <c r="E482" s="7" t="s">
        <v>564</v>
      </c>
      <c r="F482" s="15" t="s">
        <v>2259</v>
      </c>
      <c r="G482" s="10">
        <f t="shared" si="12"/>
        <v>1</v>
      </c>
      <c r="H482" s="15" t="s">
        <v>1637</v>
      </c>
      <c r="I482" s="10" t="b">
        <f t="shared" si="9"/>
        <v>0</v>
      </c>
    </row>
    <row r="483">
      <c r="A483" s="13" t="s">
        <v>1628</v>
      </c>
      <c r="B483" s="14" t="s">
        <v>2267</v>
      </c>
      <c r="C483" s="13" t="s">
        <v>227</v>
      </c>
      <c r="D483" s="13" t="s">
        <v>88</v>
      </c>
      <c r="E483" s="13" t="s">
        <v>229</v>
      </c>
      <c r="F483" s="10" t="s">
        <v>1628</v>
      </c>
      <c r="G483" s="10">
        <f t="shared" si="12"/>
        <v>1</v>
      </c>
      <c r="H483" s="10" t="s">
        <v>1640</v>
      </c>
      <c r="I483" s="10" t="b">
        <f t="shared" si="9"/>
        <v>0</v>
      </c>
    </row>
    <row r="484">
      <c r="A484" s="7" t="s">
        <v>1631</v>
      </c>
      <c r="B484" s="9" t="s">
        <v>2273</v>
      </c>
      <c r="C484" s="7" t="s">
        <v>227</v>
      </c>
      <c r="D484" s="7" t="s">
        <v>88</v>
      </c>
      <c r="E484" s="7" t="s">
        <v>229</v>
      </c>
      <c r="F484" s="15" t="s">
        <v>1631</v>
      </c>
      <c r="G484" s="10">
        <f t="shared" si="12"/>
        <v>1</v>
      </c>
      <c r="H484" s="15" t="s">
        <v>1642</v>
      </c>
      <c r="I484" s="10" t="b">
        <f t="shared" si="9"/>
        <v>0</v>
      </c>
    </row>
    <row r="485">
      <c r="A485" s="13" t="s">
        <v>2278</v>
      </c>
      <c r="B485" s="14" t="s">
        <v>2280</v>
      </c>
      <c r="C485" s="13" t="s">
        <v>22</v>
      </c>
      <c r="D485" s="13" t="s">
        <v>88</v>
      </c>
      <c r="E485" s="13" t="s">
        <v>564</v>
      </c>
      <c r="F485" s="10" t="s">
        <v>2278</v>
      </c>
      <c r="G485" s="10">
        <f t="shared" si="12"/>
        <v>1</v>
      </c>
      <c r="H485" s="10" t="s">
        <v>1646</v>
      </c>
      <c r="I485" s="10" t="b">
        <f t="shared" si="9"/>
        <v>0</v>
      </c>
    </row>
    <row r="486">
      <c r="A486" s="7" t="s">
        <v>1635</v>
      </c>
      <c r="B486" s="9" t="s">
        <v>2285</v>
      </c>
      <c r="C486" s="7" t="s">
        <v>87</v>
      </c>
      <c r="D486" s="7" t="s">
        <v>88</v>
      </c>
      <c r="E486" s="7" t="s">
        <v>343</v>
      </c>
      <c r="F486" s="15" t="s">
        <v>1635</v>
      </c>
      <c r="G486" s="10">
        <f t="shared" si="12"/>
        <v>1</v>
      </c>
      <c r="H486" s="15" t="s">
        <v>1649</v>
      </c>
      <c r="I486" s="10" t="b">
        <f t="shared" si="9"/>
        <v>0</v>
      </c>
    </row>
    <row r="487">
      <c r="A487" s="13" t="s">
        <v>1638</v>
      </c>
      <c r="B487" s="14" t="s">
        <v>2289</v>
      </c>
      <c r="C487" s="13" t="s">
        <v>87</v>
      </c>
      <c r="D487" s="13" t="s">
        <v>88</v>
      </c>
      <c r="E487" s="13" t="s">
        <v>343</v>
      </c>
      <c r="F487" s="10" t="s">
        <v>1638</v>
      </c>
      <c r="G487" s="10">
        <f t="shared" si="12"/>
        <v>1</v>
      </c>
      <c r="H487" s="10" t="s">
        <v>1652</v>
      </c>
      <c r="I487" s="10" t="b">
        <f t="shared" si="9"/>
        <v>0</v>
      </c>
    </row>
    <row r="488">
      <c r="A488" s="7" t="s">
        <v>1641</v>
      </c>
      <c r="B488" s="9" t="s">
        <v>2293</v>
      </c>
      <c r="C488" s="7" t="s">
        <v>22</v>
      </c>
      <c r="D488" s="7" t="s">
        <v>88</v>
      </c>
      <c r="E488" s="9" t="s">
        <v>370</v>
      </c>
      <c r="F488" s="15" t="s">
        <v>1641</v>
      </c>
      <c r="G488" s="10">
        <f t="shared" si="12"/>
        <v>1</v>
      </c>
      <c r="H488" s="15" t="s">
        <v>1654</v>
      </c>
      <c r="I488" s="10" t="b">
        <f t="shared" si="9"/>
        <v>0</v>
      </c>
    </row>
    <row r="489">
      <c r="A489" s="13" t="s">
        <v>1645</v>
      </c>
      <c r="B489" s="14" t="s">
        <v>2297</v>
      </c>
      <c r="C489" s="13" t="s">
        <v>22</v>
      </c>
      <c r="D489" s="13" t="s">
        <v>88</v>
      </c>
      <c r="E489" s="14" t="s">
        <v>370</v>
      </c>
      <c r="F489" s="10" t="s">
        <v>1645</v>
      </c>
      <c r="G489" s="10">
        <f t="shared" si="12"/>
        <v>1</v>
      </c>
      <c r="H489" s="10" t="s">
        <v>2300</v>
      </c>
      <c r="I489" s="10" t="b">
        <f t="shared" si="9"/>
        <v>0</v>
      </c>
    </row>
    <row r="490">
      <c r="A490" s="7" t="s">
        <v>1648</v>
      </c>
      <c r="B490" s="9" t="s">
        <v>2302</v>
      </c>
      <c r="C490" s="7" t="s">
        <v>87</v>
      </c>
      <c r="D490" s="7" t="s">
        <v>88</v>
      </c>
      <c r="E490" s="7" t="s">
        <v>343</v>
      </c>
      <c r="F490" s="15" t="s">
        <v>1648</v>
      </c>
      <c r="G490" s="10">
        <f t="shared" si="12"/>
        <v>1</v>
      </c>
      <c r="H490" s="15" t="s">
        <v>2304</v>
      </c>
      <c r="I490" s="10" t="b">
        <f t="shared" si="9"/>
        <v>0</v>
      </c>
    </row>
    <row r="491">
      <c r="A491" s="18"/>
      <c r="B491" s="18"/>
      <c r="C491" s="18"/>
      <c r="D491" s="18"/>
      <c r="E491" s="18"/>
      <c r="F491" s="10" t="s">
        <v>1650</v>
      </c>
      <c r="G491" s="10" t="b">
        <f t="shared" ref="G491:G495" si="13">IF(F491=A496,1,FALSE)</f>
        <v>0</v>
      </c>
      <c r="H491" s="10" t="s">
        <v>1664</v>
      </c>
      <c r="I491" s="10" t="b">
        <f t="shared" si="9"/>
        <v>0</v>
      </c>
    </row>
    <row r="492">
      <c r="A492" s="18"/>
      <c r="B492" s="18"/>
      <c r="C492" s="18"/>
      <c r="D492" s="18"/>
      <c r="E492" s="18"/>
      <c r="F492" s="15" t="s">
        <v>1653</v>
      </c>
      <c r="G492" s="10" t="b">
        <f t="shared" si="13"/>
        <v>0</v>
      </c>
      <c r="H492" s="15" t="s">
        <v>1668</v>
      </c>
      <c r="I492" s="10" t="b">
        <f t="shared" si="9"/>
        <v>0</v>
      </c>
    </row>
    <row r="493">
      <c r="A493" s="18"/>
      <c r="B493" s="18"/>
      <c r="C493" s="18"/>
      <c r="D493" s="18"/>
      <c r="E493" s="18"/>
      <c r="F493" s="10" t="s">
        <v>1656</v>
      </c>
      <c r="G493" s="10" t="b">
        <f t="shared" si="13"/>
        <v>0</v>
      </c>
      <c r="H493" s="10" t="s">
        <v>1672</v>
      </c>
      <c r="I493" s="10" t="b">
        <f t="shared" si="9"/>
        <v>0</v>
      </c>
    </row>
    <row r="494">
      <c r="A494" s="18"/>
      <c r="B494" s="18"/>
      <c r="C494" s="18"/>
      <c r="D494" s="18"/>
      <c r="E494" s="18"/>
      <c r="F494" s="15" t="s">
        <v>1660</v>
      </c>
      <c r="G494" s="10" t="b">
        <f t="shared" si="13"/>
        <v>0</v>
      </c>
      <c r="H494" s="15" t="s">
        <v>1675</v>
      </c>
      <c r="I494" s="10" t="b">
        <f t="shared" si="9"/>
        <v>0</v>
      </c>
    </row>
    <row r="495">
      <c r="A495" s="18"/>
      <c r="B495" s="18"/>
      <c r="C495" s="18"/>
      <c r="D495" s="18"/>
      <c r="E495" s="18"/>
      <c r="F495" s="10" t="s">
        <v>1663</v>
      </c>
      <c r="G495" s="10" t="b">
        <f t="shared" si="13"/>
        <v>0</v>
      </c>
      <c r="H495" s="10" t="s">
        <v>1678</v>
      </c>
      <c r="I495" s="10" t="b">
        <f t="shared" si="9"/>
        <v>0</v>
      </c>
    </row>
    <row r="496">
      <c r="A496" s="13" t="s">
        <v>1666</v>
      </c>
      <c r="B496" s="13" t="s">
        <v>2318</v>
      </c>
      <c r="C496" s="13" t="s">
        <v>22</v>
      </c>
      <c r="D496" s="13" t="s">
        <v>88</v>
      </c>
      <c r="E496" s="14" t="s">
        <v>509</v>
      </c>
      <c r="F496" s="15" t="s">
        <v>1666</v>
      </c>
      <c r="G496" s="10">
        <f t="shared" ref="G496:G500" si="14">IF(F496=A496,1,FALSE)</f>
        <v>1</v>
      </c>
      <c r="H496" s="15" t="s">
        <v>1681</v>
      </c>
      <c r="I496" s="10" t="b">
        <f t="shared" si="9"/>
        <v>0</v>
      </c>
    </row>
    <row r="497">
      <c r="A497" s="7" t="s">
        <v>1670</v>
      </c>
      <c r="B497" s="9" t="s">
        <v>2323</v>
      </c>
      <c r="C497" s="7" t="s">
        <v>227</v>
      </c>
      <c r="D497" s="7" t="s">
        <v>88</v>
      </c>
      <c r="E497" s="7" t="s">
        <v>229</v>
      </c>
      <c r="F497" s="10" t="s">
        <v>1670</v>
      </c>
      <c r="G497" s="10">
        <f t="shared" si="14"/>
        <v>1</v>
      </c>
      <c r="H497" s="10" t="s">
        <v>1684</v>
      </c>
      <c r="I497" s="10" t="b">
        <f t="shared" si="9"/>
        <v>0</v>
      </c>
    </row>
    <row r="498">
      <c r="A498" s="13" t="s">
        <v>1674</v>
      </c>
      <c r="B498" s="14" t="s">
        <v>2327</v>
      </c>
      <c r="C498" s="13" t="s">
        <v>227</v>
      </c>
      <c r="D498" s="13" t="s">
        <v>88</v>
      </c>
      <c r="E498" s="13" t="s">
        <v>229</v>
      </c>
      <c r="F498" s="15" t="s">
        <v>1674</v>
      </c>
      <c r="G498" s="10">
        <f t="shared" si="14"/>
        <v>1</v>
      </c>
      <c r="H498" s="15" t="s">
        <v>1686</v>
      </c>
      <c r="I498" s="10" t="b">
        <f t="shared" si="9"/>
        <v>0</v>
      </c>
    </row>
    <row r="499">
      <c r="A499" s="7" t="s">
        <v>1677</v>
      </c>
      <c r="B499" s="7" t="s">
        <v>2330</v>
      </c>
      <c r="C499" s="7" t="s">
        <v>22</v>
      </c>
      <c r="D499" s="7" t="s">
        <v>88</v>
      </c>
      <c r="E499" s="7" t="s">
        <v>618</v>
      </c>
      <c r="F499" s="10" t="s">
        <v>1677</v>
      </c>
      <c r="G499" s="10">
        <f t="shared" si="14"/>
        <v>1</v>
      </c>
      <c r="H499" s="10" t="s">
        <v>1690</v>
      </c>
      <c r="I499" s="10" t="b">
        <f t="shared" si="9"/>
        <v>0</v>
      </c>
    </row>
    <row r="500">
      <c r="A500" s="13" t="s">
        <v>1680</v>
      </c>
      <c r="B500" s="13" t="s">
        <v>2334</v>
      </c>
      <c r="C500" s="13" t="s">
        <v>22</v>
      </c>
      <c r="D500" s="13" t="s">
        <v>88</v>
      </c>
      <c r="E500" s="13" t="s">
        <v>618</v>
      </c>
      <c r="F500" s="15" t="s">
        <v>1680</v>
      </c>
      <c r="G500" s="10">
        <f t="shared" si="14"/>
        <v>1</v>
      </c>
      <c r="H500" s="15" t="s">
        <v>1695</v>
      </c>
      <c r="I500" s="10" t="b">
        <f t="shared" si="9"/>
        <v>0</v>
      </c>
    </row>
    <row r="501">
      <c r="A501" s="7" t="s">
        <v>2337</v>
      </c>
      <c r="B501" s="9" t="s">
        <v>2338</v>
      </c>
      <c r="C501" s="7" t="s">
        <v>22</v>
      </c>
      <c r="D501" s="7" t="s">
        <v>88</v>
      </c>
      <c r="E501" s="7" t="s">
        <v>564</v>
      </c>
      <c r="F501" s="17"/>
      <c r="G501" s="17"/>
      <c r="H501" s="17"/>
      <c r="I501" s="10" t="b">
        <f t="shared" si="9"/>
        <v>0</v>
      </c>
    </row>
    <row r="502">
      <c r="A502" s="13" t="s">
        <v>1683</v>
      </c>
      <c r="B502" s="13" t="s">
        <v>2341</v>
      </c>
      <c r="C502" s="13" t="s">
        <v>22</v>
      </c>
      <c r="D502" s="13" t="s">
        <v>88</v>
      </c>
      <c r="E502" s="13" t="s">
        <v>201</v>
      </c>
      <c r="F502" s="10" t="s">
        <v>1683</v>
      </c>
      <c r="G502" s="10">
        <f t="shared" ref="G502:G536" si="15">IF(F502=A502,1,FALSE)</f>
        <v>1</v>
      </c>
      <c r="H502" s="10" t="s">
        <v>1697</v>
      </c>
      <c r="I502" s="10" t="b">
        <f t="shared" si="9"/>
        <v>0</v>
      </c>
    </row>
    <row r="503">
      <c r="A503" s="7" t="s">
        <v>1685</v>
      </c>
      <c r="B503" s="7" t="s">
        <v>2346</v>
      </c>
      <c r="C503" s="7" t="s">
        <v>22</v>
      </c>
      <c r="D503" s="7" t="s">
        <v>88</v>
      </c>
      <c r="E503" s="7" t="s">
        <v>208</v>
      </c>
      <c r="F503" s="15" t="s">
        <v>1685</v>
      </c>
      <c r="G503" s="10">
        <f t="shared" si="15"/>
        <v>1</v>
      </c>
      <c r="H503" s="15" t="s">
        <v>1699</v>
      </c>
      <c r="I503" s="10" t="b">
        <f t="shared" si="9"/>
        <v>0</v>
      </c>
    </row>
    <row r="504">
      <c r="A504" s="13" t="s">
        <v>1689</v>
      </c>
      <c r="B504" s="13" t="s">
        <v>2350</v>
      </c>
      <c r="C504" s="13" t="s">
        <v>22</v>
      </c>
      <c r="D504" s="13" t="s">
        <v>88</v>
      </c>
      <c r="E504" s="14" t="s">
        <v>632</v>
      </c>
      <c r="F504" s="10" t="s">
        <v>1689</v>
      </c>
      <c r="G504" s="10">
        <f t="shared" si="15"/>
        <v>1</v>
      </c>
      <c r="H504" s="10" t="s">
        <v>1701</v>
      </c>
      <c r="I504" s="10" t="b">
        <f t="shared" si="9"/>
        <v>0</v>
      </c>
    </row>
    <row r="505">
      <c r="A505" s="7" t="s">
        <v>1694</v>
      </c>
      <c r="B505" s="9" t="s">
        <v>2354</v>
      </c>
      <c r="C505" s="7" t="s">
        <v>22</v>
      </c>
      <c r="D505" s="7" t="s">
        <v>88</v>
      </c>
      <c r="E505" s="7" t="s">
        <v>661</v>
      </c>
      <c r="F505" s="15" t="s">
        <v>1694</v>
      </c>
      <c r="G505" s="10">
        <f t="shared" si="15"/>
        <v>1</v>
      </c>
      <c r="H505" s="15" t="s">
        <v>1704</v>
      </c>
      <c r="I505" s="10" t="b">
        <f t="shared" si="9"/>
        <v>0</v>
      </c>
    </row>
    <row r="506">
      <c r="A506" s="13" t="s">
        <v>1696</v>
      </c>
      <c r="B506" s="14" t="s">
        <v>2357</v>
      </c>
      <c r="C506" s="13" t="s">
        <v>22</v>
      </c>
      <c r="D506" s="13" t="s">
        <v>88</v>
      </c>
      <c r="E506" s="14" t="s">
        <v>167</v>
      </c>
      <c r="F506" s="10" t="s">
        <v>1696</v>
      </c>
      <c r="G506" s="10">
        <f t="shared" si="15"/>
        <v>1</v>
      </c>
      <c r="H506" s="10" t="s">
        <v>1707</v>
      </c>
      <c r="I506" s="10" t="b">
        <f t="shared" si="9"/>
        <v>0</v>
      </c>
    </row>
    <row r="507">
      <c r="A507" s="7" t="s">
        <v>517</v>
      </c>
      <c r="B507" s="9" t="s">
        <v>2361</v>
      </c>
      <c r="C507" s="7" t="s">
        <v>22</v>
      </c>
      <c r="D507" s="7" t="s">
        <v>88</v>
      </c>
      <c r="E507" s="9" t="s">
        <v>218</v>
      </c>
      <c r="F507" s="15" t="s">
        <v>517</v>
      </c>
      <c r="G507" s="10">
        <f t="shared" si="15"/>
        <v>1</v>
      </c>
      <c r="H507" s="15" t="s">
        <v>1710</v>
      </c>
      <c r="I507" s="10" t="b">
        <f t="shared" si="9"/>
        <v>0</v>
      </c>
    </row>
    <row r="508">
      <c r="A508" s="13" t="s">
        <v>1700</v>
      </c>
      <c r="B508" s="14" t="s">
        <v>2364</v>
      </c>
      <c r="C508" s="13" t="s">
        <v>22</v>
      </c>
      <c r="D508" s="13" t="s">
        <v>88</v>
      </c>
      <c r="E508" s="14" t="s">
        <v>214</v>
      </c>
      <c r="F508" s="10" t="s">
        <v>1700</v>
      </c>
      <c r="G508" s="10">
        <f t="shared" si="15"/>
        <v>1</v>
      </c>
      <c r="H508" s="10" t="s">
        <v>1713</v>
      </c>
      <c r="I508" s="10" t="b">
        <f t="shared" si="9"/>
        <v>0</v>
      </c>
    </row>
    <row r="509">
      <c r="A509" s="7" t="s">
        <v>1703</v>
      </c>
      <c r="B509" s="9" t="s">
        <v>2369</v>
      </c>
      <c r="C509" s="7" t="s">
        <v>22</v>
      </c>
      <c r="D509" s="7" t="s">
        <v>88</v>
      </c>
      <c r="E509" s="7" t="s">
        <v>2126</v>
      </c>
      <c r="F509" s="15" t="s">
        <v>1703</v>
      </c>
      <c r="G509" s="10">
        <f t="shared" si="15"/>
        <v>1</v>
      </c>
      <c r="H509" s="15" t="s">
        <v>1715</v>
      </c>
      <c r="I509" s="10" t="b">
        <f t="shared" si="9"/>
        <v>0</v>
      </c>
    </row>
    <row r="510">
      <c r="A510" s="13" t="s">
        <v>1706</v>
      </c>
      <c r="B510" s="14" t="s">
        <v>2372</v>
      </c>
      <c r="C510" s="13" t="s">
        <v>87</v>
      </c>
      <c r="D510" s="13" t="s">
        <v>88</v>
      </c>
      <c r="E510" s="13" t="s">
        <v>343</v>
      </c>
      <c r="F510" s="10" t="s">
        <v>1706</v>
      </c>
      <c r="G510" s="10">
        <f t="shared" si="15"/>
        <v>1</v>
      </c>
      <c r="H510" s="10" t="s">
        <v>1718</v>
      </c>
      <c r="I510" s="10" t="b">
        <f t="shared" si="9"/>
        <v>0</v>
      </c>
    </row>
    <row r="511">
      <c r="A511" s="7" t="s">
        <v>1709</v>
      </c>
      <c r="B511" s="9" t="s">
        <v>2375</v>
      </c>
      <c r="C511" s="7" t="s">
        <v>22</v>
      </c>
      <c r="D511" s="7" t="s">
        <v>88</v>
      </c>
      <c r="E511" s="9" t="s">
        <v>464</v>
      </c>
      <c r="F511" s="15" t="s">
        <v>1709</v>
      </c>
      <c r="G511" s="10">
        <f t="shared" si="15"/>
        <v>1</v>
      </c>
      <c r="H511" s="15" t="s">
        <v>1723</v>
      </c>
      <c r="I511" s="10" t="b">
        <f t="shared" si="9"/>
        <v>0</v>
      </c>
    </row>
    <row r="512">
      <c r="A512" s="18"/>
      <c r="B512" s="18"/>
      <c r="C512" s="18"/>
      <c r="D512" s="18"/>
      <c r="E512" s="18"/>
      <c r="F512" s="10" t="s">
        <v>1711</v>
      </c>
      <c r="G512" s="10" t="b">
        <f t="shared" si="15"/>
        <v>0</v>
      </c>
      <c r="H512" s="10" t="s">
        <v>1728</v>
      </c>
      <c r="I512" s="10" t="b">
        <f t="shared" si="9"/>
        <v>0</v>
      </c>
    </row>
    <row r="513">
      <c r="A513" s="13" t="s">
        <v>1714</v>
      </c>
      <c r="B513" s="14" t="s">
        <v>2382</v>
      </c>
      <c r="C513" s="13" t="s">
        <v>22</v>
      </c>
      <c r="D513" s="13" t="s">
        <v>88</v>
      </c>
      <c r="E513" s="14" t="s">
        <v>464</v>
      </c>
      <c r="F513" s="15" t="s">
        <v>1714</v>
      </c>
      <c r="G513" s="10">
        <f t="shared" si="15"/>
        <v>1</v>
      </c>
      <c r="H513" s="15" t="s">
        <v>1732</v>
      </c>
      <c r="I513" s="10" t="b">
        <f t="shared" si="9"/>
        <v>0</v>
      </c>
    </row>
    <row r="514">
      <c r="A514" s="7" t="s">
        <v>1717</v>
      </c>
      <c r="B514" s="9" t="s">
        <v>2387</v>
      </c>
      <c r="C514" s="7" t="s">
        <v>22</v>
      </c>
      <c r="D514" s="7" t="s">
        <v>88</v>
      </c>
      <c r="E514" s="9" t="s">
        <v>2388</v>
      </c>
      <c r="F514" s="10" t="s">
        <v>1717</v>
      </c>
      <c r="G514" s="10">
        <f t="shared" si="15"/>
        <v>1</v>
      </c>
      <c r="H514" s="10" t="s">
        <v>1736</v>
      </c>
      <c r="I514" s="10" t="b">
        <f t="shared" si="9"/>
        <v>0</v>
      </c>
    </row>
    <row r="515">
      <c r="A515" s="13" t="s">
        <v>1722</v>
      </c>
      <c r="B515" s="13" t="s">
        <v>2391</v>
      </c>
      <c r="C515" s="13" t="s">
        <v>87</v>
      </c>
      <c r="D515" s="13" t="s">
        <v>88</v>
      </c>
      <c r="E515" s="13" t="s">
        <v>2392</v>
      </c>
      <c r="F515" s="15" t="s">
        <v>1722</v>
      </c>
      <c r="G515" s="10">
        <f t="shared" si="15"/>
        <v>1</v>
      </c>
      <c r="H515" s="15" t="s">
        <v>1738</v>
      </c>
      <c r="I515" s="10" t="b">
        <f t="shared" si="9"/>
        <v>0</v>
      </c>
    </row>
    <row r="516">
      <c r="A516" s="7" t="s">
        <v>1727</v>
      </c>
      <c r="B516" s="7" t="s">
        <v>2397</v>
      </c>
      <c r="C516" s="7" t="s">
        <v>87</v>
      </c>
      <c r="D516" s="7" t="s">
        <v>88</v>
      </c>
      <c r="E516" s="9" t="s">
        <v>279</v>
      </c>
      <c r="F516" s="10" t="s">
        <v>1727</v>
      </c>
      <c r="G516" s="10">
        <f t="shared" si="15"/>
        <v>1</v>
      </c>
      <c r="H516" s="10" t="s">
        <v>1741</v>
      </c>
      <c r="I516" s="10" t="b">
        <f t="shared" si="9"/>
        <v>0</v>
      </c>
    </row>
    <row r="517">
      <c r="A517" s="13" t="s">
        <v>1731</v>
      </c>
      <c r="B517" s="13" t="s">
        <v>2400</v>
      </c>
      <c r="C517" s="13" t="s">
        <v>87</v>
      </c>
      <c r="D517" s="13" t="s">
        <v>88</v>
      </c>
      <c r="E517" s="14" t="s">
        <v>279</v>
      </c>
      <c r="F517" s="15" t="s">
        <v>1731</v>
      </c>
      <c r="G517" s="10">
        <f t="shared" si="15"/>
        <v>1</v>
      </c>
      <c r="H517" s="15" t="s">
        <v>1745</v>
      </c>
      <c r="I517" s="10" t="b">
        <f t="shared" si="9"/>
        <v>0</v>
      </c>
    </row>
    <row r="518">
      <c r="A518" s="7" t="s">
        <v>1734</v>
      </c>
      <c r="B518" s="7" t="s">
        <v>2403</v>
      </c>
      <c r="C518" s="7" t="s">
        <v>87</v>
      </c>
      <c r="D518" s="7" t="s">
        <v>88</v>
      </c>
      <c r="E518" s="9" t="s">
        <v>279</v>
      </c>
      <c r="F518" s="10" t="s">
        <v>1734</v>
      </c>
      <c r="G518" s="10">
        <f t="shared" si="15"/>
        <v>1</v>
      </c>
      <c r="H518" s="10" t="s">
        <v>1748</v>
      </c>
      <c r="I518" s="10" t="b">
        <f t="shared" si="9"/>
        <v>0</v>
      </c>
    </row>
    <row r="519">
      <c r="A519" s="13" t="s">
        <v>1737</v>
      </c>
      <c r="B519" s="13" t="s">
        <v>2407</v>
      </c>
      <c r="C519" s="13" t="s">
        <v>227</v>
      </c>
      <c r="D519" s="13" t="s">
        <v>88</v>
      </c>
      <c r="E519" s="13" t="s">
        <v>229</v>
      </c>
      <c r="F519" s="15" t="s">
        <v>1737</v>
      </c>
      <c r="G519" s="10">
        <f t="shared" si="15"/>
        <v>1</v>
      </c>
      <c r="H519" s="15" t="s">
        <v>1752</v>
      </c>
      <c r="I519" s="10" t="b">
        <f t="shared" si="9"/>
        <v>0</v>
      </c>
    </row>
    <row r="520">
      <c r="A520" s="7" t="s">
        <v>1740</v>
      </c>
      <c r="B520" s="7" t="s">
        <v>2412</v>
      </c>
      <c r="C520" s="7" t="s">
        <v>22</v>
      </c>
      <c r="D520" s="7" t="s">
        <v>88</v>
      </c>
      <c r="E520" s="7" t="s">
        <v>2413</v>
      </c>
      <c r="F520" s="10" t="s">
        <v>1740</v>
      </c>
      <c r="G520" s="10">
        <f t="shared" si="15"/>
        <v>1</v>
      </c>
      <c r="H520" s="10" t="s">
        <v>1755</v>
      </c>
      <c r="I520" s="10" t="b">
        <f t="shared" si="9"/>
        <v>0</v>
      </c>
    </row>
    <row r="521">
      <c r="A521" s="13" t="s">
        <v>1744</v>
      </c>
      <c r="B521" s="13" t="s">
        <v>2416</v>
      </c>
      <c r="C521" s="13" t="s">
        <v>87</v>
      </c>
      <c r="D521" s="13" t="s">
        <v>88</v>
      </c>
      <c r="E521" s="14" t="s">
        <v>279</v>
      </c>
      <c r="F521" s="15" t="s">
        <v>1744</v>
      </c>
      <c r="G521" s="10">
        <f t="shared" si="15"/>
        <v>1</v>
      </c>
      <c r="H521" s="15" t="s">
        <v>1757</v>
      </c>
      <c r="I521" s="10" t="b">
        <f t="shared" si="9"/>
        <v>0</v>
      </c>
    </row>
    <row r="522">
      <c r="A522" s="7" t="s">
        <v>1747</v>
      </c>
      <c r="B522" s="7" t="s">
        <v>2420</v>
      </c>
      <c r="C522" s="7" t="s">
        <v>87</v>
      </c>
      <c r="D522" s="7" t="s">
        <v>88</v>
      </c>
      <c r="E522" s="9" t="s">
        <v>279</v>
      </c>
      <c r="F522" s="10" t="s">
        <v>1747</v>
      </c>
      <c r="G522" s="10">
        <f t="shared" si="15"/>
        <v>1</v>
      </c>
      <c r="H522" s="10" t="s">
        <v>1760</v>
      </c>
      <c r="I522" s="10" t="b">
        <f t="shared" si="9"/>
        <v>0</v>
      </c>
    </row>
    <row r="523">
      <c r="A523" s="13" t="s">
        <v>1753</v>
      </c>
      <c r="B523" s="14" t="s">
        <v>2424</v>
      </c>
      <c r="C523" s="13" t="s">
        <v>87</v>
      </c>
      <c r="D523" s="13" t="s">
        <v>88</v>
      </c>
      <c r="E523" s="14" t="s">
        <v>279</v>
      </c>
      <c r="F523" s="15" t="s">
        <v>1751</v>
      </c>
      <c r="G523" s="10" t="b">
        <f t="shared" si="15"/>
        <v>0</v>
      </c>
      <c r="H523" s="15" t="s">
        <v>1764</v>
      </c>
      <c r="I523" s="10" t="b">
        <f t="shared" si="9"/>
        <v>0</v>
      </c>
    </row>
    <row r="524">
      <c r="A524" s="18"/>
      <c r="B524" s="18"/>
      <c r="C524" s="18"/>
      <c r="D524" s="18"/>
      <c r="E524" s="18"/>
      <c r="F524" s="10" t="s">
        <v>1753</v>
      </c>
      <c r="G524" s="10" t="b">
        <f t="shared" si="15"/>
        <v>0</v>
      </c>
      <c r="H524" s="10" t="s">
        <v>1768</v>
      </c>
      <c r="I524" s="10" t="b">
        <f t="shared" si="9"/>
        <v>0</v>
      </c>
    </row>
    <row r="525">
      <c r="A525" s="7" t="s">
        <v>1756</v>
      </c>
      <c r="B525" s="7" t="s">
        <v>2429</v>
      </c>
      <c r="C525" s="7" t="s">
        <v>87</v>
      </c>
      <c r="D525" s="7" t="s">
        <v>88</v>
      </c>
      <c r="E525" s="9" t="s">
        <v>279</v>
      </c>
      <c r="F525" s="15" t="s">
        <v>1756</v>
      </c>
      <c r="G525" s="10">
        <f t="shared" si="15"/>
        <v>1</v>
      </c>
      <c r="H525" s="15" t="s">
        <v>1772</v>
      </c>
      <c r="I525" s="10" t="b">
        <f t="shared" si="9"/>
        <v>0</v>
      </c>
    </row>
    <row r="526">
      <c r="A526" s="13" t="s">
        <v>1759</v>
      </c>
      <c r="B526" s="13" t="s">
        <v>2432</v>
      </c>
      <c r="C526" s="13" t="s">
        <v>87</v>
      </c>
      <c r="D526" s="13" t="s">
        <v>88</v>
      </c>
      <c r="E526" s="14" t="s">
        <v>279</v>
      </c>
      <c r="F526" s="10" t="s">
        <v>1759</v>
      </c>
      <c r="G526" s="10">
        <f t="shared" si="15"/>
        <v>1</v>
      </c>
      <c r="H526" s="10" t="s">
        <v>1776</v>
      </c>
      <c r="I526" s="10" t="b">
        <f t="shared" si="9"/>
        <v>0</v>
      </c>
    </row>
    <row r="527">
      <c r="A527" s="7" t="s">
        <v>1763</v>
      </c>
      <c r="B527" s="7" t="s">
        <v>2105</v>
      </c>
      <c r="C527" s="7" t="s">
        <v>22</v>
      </c>
      <c r="D527" s="7" t="s">
        <v>26</v>
      </c>
      <c r="E527" s="7" t="s">
        <v>2126</v>
      </c>
      <c r="F527" s="15" t="s">
        <v>1763</v>
      </c>
      <c r="G527" s="10">
        <f t="shared" si="15"/>
        <v>1</v>
      </c>
      <c r="H527" s="15" t="s">
        <v>1779</v>
      </c>
      <c r="I527" s="10" t="b">
        <f t="shared" si="9"/>
        <v>0</v>
      </c>
    </row>
    <row r="528">
      <c r="A528" s="13" t="s">
        <v>1767</v>
      </c>
      <c r="B528" s="13" t="s">
        <v>2437</v>
      </c>
      <c r="C528" s="13" t="s">
        <v>22</v>
      </c>
      <c r="D528" s="13" t="s">
        <v>88</v>
      </c>
      <c r="E528" s="13" t="s">
        <v>2126</v>
      </c>
      <c r="F528" s="10" t="s">
        <v>1767</v>
      </c>
      <c r="G528" s="10">
        <f t="shared" si="15"/>
        <v>1</v>
      </c>
      <c r="H528" s="10" t="s">
        <v>1781</v>
      </c>
      <c r="I528" s="10" t="b">
        <f t="shared" si="9"/>
        <v>0</v>
      </c>
    </row>
    <row r="529">
      <c r="A529" s="7" t="s">
        <v>1771</v>
      </c>
      <c r="B529" s="7" t="s">
        <v>2441</v>
      </c>
      <c r="C529" s="7" t="s">
        <v>22</v>
      </c>
      <c r="D529" s="7" t="s">
        <v>26</v>
      </c>
      <c r="E529" s="7" t="s">
        <v>2126</v>
      </c>
      <c r="F529" s="15" t="s">
        <v>1771</v>
      </c>
      <c r="G529" s="10">
        <f t="shared" si="15"/>
        <v>1</v>
      </c>
      <c r="H529" s="15" t="s">
        <v>2445</v>
      </c>
      <c r="I529" s="10" t="b">
        <f t="shared" si="9"/>
        <v>0</v>
      </c>
    </row>
    <row r="530">
      <c r="A530" s="13" t="s">
        <v>1774</v>
      </c>
      <c r="B530" s="13" t="s">
        <v>2448</v>
      </c>
      <c r="C530" s="13" t="s">
        <v>22</v>
      </c>
      <c r="D530" s="13" t="s">
        <v>88</v>
      </c>
      <c r="E530" s="13" t="s">
        <v>2126</v>
      </c>
      <c r="F530" s="10" t="s">
        <v>1774</v>
      </c>
      <c r="G530" s="10">
        <f t="shared" si="15"/>
        <v>1</v>
      </c>
      <c r="H530" s="10" t="s">
        <v>2450</v>
      </c>
      <c r="I530" s="10" t="b">
        <f t="shared" si="9"/>
        <v>0</v>
      </c>
    </row>
    <row r="531">
      <c r="A531" s="7" t="s">
        <v>1777</v>
      </c>
      <c r="B531" s="7" t="s">
        <v>2396</v>
      </c>
      <c r="C531" s="7" t="s">
        <v>22</v>
      </c>
      <c r="D531" s="7" t="s">
        <v>26</v>
      </c>
      <c r="E531" s="7" t="s">
        <v>2126</v>
      </c>
      <c r="F531" s="15" t="s">
        <v>1777</v>
      </c>
      <c r="G531" s="10">
        <f t="shared" si="15"/>
        <v>1</v>
      </c>
      <c r="H531" s="15" t="s">
        <v>1790</v>
      </c>
      <c r="I531" s="10" t="b">
        <f t="shared" si="9"/>
        <v>0</v>
      </c>
    </row>
    <row r="532">
      <c r="A532" s="13" t="s">
        <v>1780</v>
      </c>
      <c r="B532" s="13" t="s">
        <v>2457</v>
      </c>
      <c r="C532" s="13" t="s">
        <v>22</v>
      </c>
      <c r="D532" s="13" t="s">
        <v>88</v>
      </c>
      <c r="E532" s="13" t="s">
        <v>2126</v>
      </c>
      <c r="F532" s="10" t="s">
        <v>1780</v>
      </c>
      <c r="G532" s="10">
        <f t="shared" si="15"/>
        <v>1</v>
      </c>
      <c r="H532" s="10" t="s">
        <v>1793</v>
      </c>
      <c r="I532" s="10" t="b">
        <f t="shared" si="9"/>
        <v>0</v>
      </c>
    </row>
    <row r="533">
      <c r="A533" s="18"/>
      <c r="B533" s="18"/>
      <c r="C533" s="18"/>
      <c r="D533" s="18"/>
      <c r="E533" s="18"/>
      <c r="F533" s="15" t="s">
        <v>1784</v>
      </c>
      <c r="G533" s="10" t="b">
        <f t="shared" si="15"/>
        <v>0</v>
      </c>
      <c r="H533" s="15" t="s">
        <v>1797</v>
      </c>
      <c r="I533" s="10" t="b">
        <f t="shared" si="9"/>
        <v>0</v>
      </c>
    </row>
    <row r="534">
      <c r="A534" s="18"/>
      <c r="B534" s="18"/>
      <c r="C534" s="18"/>
      <c r="D534" s="18"/>
      <c r="E534" s="18"/>
      <c r="F534" s="10" t="s">
        <v>1786</v>
      </c>
      <c r="G534" s="10" t="b">
        <f t="shared" si="15"/>
        <v>0</v>
      </c>
      <c r="H534" s="10" t="s">
        <v>1800</v>
      </c>
      <c r="I534" s="10" t="b">
        <f t="shared" si="9"/>
        <v>0</v>
      </c>
    </row>
    <row r="535">
      <c r="A535" s="18"/>
      <c r="B535" s="18"/>
      <c r="C535" s="18"/>
      <c r="D535" s="18"/>
      <c r="E535" s="18"/>
      <c r="F535" s="15" t="s">
        <v>1789</v>
      </c>
      <c r="G535" s="10" t="b">
        <f t="shared" si="15"/>
        <v>0</v>
      </c>
      <c r="H535" s="15" t="s">
        <v>1802</v>
      </c>
      <c r="I535" s="10" t="b">
        <f t="shared" si="9"/>
        <v>0</v>
      </c>
    </row>
    <row r="536">
      <c r="A536" s="18"/>
      <c r="B536" s="18"/>
      <c r="C536" s="18"/>
      <c r="D536" s="18"/>
      <c r="E536" s="18"/>
      <c r="F536" s="10" t="s">
        <v>1792</v>
      </c>
      <c r="G536" s="10" t="b">
        <f t="shared" si="15"/>
        <v>0</v>
      </c>
      <c r="H536" s="10" t="s">
        <v>1806</v>
      </c>
      <c r="I536" s="10" t="b">
        <f t="shared" si="9"/>
        <v>0</v>
      </c>
    </row>
    <row r="537">
      <c r="A537" s="18"/>
      <c r="B537" s="18"/>
      <c r="C537" s="18"/>
      <c r="D537" s="18"/>
      <c r="E537" s="18"/>
      <c r="F537" s="15"/>
      <c r="G537" s="10"/>
      <c r="H537" s="15"/>
      <c r="I537" s="10">
        <f t="shared" si="9"/>
        <v>1</v>
      </c>
    </row>
    <row r="538">
      <c r="A538" s="7" t="s">
        <v>1795</v>
      </c>
      <c r="B538" s="7" t="s">
        <v>2471</v>
      </c>
      <c r="C538" s="7" t="s">
        <v>87</v>
      </c>
      <c r="D538" s="7" t="s">
        <v>88</v>
      </c>
      <c r="E538" s="9" t="s">
        <v>89</v>
      </c>
      <c r="F538" s="15" t="s">
        <v>1795</v>
      </c>
      <c r="G538" s="10">
        <f t="shared" ref="G538:G772" si="16">IF(F538=A538,1,FALSE)</f>
        <v>1</v>
      </c>
      <c r="H538" s="15" t="s">
        <v>1810</v>
      </c>
      <c r="I538" s="10" t="b">
        <f t="shared" si="9"/>
        <v>0</v>
      </c>
    </row>
    <row r="539">
      <c r="A539" s="13" t="s">
        <v>1798</v>
      </c>
      <c r="B539" s="14" t="s">
        <v>2478</v>
      </c>
      <c r="C539" s="13" t="s">
        <v>227</v>
      </c>
      <c r="D539" s="13" t="s">
        <v>88</v>
      </c>
      <c r="E539" s="13" t="s">
        <v>229</v>
      </c>
      <c r="F539" s="10" t="s">
        <v>1798</v>
      </c>
      <c r="G539" s="10">
        <f t="shared" si="16"/>
        <v>1</v>
      </c>
      <c r="H539" s="10" t="s">
        <v>1813</v>
      </c>
      <c r="I539" s="10" t="b">
        <f t="shared" si="9"/>
        <v>0</v>
      </c>
    </row>
    <row r="540">
      <c r="A540" s="7" t="s">
        <v>1801</v>
      </c>
      <c r="B540" s="7" t="s">
        <v>2481</v>
      </c>
      <c r="C540" s="7" t="s">
        <v>22</v>
      </c>
      <c r="D540" s="7" t="s">
        <v>88</v>
      </c>
      <c r="E540" s="9" t="s">
        <v>2483</v>
      </c>
      <c r="F540" s="15" t="s">
        <v>1801</v>
      </c>
      <c r="G540" s="10">
        <f t="shared" si="16"/>
        <v>1</v>
      </c>
      <c r="H540" s="15" t="s">
        <v>1816</v>
      </c>
      <c r="I540" s="10" t="b">
        <f t="shared" si="9"/>
        <v>0</v>
      </c>
    </row>
    <row r="541">
      <c r="A541" s="13" t="s">
        <v>1805</v>
      </c>
      <c r="B541" s="14" t="s">
        <v>2486</v>
      </c>
      <c r="C541" s="13" t="s">
        <v>227</v>
      </c>
      <c r="D541" s="13" t="s">
        <v>88</v>
      </c>
      <c r="E541" s="13" t="s">
        <v>229</v>
      </c>
      <c r="F541" s="10" t="s">
        <v>1805</v>
      </c>
      <c r="G541" s="10">
        <f t="shared" si="16"/>
        <v>1</v>
      </c>
      <c r="H541" s="10" t="s">
        <v>1820</v>
      </c>
      <c r="I541" s="10" t="b">
        <f t="shared" si="9"/>
        <v>0</v>
      </c>
    </row>
    <row r="542">
      <c r="A542" s="7" t="s">
        <v>1809</v>
      </c>
      <c r="B542" s="7" t="s">
        <v>2491</v>
      </c>
      <c r="C542" s="7" t="s">
        <v>87</v>
      </c>
      <c r="D542" s="7" t="s">
        <v>88</v>
      </c>
      <c r="E542" s="9" t="s">
        <v>89</v>
      </c>
      <c r="F542" s="15" t="s">
        <v>1809</v>
      </c>
      <c r="G542" s="10">
        <f t="shared" si="16"/>
        <v>1</v>
      </c>
      <c r="H542" s="15" t="s">
        <v>1823</v>
      </c>
      <c r="I542" s="10" t="b">
        <f t="shared" si="9"/>
        <v>0</v>
      </c>
    </row>
    <row r="543">
      <c r="A543" s="13" t="s">
        <v>1812</v>
      </c>
      <c r="B543" s="14" t="s">
        <v>2494</v>
      </c>
      <c r="C543" s="13" t="s">
        <v>87</v>
      </c>
      <c r="D543" s="13" t="s">
        <v>88</v>
      </c>
      <c r="E543" s="13" t="s">
        <v>343</v>
      </c>
      <c r="F543" s="10" t="s">
        <v>1812</v>
      </c>
      <c r="G543" s="10">
        <f t="shared" si="16"/>
        <v>1</v>
      </c>
      <c r="H543" s="10" t="s">
        <v>1825</v>
      </c>
      <c r="I543" s="10" t="b">
        <f t="shared" si="9"/>
        <v>0</v>
      </c>
    </row>
    <row r="544">
      <c r="A544" s="7" t="s">
        <v>1814</v>
      </c>
      <c r="B544" s="9" t="s">
        <v>2497</v>
      </c>
      <c r="C544" s="7" t="s">
        <v>87</v>
      </c>
      <c r="D544" s="7" t="s">
        <v>88</v>
      </c>
      <c r="E544" s="9" t="s">
        <v>89</v>
      </c>
      <c r="F544" s="15" t="s">
        <v>1814</v>
      </c>
      <c r="G544" s="10">
        <f t="shared" si="16"/>
        <v>1</v>
      </c>
      <c r="H544" s="15" t="s">
        <v>1828</v>
      </c>
      <c r="I544" s="10" t="b">
        <f t="shared" si="9"/>
        <v>0</v>
      </c>
    </row>
    <row r="545">
      <c r="A545" s="13" t="s">
        <v>1818</v>
      </c>
      <c r="B545" s="13" t="s">
        <v>2502</v>
      </c>
      <c r="C545" s="13" t="s">
        <v>22</v>
      </c>
      <c r="D545" s="13" t="s">
        <v>26</v>
      </c>
      <c r="E545" s="13" t="s">
        <v>2126</v>
      </c>
      <c r="F545" s="10" t="s">
        <v>1818</v>
      </c>
      <c r="G545" s="10">
        <f t="shared" si="16"/>
        <v>1</v>
      </c>
      <c r="H545" s="10" t="s">
        <v>1830</v>
      </c>
      <c r="I545" s="10" t="b">
        <f t="shared" si="9"/>
        <v>0</v>
      </c>
    </row>
    <row r="546">
      <c r="A546" s="18"/>
      <c r="B546" s="18"/>
      <c r="C546" s="18"/>
      <c r="D546" s="18"/>
      <c r="E546" s="18"/>
      <c r="F546" s="15" t="s">
        <v>1822</v>
      </c>
      <c r="G546" s="10" t="b">
        <f t="shared" si="16"/>
        <v>0</v>
      </c>
      <c r="H546" s="15" t="s">
        <v>1833</v>
      </c>
      <c r="I546" s="10" t="b">
        <f t="shared" si="9"/>
        <v>0</v>
      </c>
    </row>
    <row r="547">
      <c r="A547" s="7" t="s">
        <v>1824</v>
      </c>
      <c r="B547" s="7" t="s">
        <v>2508</v>
      </c>
      <c r="C547" s="7" t="s">
        <v>22</v>
      </c>
      <c r="D547" s="7" t="s">
        <v>26</v>
      </c>
      <c r="E547" s="9" t="s">
        <v>978</v>
      </c>
      <c r="F547" s="10" t="s">
        <v>1824</v>
      </c>
      <c r="G547" s="10">
        <f t="shared" si="16"/>
        <v>1</v>
      </c>
      <c r="H547" s="10" t="s">
        <v>1836</v>
      </c>
      <c r="I547" s="10" t="b">
        <f t="shared" si="9"/>
        <v>0</v>
      </c>
    </row>
    <row r="548">
      <c r="A548" s="13" t="s">
        <v>1826</v>
      </c>
      <c r="B548" s="13" t="s">
        <v>2510</v>
      </c>
      <c r="C548" s="13" t="s">
        <v>22</v>
      </c>
      <c r="D548" s="13" t="s">
        <v>88</v>
      </c>
      <c r="E548" s="14" t="s">
        <v>978</v>
      </c>
      <c r="F548" s="15" t="s">
        <v>1826</v>
      </c>
      <c r="G548" s="10">
        <f t="shared" si="16"/>
        <v>1</v>
      </c>
      <c r="H548" s="15" t="s">
        <v>1840</v>
      </c>
      <c r="I548" s="10" t="b">
        <f t="shared" si="9"/>
        <v>0</v>
      </c>
    </row>
    <row r="549">
      <c r="A549" s="7" t="s">
        <v>1829</v>
      </c>
      <c r="B549" s="7" t="s">
        <v>2515</v>
      </c>
      <c r="C549" s="7" t="s">
        <v>87</v>
      </c>
      <c r="D549" s="7" t="s">
        <v>26</v>
      </c>
      <c r="E549" s="7" t="s">
        <v>343</v>
      </c>
      <c r="F549" s="10" t="s">
        <v>1829</v>
      </c>
      <c r="G549" s="10">
        <f t="shared" si="16"/>
        <v>1</v>
      </c>
      <c r="H549" s="10" t="s">
        <v>1844</v>
      </c>
      <c r="I549" s="10" t="b">
        <f t="shared" si="9"/>
        <v>0</v>
      </c>
    </row>
    <row r="550">
      <c r="A550" s="13" t="s">
        <v>1832</v>
      </c>
      <c r="B550" s="13" t="s">
        <v>2517</v>
      </c>
      <c r="C550" s="13" t="s">
        <v>87</v>
      </c>
      <c r="D550" s="13" t="s">
        <v>88</v>
      </c>
      <c r="E550" s="13" t="s">
        <v>343</v>
      </c>
      <c r="F550" s="15" t="s">
        <v>1832</v>
      </c>
      <c r="G550" s="10">
        <f t="shared" si="16"/>
        <v>1</v>
      </c>
      <c r="H550" s="15" t="s">
        <v>1847</v>
      </c>
      <c r="I550" s="10" t="b">
        <f t="shared" si="9"/>
        <v>0</v>
      </c>
    </row>
    <row r="551">
      <c r="A551" s="7" t="s">
        <v>1835</v>
      </c>
      <c r="B551" s="7" t="s">
        <v>2522</v>
      </c>
      <c r="C551" s="7" t="s">
        <v>22</v>
      </c>
      <c r="D551" s="7" t="s">
        <v>88</v>
      </c>
      <c r="E551" s="7" t="s">
        <v>2524</v>
      </c>
      <c r="F551" s="10" t="s">
        <v>1835</v>
      </c>
      <c r="G551" s="10">
        <f t="shared" si="16"/>
        <v>1</v>
      </c>
      <c r="H551" s="10" t="s">
        <v>1850</v>
      </c>
      <c r="I551" s="10" t="b">
        <f t="shared" si="9"/>
        <v>0</v>
      </c>
    </row>
    <row r="552">
      <c r="A552" s="13" t="s">
        <v>1839</v>
      </c>
      <c r="B552" s="14" t="s">
        <v>2526</v>
      </c>
      <c r="C552" s="13" t="s">
        <v>22</v>
      </c>
      <c r="D552" s="13" t="s">
        <v>88</v>
      </c>
      <c r="E552" s="14" t="s">
        <v>2528</v>
      </c>
      <c r="F552" s="15" t="s">
        <v>1839</v>
      </c>
      <c r="G552" s="10">
        <f t="shared" si="16"/>
        <v>1</v>
      </c>
      <c r="H552" s="15" t="s">
        <v>1855</v>
      </c>
      <c r="I552" s="10" t="b">
        <f t="shared" si="9"/>
        <v>0</v>
      </c>
    </row>
    <row r="553">
      <c r="A553" s="18"/>
      <c r="B553" s="18"/>
      <c r="C553" s="18"/>
      <c r="D553" s="18"/>
      <c r="E553" s="18"/>
      <c r="F553" s="10" t="s">
        <v>1843</v>
      </c>
      <c r="G553" s="10" t="b">
        <f t="shared" si="16"/>
        <v>0</v>
      </c>
      <c r="H553" s="10" t="s">
        <v>1859</v>
      </c>
      <c r="I553" s="10" t="b">
        <f t="shared" si="9"/>
        <v>0</v>
      </c>
    </row>
    <row r="554">
      <c r="A554" s="7" t="s">
        <v>1846</v>
      </c>
      <c r="B554" s="9" t="s">
        <v>2534</v>
      </c>
      <c r="C554" s="7" t="s">
        <v>22</v>
      </c>
      <c r="D554" s="7" t="s">
        <v>88</v>
      </c>
      <c r="E554" s="9" t="s">
        <v>2388</v>
      </c>
      <c r="F554" s="15" t="s">
        <v>1846</v>
      </c>
      <c r="G554" s="10">
        <f t="shared" si="16"/>
        <v>1</v>
      </c>
      <c r="H554" s="15" t="s">
        <v>1863</v>
      </c>
      <c r="I554" s="10" t="b">
        <f t="shared" si="9"/>
        <v>0</v>
      </c>
    </row>
    <row r="555">
      <c r="A555" s="13" t="s">
        <v>1849</v>
      </c>
      <c r="B555" s="13" t="s">
        <v>2538</v>
      </c>
      <c r="C555" s="13" t="s">
        <v>22</v>
      </c>
      <c r="D555" s="13" t="s">
        <v>88</v>
      </c>
      <c r="E555" s="14" t="s">
        <v>2539</v>
      </c>
      <c r="F555" s="10" t="s">
        <v>1849</v>
      </c>
      <c r="G555" s="10">
        <f t="shared" si="16"/>
        <v>1</v>
      </c>
      <c r="H555" s="10" t="s">
        <v>1867</v>
      </c>
      <c r="I555" s="10" t="b">
        <f t="shared" si="9"/>
        <v>0</v>
      </c>
    </row>
    <row r="556">
      <c r="A556" s="7" t="s">
        <v>1853</v>
      </c>
      <c r="B556" s="9" t="s">
        <v>2544</v>
      </c>
      <c r="C556" s="7" t="s">
        <v>22</v>
      </c>
      <c r="D556" s="7" t="s">
        <v>88</v>
      </c>
      <c r="E556" s="9" t="s">
        <v>2545</v>
      </c>
      <c r="F556" s="15" t="s">
        <v>1853</v>
      </c>
      <c r="G556" s="10">
        <f t="shared" si="16"/>
        <v>1</v>
      </c>
      <c r="H556" s="15" t="s">
        <v>1870</v>
      </c>
      <c r="I556" s="10" t="b">
        <f t="shared" si="9"/>
        <v>0</v>
      </c>
    </row>
    <row r="557">
      <c r="A557" s="13" t="s">
        <v>1858</v>
      </c>
      <c r="B557" s="14" t="s">
        <v>2547</v>
      </c>
      <c r="C557" s="13" t="s">
        <v>22</v>
      </c>
      <c r="D557" s="13" t="s">
        <v>88</v>
      </c>
      <c r="E557" s="14" t="s">
        <v>2549</v>
      </c>
      <c r="F557" s="10" t="s">
        <v>1858</v>
      </c>
      <c r="G557" s="10">
        <f t="shared" si="16"/>
        <v>1</v>
      </c>
      <c r="H557" s="10" t="s">
        <v>1872</v>
      </c>
      <c r="I557" s="10" t="b">
        <f t="shared" si="9"/>
        <v>0</v>
      </c>
    </row>
    <row r="558">
      <c r="A558" s="7" t="s">
        <v>1862</v>
      </c>
      <c r="B558" s="7" t="s">
        <v>2553</v>
      </c>
      <c r="C558" s="7" t="s">
        <v>22</v>
      </c>
      <c r="D558" s="7" t="s">
        <v>88</v>
      </c>
      <c r="E558" s="7" t="s">
        <v>110</v>
      </c>
      <c r="F558" s="15" t="s">
        <v>1862</v>
      </c>
      <c r="G558" s="10">
        <f t="shared" si="16"/>
        <v>1</v>
      </c>
      <c r="H558" s="15" t="s">
        <v>1875</v>
      </c>
      <c r="I558" s="10" t="b">
        <f t="shared" si="9"/>
        <v>0</v>
      </c>
    </row>
    <row r="559">
      <c r="A559" s="13" t="s">
        <v>1865</v>
      </c>
      <c r="B559" s="13" t="s">
        <v>2557</v>
      </c>
      <c r="C559" s="13" t="s">
        <v>22</v>
      </c>
      <c r="D559" s="13" t="s">
        <v>88</v>
      </c>
      <c r="E559" s="13" t="s">
        <v>163</v>
      </c>
      <c r="F559" s="10" t="s">
        <v>1865</v>
      </c>
      <c r="G559" s="10">
        <f t="shared" si="16"/>
        <v>1</v>
      </c>
      <c r="H559" s="10" t="s">
        <v>1878</v>
      </c>
      <c r="I559" s="10" t="b">
        <f t="shared" si="9"/>
        <v>0</v>
      </c>
    </row>
    <row r="560">
      <c r="A560" s="7" t="s">
        <v>1869</v>
      </c>
      <c r="B560" s="7" t="s">
        <v>2560</v>
      </c>
      <c r="C560" s="7" t="s">
        <v>22</v>
      </c>
      <c r="D560" s="7" t="s">
        <v>88</v>
      </c>
      <c r="E560" s="7" t="s">
        <v>163</v>
      </c>
      <c r="F560" s="15" t="s">
        <v>1869</v>
      </c>
      <c r="G560" s="10">
        <f t="shared" si="16"/>
        <v>1</v>
      </c>
      <c r="H560" s="15" t="s">
        <v>1882</v>
      </c>
      <c r="I560" s="10" t="b">
        <f t="shared" si="9"/>
        <v>0</v>
      </c>
    </row>
    <row r="561">
      <c r="A561" s="13" t="s">
        <v>1871</v>
      </c>
      <c r="B561" s="14" t="s">
        <v>2564</v>
      </c>
      <c r="C561" s="13" t="s">
        <v>22</v>
      </c>
      <c r="D561" s="13" t="s">
        <v>88</v>
      </c>
      <c r="E561" s="13" t="s">
        <v>564</v>
      </c>
      <c r="F561" s="10" t="s">
        <v>1871</v>
      </c>
      <c r="G561" s="10">
        <f t="shared" si="16"/>
        <v>1</v>
      </c>
      <c r="H561" s="10" t="s">
        <v>1886</v>
      </c>
      <c r="I561" s="10" t="b">
        <f t="shared" si="9"/>
        <v>0</v>
      </c>
    </row>
    <row r="562">
      <c r="A562" s="7" t="s">
        <v>1874</v>
      </c>
      <c r="B562" s="7" t="s">
        <v>2570</v>
      </c>
      <c r="C562" s="7" t="s">
        <v>22</v>
      </c>
      <c r="D562" s="7" t="s">
        <v>88</v>
      </c>
      <c r="E562" s="9" t="s">
        <v>2483</v>
      </c>
      <c r="F562" s="15" t="s">
        <v>1874</v>
      </c>
      <c r="G562" s="10">
        <f t="shared" si="16"/>
        <v>1</v>
      </c>
      <c r="H562" s="15" t="s">
        <v>1890</v>
      </c>
      <c r="I562" s="10" t="b">
        <f t="shared" si="9"/>
        <v>0</v>
      </c>
    </row>
    <row r="563">
      <c r="A563" s="13" t="s">
        <v>1877</v>
      </c>
      <c r="B563" s="14" t="s">
        <v>2573</v>
      </c>
      <c r="C563" s="13" t="s">
        <v>22</v>
      </c>
      <c r="D563" s="13" t="s">
        <v>88</v>
      </c>
      <c r="E563" s="14" t="s">
        <v>2483</v>
      </c>
      <c r="F563" s="10" t="s">
        <v>1877</v>
      </c>
      <c r="G563" s="10">
        <f t="shared" si="16"/>
        <v>1</v>
      </c>
      <c r="H563" s="10" t="s">
        <v>1892</v>
      </c>
      <c r="I563" s="10" t="b">
        <f t="shared" si="9"/>
        <v>0</v>
      </c>
    </row>
    <row r="564">
      <c r="A564" s="7" t="s">
        <v>1881</v>
      </c>
      <c r="B564" s="9" t="s">
        <v>2577</v>
      </c>
      <c r="C564" s="7" t="s">
        <v>22</v>
      </c>
      <c r="D564" s="7" t="s">
        <v>88</v>
      </c>
      <c r="E564" s="9" t="s">
        <v>2580</v>
      </c>
      <c r="F564" s="15" t="s">
        <v>1881</v>
      </c>
      <c r="G564" s="10">
        <f t="shared" si="16"/>
        <v>1</v>
      </c>
      <c r="H564" s="15" t="s">
        <v>1895</v>
      </c>
      <c r="I564" s="10" t="b">
        <f t="shared" si="9"/>
        <v>0</v>
      </c>
    </row>
    <row r="565">
      <c r="A565" s="13" t="s">
        <v>1885</v>
      </c>
      <c r="B565" s="14" t="s">
        <v>2582</v>
      </c>
      <c r="C565" s="13" t="s">
        <v>22</v>
      </c>
      <c r="D565" s="13" t="s">
        <v>88</v>
      </c>
      <c r="E565" s="14" t="s">
        <v>2583</v>
      </c>
      <c r="F565" s="10" t="s">
        <v>1885</v>
      </c>
      <c r="G565" s="10">
        <f t="shared" si="16"/>
        <v>1</v>
      </c>
      <c r="H565" s="10" t="s">
        <v>1898</v>
      </c>
      <c r="I565" s="10" t="b">
        <f t="shared" si="9"/>
        <v>0</v>
      </c>
    </row>
    <row r="566">
      <c r="A566" s="7" t="s">
        <v>1889</v>
      </c>
      <c r="B566" s="7" t="s">
        <v>2586</v>
      </c>
      <c r="C566" s="7" t="s">
        <v>87</v>
      </c>
      <c r="D566" s="7" t="s">
        <v>88</v>
      </c>
      <c r="E566" s="7" t="s">
        <v>343</v>
      </c>
      <c r="F566" s="15" t="s">
        <v>1889</v>
      </c>
      <c r="G566" s="10">
        <f t="shared" si="16"/>
        <v>1</v>
      </c>
      <c r="H566" s="15" t="s">
        <v>1901</v>
      </c>
      <c r="I566" s="10" t="b">
        <f t="shared" si="9"/>
        <v>0</v>
      </c>
    </row>
    <row r="567">
      <c r="A567" s="13" t="s">
        <v>1891</v>
      </c>
      <c r="B567" s="14" t="s">
        <v>2588</v>
      </c>
      <c r="C567" s="13" t="s">
        <v>87</v>
      </c>
      <c r="D567" s="13" t="s">
        <v>88</v>
      </c>
      <c r="E567" s="13" t="s">
        <v>343</v>
      </c>
      <c r="F567" s="10" t="s">
        <v>1891</v>
      </c>
      <c r="G567" s="10">
        <f t="shared" si="16"/>
        <v>1</v>
      </c>
      <c r="H567" s="10" t="s">
        <v>1903</v>
      </c>
      <c r="I567" s="10" t="b">
        <f t="shared" si="9"/>
        <v>0</v>
      </c>
    </row>
    <row r="568">
      <c r="A568" s="7" t="s">
        <v>1894</v>
      </c>
      <c r="B568" s="7" t="s">
        <v>2591</v>
      </c>
      <c r="C568" s="7" t="s">
        <v>87</v>
      </c>
      <c r="D568" s="7" t="s">
        <v>88</v>
      </c>
      <c r="E568" s="9" t="s">
        <v>802</v>
      </c>
      <c r="F568" s="15" t="s">
        <v>1894</v>
      </c>
      <c r="G568" s="10">
        <f t="shared" si="16"/>
        <v>1</v>
      </c>
      <c r="H568" s="15" t="s">
        <v>1906</v>
      </c>
      <c r="I568" s="10" t="b">
        <f t="shared" si="9"/>
        <v>0</v>
      </c>
    </row>
    <row r="569">
      <c r="A569" s="13" t="s">
        <v>1897</v>
      </c>
      <c r="B569" s="13" t="s">
        <v>2597</v>
      </c>
      <c r="C569" s="13" t="s">
        <v>87</v>
      </c>
      <c r="D569" s="13" t="s">
        <v>88</v>
      </c>
      <c r="E569" s="14" t="s">
        <v>802</v>
      </c>
      <c r="F569" s="10" t="s">
        <v>1897</v>
      </c>
      <c r="G569" s="10">
        <f t="shared" si="16"/>
        <v>1</v>
      </c>
      <c r="H569" s="10" t="s">
        <v>1909</v>
      </c>
      <c r="I569" s="10" t="b">
        <f t="shared" si="9"/>
        <v>0</v>
      </c>
    </row>
    <row r="570">
      <c r="A570" s="7" t="s">
        <v>1900</v>
      </c>
      <c r="B570" s="9" t="s">
        <v>2602</v>
      </c>
      <c r="C570" s="7" t="s">
        <v>87</v>
      </c>
      <c r="D570" s="7" t="s">
        <v>88</v>
      </c>
      <c r="E570" s="7" t="s">
        <v>343</v>
      </c>
      <c r="F570" s="15" t="s">
        <v>1900</v>
      </c>
      <c r="G570" s="10">
        <f t="shared" si="16"/>
        <v>1</v>
      </c>
      <c r="H570" s="15" t="s">
        <v>1912</v>
      </c>
      <c r="I570" s="10" t="b">
        <f t="shared" si="9"/>
        <v>0</v>
      </c>
    </row>
    <row r="571">
      <c r="A571" s="13" t="s">
        <v>1902</v>
      </c>
      <c r="B571" s="14" t="s">
        <v>2605</v>
      </c>
      <c r="C571" s="13" t="s">
        <v>87</v>
      </c>
      <c r="D571" s="13" t="s">
        <v>88</v>
      </c>
      <c r="E571" s="13" t="s">
        <v>343</v>
      </c>
      <c r="F571" s="10" t="s">
        <v>1902</v>
      </c>
      <c r="G571" s="10">
        <f t="shared" si="16"/>
        <v>1</v>
      </c>
      <c r="H571" s="10" t="s">
        <v>1915</v>
      </c>
      <c r="I571" s="10" t="b">
        <f t="shared" si="9"/>
        <v>0</v>
      </c>
    </row>
    <row r="572">
      <c r="A572" s="7" t="s">
        <v>1905</v>
      </c>
      <c r="B572" s="7" t="s">
        <v>2610</v>
      </c>
      <c r="C572" s="7" t="s">
        <v>87</v>
      </c>
      <c r="D572" s="7" t="s">
        <v>88</v>
      </c>
      <c r="E572" s="9" t="s">
        <v>802</v>
      </c>
      <c r="F572" s="15" t="s">
        <v>1905</v>
      </c>
      <c r="G572" s="10">
        <f t="shared" si="16"/>
        <v>1</v>
      </c>
      <c r="H572" s="15" t="s">
        <v>1917</v>
      </c>
      <c r="I572" s="10" t="b">
        <f t="shared" si="9"/>
        <v>0</v>
      </c>
    </row>
    <row r="573">
      <c r="A573" s="13" t="s">
        <v>1908</v>
      </c>
      <c r="B573" s="13" t="s">
        <v>2613</v>
      </c>
      <c r="C573" s="13" t="s">
        <v>87</v>
      </c>
      <c r="D573" s="13" t="s">
        <v>88</v>
      </c>
      <c r="E573" s="14" t="s">
        <v>802</v>
      </c>
      <c r="F573" s="10" t="s">
        <v>1908</v>
      </c>
      <c r="G573" s="10">
        <f t="shared" si="16"/>
        <v>1</v>
      </c>
      <c r="H573" s="10" t="s">
        <v>1920</v>
      </c>
      <c r="I573" s="10" t="b">
        <f t="shared" si="9"/>
        <v>0</v>
      </c>
    </row>
    <row r="574">
      <c r="A574" s="7" t="s">
        <v>1911</v>
      </c>
      <c r="B574" s="9" t="s">
        <v>2616</v>
      </c>
      <c r="C574" s="7" t="s">
        <v>87</v>
      </c>
      <c r="D574" s="7" t="s">
        <v>88</v>
      </c>
      <c r="E574" s="7" t="s">
        <v>343</v>
      </c>
      <c r="F574" s="15" t="s">
        <v>1911</v>
      </c>
      <c r="G574" s="10">
        <f t="shared" si="16"/>
        <v>1</v>
      </c>
      <c r="H574" s="15" t="s">
        <v>1923</v>
      </c>
      <c r="I574" s="10" t="b">
        <f t="shared" si="9"/>
        <v>0</v>
      </c>
    </row>
    <row r="575">
      <c r="A575" s="13" t="s">
        <v>1914</v>
      </c>
      <c r="B575" s="14" t="s">
        <v>2621</v>
      </c>
      <c r="C575" s="13" t="s">
        <v>87</v>
      </c>
      <c r="D575" s="13" t="s">
        <v>88</v>
      </c>
      <c r="E575" s="13" t="s">
        <v>343</v>
      </c>
      <c r="F575" s="10" t="s">
        <v>1914</v>
      </c>
      <c r="G575" s="10">
        <f t="shared" si="16"/>
        <v>1</v>
      </c>
      <c r="H575" s="10" t="s">
        <v>1926</v>
      </c>
      <c r="I575" s="10" t="b">
        <f t="shared" si="9"/>
        <v>0</v>
      </c>
    </row>
    <row r="576">
      <c r="A576" s="18"/>
      <c r="B576" s="18"/>
      <c r="C576" s="18"/>
      <c r="D576" s="18"/>
      <c r="E576" s="18"/>
      <c r="F576" s="15" t="s">
        <v>1916</v>
      </c>
      <c r="G576" s="10" t="b">
        <f t="shared" si="16"/>
        <v>0</v>
      </c>
      <c r="H576" s="15" t="s">
        <v>1929</v>
      </c>
      <c r="I576" s="10" t="b">
        <f t="shared" si="9"/>
        <v>0</v>
      </c>
    </row>
    <row r="577">
      <c r="A577" s="18"/>
      <c r="B577" s="18"/>
      <c r="C577" s="18"/>
      <c r="D577" s="18"/>
      <c r="E577" s="18"/>
      <c r="F577" s="10" t="s">
        <v>1919</v>
      </c>
      <c r="G577" s="10" t="b">
        <f t="shared" si="16"/>
        <v>0</v>
      </c>
      <c r="H577" s="10" t="s">
        <v>1932</v>
      </c>
      <c r="I577" s="10" t="b">
        <f t="shared" si="9"/>
        <v>0</v>
      </c>
    </row>
    <row r="578">
      <c r="A578" s="7" t="s">
        <v>1922</v>
      </c>
      <c r="B578" s="7" t="s">
        <v>2630</v>
      </c>
      <c r="C578" s="7" t="s">
        <v>87</v>
      </c>
      <c r="D578" s="7" t="s">
        <v>88</v>
      </c>
      <c r="E578" s="7" t="s">
        <v>343</v>
      </c>
      <c r="F578" s="15" t="s">
        <v>1922</v>
      </c>
      <c r="G578" s="10">
        <f t="shared" si="16"/>
        <v>1</v>
      </c>
      <c r="H578" s="15" t="s">
        <v>1936</v>
      </c>
      <c r="I578" s="10" t="b">
        <f t="shared" si="9"/>
        <v>0</v>
      </c>
    </row>
    <row r="579">
      <c r="A579" s="13" t="s">
        <v>1925</v>
      </c>
      <c r="B579" s="13" t="s">
        <v>2633</v>
      </c>
      <c r="C579" s="13" t="s">
        <v>87</v>
      </c>
      <c r="D579" s="13" t="s">
        <v>88</v>
      </c>
      <c r="E579" s="13" t="s">
        <v>343</v>
      </c>
      <c r="F579" s="10" t="s">
        <v>1925</v>
      </c>
      <c r="G579" s="10">
        <f t="shared" si="16"/>
        <v>1</v>
      </c>
      <c r="H579" s="10" t="s">
        <v>1939</v>
      </c>
      <c r="I579" s="10" t="b">
        <f t="shared" si="9"/>
        <v>0</v>
      </c>
    </row>
    <row r="580">
      <c r="A580" s="7" t="s">
        <v>1928</v>
      </c>
      <c r="B580" s="9" t="s">
        <v>2637</v>
      </c>
      <c r="C580" s="7" t="s">
        <v>87</v>
      </c>
      <c r="D580" s="7" t="s">
        <v>88</v>
      </c>
      <c r="E580" s="7" t="s">
        <v>343</v>
      </c>
      <c r="F580" s="15" t="s">
        <v>1928</v>
      </c>
      <c r="G580" s="10">
        <f t="shared" si="16"/>
        <v>1</v>
      </c>
      <c r="H580" s="15" t="s">
        <v>1941</v>
      </c>
      <c r="I580" s="10" t="b">
        <f t="shared" si="9"/>
        <v>0</v>
      </c>
    </row>
    <row r="581">
      <c r="A581" s="13" t="s">
        <v>1931</v>
      </c>
      <c r="B581" s="13" t="s">
        <v>2641</v>
      </c>
      <c r="C581" s="13" t="s">
        <v>87</v>
      </c>
      <c r="D581" s="13" t="s">
        <v>88</v>
      </c>
      <c r="E581" s="14" t="s">
        <v>2642</v>
      </c>
      <c r="F581" s="10" t="s">
        <v>1931</v>
      </c>
      <c r="G581" s="10">
        <f t="shared" si="16"/>
        <v>1</v>
      </c>
      <c r="H581" s="10" t="s">
        <v>1944</v>
      </c>
      <c r="I581" s="10" t="b">
        <f t="shared" si="9"/>
        <v>0</v>
      </c>
    </row>
    <row r="582">
      <c r="A582" s="7" t="s">
        <v>1935</v>
      </c>
      <c r="B582" s="9" t="s">
        <v>2645</v>
      </c>
      <c r="C582" s="7" t="s">
        <v>87</v>
      </c>
      <c r="D582" s="7" t="s">
        <v>88</v>
      </c>
      <c r="E582" s="9" t="s">
        <v>802</v>
      </c>
      <c r="F582" s="15" t="s">
        <v>1935</v>
      </c>
      <c r="G582" s="10">
        <f t="shared" si="16"/>
        <v>1</v>
      </c>
      <c r="H582" s="15" t="s">
        <v>1948</v>
      </c>
      <c r="I582" s="10" t="b">
        <f t="shared" si="9"/>
        <v>0</v>
      </c>
    </row>
    <row r="583">
      <c r="A583" s="13" t="s">
        <v>1938</v>
      </c>
      <c r="B583" s="14" t="s">
        <v>2648</v>
      </c>
      <c r="C583" s="13" t="s">
        <v>87</v>
      </c>
      <c r="D583" s="13" t="s">
        <v>88</v>
      </c>
      <c r="E583" s="14" t="s">
        <v>802</v>
      </c>
      <c r="F583" s="10" t="s">
        <v>1938</v>
      </c>
      <c r="G583" s="10">
        <f t="shared" si="16"/>
        <v>1</v>
      </c>
      <c r="H583" s="10" t="s">
        <v>1951</v>
      </c>
      <c r="I583" s="10" t="b">
        <f t="shared" si="9"/>
        <v>0</v>
      </c>
    </row>
    <row r="584">
      <c r="A584" s="7" t="s">
        <v>1940</v>
      </c>
      <c r="B584" s="9" t="s">
        <v>2652</v>
      </c>
      <c r="C584" s="7" t="s">
        <v>22</v>
      </c>
      <c r="D584" s="7" t="s">
        <v>88</v>
      </c>
      <c r="E584" s="9" t="s">
        <v>1041</v>
      </c>
      <c r="F584" s="15" t="s">
        <v>1940</v>
      </c>
      <c r="G584" s="10">
        <f t="shared" si="16"/>
        <v>1</v>
      </c>
      <c r="H584" s="15" t="s">
        <v>1955</v>
      </c>
      <c r="I584" s="10" t="b">
        <f t="shared" si="9"/>
        <v>0</v>
      </c>
    </row>
    <row r="585">
      <c r="A585" s="13" t="s">
        <v>1943</v>
      </c>
      <c r="B585" s="13" t="s">
        <v>2656</v>
      </c>
      <c r="C585" s="13" t="s">
        <v>227</v>
      </c>
      <c r="D585" s="13" t="s">
        <v>88</v>
      </c>
      <c r="E585" s="13" t="s">
        <v>229</v>
      </c>
      <c r="F585" s="10" t="s">
        <v>1943</v>
      </c>
      <c r="G585" s="10">
        <f t="shared" si="16"/>
        <v>1</v>
      </c>
      <c r="H585" s="10" t="s">
        <v>1958</v>
      </c>
      <c r="I585" s="10" t="b">
        <f t="shared" si="9"/>
        <v>0</v>
      </c>
    </row>
    <row r="586">
      <c r="A586" s="7" t="s">
        <v>1946</v>
      </c>
      <c r="B586" s="9" t="s">
        <v>2663</v>
      </c>
      <c r="C586" s="7" t="s">
        <v>87</v>
      </c>
      <c r="D586" s="7" t="s">
        <v>88</v>
      </c>
      <c r="E586" s="9" t="s">
        <v>802</v>
      </c>
      <c r="F586" s="15" t="s">
        <v>1946</v>
      </c>
      <c r="G586" s="10">
        <f t="shared" si="16"/>
        <v>1</v>
      </c>
      <c r="H586" s="15" t="s">
        <v>1962</v>
      </c>
      <c r="I586" s="10" t="b">
        <f t="shared" si="9"/>
        <v>0</v>
      </c>
    </row>
    <row r="587">
      <c r="A587" s="13" t="s">
        <v>1950</v>
      </c>
      <c r="B587" s="14" t="s">
        <v>2669</v>
      </c>
      <c r="C587" s="13" t="s">
        <v>87</v>
      </c>
      <c r="D587" s="13" t="s">
        <v>88</v>
      </c>
      <c r="E587" s="14" t="s">
        <v>802</v>
      </c>
      <c r="F587" s="10" t="s">
        <v>1950</v>
      </c>
      <c r="G587" s="10">
        <f t="shared" si="16"/>
        <v>1</v>
      </c>
      <c r="H587" s="10" t="s">
        <v>1965</v>
      </c>
      <c r="I587" s="10" t="b">
        <f t="shared" si="9"/>
        <v>0</v>
      </c>
    </row>
    <row r="588">
      <c r="A588" s="7" t="s">
        <v>1953</v>
      </c>
      <c r="B588" s="9" t="s">
        <v>2674</v>
      </c>
      <c r="C588" s="7" t="s">
        <v>87</v>
      </c>
      <c r="D588" s="7" t="s">
        <v>88</v>
      </c>
      <c r="E588" s="9" t="s">
        <v>802</v>
      </c>
      <c r="F588" s="15" t="s">
        <v>1953</v>
      </c>
      <c r="G588" s="10">
        <f t="shared" si="16"/>
        <v>1</v>
      </c>
      <c r="H588" s="15" t="s">
        <v>1968</v>
      </c>
      <c r="I588" s="10" t="b">
        <f t="shared" si="9"/>
        <v>0</v>
      </c>
    </row>
    <row r="589">
      <c r="A589" s="13" t="s">
        <v>1957</v>
      </c>
      <c r="B589" s="14" t="s">
        <v>2679</v>
      </c>
      <c r="C589" s="13" t="s">
        <v>87</v>
      </c>
      <c r="D589" s="13" t="s">
        <v>88</v>
      </c>
      <c r="E589" s="14" t="s">
        <v>802</v>
      </c>
      <c r="F589" s="10" t="s">
        <v>1957</v>
      </c>
      <c r="G589" s="10">
        <f t="shared" si="16"/>
        <v>1</v>
      </c>
      <c r="H589" s="10" t="s">
        <v>1970</v>
      </c>
      <c r="I589" s="10" t="b">
        <f t="shared" si="9"/>
        <v>0</v>
      </c>
    </row>
    <row r="590">
      <c r="A590" s="7" t="s">
        <v>1961</v>
      </c>
      <c r="B590" s="7" t="s">
        <v>2684</v>
      </c>
      <c r="C590" s="7" t="s">
        <v>227</v>
      </c>
      <c r="D590" s="7" t="s">
        <v>88</v>
      </c>
      <c r="E590" s="7" t="s">
        <v>229</v>
      </c>
      <c r="F590" s="15" t="s">
        <v>1961</v>
      </c>
      <c r="G590" s="10">
        <f t="shared" si="16"/>
        <v>1</v>
      </c>
      <c r="H590" s="15" t="s">
        <v>1973</v>
      </c>
      <c r="I590" s="10" t="b">
        <f t="shared" si="9"/>
        <v>0</v>
      </c>
    </row>
    <row r="591">
      <c r="A591" s="13" t="s">
        <v>1963</v>
      </c>
      <c r="B591" s="14" t="s">
        <v>2690</v>
      </c>
      <c r="C591" s="13" t="s">
        <v>87</v>
      </c>
      <c r="D591" s="13" t="s">
        <v>88</v>
      </c>
      <c r="E591" s="13" t="s">
        <v>343</v>
      </c>
      <c r="F591" s="10" t="s">
        <v>1963</v>
      </c>
      <c r="G591" s="10">
        <f t="shared" si="16"/>
        <v>1</v>
      </c>
      <c r="H591" s="10" t="s">
        <v>1977</v>
      </c>
      <c r="I591" s="10" t="b">
        <f t="shared" si="9"/>
        <v>0</v>
      </c>
    </row>
    <row r="592">
      <c r="A592" s="7" t="s">
        <v>1966</v>
      </c>
      <c r="B592" s="9" t="s">
        <v>2695</v>
      </c>
      <c r="C592" s="7" t="s">
        <v>22</v>
      </c>
      <c r="D592" s="7" t="s">
        <v>88</v>
      </c>
      <c r="E592" s="7" t="s">
        <v>287</v>
      </c>
      <c r="F592" s="15" t="s">
        <v>1966</v>
      </c>
      <c r="G592" s="10">
        <f t="shared" si="16"/>
        <v>1</v>
      </c>
      <c r="H592" s="15" t="s">
        <v>1979</v>
      </c>
      <c r="I592" s="10" t="b">
        <f t="shared" si="9"/>
        <v>0</v>
      </c>
    </row>
    <row r="593">
      <c r="A593" s="13" t="s">
        <v>1969</v>
      </c>
      <c r="B593" s="14" t="s">
        <v>2699</v>
      </c>
      <c r="C593" s="13" t="s">
        <v>227</v>
      </c>
      <c r="D593" s="13" t="s">
        <v>88</v>
      </c>
      <c r="E593" s="13" t="s">
        <v>229</v>
      </c>
      <c r="F593" s="10" t="s">
        <v>1969</v>
      </c>
      <c r="G593" s="10">
        <f t="shared" si="16"/>
        <v>1</v>
      </c>
      <c r="H593" s="10" t="s">
        <v>1982</v>
      </c>
      <c r="I593" s="10" t="b">
        <f t="shared" si="9"/>
        <v>0</v>
      </c>
    </row>
    <row r="594">
      <c r="A594" s="7" t="s">
        <v>1972</v>
      </c>
      <c r="B594" s="9" t="s">
        <v>2703</v>
      </c>
      <c r="C594" s="7" t="s">
        <v>87</v>
      </c>
      <c r="D594" s="7" t="s">
        <v>88</v>
      </c>
      <c r="E594" s="9" t="s">
        <v>150</v>
      </c>
      <c r="F594" s="15" t="s">
        <v>1972</v>
      </c>
      <c r="G594" s="10">
        <f t="shared" si="16"/>
        <v>1</v>
      </c>
      <c r="H594" s="15" t="s">
        <v>1985</v>
      </c>
      <c r="I594" s="10" t="b">
        <f t="shared" si="9"/>
        <v>0</v>
      </c>
    </row>
    <row r="595">
      <c r="A595" s="13" t="s">
        <v>1976</v>
      </c>
      <c r="B595" s="13" t="s">
        <v>2709</v>
      </c>
      <c r="C595" s="13" t="s">
        <v>227</v>
      </c>
      <c r="D595" s="13" t="s">
        <v>88</v>
      </c>
      <c r="E595" s="13" t="s">
        <v>229</v>
      </c>
      <c r="F595" s="10" t="s">
        <v>1976</v>
      </c>
      <c r="G595" s="10">
        <f t="shared" si="16"/>
        <v>1</v>
      </c>
      <c r="H595" s="10" t="s">
        <v>1987</v>
      </c>
      <c r="I595" s="10" t="b">
        <f t="shared" si="9"/>
        <v>0</v>
      </c>
    </row>
    <row r="596">
      <c r="A596" s="7" t="s">
        <v>1978</v>
      </c>
      <c r="B596" s="7" t="s">
        <v>2714</v>
      </c>
      <c r="C596" s="7" t="s">
        <v>87</v>
      </c>
      <c r="D596" s="7" t="s">
        <v>88</v>
      </c>
      <c r="E596" s="9" t="s">
        <v>2642</v>
      </c>
      <c r="F596" s="15" t="s">
        <v>1978</v>
      </c>
      <c r="G596" s="10">
        <f t="shared" si="16"/>
        <v>1</v>
      </c>
      <c r="H596" s="15" t="s">
        <v>1990</v>
      </c>
      <c r="I596" s="10" t="b">
        <f t="shared" si="9"/>
        <v>0</v>
      </c>
    </row>
    <row r="597">
      <c r="A597" s="13" t="s">
        <v>1981</v>
      </c>
      <c r="B597" s="13" t="s">
        <v>2717</v>
      </c>
      <c r="C597" s="13" t="s">
        <v>22</v>
      </c>
      <c r="D597" s="13" t="s">
        <v>26</v>
      </c>
      <c r="E597" s="14" t="s">
        <v>2181</v>
      </c>
      <c r="F597" s="10" t="s">
        <v>1981</v>
      </c>
      <c r="G597" s="10">
        <f t="shared" si="16"/>
        <v>1</v>
      </c>
      <c r="H597" s="10" t="s">
        <v>1993</v>
      </c>
      <c r="I597" s="10" t="b">
        <f t="shared" si="9"/>
        <v>0</v>
      </c>
    </row>
    <row r="598">
      <c r="A598" s="7" t="s">
        <v>1983</v>
      </c>
      <c r="B598" s="7" t="s">
        <v>2720</v>
      </c>
      <c r="C598" s="7" t="s">
        <v>22</v>
      </c>
      <c r="D598" s="7" t="s">
        <v>26</v>
      </c>
      <c r="E598" s="9" t="s">
        <v>2181</v>
      </c>
      <c r="F598" s="15" t="s">
        <v>1983</v>
      </c>
      <c r="G598" s="10">
        <f t="shared" si="16"/>
        <v>1</v>
      </c>
      <c r="H598" s="15" t="s">
        <v>1996</v>
      </c>
      <c r="I598" s="10" t="b">
        <f t="shared" si="9"/>
        <v>0</v>
      </c>
    </row>
    <row r="599">
      <c r="A599" s="13" t="s">
        <v>1986</v>
      </c>
      <c r="B599" s="13" t="s">
        <v>2723</v>
      </c>
      <c r="C599" s="13" t="s">
        <v>22</v>
      </c>
      <c r="D599" s="13" t="s">
        <v>26</v>
      </c>
      <c r="E599" s="14" t="s">
        <v>2181</v>
      </c>
      <c r="F599" s="10" t="s">
        <v>1986</v>
      </c>
      <c r="G599" s="10">
        <f t="shared" si="16"/>
        <v>1</v>
      </c>
      <c r="H599" s="10" t="s">
        <v>1999</v>
      </c>
      <c r="I599" s="10" t="b">
        <f t="shared" si="9"/>
        <v>0</v>
      </c>
    </row>
    <row r="600">
      <c r="A600" s="7" t="s">
        <v>1989</v>
      </c>
      <c r="B600" s="7" t="s">
        <v>2729</v>
      </c>
      <c r="C600" s="7" t="s">
        <v>87</v>
      </c>
      <c r="D600" s="7" t="s">
        <v>26</v>
      </c>
      <c r="E600" s="7" t="s">
        <v>117</v>
      </c>
      <c r="F600" s="15" t="s">
        <v>1989</v>
      </c>
      <c r="G600" s="10">
        <f t="shared" si="16"/>
        <v>1</v>
      </c>
      <c r="H600" s="15" t="s">
        <v>2001</v>
      </c>
      <c r="I600" s="10" t="b">
        <f t="shared" si="9"/>
        <v>0</v>
      </c>
    </row>
    <row r="601">
      <c r="A601" s="13" t="s">
        <v>1992</v>
      </c>
      <c r="B601" s="13" t="s">
        <v>2732</v>
      </c>
      <c r="C601" s="13" t="s">
        <v>87</v>
      </c>
      <c r="D601" s="13" t="s">
        <v>26</v>
      </c>
      <c r="E601" s="13" t="s">
        <v>117</v>
      </c>
      <c r="F601" s="10" t="s">
        <v>1992</v>
      </c>
      <c r="G601" s="10">
        <f t="shared" si="16"/>
        <v>1</v>
      </c>
      <c r="H601" s="10" t="s">
        <v>2004</v>
      </c>
      <c r="I601" s="10" t="b">
        <f t="shared" si="9"/>
        <v>0</v>
      </c>
    </row>
    <row r="602">
      <c r="A602" s="7" t="s">
        <v>834</v>
      </c>
      <c r="B602" s="9" t="s">
        <v>2736</v>
      </c>
      <c r="C602" s="7" t="s">
        <v>87</v>
      </c>
      <c r="D602" s="7" t="s">
        <v>88</v>
      </c>
      <c r="E602" s="9" t="s">
        <v>802</v>
      </c>
      <c r="F602" s="15" t="s">
        <v>834</v>
      </c>
      <c r="G602" s="10">
        <f t="shared" si="16"/>
        <v>1</v>
      </c>
      <c r="H602" s="15" t="s">
        <v>2006</v>
      </c>
      <c r="I602" s="10" t="b">
        <f t="shared" si="9"/>
        <v>0</v>
      </c>
    </row>
    <row r="603">
      <c r="A603" s="13" t="s">
        <v>797</v>
      </c>
      <c r="B603" s="14" t="s">
        <v>2740</v>
      </c>
      <c r="C603" s="13" t="s">
        <v>87</v>
      </c>
      <c r="D603" s="13" t="s">
        <v>88</v>
      </c>
      <c r="E603" s="13" t="s">
        <v>343</v>
      </c>
      <c r="F603" s="10" t="s">
        <v>797</v>
      </c>
      <c r="G603" s="10">
        <f t="shared" si="16"/>
        <v>1</v>
      </c>
      <c r="H603" s="10" t="s">
        <v>2009</v>
      </c>
      <c r="I603" s="10" t="b">
        <f t="shared" si="9"/>
        <v>0</v>
      </c>
    </row>
    <row r="604">
      <c r="A604" s="7" t="s">
        <v>452</v>
      </c>
      <c r="B604" s="9" t="s">
        <v>2744</v>
      </c>
      <c r="C604" s="7" t="s">
        <v>87</v>
      </c>
      <c r="D604" s="7" t="s">
        <v>88</v>
      </c>
      <c r="E604" s="9" t="s">
        <v>802</v>
      </c>
      <c r="F604" s="15" t="s">
        <v>452</v>
      </c>
      <c r="G604" s="10">
        <f t="shared" si="16"/>
        <v>1</v>
      </c>
      <c r="H604" s="15" t="s">
        <v>2013</v>
      </c>
      <c r="I604" s="10" t="b">
        <f t="shared" si="9"/>
        <v>0</v>
      </c>
    </row>
    <row r="605">
      <c r="A605" s="13" t="s">
        <v>482</v>
      </c>
      <c r="B605" s="14" t="s">
        <v>2749</v>
      </c>
      <c r="C605" s="13" t="s">
        <v>87</v>
      </c>
      <c r="D605" s="13" t="s">
        <v>88</v>
      </c>
      <c r="E605" s="13" t="s">
        <v>343</v>
      </c>
      <c r="F605" s="10" t="s">
        <v>482</v>
      </c>
      <c r="G605" s="10">
        <f t="shared" si="16"/>
        <v>1</v>
      </c>
      <c r="H605" s="10" t="s">
        <v>2017</v>
      </c>
      <c r="I605" s="10" t="b">
        <f t="shared" si="9"/>
        <v>0</v>
      </c>
    </row>
    <row r="606">
      <c r="A606" s="7" t="s">
        <v>383</v>
      </c>
      <c r="B606" s="9" t="s">
        <v>2752</v>
      </c>
      <c r="C606" s="7" t="s">
        <v>87</v>
      </c>
      <c r="D606" s="7" t="s">
        <v>88</v>
      </c>
      <c r="E606" s="9" t="s">
        <v>802</v>
      </c>
      <c r="F606" s="15" t="s">
        <v>383</v>
      </c>
      <c r="G606" s="10">
        <f t="shared" si="16"/>
        <v>1</v>
      </c>
      <c r="H606" s="15" t="s">
        <v>2020</v>
      </c>
      <c r="I606" s="10" t="b">
        <f t="shared" si="9"/>
        <v>0</v>
      </c>
    </row>
    <row r="607">
      <c r="A607" s="13" t="s">
        <v>354</v>
      </c>
      <c r="B607" s="14" t="s">
        <v>2755</v>
      </c>
      <c r="C607" s="13" t="s">
        <v>87</v>
      </c>
      <c r="D607" s="13" t="s">
        <v>88</v>
      </c>
      <c r="E607" s="14" t="s">
        <v>802</v>
      </c>
      <c r="F607" s="10" t="s">
        <v>354</v>
      </c>
      <c r="G607" s="10">
        <f t="shared" si="16"/>
        <v>1</v>
      </c>
      <c r="H607" s="10" t="s">
        <v>2022</v>
      </c>
      <c r="I607" s="10" t="b">
        <f t="shared" si="9"/>
        <v>0</v>
      </c>
    </row>
    <row r="608">
      <c r="A608" s="7" t="s">
        <v>2011</v>
      </c>
      <c r="B608" s="9" t="s">
        <v>2760</v>
      </c>
      <c r="C608" s="7" t="s">
        <v>87</v>
      </c>
      <c r="D608" s="7" t="s">
        <v>88</v>
      </c>
      <c r="E608" s="9" t="s">
        <v>802</v>
      </c>
      <c r="F608" s="15" t="s">
        <v>2011</v>
      </c>
      <c r="G608" s="10">
        <f t="shared" si="16"/>
        <v>1</v>
      </c>
      <c r="H608" s="15" t="s">
        <v>2024</v>
      </c>
      <c r="I608" s="10" t="b">
        <f t="shared" si="9"/>
        <v>0</v>
      </c>
    </row>
    <row r="609">
      <c r="A609" s="13" t="s">
        <v>2016</v>
      </c>
      <c r="B609" s="14" t="s">
        <v>2763</v>
      </c>
      <c r="C609" s="13" t="s">
        <v>87</v>
      </c>
      <c r="D609" s="13" t="s">
        <v>88</v>
      </c>
      <c r="E609" s="14" t="s">
        <v>802</v>
      </c>
      <c r="F609" s="10" t="s">
        <v>2016</v>
      </c>
      <c r="G609" s="10">
        <f t="shared" si="16"/>
        <v>1</v>
      </c>
      <c r="H609" s="10" t="s">
        <v>2028</v>
      </c>
      <c r="I609" s="10" t="b">
        <f t="shared" si="9"/>
        <v>0</v>
      </c>
    </row>
    <row r="610">
      <c r="A610" s="7" t="s">
        <v>93</v>
      </c>
      <c r="B610" s="9" t="s">
        <v>2767</v>
      </c>
      <c r="C610" s="7" t="s">
        <v>87</v>
      </c>
      <c r="D610" s="7" t="s">
        <v>88</v>
      </c>
      <c r="E610" s="7" t="s">
        <v>343</v>
      </c>
      <c r="F610" s="15" t="s">
        <v>93</v>
      </c>
      <c r="G610" s="10">
        <f t="shared" si="16"/>
        <v>1</v>
      </c>
      <c r="H610" s="15" t="s">
        <v>2031</v>
      </c>
      <c r="I610" s="10" t="b">
        <f t="shared" si="9"/>
        <v>0</v>
      </c>
    </row>
    <row r="611">
      <c r="A611" s="13" t="s">
        <v>889</v>
      </c>
      <c r="B611" s="14" t="s">
        <v>2770</v>
      </c>
      <c r="C611" s="13" t="s">
        <v>87</v>
      </c>
      <c r="D611" s="13" t="s">
        <v>88</v>
      </c>
      <c r="E611" s="14" t="s">
        <v>802</v>
      </c>
      <c r="F611" s="10" t="s">
        <v>889</v>
      </c>
      <c r="G611" s="10">
        <f t="shared" si="16"/>
        <v>1</v>
      </c>
      <c r="H611" s="10" t="s">
        <v>2034</v>
      </c>
      <c r="I611" s="10" t="b">
        <f t="shared" si="9"/>
        <v>0</v>
      </c>
    </row>
    <row r="612">
      <c r="A612" s="7" t="s">
        <v>863</v>
      </c>
      <c r="B612" s="9" t="s">
        <v>2775</v>
      </c>
      <c r="C612" s="7" t="s">
        <v>87</v>
      </c>
      <c r="D612" s="7" t="s">
        <v>88</v>
      </c>
      <c r="E612" s="7" t="s">
        <v>343</v>
      </c>
      <c r="F612" s="15" t="s">
        <v>863</v>
      </c>
      <c r="G612" s="10">
        <f t="shared" si="16"/>
        <v>1</v>
      </c>
      <c r="H612" s="15" t="s">
        <v>2036</v>
      </c>
      <c r="I612" s="10" t="b">
        <f t="shared" si="9"/>
        <v>0</v>
      </c>
    </row>
    <row r="613">
      <c r="A613" s="13" t="s">
        <v>2027</v>
      </c>
      <c r="B613" s="14" t="s">
        <v>2779</v>
      </c>
      <c r="C613" s="13" t="s">
        <v>87</v>
      </c>
      <c r="D613" s="13" t="s">
        <v>88</v>
      </c>
      <c r="E613" s="14" t="s">
        <v>802</v>
      </c>
      <c r="F613" s="10" t="s">
        <v>2027</v>
      </c>
      <c r="G613" s="10">
        <f t="shared" si="16"/>
        <v>1</v>
      </c>
      <c r="H613" s="10" t="s">
        <v>2040</v>
      </c>
      <c r="I613" s="10" t="b">
        <f t="shared" si="9"/>
        <v>0</v>
      </c>
    </row>
    <row r="614">
      <c r="A614" s="7" t="s">
        <v>2030</v>
      </c>
      <c r="B614" s="9" t="s">
        <v>2782</v>
      </c>
      <c r="C614" s="7" t="s">
        <v>87</v>
      </c>
      <c r="D614" s="7" t="s">
        <v>88</v>
      </c>
      <c r="E614" s="9" t="s">
        <v>802</v>
      </c>
      <c r="F614" s="15" t="s">
        <v>2030</v>
      </c>
      <c r="G614" s="10">
        <f t="shared" si="16"/>
        <v>1</v>
      </c>
      <c r="H614" s="15" t="s">
        <v>2042</v>
      </c>
      <c r="I614" s="10" t="b">
        <f t="shared" si="9"/>
        <v>0</v>
      </c>
    </row>
    <row r="615">
      <c r="A615" s="13" t="s">
        <v>2033</v>
      </c>
      <c r="B615" s="14" t="s">
        <v>2787</v>
      </c>
      <c r="C615" s="13" t="s">
        <v>87</v>
      </c>
      <c r="D615" s="13" t="s">
        <v>88</v>
      </c>
      <c r="E615" s="14" t="s">
        <v>802</v>
      </c>
      <c r="F615" s="10" t="s">
        <v>2033</v>
      </c>
      <c r="G615" s="10">
        <f t="shared" si="16"/>
        <v>1</v>
      </c>
      <c r="H615" s="10" t="s">
        <v>2046</v>
      </c>
      <c r="I615" s="10" t="b">
        <f t="shared" si="9"/>
        <v>0</v>
      </c>
    </row>
    <row r="616">
      <c r="A616" s="7" t="s">
        <v>765</v>
      </c>
      <c r="B616" s="9" t="s">
        <v>766</v>
      </c>
      <c r="C616" s="7" t="s">
        <v>87</v>
      </c>
      <c r="D616" s="7" t="s">
        <v>88</v>
      </c>
      <c r="E616" s="9" t="s">
        <v>802</v>
      </c>
      <c r="F616" s="15" t="s">
        <v>765</v>
      </c>
      <c r="G616" s="10">
        <f t="shared" si="16"/>
        <v>1</v>
      </c>
      <c r="H616" s="15" t="s">
        <v>2048</v>
      </c>
      <c r="I616" s="10" t="b">
        <f t="shared" si="9"/>
        <v>0</v>
      </c>
    </row>
    <row r="617">
      <c r="A617" s="13" t="s">
        <v>2039</v>
      </c>
      <c r="B617" s="14" t="s">
        <v>2793</v>
      </c>
      <c r="C617" s="13" t="s">
        <v>87</v>
      </c>
      <c r="D617" s="13" t="s">
        <v>88</v>
      </c>
      <c r="E617" s="13" t="s">
        <v>343</v>
      </c>
      <c r="F617" s="10" t="s">
        <v>2039</v>
      </c>
      <c r="G617" s="10">
        <f t="shared" si="16"/>
        <v>1</v>
      </c>
      <c r="H617" s="10" t="s">
        <v>2053</v>
      </c>
      <c r="I617" s="10" t="b">
        <f t="shared" si="9"/>
        <v>0</v>
      </c>
    </row>
    <row r="618">
      <c r="A618" s="7" t="s">
        <v>2041</v>
      </c>
      <c r="B618" s="9" t="s">
        <v>2798</v>
      </c>
      <c r="C618" s="7" t="s">
        <v>87</v>
      </c>
      <c r="D618" s="7" t="s">
        <v>88</v>
      </c>
      <c r="E618" s="9" t="s">
        <v>802</v>
      </c>
      <c r="F618" s="15" t="s">
        <v>2041</v>
      </c>
      <c r="G618" s="10">
        <f t="shared" si="16"/>
        <v>1</v>
      </c>
      <c r="H618" s="15" t="s">
        <v>2055</v>
      </c>
      <c r="I618" s="10" t="b">
        <f t="shared" si="9"/>
        <v>0</v>
      </c>
    </row>
    <row r="619">
      <c r="A619" s="13" t="s">
        <v>2044</v>
      </c>
      <c r="B619" s="14" t="s">
        <v>2803</v>
      </c>
      <c r="C619" s="13" t="s">
        <v>87</v>
      </c>
      <c r="D619" s="13" t="s">
        <v>88</v>
      </c>
      <c r="E619" s="13" t="s">
        <v>343</v>
      </c>
      <c r="F619" s="10" t="s">
        <v>2044</v>
      </c>
      <c r="G619" s="10">
        <f t="shared" si="16"/>
        <v>1</v>
      </c>
      <c r="H619" s="10" t="s">
        <v>2059</v>
      </c>
      <c r="I619" s="10" t="b">
        <f t="shared" si="9"/>
        <v>0</v>
      </c>
    </row>
    <row r="620">
      <c r="A620" s="7" t="s">
        <v>2047</v>
      </c>
      <c r="B620" s="9" t="s">
        <v>2808</v>
      </c>
      <c r="C620" s="7" t="s">
        <v>87</v>
      </c>
      <c r="D620" s="7" t="s">
        <v>88</v>
      </c>
      <c r="E620" s="9" t="s">
        <v>802</v>
      </c>
      <c r="F620" s="15" t="s">
        <v>2047</v>
      </c>
      <c r="G620" s="10">
        <f t="shared" si="16"/>
        <v>1</v>
      </c>
      <c r="H620" s="15" t="s">
        <v>2062</v>
      </c>
      <c r="I620" s="10" t="b">
        <f t="shared" si="9"/>
        <v>0</v>
      </c>
    </row>
    <row r="621">
      <c r="A621" s="13" t="s">
        <v>2051</v>
      </c>
      <c r="B621" s="14" t="s">
        <v>2814</v>
      </c>
      <c r="C621" s="13" t="s">
        <v>87</v>
      </c>
      <c r="D621" s="13" t="s">
        <v>88</v>
      </c>
      <c r="E621" s="14" t="s">
        <v>802</v>
      </c>
      <c r="F621" s="10" t="s">
        <v>2051</v>
      </c>
      <c r="G621" s="10">
        <f t="shared" si="16"/>
        <v>1</v>
      </c>
      <c r="H621" s="10" t="s">
        <v>2816</v>
      </c>
      <c r="I621" s="10" t="b">
        <f t="shared" si="9"/>
        <v>0</v>
      </c>
    </row>
    <row r="622">
      <c r="A622" s="7" t="s">
        <v>2054</v>
      </c>
      <c r="B622" s="9" t="s">
        <v>2817</v>
      </c>
      <c r="C622" s="7" t="s">
        <v>87</v>
      </c>
      <c r="D622" s="7" t="s">
        <v>88</v>
      </c>
      <c r="E622" s="9" t="s">
        <v>802</v>
      </c>
      <c r="F622" s="15" t="s">
        <v>2054</v>
      </c>
      <c r="G622" s="10">
        <f t="shared" si="16"/>
        <v>1</v>
      </c>
      <c r="H622" s="15" t="s">
        <v>2065</v>
      </c>
      <c r="I622" s="10" t="b">
        <f t="shared" si="9"/>
        <v>0</v>
      </c>
    </row>
    <row r="623">
      <c r="A623" s="13" t="s">
        <v>2057</v>
      </c>
      <c r="B623" s="14" t="s">
        <v>2820</v>
      </c>
      <c r="C623" s="13" t="s">
        <v>87</v>
      </c>
      <c r="D623" s="13" t="s">
        <v>88</v>
      </c>
      <c r="E623" s="14" t="s">
        <v>802</v>
      </c>
      <c r="F623" s="10" t="s">
        <v>2057</v>
      </c>
      <c r="G623" s="10">
        <f t="shared" si="16"/>
        <v>1</v>
      </c>
      <c r="H623" s="10" t="s">
        <v>2067</v>
      </c>
      <c r="I623" s="10" t="b">
        <f t="shared" si="9"/>
        <v>0</v>
      </c>
    </row>
    <row r="624">
      <c r="A624" s="7" t="s">
        <v>2061</v>
      </c>
      <c r="B624" s="9" t="s">
        <v>2825</v>
      </c>
      <c r="C624" s="7" t="s">
        <v>22</v>
      </c>
      <c r="D624" s="7" t="s">
        <v>26</v>
      </c>
      <c r="E624" s="9" t="s">
        <v>29</v>
      </c>
      <c r="F624" s="15" t="s">
        <v>2061</v>
      </c>
      <c r="G624" s="10">
        <f t="shared" si="16"/>
        <v>1</v>
      </c>
      <c r="H624" s="15" t="s">
        <v>2070</v>
      </c>
      <c r="I624" s="10" t="b">
        <f t="shared" si="9"/>
        <v>0</v>
      </c>
    </row>
    <row r="625">
      <c r="A625" s="13" t="s">
        <v>2828</v>
      </c>
      <c r="B625" s="13" t="s">
        <v>2829</v>
      </c>
      <c r="C625" s="13" t="s">
        <v>22</v>
      </c>
      <c r="D625" s="13" t="s">
        <v>88</v>
      </c>
      <c r="E625" s="13" t="s">
        <v>564</v>
      </c>
      <c r="F625" s="10" t="s">
        <v>2828</v>
      </c>
      <c r="G625" s="10">
        <f t="shared" si="16"/>
        <v>1</v>
      </c>
      <c r="H625" s="10" t="s">
        <v>2074</v>
      </c>
      <c r="I625" s="10" t="b">
        <f t="shared" si="9"/>
        <v>0</v>
      </c>
    </row>
    <row r="626">
      <c r="A626" s="7" t="s">
        <v>2064</v>
      </c>
      <c r="B626" s="9" t="s">
        <v>2833</v>
      </c>
      <c r="C626" s="7" t="s">
        <v>227</v>
      </c>
      <c r="D626" s="7" t="s">
        <v>88</v>
      </c>
      <c r="E626" s="7" t="s">
        <v>229</v>
      </c>
      <c r="F626" s="15" t="s">
        <v>2064</v>
      </c>
      <c r="G626" s="10">
        <f t="shared" si="16"/>
        <v>1</v>
      </c>
      <c r="H626" s="15" t="s">
        <v>2077</v>
      </c>
      <c r="I626" s="10" t="b">
        <f t="shared" si="9"/>
        <v>0</v>
      </c>
    </row>
    <row r="627">
      <c r="A627" s="18"/>
      <c r="B627" s="18"/>
      <c r="C627" s="18"/>
      <c r="D627" s="18"/>
      <c r="E627" s="18"/>
      <c r="F627" s="10" t="s">
        <v>2066</v>
      </c>
      <c r="G627" s="10" t="b">
        <f t="shared" si="16"/>
        <v>0</v>
      </c>
      <c r="H627" s="10" t="s">
        <v>2079</v>
      </c>
      <c r="I627" s="10" t="b">
        <f t="shared" si="9"/>
        <v>0</v>
      </c>
    </row>
    <row r="628">
      <c r="A628" s="18"/>
      <c r="B628" s="18"/>
      <c r="C628" s="18"/>
      <c r="D628" s="18"/>
      <c r="E628" s="18"/>
      <c r="F628" s="15" t="s">
        <v>2069</v>
      </c>
      <c r="G628" s="10" t="b">
        <f t="shared" si="16"/>
        <v>0</v>
      </c>
      <c r="H628" s="15" t="s">
        <v>2082</v>
      </c>
      <c r="I628" s="10" t="b">
        <f t="shared" si="9"/>
        <v>0</v>
      </c>
    </row>
    <row r="629">
      <c r="A629" s="18"/>
      <c r="B629" s="18"/>
      <c r="C629" s="18"/>
      <c r="D629" s="18"/>
      <c r="E629" s="18"/>
      <c r="F629" s="10" t="s">
        <v>2073</v>
      </c>
      <c r="G629" s="10" t="b">
        <f t="shared" si="16"/>
        <v>0</v>
      </c>
      <c r="H629" s="10" t="s">
        <v>2085</v>
      </c>
      <c r="I629" s="10" t="b">
        <f t="shared" si="9"/>
        <v>0</v>
      </c>
    </row>
    <row r="630">
      <c r="A630" s="18"/>
      <c r="B630" s="18"/>
      <c r="C630" s="18"/>
      <c r="D630" s="18"/>
      <c r="E630" s="18"/>
      <c r="F630" s="15" t="s">
        <v>2076</v>
      </c>
      <c r="G630" s="10" t="b">
        <f t="shared" si="16"/>
        <v>0</v>
      </c>
      <c r="H630" s="15" t="s">
        <v>2088</v>
      </c>
      <c r="I630" s="10" t="b">
        <f t="shared" si="9"/>
        <v>0</v>
      </c>
    </row>
    <row r="631">
      <c r="A631" s="18"/>
      <c r="B631" s="18"/>
      <c r="C631" s="18"/>
      <c r="D631" s="18"/>
      <c r="E631" s="18"/>
      <c r="F631" s="10" t="s">
        <v>2078</v>
      </c>
      <c r="G631" s="10" t="b">
        <f t="shared" si="16"/>
        <v>0</v>
      </c>
      <c r="H631" s="10" t="s">
        <v>2091</v>
      </c>
      <c r="I631" s="10" t="b">
        <f t="shared" si="9"/>
        <v>0</v>
      </c>
    </row>
    <row r="632">
      <c r="A632" s="18"/>
      <c r="B632" s="18"/>
      <c r="C632" s="18"/>
      <c r="D632" s="18"/>
      <c r="E632" s="18"/>
      <c r="F632" s="15" t="s">
        <v>2081</v>
      </c>
      <c r="G632" s="10" t="b">
        <f t="shared" si="16"/>
        <v>0</v>
      </c>
      <c r="H632" s="15" t="s">
        <v>2094</v>
      </c>
      <c r="I632" s="10" t="b">
        <f t="shared" si="9"/>
        <v>0</v>
      </c>
    </row>
    <row r="633">
      <c r="A633" s="18"/>
      <c r="B633" s="18"/>
      <c r="C633" s="18"/>
      <c r="D633" s="18"/>
      <c r="E633" s="18"/>
      <c r="F633" s="10" t="s">
        <v>2084</v>
      </c>
      <c r="G633" s="10" t="b">
        <f t="shared" si="16"/>
        <v>0</v>
      </c>
      <c r="H633" s="10" t="s">
        <v>2096</v>
      </c>
      <c r="I633" s="10" t="b">
        <f t="shared" si="9"/>
        <v>0</v>
      </c>
    </row>
    <row r="634">
      <c r="A634" s="13" t="s">
        <v>2087</v>
      </c>
      <c r="B634" s="14" t="s">
        <v>2857</v>
      </c>
      <c r="C634" s="13" t="s">
        <v>87</v>
      </c>
      <c r="D634" s="13" t="s">
        <v>88</v>
      </c>
      <c r="E634" s="14" t="s">
        <v>2254</v>
      </c>
      <c r="F634" s="15" t="s">
        <v>2087</v>
      </c>
      <c r="G634" s="10">
        <f t="shared" si="16"/>
        <v>1</v>
      </c>
      <c r="H634" s="15" t="s">
        <v>2100</v>
      </c>
      <c r="I634" s="10" t="b">
        <f t="shared" si="9"/>
        <v>0</v>
      </c>
    </row>
    <row r="635">
      <c r="A635" s="7" t="s">
        <v>2090</v>
      </c>
      <c r="B635" s="9" t="s">
        <v>2862</v>
      </c>
      <c r="C635" s="7" t="s">
        <v>87</v>
      </c>
      <c r="D635" s="7" t="s">
        <v>88</v>
      </c>
      <c r="E635" s="9" t="s">
        <v>2254</v>
      </c>
      <c r="F635" s="10" t="s">
        <v>2090</v>
      </c>
      <c r="G635" s="10">
        <f t="shared" si="16"/>
        <v>1</v>
      </c>
      <c r="H635" s="10" t="s">
        <v>2104</v>
      </c>
      <c r="I635" s="10" t="b">
        <f t="shared" si="9"/>
        <v>0</v>
      </c>
    </row>
    <row r="636">
      <c r="A636" s="13" t="s">
        <v>2092</v>
      </c>
      <c r="B636" s="14" t="s">
        <v>2867</v>
      </c>
      <c r="C636" s="13" t="s">
        <v>87</v>
      </c>
      <c r="D636" s="13" t="s">
        <v>88</v>
      </c>
      <c r="E636" s="14" t="s">
        <v>2254</v>
      </c>
      <c r="F636" s="15" t="s">
        <v>2092</v>
      </c>
      <c r="G636" s="10">
        <f t="shared" si="16"/>
        <v>1</v>
      </c>
      <c r="H636" s="15" t="s">
        <v>2109</v>
      </c>
      <c r="I636" s="10" t="b">
        <f t="shared" si="9"/>
        <v>0</v>
      </c>
    </row>
    <row r="637">
      <c r="A637" s="7" t="s">
        <v>2095</v>
      </c>
      <c r="B637" s="9" t="s">
        <v>2870</v>
      </c>
      <c r="C637" s="7" t="s">
        <v>87</v>
      </c>
      <c r="D637" s="7" t="s">
        <v>88</v>
      </c>
      <c r="E637" s="9" t="s">
        <v>2254</v>
      </c>
      <c r="F637" s="10" t="s">
        <v>2095</v>
      </c>
      <c r="G637" s="10">
        <f t="shared" si="16"/>
        <v>1</v>
      </c>
      <c r="H637" s="10" t="s">
        <v>2113</v>
      </c>
      <c r="I637" s="10" t="b">
        <f t="shared" si="9"/>
        <v>0</v>
      </c>
    </row>
    <row r="638">
      <c r="A638" s="13" t="s">
        <v>2099</v>
      </c>
      <c r="B638" s="14" t="s">
        <v>2873</v>
      </c>
      <c r="C638" s="13" t="s">
        <v>87</v>
      </c>
      <c r="D638" s="13" t="s">
        <v>88</v>
      </c>
      <c r="E638" s="14" t="s">
        <v>2254</v>
      </c>
      <c r="F638" s="15" t="s">
        <v>2099</v>
      </c>
      <c r="G638" s="10">
        <f t="shared" si="16"/>
        <v>1</v>
      </c>
      <c r="H638" s="15" t="s">
        <v>2115</v>
      </c>
      <c r="I638" s="10" t="b">
        <f t="shared" si="9"/>
        <v>0</v>
      </c>
    </row>
    <row r="639">
      <c r="A639" s="7" t="s">
        <v>2103</v>
      </c>
      <c r="B639" s="9" t="s">
        <v>2879</v>
      </c>
      <c r="C639" s="7" t="s">
        <v>87</v>
      </c>
      <c r="D639" s="7" t="s">
        <v>88</v>
      </c>
      <c r="E639" s="9" t="s">
        <v>2254</v>
      </c>
      <c r="F639" s="10" t="s">
        <v>2103</v>
      </c>
      <c r="G639" s="10">
        <f t="shared" si="16"/>
        <v>1</v>
      </c>
      <c r="H639" s="10" t="s">
        <v>2067</v>
      </c>
      <c r="I639" s="10" t="b">
        <f t="shared" si="9"/>
        <v>0</v>
      </c>
    </row>
    <row r="640">
      <c r="A640" s="13" t="s">
        <v>2108</v>
      </c>
      <c r="B640" s="14" t="s">
        <v>2883</v>
      </c>
      <c r="C640" s="13" t="s">
        <v>87</v>
      </c>
      <c r="D640" s="13" t="s">
        <v>88</v>
      </c>
      <c r="E640" s="14" t="s">
        <v>2254</v>
      </c>
      <c r="F640" s="15" t="s">
        <v>2108</v>
      </c>
      <c r="G640" s="10">
        <f t="shared" si="16"/>
        <v>1</v>
      </c>
      <c r="H640" s="15" t="s">
        <v>2119</v>
      </c>
      <c r="I640" s="10" t="b">
        <f t="shared" si="9"/>
        <v>0</v>
      </c>
    </row>
    <row r="641">
      <c r="A641" s="7" t="s">
        <v>2111</v>
      </c>
      <c r="B641" s="9" t="s">
        <v>2887</v>
      </c>
      <c r="C641" s="7" t="s">
        <v>87</v>
      </c>
      <c r="D641" s="7" t="s">
        <v>88</v>
      </c>
      <c r="E641" s="9" t="s">
        <v>2254</v>
      </c>
      <c r="F641" s="10" t="s">
        <v>2111</v>
      </c>
      <c r="G641" s="10">
        <f t="shared" si="16"/>
        <v>1</v>
      </c>
      <c r="H641" s="10" t="s">
        <v>2122</v>
      </c>
      <c r="I641" s="10" t="b">
        <f t="shared" si="9"/>
        <v>0</v>
      </c>
    </row>
    <row r="642">
      <c r="A642" s="18"/>
      <c r="B642" s="18"/>
      <c r="C642" s="18"/>
      <c r="D642" s="18"/>
      <c r="E642" s="18"/>
      <c r="F642" s="15" t="s">
        <v>2114</v>
      </c>
      <c r="G642" s="10" t="b">
        <f t="shared" si="16"/>
        <v>0</v>
      </c>
      <c r="H642" s="15" t="s">
        <v>2125</v>
      </c>
      <c r="I642" s="10" t="b">
        <f t="shared" si="9"/>
        <v>0</v>
      </c>
    </row>
    <row r="643">
      <c r="A643" s="18"/>
      <c r="B643" s="18"/>
      <c r="C643" s="18"/>
      <c r="D643" s="18"/>
      <c r="E643" s="18"/>
      <c r="F643" s="10" t="s">
        <v>2117</v>
      </c>
      <c r="G643" s="10" t="b">
        <f t="shared" si="16"/>
        <v>0</v>
      </c>
      <c r="H643" s="10" t="s">
        <v>2128</v>
      </c>
      <c r="I643" s="10" t="b">
        <f t="shared" si="9"/>
        <v>0</v>
      </c>
    </row>
    <row r="644">
      <c r="A644" s="18"/>
      <c r="B644" s="18"/>
      <c r="C644" s="18"/>
      <c r="D644" s="18"/>
      <c r="E644" s="18"/>
      <c r="F644" s="15" t="s">
        <v>2118</v>
      </c>
      <c r="G644" s="10" t="b">
        <f t="shared" si="16"/>
        <v>0</v>
      </c>
      <c r="H644" s="15" t="s">
        <v>2131</v>
      </c>
      <c r="I644" s="10" t="b">
        <f t="shared" si="9"/>
        <v>0</v>
      </c>
    </row>
    <row r="645">
      <c r="A645" s="18"/>
      <c r="B645" s="18"/>
      <c r="C645" s="18"/>
      <c r="D645" s="18"/>
      <c r="E645" s="18"/>
      <c r="F645" s="10" t="s">
        <v>2121</v>
      </c>
      <c r="G645" s="10" t="b">
        <f t="shared" si="16"/>
        <v>0</v>
      </c>
      <c r="H645" s="10" t="s">
        <v>2134</v>
      </c>
      <c r="I645" s="10" t="b">
        <f t="shared" si="9"/>
        <v>0</v>
      </c>
    </row>
    <row r="646">
      <c r="A646" s="18"/>
      <c r="B646" s="18"/>
      <c r="C646" s="18"/>
      <c r="D646" s="18"/>
      <c r="E646" s="18"/>
      <c r="F646" s="15" t="s">
        <v>2124</v>
      </c>
      <c r="G646" s="10" t="b">
        <f t="shared" si="16"/>
        <v>0</v>
      </c>
      <c r="H646" s="15" t="s">
        <v>2138</v>
      </c>
      <c r="I646" s="10" t="b">
        <f t="shared" si="9"/>
        <v>0</v>
      </c>
    </row>
    <row r="647">
      <c r="A647" s="18"/>
      <c r="B647" s="18"/>
      <c r="C647" s="18"/>
      <c r="D647" s="18"/>
      <c r="E647" s="18"/>
      <c r="F647" s="10" t="s">
        <v>2127</v>
      </c>
      <c r="G647" s="10" t="b">
        <f t="shared" si="16"/>
        <v>0</v>
      </c>
      <c r="H647" s="10" t="s">
        <v>2142</v>
      </c>
      <c r="I647" s="10" t="b">
        <f t="shared" si="9"/>
        <v>0</v>
      </c>
    </row>
    <row r="648">
      <c r="A648" s="18"/>
      <c r="B648" s="18"/>
      <c r="C648" s="18"/>
      <c r="D648" s="18"/>
      <c r="E648" s="18"/>
      <c r="F648" s="15" t="s">
        <v>2130</v>
      </c>
      <c r="G648" s="10" t="b">
        <f t="shared" si="16"/>
        <v>0</v>
      </c>
      <c r="H648" s="15" t="s">
        <v>2147</v>
      </c>
      <c r="I648" s="10" t="b">
        <f t="shared" si="9"/>
        <v>0</v>
      </c>
    </row>
    <row r="649">
      <c r="A649" s="18"/>
      <c r="B649" s="18"/>
      <c r="C649" s="18"/>
      <c r="D649" s="18"/>
      <c r="E649" s="18"/>
      <c r="F649" s="10" t="s">
        <v>2133</v>
      </c>
      <c r="G649" s="10" t="b">
        <f t="shared" si="16"/>
        <v>0</v>
      </c>
      <c r="H649" s="10" t="s">
        <v>2150</v>
      </c>
      <c r="I649" s="10" t="b">
        <f t="shared" si="9"/>
        <v>0</v>
      </c>
    </row>
    <row r="650">
      <c r="A650" s="18"/>
      <c r="B650" s="18"/>
      <c r="C650" s="18"/>
      <c r="D650" s="18"/>
      <c r="E650" s="18"/>
      <c r="F650" s="15" t="s">
        <v>2137</v>
      </c>
      <c r="G650" s="10" t="b">
        <f t="shared" si="16"/>
        <v>0</v>
      </c>
      <c r="H650" s="15" t="s">
        <v>2152</v>
      </c>
      <c r="I650" s="10" t="b">
        <f t="shared" si="9"/>
        <v>0</v>
      </c>
    </row>
    <row r="651">
      <c r="A651" s="18"/>
      <c r="B651" s="18"/>
      <c r="C651" s="18"/>
      <c r="D651" s="18"/>
      <c r="E651" s="18"/>
      <c r="F651" s="10" t="s">
        <v>2140</v>
      </c>
      <c r="G651" s="10" t="b">
        <f t="shared" si="16"/>
        <v>0</v>
      </c>
      <c r="H651" s="10" t="s">
        <v>2155</v>
      </c>
      <c r="I651" s="10" t="b">
        <f t="shared" si="9"/>
        <v>0</v>
      </c>
    </row>
    <row r="652">
      <c r="A652" s="13" t="s">
        <v>2146</v>
      </c>
      <c r="B652" s="13" t="s">
        <v>2902</v>
      </c>
      <c r="C652" s="13" t="s">
        <v>22</v>
      </c>
      <c r="D652" s="13" t="s">
        <v>26</v>
      </c>
      <c r="E652" s="14" t="s">
        <v>2181</v>
      </c>
      <c r="F652" s="15" t="s">
        <v>2146</v>
      </c>
      <c r="G652" s="10">
        <f t="shared" si="16"/>
        <v>1</v>
      </c>
      <c r="H652" s="15" t="s">
        <v>2159</v>
      </c>
      <c r="I652" s="10" t="b">
        <f t="shared" si="9"/>
        <v>0</v>
      </c>
    </row>
    <row r="653">
      <c r="A653" s="7" t="s">
        <v>2148</v>
      </c>
      <c r="B653" s="7" t="s">
        <v>2903</v>
      </c>
      <c r="C653" s="7" t="s">
        <v>22</v>
      </c>
      <c r="D653" s="7" t="s">
        <v>88</v>
      </c>
      <c r="E653" s="9" t="s">
        <v>2181</v>
      </c>
      <c r="F653" s="10" t="s">
        <v>2148</v>
      </c>
      <c r="G653" s="10">
        <f t="shared" si="16"/>
        <v>1</v>
      </c>
      <c r="H653" s="10" t="s">
        <v>2161</v>
      </c>
      <c r="I653" s="10" t="b">
        <f t="shared" si="9"/>
        <v>0</v>
      </c>
    </row>
    <row r="654">
      <c r="A654" s="13" t="s">
        <v>2151</v>
      </c>
      <c r="B654" s="13" t="s">
        <v>2904</v>
      </c>
      <c r="C654" s="13" t="s">
        <v>22</v>
      </c>
      <c r="D654" s="13" t="s">
        <v>26</v>
      </c>
      <c r="E654" s="14" t="s">
        <v>2181</v>
      </c>
      <c r="F654" s="15" t="s">
        <v>2151</v>
      </c>
      <c r="G654" s="10">
        <f t="shared" si="16"/>
        <v>1</v>
      </c>
      <c r="H654" s="15" t="s">
        <v>2164</v>
      </c>
      <c r="I654" s="10" t="b">
        <f t="shared" si="9"/>
        <v>0</v>
      </c>
    </row>
    <row r="655">
      <c r="A655" s="7" t="s">
        <v>2154</v>
      </c>
      <c r="B655" s="7" t="s">
        <v>2905</v>
      </c>
      <c r="C655" s="7" t="s">
        <v>22</v>
      </c>
      <c r="D655" s="7" t="s">
        <v>88</v>
      </c>
      <c r="E655" s="9" t="s">
        <v>2181</v>
      </c>
      <c r="F655" s="10" t="s">
        <v>2154</v>
      </c>
      <c r="G655" s="10">
        <f t="shared" si="16"/>
        <v>1</v>
      </c>
      <c r="H655" s="10" t="s">
        <v>2166</v>
      </c>
      <c r="I655" s="10" t="b">
        <f t="shared" si="9"/>
        <v>0</v>
      </c>
    </row>
    <row r="656">
      <c r="A656" s="13" t="s">
        <v>2158</v>
      </c>
      <c r="B656" s="13" t="s">
        <v>2907</v>
      </c>
      <c r="C656" s="13" t="s">
        <v>22</v>
      </c>
      <c r="D656" s="13" t="s">
        <v>26</v>
      </c>
      <c r="E656" s="14" t="s">
        <v>2181</v>
      </c>
      <c r="F656" s="15" t="s">
        <v>2158</v>
      </c>
      <c r="G656" s="10">
        <f t="shared" si="16"/>
        <v>1</v>
      </c>
      <c r="H656" s="15" t="s">
        <v>2169</v>
      </c>
      <c r="I656" s="10" t="b">
        <f t="shared" si="9"/>
        <v>0</v>
      </c>
    </row>
    <row r="657">
      <c r="A657" s="7" t="s">
        <v>2160</v>
      </c>
      <c r="B657" s="7" t="s">
        <v>2908</v>
      </c>
      <c r="C657" s="7" t="s">
        <v>22</v>
      </c>
      <c r="D657" s="7" t="s">
        <v>88</v>
      </c>
      <c r="E657" s="9" t="s">
        <v>2181</v>
      </c>
      <c r="F657" s="10" t="s">
        <v>2160</v>
      </c>
      <c r="G657" s="10">
        <f t="shared" si="16"/>
        <v>1</v>
      </c>
      <c r="H657" s="10" t="s">
        <v>2172</v>
      </c>
      <c r="I657" s="10" t="b">
        <f t="shared" si="9"/>
        <v>0</v>
      </c>
    </row>
    <row r="658">
      <c r="A658" s="13" t="s">
        <v>2163</v>
      </c>
      <c r="B658" s="13" t="s">
        <v>2909</v>
      </c>
      <c r="C658" s="13" t="s">
        <v>22</v>
      </c>
      <c r="D658" s="13" t="s">
        <v>26</v>
      </c>
      <c r="E658" s="14" t="s">
        <v>2181</v>
      </c>
      <c r="F658" s="15" t="s">
        <v>2163</v>
      </c>
      <c r="G658" s="10">
        <f t="shared" si="16"/>
        <v>1</v>
      </c>
      <c r="H658" s="15" t="s">
        <v>2175</v>
      </c>
      <c r="I658" s="10" t="b">
        <f t="shared" si="9"/>
        <v>0</v>
      </c>
    </row>
    <row r="659">
      <c r="A659" s="7" t="s">
        <v>2165</v>
      </c>
      <c r="B659" s="7" t="s">
        <v>2911</v>
      </c>
      <c r="C659" s="7" t="s">
        <v>22</v>
      </c>
      <c r="D659" s="7" t="s">
        <v>88</v>
      </c>
      <c r="E659" s="9" t="s">
        <v>2181</v>
      </c>
      <c r="F659" s="10" t="s">
        <v>2165</v>
      </c>
      <c r="G659" s="10">
        <f t="shared" si="16"/>
        <v>1</v>
      </c>
      <c r="H659" s="10" t="s">
        <v>2177</v>
      </c>
      <c r="I659" s="10" t="b">
        <f t="shared" si="9"/>
        <v>0</v>
      </c>
    </row>
    <row r="660">
      <c r="A660" s="13" t="s">
        <v>2168</v>
      </c>
      <c r="B660" s="13" t="s">
        <v>2912</v>
      </c>
      <c r="C660" s="13" t="s">
        <v>22</v>
      </c>
      <c r="D660" s="13" t="s">
        <v>26</v>
      </c>
      <c r="E660" s="14" t="s">
        <v>2181</v>
      </c>
      <c r="F660" s="15" t="s">
        <v>2168</v>
      </c>
      <c r="G660" s="10">
        <f t="shared" si="16"/>
        <v>1</v>
      </c>
      <c r="H660" s="15" t="s">
        <v>2180</v>
      </c>
      <c r="I660" s="10" t="b">
        <f t="shared" si="9"/>
        <v>0</v>
      </c>
    </row>
    <row r="661">
      <c r="A661" s="7" t="s">
        <v>2171</v>
      </c>
      <c r="B661" s="7" t="s">
        <v>2913</v>
      </c>
      <c r="C661" s="7" t="s">
        <v>22</v>
      </c>
      <c r="D661" s="7" t="s">
        <v>88</v>
      </c>
      <c r="E661" s="9" t="s">
        <v>2181</v>
      </c>
      <c r="F661" s="10" t="s">
        <v>2171</v>
      </c>
      <c r="G661" s="10">
        <f t="shared" si="16"/>
        <v>1</v>
      </c>
      <c r="H661" s="10" t="s">
        <v>2183</v>
      </c>
      <c r="I661" s="10" t="b">
        <f t="shared" si="9"/>
        <v>0</v>
      </c>
    </row>
    <row r="662">
      <c r="A662" s="13" t="s">
        <v>2174</v>
      </c>
      <c r="B662" s="13" t="s">
        <v>2915</v>
      </c>
      <c r="C662" s="13" t="s">
        <v>22</v>
      </c>
      <c r="D662" s="13" t="s">
        <v>26</v>
      </c>
      <c r="E662" s="14" t="s">
        <v>2181</v>
      </c>
      <c r="F662" s="15" t="s">
        <v>2174</v>
      </c>
      <c r="G662" s="10">
        <f t="shared" si="16"/>
        <v>1</v>
      </c>
      <c r="H662" s="15" t="s">
        <v>2187</v>
      </c>
      <c r="I662" s="10" t="b">
        <f t="shared" si="9"/>
        <v>0</v>
      </c>
    </row>
    <row r="663">
      <c r="A663" s="7" t="s">
        <v>2176</v>
      </c>
      <c r="B663" s="7" t="s">
        <v>2916</v>
      </c>
      <c r="C663" s="7" t="s">
        <v>22</v>
      </c>
      <c r="D663" s="7" t="s">
        <v>88</v>
      </c>
      <c r="E663" s="9" t="s">
        <v>2181</v>
      </c>
      <c r="F663" s="10" t="s">
        <v>2176</v>
      </c>
      <c r="G663" s="10">
        <f t="shared" si="16"/>
        <v>1</v>
      </c>
      <c r="H663" s="10" t="s">
        <v>2192</v>
      </c>
      <c r="I663" s="10" t="b">
        <f t="shared" si="9"/>
        <v>0</v>
      </c>
    </row>
    <row r="664">
      <c r="A664" s="13" t="s">
        <v>2179</v>
      </c>
      <c r="B664" s="13" t="s">
        <v>2917</v>
      </c>
      <c r="C664" s="13" t="s">
        <v>22</v>
      </c>
      <c r="D664" s="13" t="s">
        <v>26</v>
      </c>
      <c r="E664" s="14" t="s">
        <v>2181</v>
      </c>
      <c r="F664" s="15" t="s">
        <v>2179</v>
      </c>
      <c r="G664" s="10">
        <f t="shared" si="16"/>
        <v>1</v>
      </c>
      <c r="H664" s="15" t="s">
        <v>2194</v>
      </c>
      <c r="I664" s="10" t="b">
        <f t="shared" si="9"/>
        <v>0</v>
      </c>
    </row>
    <row r="665">
      <c r="A665" s="7" t="s">
        <v>2182</v>
      </c>
      <c r="B665" s="7" t="s">
        <v>2919</v>
      </c>
      <c r="C665" s="7" t="s">
        <v>22</v>
      </c>
      <c r="D665" s="7" t="s">
        <v>88</v>
      </c>
      <c r="E665" s="9" t="s">
        <v>2181</v>
      </c>
      <c r="F665" s="10" t="s">
        <v>2182</v>
      </c>
      <c r="G665" s="10">
        <f t="shared" si="16"/>
        <v>1</v>
      </c>
      <c r="H665" s="10" t="s">
        <v>2197</v>
      </c>
      <c r="I665" s="10" t="b">
        <f t="shared" si="9"/>
        <v>0</v>
      </c>
    </row>
    <row r="666">
      <c r="A666" s="13" t="s">
        <v>2186</v>
      </c>
      <c r="B666" s="13" t="s">
        <v>2920</v>
      </c>
      <c r="C666" s="13" t="s">
        <v>22</v>
      </c>
      <c r="D666" s="13" t="s">
        <v>26</v>
      </c>
      <c r="E666" s="14" t="s">
        <v>2181</v>
      </c>
      <c r="F666" s="15" t="s">
        <v>2186</v>
      </c>
      <c r="G666" s="10">
        <f t="shared" si="16"/>
        <v>1</v>
      </c>
      <c r="H666" s="15" t="s">
        <v>2199</v>
      </c>
      <c r="I666" s="10" t="b">
        <f t="shared" si="9"/>
        <v>0</v>
      </c>
    </row>
    <row r="667">
      <c r="A667" s="7" t="s">
        <v>2190</v>
      </c>
      <c r="B667" s="7" t="s">
        <v>2921</v>
      </c>
      <c r="C667" s="7" t="s">
        <v>22</v>
      </c>
      <c r="D667" s="7" t="s">
        <v>88</v>
      </c>
      <c r="E667" s="9" t="s">
        <v>2181</v>
      </c>
      <c r="F667" s="10" t="s">
        <v>2190</v>
      </c>
      <c r="G667" s="10">
        <f t="shared" si="16"/>
        <v>1</v>
      </c>
      <c r="H667" s="10" t="s">
        <v>2204</v>
      </c>
      <c r="I667" s="10" t="b">
        <f t="shared" si="9"/>
        <v>0</v>
      </c>
    </row>
    <row r="668">
      <c r="A668" s="13" t="s">
        <v>2193</v>
      </c>
      <c r="B668" s="13" t="s">
        <v>2923</v>
      </c>
      <c r="C668" s="13" t="s">
        <v>22</v>
      </c>
      <c r="D668" s="13" t="s">
        <v>26</v>
      </c>
      <c r="E668" s="14" t="s">
        <v>2181</v>
      </c>
      <c r="F668" s="15" t="s">
        <v>2193</v>
      </c>
      <c r="G668" s="10">
        <f t="shared" si="16"/>
        <v>1</v>
      </c>
      <c r="H668" s="15" t="s">
        <v>2207</v>
      </c>
      <c r="I668" s="10" t="b">
        <f t="shared" si="9"/>
        <v>0</v>
      </c>
    </row>
    <row r="669">
      <c r="A669" s="7" t="s">
        <v>2196</v>
      </c>
      <c r="B669" s="7" t="s">
        <v>2924</v>
      </c>
      <c r="C669" s="7" t="s">
        <v>22</v>
      </c>
      <c r="D669" s="7" t="s">
        <v>88</v>
      </c>
      <c r="E669" s="9" t="s">
        <v>2181</v>
      </c>
      <c r="F669" s="10" t="s">
        <v>2196</v>
      </c>
      <c r="G669" s="10">
        <f t="shared" si="16"/>
        <v>1</v>
      </c>
      <c r="H669" s="10" t="s">
        <v>2209</v>
      </c>
      <c r="I669" s="10" t="b">
        <f t="shared" si="9"/>
        <v>0</v>
      </c>
    </row>
    <row r="670">
      <c r="A670" s="13" t="s">
        <v>2198</v>
      </c>
      <c r="B670" s="13" t="s">
        <v>2925</v>
      </c>
      <c r="C670" s="13" t="s">
        <v>22</v>
      </c>
      <c r="D670" s="13" t="s">
        <v>26</v>
      </c>
      <c r="E670" s="14" t="s">
        <v>2181</v>
      </c>
      <c r="F670" s="15" t="s">
        <v>2198</v>
      </c>
      <c r="G670" s="10">
        <f t="shared" si="16"/>
        <v>1</v>
      </c>
      <c r="H670" s="15" t="s">
        <v>2211</v>
      </c>
      <c r="I670" s="10" t="b">
        <f t="shared" si="9"/>
        <v>0</v>
      </c>
    </row>
    <row r="671">
      <c r="A671" s="7" t="s">
        <v>2201</v>
      </c>
      <c r="B671" s="7" t="s">
        <v>2926</v>
      </c>
      <c r="C671" s="7" t="s">
        <v>22</v>
      </c>
      <c r="D671" s="7" t="s">
        <v>88</v>
      </c>
      <c r="E671" s="9" t="s">
        <v>2181</v>
      </c>
      <c r="F671" s="10" t="s">
        <v>2201</v>
      </c>
      <c r="G671" s="10">
        <f t="shared" si="16"/>
        <v>1</v>
      </c>
      <c r="H671" s="10" t="s">
        <v>2213</v>
      </c>
      <c r="I671" s="10" t="b">
        <f t="shared" si="9"/>
        <v>0</v>
      </c>
    </row>
    <row r="672">
      <c r="A672" s="13" t="s">
        <v>2206</v>
      </c>
      <c r="B672" s="13" t="s">
        <v>2928</v>
      </c>
      <c r="C672" s="13" t="s">
        <v>22</v>
      </c>
      <c r="D672" s="13" t="s">
        <v>26</v>
      </c>
      <c r="E672" s="14" t="s">
        <v>2181</v>
      </c>
      <c r="F672" s="15" t="s">
        <v>2206</v>
      </c>
      <c r="G672" s="10">
        <f t="shared" si="16"/>
        <v>1</v>
      </c>
      <c r="H672" s="15" t="s">
        <v>2219</v>
      </c>
      <c r="I672" s="10" t="b">
        <f t="shared" si="9"/>
        <v>0</v>
      </c>
    </row>
    <row r="673">
      <c r="A673" s="7" t="s">
        <v>2208</v>
      </c>
      <c r="B673" s="7" t="s">
        <v>2929</v>
      </c>
      <c r="C673" s="7" t="s">
        <v>22</v>
      </c>
      <c r="D673" s="7" t="s">
        <v>88</v>
      </c>
      <c r="E673" s="9" t="s">
        <v>2181</v>
      </c>
      <c r="F673" s="10" t="s">
        <v>2208</v>
      </c>
      <c r="G673" s="10">
        <f t="shared" si="16"/>
        <v>1</v>
      </c>
      <c r="H673" s="10" t="s">
        <v>2221</v>
      </c>
      <c r="I673" s="10" t="b">
        <f t="shared" si="9"/>
        <v>0</v>
      </c>
    </row>
    <row r="674">
      <c r="A674" s="13" t="s">
        <v>2210</v>
      </c>
      <c r="B674" s="13" t="s">
        <v>2930</v>
      </c>
      <c r="C674" s="13" t="s">
        <v>22</v>
      </c>
      <c r="D674" s="13" t="s">
        <v>26</v>
      </c>
      <c r="E674" s="14" t="s">
        <v>2181</v>
      </c>
      <c r="F674" s="15" t="s">
        <v>2210</v>
      </c>
      <c r="G674" s="10">
        <f t="shared" si="16"/>
        <v>1</v>
      </c>
      <c r="H674" s="15" t="s">
        <v>2223</v>
      </c>
      <c r="I674" s="10" t="b">
        <f t="shared" si="9"/>
        <v>0</v>
      </c>
    </row>
    <row r="675">
      <c r="A675" s="7" t="s">
        <v>2212</v>
      </c>
      <c r="B675" s="7" t="s">
        <v>2931</v>
      </c>
      <c r="C675" s="7" t="s">
        <v>22</v>
      </c>
      <c r="D675" s="7" t="s">
        <v>26</v>
      </c>
      <c r="E675" s="9" t="s">
        <v>2181</v>
      </c>
      <c r="F675" s="10" t="s">
        <v>2212</v>
      </c>
      <c r="G675" s="10">
        <f t="shared" si="16"/>
        <v>1</v>
      </c>
      <c r="H675" s="10" t="s">
        <v>2225</v>
      </c>
      <c r="I675" s="10" t="b">
        <f t="shared" si="9"/>
        <v>0</v>
      </c>
    </row>
    <row r="676">
      <c r="A676" s="13" t="s">
        <v>2218</v>
      </c>
      <c r="B676" s="13" t="s">
        <v>2932</v>
      </c>
      <c r="C676" s="13" t="s">
        <v>22</v>
      </c>
      <c r="D676" s="13" t="s">
        <v>26</v>
      </c>
      <c r="E676" s="14" t="s">
        <v>2181</v>
      </c>
      <c r="F676" s="15" t="s">
        <v>2218</v>
      </c>
      <c r="G676" s="10">
        <f t="shared" si="16"/>
        <v>1</v>
      </c>
      <c r="H676" s="15" t="s">
        <v>2229</v>
      </c>
      <c r="I676" s="10" t="b">
        <f t="shared" si="9"/>
        <v>0</v>
      </c>
    </row>
    <row r="677">
      <c r="A677" s="7" t="s">
        <v>2220</v>
      </c>
      <c r="B677" s="7" t="s">
        <v>2934</v>
      </c>
      <c r="C677" s="7" t="s">
        <v>22</v>
      </c>
      <c r="D677" s="7" t="s">
        <v>88</v>
      </c>
      <c r="E677" s="9" t="s">
        <v>2181</v>
      </c>
      <c r="F677" s="10" t="s">
        <v>2220</v>
      </c>
      <c r="G677" s="10">
        <f t="shared" si="16"/>
        <v>1</v>
      </c>
      <c r="H677" s="10" t="s">
        <v>2231</v>
      </c>
      <c r="I677" s="10" t="b">
        <f t="shared" si="9"/>
        <v>0</v>
      </c>
    </row>
    <row r="678">
      <c r="A678" s="13" t="s">
        <v>2222</v>
      </c>
      <c r="B678" s="13" t="s">
        <v>2935</v>
      </c>
      <c r="C678" s="13" t="s">
        <v>22</v>
      </c>
      <c r="D678" s="13" t="s">
        <v>26</v>
      </c>
      <c r="E678" s="14" t="s">
        <v>2181</v>
      </c>
      <c r="F678" s="15" t="s">
        <v>2222</v>
      </c>
      <c r="G678" s="10">
        <f t="shared" si="16"/>
        <v>1</v>
      </c>
      <c r="H678" s="15" t="s">
        <v>2233</v>
      </c>
      <c r="I678" s="10" t="b">
        <f t="shared" si="9"/>
        <v>0</v>
      </c>
    </row>
    <row r="679">
      <c r="A679" s="7" t="s">
        <v>2224</v>
      </c>
      <c r="B679" s="7" t="s">
        <v>2936</v>
      </c>
      <c r="C679" s="7" t="s">
        <v>22</v>
      </c>
      <c r="D679" s="7" t="s">
        <v>88</v>
      </c>
      <c r="E679" s="9" t="s">
        <v>2181</v>
      </c>
      <c r="F679" s="10" t="s">
        <v>2224</v>
      </c>
      <c r="G679" s="10">
        <f t="shared" si="16"/>
        <v>1</v>
      </c>
      <c r="H679" s="10" t="s">
        <v>2236</v>
      </c>
      <c r="I679" s="10" t="b">
        <f t="shared" si="9"/>
        <v>0</v>
      </c>
    </row>
    <row r="680">
      <c r="A680" s="13" t="s">
        <v>2228</v>
      </c>
      <c r="B680" s="13" t="s">
        <v>2938</v>
      </c>
      <c r="C680" s="13" t="s">
        <v>22</v>
      </c>
      <c r="D680" s="13" t="s">
        <v>26</v>
      </c>
      <c r="E680" s="14" t="s">
        <v>2181</v>
      </c>
      <c r="F680" s="15" t="s">
        <v>2228</v>
      </c>
      <c r="G680" s="10">
        <f t="shared" si="16"/>
        <v>1</v>
      </c>
      <c r="H680" s="15" t="s">
        <v>2239</v>
      </c>
      <c r="I680" s="10" t="b">
        <f t="shared" si="9"/>
        <v>0</v>
      </c>
    </row>
    <row r="681">
      <c r="A681" s="7" t="s">
        <v>2230</v>
      </c>
      <c r="B681" s="7" t="s">
        <v>2939</v>
      </c>
      <c r="C681" s="7" t="s">
        <v>22</v>
      </c>
      <c r="D681" s="7" t="s">
        <v>88</v>
      </c>
      <c r="E681" s="9" t="s">
        <v>2181</v>
      </c>
      <c r="F681" s="10" t="s">
        <v>2230</v>
      </c>
      <c r="G681" s="10">
        <f t="shared" si="16"/>
        <v>1</v>
      </c>
      <c r="H681" s="10" t="s">
        <v>2241</v>
      </c>
      <c r="I681" s="10" t="b">
        <f t="shared" si="9"/>
        <v>0</v>
      </c>
    </row>
    <row r="682">
      <c r="A682" s="13" t="s">
        <v>2232</v>
      </c>
      <c r="B682" s="13" t="s">
        <v>2940</v>
      </c>
      <c r="C682" s="13" t="s">
        <v>22</v>
      </c>
      <c r="D682" s="13" t="s">
        <v>26</v>
      </c>
      <c r="E682" s="14" t="s">
        <v>2181</v>
      </c>
      <c r="F682" s="15" t="s">
        <v>2232</v>
      </c>
      <c r="G682" s="10">
        <f t="shared" si="16"/>
        <v>1</v>
      </c>
      <c r="H682" s="15" t="s">
        <v>2243</v>
      </c>
      <c r="I682" s="10" t="b">
        <f t="shared" si="9"/>
        <v>0</v>
      </c>
    </row>
    <row r="683">
      <c r="A683" s="7" t="s">
        <v>2234</v>
      </c>
      <c r="B683" s="7" t="s">
        <v>2941</v>
      </c>
      <c r="C683" s="7" t="s">
        <v>22</v>
      </c>
      <c r="D683" s="7" t="s">
        <v>88</v>
      </c>
      <c r="E683" s="9" t="s">
        <v>2181</v>
      </c>
      <c r="F683" s="10" t="s">
        <v>2234</v>
      </c>
      <c r="G683" s="10">
        <f t="shared" si="16"/>
        <v>1</v>
      </c>
      <c r="H683" s="10" t="s">
        <v>2245</v>
      </c>
      <c r="I683" s="10" t="b">
        <f t="shared" si="9"/>
        <v>0</v>
      </c>
    </row>
    <row r="684">
      <c r="A684" s="13" t="s">
        <v>2238</v>
      </c>
      <c r="B684" s="13" t="s">
        <v>2943</v>
      </c>
      <c r="C684" s="13" t="s">
        <v>22</v>
      </c>
      <c r="D684" s="13" t="s">
        <v>26</v>
      </c>
      <c r="E684" s="14" t="s">
        <v>2528</v>
      </c>
      <c r="F684" s="15" t="s">
        <v>2238</v>
      </c>
      <c r="G684" s="10">
        <f t="shared" si="16"/>
        <v>1</v>
      </c>
      <c r="H684" s="15" t="s">
        <v>2249</v>
      </c>
      <c r="I684" s="10" t="b">
        <f t="shared" si="9"/>
        <v>0</v>
      </c>
    </row>
    <row r="685">
      <c r="A685" s="7" t="s">
        <v>2240</v>
      </c>
      <c r="B685" s="7" t="s">
        <v>2944</v>
      </c>
      <c r="C685" s="7" t="s">
        <v>22</v>
      </c>
      <c r="D685" s="7" t="s">
        <v>88</v>
      </c>
      <c r="E685" s="9" t="s">
        <v>2528</v>
      </c>
      <c r="F685" s="10" t="s">
        <v>2240</v>
      </c>
      <c r="G685" s="10">
        <f t="shared" si="16"/>
        <v>1</v>
      </c>
      <c r="H685" s="10" t="s">
        <v>2251</v>
      </c>
      <c r="I685" s="10" t="b">
        <f t="shared" si="9"/>
        <v>0</v>
      </c>
    </row>
    <row r="686">
      <c r="A686" s="13" t="s">
        <v>2242</v>
      </c>
      <c r="B686" s="13" t="s">
        <v>2945</v>
      </c>
      <c r="C686" s="13" t="s">
        <v>22</v>
      </c>
      <c r="D686" s="13" t="s">
        <v>26</v>
      </c>
      <c r="E686" s="14" t="s">
        <v>2528</v>
      </c>
      <c r="F686" s="15" t="s">
        <v>2242</v>
      </c>
      <c r="G686" s="10">
        <f t="shared" si="16"/>
        <v>1</v>
      </c>
      <c r="H686" s="15" t="s">
        <v>2255</v>
      </c>
      <c r="I686" s="10" t="b">
        <f t="shared" si="9"/>
        <v>0</v>
      </c>
    </row>
    <row r="687">
      <c r="A687" s="7" t="s">
        <v>2244</v>
      </c>
      <c r="B687" s="7" t="s">
        <v>2946</v>
      </c>
      <c r="C687" s="7" t="s">
        <v>22</v>
      </c>
      <c r="D687" s="7" t="s">
        <v>88</v>
      </c>
      <c r="E687" s="9" t="s">
        <v>2528</v>
      </c>
      <c r="F687" s="10" t="s">
        <v>2244</v>
      </c>
      <c r="G687" s="10">
        <f t="shared" si="16"/>
        <v>1</v>
      </c>
      <c r="H687" s="10" t="s">
        <v>2258</v>
      </c>
      <c r="I687" s="10" t="b">
        <f t="shared" si="9"/>
        <v>0</v>
      </c>
    </row>
    <row r="688">
      <c r="A688" s="13" t="s">
        <v>2248</v>
      </c>
      <c r="B688" s="13" t="s">
        <v>2948</v>
      </c>
      <c r="C688" s="13" t="s">
        <v>22</v>
      </c>
      <c r="D688" s="13" t="s">
        <v>26</v>
      </c>
      <c r="E688" s="14" t="s">
        <v>2528</v>
      </c>
      <c r="F688" s="15" t="s">
        <v>2248</v>
      </c>
      <c r="G688" s="10">
        <f t="shared" si="16"/>
        <v>1</v>
      </c>
      <c r="H688" s="15" t="s">
        <v>2263</v>
      </c>
      <c r="I688" s="10" t="b">
        <f t="shared" si="9"/>
        <v>0</v>
      </c>
    </row>
    <row r="689">
      <c r="A689" s="7" t="s">
        <v>2250</v>
      </c>
      <c r="B689" s="7" t="s">
        <v>2949</v>
      </c>
      <c r="C689" s="7" t="s">
        <v>22</v>
      </c>
      <c r="D689" s="7" t="s">
        <v>88</v>
      </c>
      <c r="E689" s="9" t="s">
        <v>2528</v>
      </c>
      <c r="F689" s="10" t="s">
        <v>2250</v>
      </c>
      <c r="G689" s="10">
        <f t="shared" si="16"/>
        <v>1</v>
      </c>
      <c r="H689" s="10" t="s">
        <v>2265</v>
      </c>
      <c r="I689" s="10" t="b">
        <f t="shared" si="9"/>
        <v>0</v>
      </c>
    </row>
    <row r="690">
      <c r="A690" s="13" t="s">
        <v>2253</v>
      </c>
      <c r="B690" s="13" t="s">
        <v>2950</v>
      </c>
      <c r="C690" s="13" t="s">
        <v>22</v>
      </c>
      <c r="D690" s="13" t="s">
        <v>26</v>
      </c>
      <c r="E690" s="14" t="s">
        <v>2528</v>
      </c>
      <c r="F690" s="15" t="s">
        <v>2253</v>
      </c>
      <c r="G690" s="10">
        <f t="shared" si="16"/>
        <v>1</v>
      </c>
      <c r="H690" s="15" t="s">
        <v>2268</v>
      </c>
      <c r="I690" s="10" t="b">
        <f t="shared" si="9"/>
        <v>0</v>
      </c>
    </row>
    <row r="691">
      <c r="A691" s="7" t="s">
        <v>2257</v>
      </c>
      <c r="B691" s="7" t="s">
        <v>2952</v>
      </c>
      <c r="C691" s="7" t="s">
        <v>22</v>
      </c>
      <c r="D691" s="7" t="s">
        <v>88</v>
      </c>
      <c r="E691" s="9" t="s">
        <v>2528</v>
      </c>
      <c r="F691" s="10" t="s">
        <v>2257</v>
      </c>
      <c r="G691" s="10">
        <f t="shared" si="16"/>
        <v>1</v>
      </c>
      <c r="H691" s="10" t="s">
        <v>2270</v>
      </c>
      <c r="I691" s="10" t="b">
        <f t="shared" si="9"/>
        <v>0</v>
      </c>
    </row>
    <row r="692">
      <c r="A692" s="13" t="s">
        <v>2262</v>
      </c>
      <c r="B692" s="13" t="s">
        <v>2953</v>
      </c>
      <c r="C692" s="13" t="s">
        <v>22</v>
      </c>
      <c r="D692" s="13" t="s">
        <v>26</v>
      </c>
      <c r="E692" s="14" t="s">
        <v>2528</v>
      </c>
      <c r="F692" s="15" t="s">
        <v>2262</v>
      </c>
      <c r="G692" s="10">
        <f t="shared" si="16"/>
        <v>1</v>
      </c>
      <c r="H692" s="15" t="s">
        <v>2274</v>
      </c>
      <c r="I692" s="10" t="b">
        <f t="shared" si="9"/>
        <v>0</v>
      </c>
    </row>
    <row r="693">
      <c r="A693" s="7" t="s">
        <v>2264</v>
      </c>
      <c r="B693" s="7" t="s">
        <v>2955</v>
      </c>
      <c r="C693" s="7" t="s">
        <v>22</v>
      </c>
      <c r="D693" s="7" t="s">
        <v>88</v>
      </c>
      <c r="E693" s="9" t="s">
        <v>2528</v>
      </c>
      <c r="F693" s="10" t="s">
        <v>2264</v>
      </c>
      <c r="G693" s="10">
        <f t="shared" si="16"/>
        <v>1</v>
      </c>
      <c r="H693" s="10" t="s">
        <v>2276</v>
      </c>
      <c r="I693" s="10" t="b">
        <f t="shared" si="9"/>
        <v>0</v>
      </c>
    </row>
    <row r="694">
      <c r="A694" s="13" t="s">
        <v>2266</v>
      </c>
      <c r="B694" s="13" t="s">
        <v>2957</v>
      </c>
      <c r="C694" s="13" t="s">
        <v>22</v>
      </c>
      <c r="D694" s="13" t="s">
        <v>88</v>
      </c>
      <c r="E694" s="13" t="s">
        <v>132</v>
      </c>
      <c r="F694" s="15" t="s">
        <v>2266</v>
      </c>
      <c r="G694" s="10">
        <f t="shared" si="16"/>
        <v>1</v>
      </c>
      <c r="H694" s="15" t="s">
        <v>2279</v>
      </c>
      <c r="I694" s="10" t="b">
        <f t="shared" si="9"/>
        <v>0</v>
      </c>
    </row>
    <row r="695">
      <c r="A695" s="7" t="s">
        <v>2269</v>
      </c>
      <c r="B695" s="7" t="s">
        <v>2958</v>
      </c>
      <c r="C695" s="7" t="s">
        <v>22</v>
      </c>
      <c r="D695" s="7" t="s">
        <v>88</v>
      </c>
      <c r="E695" s="7" t="s">
        <v>132</v>
      </c>
      <c r="F695" s="10" t="s">
        <v>2269</v>
      </c>
      <c r="G695" s="10">
        <f t="shared" si="16"/>
        <v>1</v>
      </c>
      <c r="H695" s="10" t="s">
        <v>2282</v>
      </c>
      <c r="I695" s="10" t="b">
        <f t="shared" si="9"/>
        <v>0</v>
      </c>
    </row>
    <row r="696">
      <c r="A696" s="13" t="s">
        <v>2272</v>
      </c>
      <c r="B696" s="13" t="s">
        <v>2959</v>
      </c>
      <c r="C696" s="13" t="s">
        <v>22</v>
      </c>
      <c r="D696" s="13" t="s">
        <v>88</v>
      </c>
      <c r="E696" s="13" t="s">
        <v>132</v>
      </c>
      <c r="F696" s="15" t="s">
        <v>2272</v>
      </c>
      <c r="G696" s="10">
        <f t="shared" si="16"/>
        <v>1</v>
      </c>
      <c r="H696" s="15" t="s">
        <v>2284</v>
      </c>
      <c r="I696" s="10" t="b">
        <f t="shared" si="9"/>
        <v>0</v>
      </c>
    </row>
    <row r="697">
      <c r="A697" s="7" t="s">
        <v>2275</v>
      </c>
      <c r="B697" s="7" t="s">
        <v>2960</v>
      </c>
      <c r="C697" s="7" t="s">
        <v>22</v>
      </c>
      <c r="D697" s="7" t="s">
        <v>88</v>
      </c>
      <c r="E697" s="7" t="s">
        <v>132</v>
      </c>
      <c r="F697" s="10" t="s">
        <v>2275</v>
      </c>
      <c r="G697" s="10">
        <f t="shared" si="16"/>
        <v>1</v>
      </c>
      <c r="H697" s="10" t="s">
        <v>2288</v>
      </c>
      <c r="I697" s="10" t="b">
        <f t="shared" si="9"/>
        <v>0</v>
      </c>
    </row>
    <row r="698">
      <c r="A698" s="13" t="s">
        <v>2277</v>
      </c>
      <c r="B698" s="14" t="s">
        <v>2962</v>
      </c>
      <c r="C698" s="13" t="s">
        <v>22</v>
      </c>
      <c r="D698" s="13" t="s">
        <v>88</v>
      </c>
      <c r="E698" s="13" t="s">
        <v>132</v>
      </c>
      <c r="F698" s="15" t="s">
        <v>2277</v>
      </c>
      <c r="G698" s="10">
        <f t="shared" si="16"/>
        <v>1</v>
      </c>
      <c r="H698" s="15" t="s">
        <v>2291</v>
      </c>
      <c r="I698" s="10" t="b">
        <f t="shared" si="9"/>
        <v>0</v>
      </c>
    </row>
    <row r="699">
      <c r="A699" s="7" t="s">
        <v>2281</v>
      </c>
      <c r="B699" s="9" t="s">
        <v>2963</v>
      </c>
      <c r="C699" s="7" t="s">
        <v>22</v>
      </c>
      <c r="D699" s="7" t="s">
        <v>88</v>
      </c>
      <c r="E699" s="7" t="s">
        <v>132</v>
      </c>
      <c r="F699" s="10" t="s">
        <v>2281</v>
      </c>
      <c r="G699" s="10">
        <f t="shared" si="16"/>
        <v>1</v>
      </c>
      <c r="H699" s="10" t="s">
        <v>2294</v>
      </c>
      <c r="I699" s="10" t="b">
        <f t="shared" si="9"/>
        <v>0</v>
      </c>
    </row>
    <row r="700">
      <c r="A700" s="13" t="s">
        <v>2283</v>
      </c>
      <c r="B700" s="14" t="s">
        <v>2964</v>
      </c>
      <c r="C700" s="13" t="s">
        <v>22</v>
      </c>
      <c r="D700" s="13" t="s">
        <v>88</v>
      </c>
      <c r="E700" s="13" t="s">
        <v>132</v>
      </c>
      <c r="F700" s="15" t="s">
        <v>2283</v>
      </c>
      <c r="G700" s="10">
        <f t="shared" si="16"/>
        <v>1</v>
      </c>
      <c r="H700" s="15" t="s">
        <v>2296</v>
      </c>
      <c r="I700" s="10" t="b">
        <f t="shared" si="9"/>
        <v>0</v>
      </c>
    </row>
    <row r="701">
      <c r="A701" s="7" t="s">
        <v>2287</v>
      </c>
      <c r="B701" s="9" t="s">
        <v>2965</v>
      </c>
      <c r="C701" s="7" t="s">
        <v>22</v>
      </c>
      <c r="D701" s="7" t="s">
        <v>88</v>
      </c>
      <c r="E701" s="7" t="s">
        <v>132</v>
      </c>
      <c r="F701" s="10" t="s">
        <v>2287</v>
      </c>
      <c r="G701" s="10">
        <f t="shared" si="16"/>
        <v>1</v>
      </c>
      <c r="H701" s="10" t="s">
        <v>2301</v>
      </c>
      <c r="I701" s="10" t="b">
        <f t="shared" si="9"/>
        <v>0</v>
      </c>
    </row>
    <row r="702">
      <c r="A702" s="13" t="s">
        <v>2290</v>
      </c>
      <c r="B702" s="13" t="s">
        <v>2968</v>
      </c>
      <c r="C702" s="13" t="s">
        <v>22</v>
      </c>
      <c r="D702" s="13" t="s">
        <v>88</v>
      </c>
      <c r="E702" s="14" t="s">
        <v>167</v>
      </c>
      <c r="F702" s="15" t="s">
        <v>2290</v>
      </c>
      <c r="G702" s="10">
        <f t="shared" si="16"/>
        <v>1</v>
      </c>
      <c r="H702" s="15" t="s">
        <v>2305</v>
      </c>
      <c r="I702" s="10" t="b">
        <f t="shared" si="9"/>
        <v>0</v>
      </c>
    </row>
    <row r="703">
      <c r="A703" s="7" t="s">
        <v>2292</v>
      </c>
      <c r="B703" s="7" t="s">
        <v>2969</v>
      </c>
      <c r="C703" s="7" t="s">
        <v>22</v>
      </c>
      <c r="D703" s="7" t="s">
        <v>88</v>
      </c>
      <c r="E703" s="9" t="s">
        <v>167</v>
      </c>
      <c r="F703" s="10" t="s">
        <v>2292</v>
      </c>
      <c r="G703" s="10">
        <f t="shared" si="16"/>
        <v>1</v>
      </c>
      <c r="H703" s="10" t="s">
        <v>2307</v>
      </c>
      <c r="I703" s="10" t="b">
        <f t="shared" si="9"/>
        <v>0</v>
      </c>
    </row>
    <row r="704">
      <c r="A704" s="13" t="s">
        <v>2295</v>
      </c>
      <c r="B704" s="14" t="s">
        <v>2970</v>
      </c>
      <c r="C704" s="13" t="s">
        <v>22</v>
      </c>
      <c r="D704" s="13" t="s">
        <v>88</v>
      </c>
      <c r="E704" s="14" t="s">
        <v>167</v>
      </c>
      <c r="F704" s="15" t="s">
        <v>2295</v>
      </c>
      <c r="G704" s="10">
        <f t="shared" si="16"/>
        <v>1</v>
      </c>
      <c r="H704" s="15" t="s">
        <v>2309</v>
      </c>
      <c r="I704" s="10" t="b">
        <f t="shared" si="9"/>
        <v>0</v>
      </c>
    </row>
    <row r="705">
      <c r="A705" s="7" t="s">
        <v>2299</v>
      </c>
      <c r="B705" s="7" t="s">
        <v>2972</v>
      </c>
      <c r="C705" s="7" t="s">
        <v>22</v>
      </c>
      <c r="D705" s="7" t="s">
        <v>88</v>
      </c>
      <c r="E705" s="9" t="s">
        <v>167</v>
      </c>
      <c r="F705" s="10" t="s">
        <v>2299</v>
      </c>
      <c r="G705" s="10">
        <f t="shared" si="16"/>
        <v>1</v>
      </c>
      <c r="H705" s="10" t="s">
        <v>2311</v>
      </c>
      <c r="I705" s="10" t="b">
        <f t="shared" si="9"/>
        <v>0</v>
      </c>
    </row>
    <row r="706">
      <c r="A706" s="13" t="s">
        <v>2303</v>
      </c>
      <c r="B706" s="13" t="s">
        <v>2973</v>
      </c>
      <c r="C706" s="13" t="s">
        <v>22</v>
      </c>
      <c r="D706" s="13" t="s">
        <v>88</v>
      </c>
      <c r="E706" s="14" t="s">
        <v>167</v>
      </c>
      <c r="F706" s="15" t="s">
        <v>2303</v>
      </c>
      <c r="G706" s="10">
        <f t="shared" si="16"/>
        <v>1</v>
      </c>
      <c r="H706" s="15" t="s">
        <v>2313</v>
      </c>
      <c r="I706" s="10" t="b">
        <f t="shared" si="9"/>
        <v>0</v>
      </c>
    </row>
    <row r="707">
      <c r="A707" s="7" t="s">
        <v>2306</v>
      </c>
      <c r="B707" s="7" t="s">
        <v>2974</v>
      </c>
      <c r="C707" s="7" t="s">
        <v>22</v>
      </c>
      <c r="D707" s="7" t="s">
        <v>88</v>
      </c>
      <c r="E707" s="9" t="s">
        <v>214</v>
      </c>
      <c r="F707" s="10" t="s">
        <v>2306</v>
      </c>
      <c r="G707" s="10">
        <f t="shared" si="16"/>
        <v>1</v>
      </c>
      <c r="H707" s="10" t="s">
        <v>2315</v>
      </c>
      <c r="I707" s="10" t="b">
        <f t="shared" si="9"/>
        <v>0</v>
      </c>
    </row>
    <row r="708">
      <c r="A708" s="13" t="s">
        <v>2308</v>
      </c>
      <c r="B708" s="13" t="s">
        <v>2975</v>
      </c>
      <c r="C708" s="13" t="s">
        <v>22</v>
      </c>
      <c r="D708" s="13" t="s">
        <v>88</v>
      </c>
      <c r="E708" s="14" t="s">
        <v>214</v>
      </c>
      <c r="F708" s="15" t="s">
        <v>2308</v>
      </c>
      <c r="G708" s="10">
        <f t="shared" si="16"/>
        <v>1</v>
      </c>
      <c r="H708" s="15" t="s">
        <v>2317</v>
      </c>
      <c r="I708" s="10" t="b">
        <f t="shared" si="9"/>
        <v>0</v>
      </c>
    </row>
    <row r="709">
      <c r="A709" s="7" t="s">
        <v>2310</v>
      </c>
      <c r="B709" s="7" t="s">
        <v>2977</v>
      </c>
      <c r="C709" s="7" t="s">
        <v>22</v>
      </c>
      <c r="D709" s="7" t="s">
        <v>88</v>
      </c>
      <c r="E709" s="9" t="s">
        <v>214</v>
      </c>
      <c r="F709" s="10" t="s">
        <v>2310</v>
      </c>
      <c r="G709" s="10">
        <f t="shared" si="16"/>
        <v>1</v>
      </c>
      <c r="H709" s="10" t="s">
        <v>2320</v>
      </c>
      <c r="I709" s="10" t="b">
        <f t="shared" si="9"/>
        <v>0</v>
      </c>
    </row>
    <row r="710">
      <c r="A710" s="13" t="s">
        <v>2312</v>
      </c>
      <c r="B710" s="13" t="s">
        <v>2978</v>
      </c>
      <c r="C710" s="13" t="s">
        <v>22</v>
      </c>
      <c r="D710" s="13" t="s">
        <v>88</v>
      </c>
      <c r="E710" s="14" t="s">
        <v>214</v>
      </c>
      <c r="F710" s="15" t="s">
        <v>2312</v>
      </c>
      <c r="G710" s="10">
        <f t="shared" si="16"/>
        <v>1</v>
      </c>
      <c r="H710" s="15" t="s">
        <v>2322</v>
      </c>
      <c r="I710" s="10" t="b">
        <f t="shared" si="9"/>
        <v>0</v>
      </c>
    </row>
    <row r="711">
      <c r="A711" s="7" t="s">
        <v>2314</v>
      </c>
      <c r="B711" s="7" t="s">
        <v>2979</v>
      </c>
      <c r="C711" s="7" t="s">
        <v>22</v>
      </c>
      <c r="D711" s="7" t="s">
        <v>88</v>
      </c>
      <c r="E711" s="9" t="s">
        <v>214</v>
      </c>
      <c r="F711" s="10" t="s">
        <v>2314</v>
      </c>
      <c r="G711" s="10">
        <f t="shared" si="16"/>
        <v>1</v>
      </c>
      <c r="H711" s="10" t="s">
        <v>2326</v>
      </c>
      <c r="I711" s="10" t="b">
        <f t="shared" si="9"/>
        <v>0</v>
      </c>
    </row>
    <row r="712">
      <c r="A712" s="13" t="s">
        <v>2316</v>
      </c>
      <c r="B712" s="13" t="s">
        <v>2981</v>
      </c>
      <c r="C712" s="13" t="s">
        <v>22</v>
      </c>
      <c r="D712" s="13" t="s">
        <v>88</v>
      </c>
      <c r="E712" s="14" t="s">
        <v>299</v>
      </c>
      <c r="F712" s="15" t="s">
        <v>2316</v>
      </c>
      <c r="G712" s="10">
        <f t="shared" si="16"/>
        <v>1</v>
      </c>
      <c r="H712" s="15" t="s">
        <v>2329</v>
      </c>
      <c r="I712" s="10" t="b">
        <f t="shared" si="9"/>
        <v>0</v>
      </c>
    </row>
    <row r="713">
      <c r="A713" s="7" t="s">
        <v>2319</v>
      </c>
      <c r="B713" s="7" t="s">
        <v>2982</v>
      </c>
      <c r="C713" s="7" t="s">
        <v>22</v>
      </c>
      <c r="D713" s="7" t="s">
        <v>88</v>
      </c>
      <c r="E713" s="9" t="s">
        <v>299</v>
      </c>
      <c r="F713" s="10" t="s">
        <v>2319</v>
      </c>
      <c r="G713" s="10">
        <f t="shared" si="16"/>
        <v>1</v>
      </c>
      <c r="H713" s="10" t="s">
        <v>2332</v>
      </c>
      <c r="I713" s="10" t="b">
        <f t="shared" si="9"/>
        <v>0</v>
      </c>
    </row>
    <row r="714">
      <c r="A714" s="13" t="s">
        <v>2321</v>
      </c>
      <c r="B714" s="13" t="s">
        <v>2983</v>
      </c>
      <c r="C714" s="13" t="s">
        <v>22</v>
      </c>
      <c r="D714" s="13" t="s">
        <v>88</v>
      </c>
      <c r="E714" s="14" t="s">
        <v>299</v>
      </c>
      <c r="F714" s="15" t="s">
        <v>2321</v>
      </c>
      <c r="G714" s="10">
        <f t="shared" si="16"/>
        <v>1</v>
      </c>
      <c r="H714" s="15" t="s">
        <v>2335</v>
      </c>
      <c r="I714" s="10" t="b">
        <f t="shared" si="9"/>
        <v>0</v>
      </c>
    </row>
    <row r="715">
      <c r="A715" s="7" t="s">
        <v>2325</v>
      </c>
      <c r="B715" s="7" t="s">
        <v>2985</v>
      </c>
      <c r="C715" s="7" t="s">
        <v>22</v>
      </c>
      <c r="D715" s="7" t="s">
        <v>88</v>
      </c>
      <c r="E715" s="9" t="s">
        <v>299</v>
      </c>
      <c r="F715" s="10" t="s">
        <v>2325</v>
      </c>
      <c r="G715" s="10">
        <f t="shared" si="16"/>
        <v>1</v>
      </c>
      <c r="H715" s="10" t="s">
        <v>2339</v>
      </c>
      <c r="I715" s="10" t="b">
        <f t="shared" si="9"/>
        <v>0</v>
      </c>
    </row>
    <row r="716">
      <c r="A716" s="13" t="s">
        <v>2328</v>
      </c>
      <c r="B716" s="13" t="s">
        <v>2986</v>
      </c>
      <c r="C716" s="13" t="s">
        <v>22</v>
      </c>
      <c r="D716" s="13" t="s">
        <v>88</v>
      </c>
      <c r="E716" s="14" t="s">
        <v>299</v>
      </c>
      <c r="F716" s="15" t="s">
        <v>2328</v>
      </c>
      <c r="G716" s="10">
        <f t="shared" si="16"/>
        <v>1</v>
      </c>
      <c r="H716" s="15" t="s">
        <v>2342</v>
      </c>
      <c r="I716" s="10" t="b">
        <f t="shared" si="9"/>
        <v>0</v>
      </c>
    </row>
    <row r="717">
      <c r="A717" s="7" t="s">
        <v>2331</v>
      </c>
      <c r="B717" s="9" t="s">
        <v>2987</v>
      </c>
      <c r="C717" s="7" t="s">
        <v>22</v>
      </c>
      <c r="D717" s="7" t="s">
        <v>88</v>
      </c>
      <c r="E717" s="9" t="s">
        <v>382</v>
      </c>
      <c r="F717" s="10" t="s">
        <v>2331</v>
      </c>
      <c r="G717" s="10">
        <f t="shared" si="16"/>
        <v>1</v>
      </c>
      <c r="H717" s="10" t="s">
        <v>2344</v>
      </c>
      <c r="I717" s="10" t="b">
        <f t="shared" si="9"/>
        <v>0</v>
      </c>
    </row>
    <row r="718">
      <c r="A718" s="13" t="s">
        <v>2333</v>
      </c>
      <c r="B718" s="14" t="s">
        <v>2988</v>
      </c>
      <c r="C718" s="13" t="s">
        <v>22</v>
      </c>
      <c r="D718" s="13" t="s">
        <v>88</v>
      </c>
      <c r="E718" s="14" t="s">
        <v>382</v>
      </c>
      <c r="F718" s="15" t="s">
        <v>2333</v>
      </c>
      <c r="G718" s="10">
        <f t="shared" si="16"/>
        <v>1</v>
      </c>
      <c r="H718" s="15" t="s">
        <v>2348</v>
      </c>
      <c r="I718" s="10" t="b">
        <f t="shared" si="9"/>
        <v>0</v>
      </c>
    </row>
    <row r="719">
      <c r="A719" s="7" t="s">
        <v>2336</v>
      </c>
      <c r="B719" s="9" t="s">
        <v>2989</v>
      </c>
      <c r="C719" s="7" t="s">
        <v>22</v>
      </c>
      <c r="D719" s="7" t="s">
        <v>88</v>
      </c>
      <c r="E719" s="9" t="s">
        <v>382</v>
      </c>
      <c r="F719" s="10" t="s">
        <v>2336</v>
      </c>
      <c r="G719" s="10">
        <f t="shared" si="16"/>
        <v>1</v>
      </c>
      <c r="H719" s="10" t="s">
        <v>2351</v>
      </c>
      <c r="I719" s="10" t="b">
        <f t="shared" si="9"/>
        <v>0</v>
      </c>
    </row>
    <row r="720">
      <c r="A720" s="13" t="s">
        <v>2340</v>
      </c>
      <c r="B720" s="14" t="s">
        <v>2990</v>
      </c>
      <c r="C720" s="13" t="s">
        <v>22</v>
      </c>
      <c r="D720" s="13" t="s">
        <v>88</v>
      </c>
      <c r="E720" s="14" t="s">
        <v>382</v>
      </c>
      <c r="F720" s="15" t="s">
        <v>2340</v>
      </c>
      <c r="G720" s="10">
        <f t="shared" si="16"/>
        <v>1</v>
      </c>
      <c r="H720" s="15" t="s">
        <v>2353</v>
      </c>
      <c r="I720" s="10" t="b">
        <f t="shared" si="9"/>
        <v>0</v>
      </c>
    </row>
    <row r="721">
      <c r="A721" s="7" t="s">
        <v>2343</v>
      </c>
      <c r="B721" s="9" t="s">
        <v>2991</v>
      </c>
      <c r="C721" s="7" t="s">
        <v>22</v>
      </c>
      <c r="D721" s="7" t="s">
        <v>88</v>
      </c>
      <c r="E721" s="9" t="s">
        <v>382</v>
      </c>
      <c r="F721" s="10" t="s">
        <v>2343</v>
      </c>
      <c r="G721" s="10">
        <f t="shared" si="16"/>
        <v>1</v>
      </c>
      <c r="H721" s="10" t="s">
        <v>2356</v>
      </c>
      <c r="I721" s="10" t="b">
        <f t="shared" si="9"/>
        <v>0</v>
      </c>
    </row>
    <row r="722">
      <c r="A722" s="13" t="s">
        <v>2347</v>
      </c>
      <c r="B722" s="14" t="s">
        <v>2993</v>
      </c>
      <c r="C722" s="13" t="s">
        <v>22</v>
      </c>
      <c r="D722" s="13" t="s">
        <v>88</v>
      </c>
      <c r="E722" s="14" t="s">
        <v>349</v>
      </c>
      <c r="F722" s="15" t="s">
        <v>2347</v>
      </c>
      <c r="G722" s="10">
        <f t="shared" si="16"/>
        <v>1</v>
      </c>
      <c r="H722" s="15" t="s">
        <v>2360</v>
      </c>
      <c r="I722" s="10" t="b">
        <f t="shared" si="9"/>
        <v>0</v>
      </c>
    </row>
    <row r="723">
      <c r="A723" s="7" t="s">
        <v>2349</v>
      </c>
      <c r="B723" s="9" t="s">
        <v>2994</v>
      </c>
      <c r="C723" s="7" t="s">
        <v>22</v>
      </c>
      <c r="D723" s="7" t="s">
        <v>88</v>
      </c>
      <c r="E723" s="9" t="s">
        <v>349</v>
      </c>
      <c r="F723" s="10" t="s">
        <v>2349</v>
      </c>
      <c r="G723" s="10">
        <f t="shared" si="16"/>
        <v>1</v>
      </c>
      <c r="H723" s="10" t="s">
        <v>2363</v>
      </c>
      <c r="I723" s="10" t="b">
        <f t="shared" si="9"/>
        <v>0</v>
      </c>
    </row>
    <row r="724">
      <c r="A724" s="13" t="s">
        <v>2352</v>
      </c>
      <c r="B724" s="14" t="s">
        <v>2996</v>
      </c>
      <c r="C724" s="13" t="s">
        <v>22</v>
      </c>
      <c r="D724" s="13" t="s">
        <v>88</v>
      </c>
      <c r="E724" s="14" t="s">
        <v>349</v>
      </c>
      <c r="F724" s="15" t="s">
        <v>2352</v>
      </c>
      <c r="G724" s="10">
        <f t="shared" si="16"/>
        <v>1</v>
      </c>
      <c r="H724" s="15" t="s">
        <v>2366</v>
      </c>
      <c r="I724" s="10" t="b">
        <f t="shared" si="9"/>
        <v>0</v>
      </c>
    </row>
    <row r="725">
      <c r="A725" s="7" t="s">
        <v>2355</v>
      </c>
      <c r="B725" s="9" t="s">
        <v>2997</v>
      </c>
      <c r="C725" s="7" t="s">
        <v>22</v>
      </c>
      <c r="D725" s="7" t="s">
        <v>88</v>
      </c>
      <c r="E725" s="9" t="s">
        <v>349</v>
      </c>
      <c r="F725" s="10" t="s">
        <v>2355</v>
      </c>
      <c r="G725" s="10">
        <f t="shared" si="16"/>
        <v>1</v>
      </c>
      <c r="H725" s="10" t="s">
        <v>2368</v>
      </c>
      <c r="I725" s="10" t="b">
        <f t="shared" si="9"/>
        <v>0</v>
      </c>
    </row>
    <row r="726">
      <c r="A726" s="13" t="s">
        <v>2359</v>
      </c>
      <c r="B726" s="14" t="s">
        <v>2999</v>
      </c>
      <c r="C726" s="13" t="s">
        <v>22</v>
      </c>
      <c r="D726" s="13" t="s">
        <v>88</v>
      </c>
      <c r="E726" s="14" t="s">
        <v>349</v>
      </c>
      <c r="F726" s="15" t="s">
        <v>2359</v>
      </c>
      <c r="G726" s="10">
        <f t="shared" si="16"/>
        <v>1</v>
      </c>
      <c r="H726" s="15" t="s">
        <v>2373</v>
      </c>
      <c r="I726" s="10" t="b">
        <f t="shared" si="9"/>
        <v>0</v>
      </c>
    </row>
    <row r="727">
      <c r="A727" s="7" t="s">
        <v>2362</v>
      </c>
      <c r="B727" s="7" t="s">
        <v>3000</v>
      </c>
      <c r="C727" s="7" t="s">
        <v>22</v>
      </c>
      <c r="D727" s="7" t="s">
        <v>88</v>
      </c>
      <c r="E727" s="9" t="s">
        <v>410</v>
      </c>
      <c r="F727" s="10" t="s">
        <v>2362</v>
      </c>
      <c r="G727" s="10">
        <f t="shared" si="16"/>
        <v>1</v>
      </c>
      <c r="H727" s="10" t="s">
        <v>2376</v>
      </c>
      <c r="I727" s="10" t="b">
        <f t="shared" si="9"/>
        <v>0</v>
      </c>
    </row>
    <row r="728">
      <c r="A728" s="13" t="s">
        <v>2365</v>
      </c>
      <c r="B728" s="13" t="s">
        <v>3001</v>
      </c>
      <c r="C728" s="13" t="s">
        <v>22</v>
      </c>
      <c r="D728" s="13" t="s">
        <v>88</v>
      </c>
      <c r="E728" s="14" t="s">
        <v>410</v>
      </c>
      <c r="F728" s="15" t="s">
        <v>2365</v>
      </c>
      <c r="G728" s="10">
        <f t="shared" si="16"/>
        <v>1</v>
      </c>
      <c r="H728" s="15" t="s">
        <v>2378</v>
      </c>
      <c r="I728" s="10" t="b">
        <f t="shared" si="9"/>
        <v>0</v>
      </c>
    </row>
    <row r="729">
      <c r="A729" s="7" t="s">
        <v>2367</v>
      </c>
      <c r="B729" s="7" t="s">
        <v>3002</v>
      </c>
      <c r="C729" s="7" t="s">
        <v>22</v>
      </c>
      <c r="D729" s="7" t="s">
        <v>88</v>
      </c>
      <c r="E729" s="9" t="s">
        <v>410</v>
      </c>
      <c r="F729" s="10" t="s">
        <v>2367</v>
      </c>
      <c r="G729" s="10">
        <f t="shared" si="16"/>
        <v>1</v>
      </c>
      <c r="H729" s="10" t="s">
        <v>2381</v>
      </c>
      <c r="I729" s="10" t="b">
        <f t="shared" si="9"/>
        <v>0</v>
      </c>
    </row>
    <row r="730">
      <c r="A730" s="13" t="s">
        <v>2371</v>
      </c>
      <c r="B730" s="13" t="s">
        <v>3004</v>
      </c>
      <c r="C730" s="13" t="s">
        <v>22</v>
      </c>
      <c r="D730" s="13" t="s">
        <v>88</v>
      </c>
      <c r="E730" s="14" t="s">
        <v>410</v>
      </c>
      <c r="F730" s="15" t="s">
        <v>2371</v>
      </c>
      <c r="G730" s="10">
        <f t="shared" si="16"/>
        <v>1</v>
      </c>
      <c r="H730" s="15" t="s">
        <v>2384</v>
      </c>
      <c r="I730" s="10" t="b">
        <f t="shared" si="9"/>
        <v>0</v>
      </c>
    </row>
    <row r="731">
      <c r="A731" s="7" t="s">
        <v>2374</v>
      </c>
      <c r="B731" s="7" t="s">
        <v>3005</v>
      </c>
      <c r="C731" s="7" t="s">
        <v>22</v>
      </c>
      <c r="D731" s="7" t="s">
        <v>88</v>
      </c>
      <c r="E731" s="9" t="s">
        <v>410</v>
      </c>
      <c r="F731" s="10" t="s">
        <v>2374</v>
      </c>
      <c r="G731" s="10">
        <f t="shared" si="16"/>
        <v>1</v>
      </c>
      <c r="H731" s="10" t="s">
        <v>2386</v>
      </c>
      <c r="I731" s="10" t="b">
        <f t="shared" si="9"/>
        <v>0</v>
      </c>
    </row>
    <row r="732">
      <c r="A732" s="13" t="s">
        <v>2377</v>
      </c>
      <c r="B732" s="13" t="s">
        <v>3006</v>
      </c>
      <c r="C732" s="13" t="s">
        <v>22</v>
      </c>
      <c r="D732" s="13" t="s">
        <v>88</v>
      </c>
      <c r="E732" s="14" t="s">
        <v>175</v>
      </c>
      <c r="F732" s="15" t="s">
        <v>2377</v>
      </c>
      <c r="G732" s="10">
        <f t="shared" si="16"/>
        <v>1</v>
      </c>
      <c r="H732" s="15" t="s">
        <v>2390</v>
      </c>
      <c r="I732" s="10" t="b">
        <f t="shared" si="9"/>
        <v>0</v>
      </c>
    </row>
    <row r="733">
      <c r="A733" s="7" t="s">
        <v>2380</v>
      </c>
      <c r="B733" s="9" t="s">
        <v>3007</v>
      </c>
      <c r="C733" s="7" t="s">
        <v>22</v>
      </c>
      <c r="D733" s="7" t="s">
        <v>88</v>
      </c>
      <c r="E733" s="9" t="s">
        <v>167</v>
      </c>
      <c r="F733" s="10" t="s">
        <v>2380</v>
      </c>
      <c r="G733" s="10">
        <f t="shared" si="16"/>
        <v>1</v>
      </c>
      <c r="H733" s="10" t="s">
        <v>2394</v>
      </c>
      <c r="I733" s="10" t="b">
        <f t="shared" si="9"/>
        <v>0</v>
      </c>
    </row>
    <row r="734">
      <c r="A734" s="13" t="s">
        <v>2383</v>
      </c>
      <c r="B734" s="13" t="s">
        <v>3008</v>
      </c>
      <c r="C734" s="13" t="s">
        <v>22</v>
      </c>
      <c r="D734" s="13" t="s">
        <v>88</v>
      </c>
      <c r="E734" s="14" t="s">
        <v>167</v>
      </c>
      <c r="F734" s="15" t="s">
        <v>2383</v>
      </c>
      <c r="G734" s="10">
        <f t="shared" si="16"/>
        <v>1</v>
      </c>
      <c r="H734" s="15" t="s">
        <v>2399</v>
      </c>
      <c r="I734" s="10" t="b">
        <f t="shared" si="9"/>
        <v>0</v>
      </c>
    </row>
    <row r="735">
      <c r="A735" s="7" t="s">
        <v>2385</v>
      </c>
      <c r="B735" s="7" t="s">
        <v>3009</v>
      </c>
      <c r="C735" s="7" t="s">
        <v>22</v>
      </c>
      <c r="D735" s="7" t="s">
        <v>88</v>
      </c>
      <c r="E735" s="9" t="s">
        <v>167</v>
      </c>
      <c r="F735" s="10" t="s">
        <v>2385</v>
      </c>
      <c r="G735" s="10">
        <f t="shared" si="16"/>
        <v>1</v>
      </c>
      <c r="H735" s="10" t="s">
        <v>2402</v>
      </c>
      <c r="I735" s="10" t="b">
        <f t="shared" si="9"/>
        <v>0</v>
      </c>
    </row>
    <row r="736">
      <c r="A736" s="13" t="s">
        <v>2389</v>
      </c>
      <c r="B736" s="13" t="s">
        <v>3010</v>
      </c>
      <c r="C736" s="13" t="s">
        <v>22</v>
      </c>
      <c r="D736" s="13" t="s">
        <v>88</v>
      </c>
      <c r="E736" s="14" t="s">
        <v>167</v>
      </c>
      <c r="F736" s="15" t="s">
        <v>2389</v>
      </c>
      <c r="G736" s="10">
        <f t="shared" si="16"/>
        <v>1</v>
      </c>
      <c r="H736" s="15" t="s">
        <v>2405</v>
      </c>
      <c r="I736" s="10" t="b">
        <f t="shared" si="9"/>
        <v>0</v>
      </c>
    </row>
    <row r="737">
      <c r="A737" s="7" t="s">
        <v>2393</v>
      </c>
      <c r="B737" s="7" t="s">
        <v>3011</v>
      </c>
      <c r="C737" s="7" t="s">
        <v>22</v>
      </c>
      <c r="D737" s="7" t="s">
        <v>88</v>
      </c>
      <c r="E737" s="9" t="s">
        <v>167</v>
      </c>
      <c r="F737" s="10" t="s">
        <v>2393</v>
      </c>
      <c r="G737" s="10">
        <f t="shared" si="16"/>
        <v>1</v>
      </c>
      <c r="H737" s="10" t="s">
        <v>2408</v>
      </c>
      <c r="I737" s="10" t="b">
        <f t="shared" si="9"/>
        <v>0</v>
      </c>
    </row>
    <row r="738">
      <c r="A738" s="13" t="s">
        <v>2398</v>
      </c>
      <c r="B738" s="13" t="s">
        <v>3012</v>
      </c>
      <c r="C738" s="13" t="s">
        <v>22</v>
      </c>
      <c r="D738" s="13" t="s">
        <v>88</v>
      </c>
      <c r="E738" s="14" t="s">
        <v>214</v>
      </c>
      <c r="F738" s="15" t="s">
        <v>2398</v>
      </c>
      <c r="G738" s="10">
        <f t="shared" si="16"/>
        <v>1</v>
      </c>
      <c r="H738" s="15" t="s">
        <v>2411</v>
      </c>
      <c r="I738" s="10" t="b">
        <f t="shared" si="9"/>
        <v>0</v>
      </c>
    </row>
    <row r="739">
      <c r="A739" s="7" t="s">
        <v>2401</v>
      </c>
      <c r="B739" s="7" t="s">
        <v>3013</v>
      </c>
      <c r="C739" s="7" t="s">
        <v>22</v>
      </c>
      <c r="D739" s="7" t="s">
        <v>88</v>
      </c>
      <c r="E739" s="9" t="s">
        <v>214</v>
      </c>
      <c r="F739" s="10" t="s">
        <v>2401</v>
      </c>
      <c r="G739" s="10">
        <f t="shared" si="16"/>
        <v>1</v>
      </c>
      <c r="H739" s="10" t="s">
        <v>2415</v>
      </c>
      <c r="I739" s="10" t="b">
        <f t="shared" si="9"/>
        <v>0</v>
      </c>
    </row>
    <row r="740">
      <c r="A740" s="13" t="s">
        <v>2404</v>
      </c>
      <c r="B740" s="13" t="s">
        <v>3016</v>
      </c>
      <c r="C740" s="13" t="s">
        <v>22</v>
      </c>
      <c r="D740" s="13" t="s">
        <v>88</v>
      </c>
      <c r="E740" s="14" t="s">
        <v>214</v>
      </c>
      <c r="F740" s="15" t="s">
        <v>2404</v>
      </c>
      <c r="G740" s="10">
        <f t="shared" si="16"/>
        <v>1</v>
      </c>
      <c r="H740" s="15" t="s">
        <v>2418</v>
      </c>
      <c r="I740" s="10" t="b">
        <f t="shared" si="9"/>
        <v>0</v>
      </c>
    </row>
    <row r="741">
      <c r="A741" s="7" t="s">
        <v>2406</v>
      </c>
      <c r="B741" s="7" t="s">
        <v>3017</v>
      </c>
      <c r="C741" s="7" t="s">
        <v>22</v>
      </c>
      <c r="D741" s="7" t="s">
        <v>88</v>
      </c>
      <c r="E741" s="9" t="s">
        <v>214</v>
      </c>
      <c r="F741" s="10" t="s">
        <v>2406</v>
      </c>
      <c r="G741" s="10">
        <f t="shared" si="16"/>
        <v>1</v>
      </c>
      <c r="H741" s="10" t="s">
        <v>2421</v>
      </c>
      <c r="I741" s="10" t="b">
        <f t="shared" si="9"/>
        <v>0</v>
      </c>
    </row>
    <row r="742">
      <c r="A742" s="13" t="s">
        <v>2410</v>
      </c>
      <c r="B742" s="13" t="s">
        <v>3018</v>
      </c>
      <c r="C742" s="13" t="s">
        <v>22</v>
      </c>
      <c r="D742" s="13" t="s">
        <v>88</v>
      </c>
      <c r="E742" s="14" t="s">
        <v>214</v>
      </c>
      <c r="F742" s="15" t="s">
        <v>2410</v>
      </c>
      <c r="G742" s="10">
        <f t="shared" si="16"/>
        <v>1</v>
      </c>
      <c r="H742" s="15" t="s">
        <v>2423</v>
      </c>
      <c r="I742" s="10" t="b">
        <f t="shared" si="9"/>
        <v>0</v>
      </c>
    </row>
    <row r="743">
      <c r="A743" s="7" t="s">
        <v>2414</v>
      </c>
      <c r="B743" s="7" t="s">
        <v>3019</v>
      </c>
      <c r="C743" s="7" t="s">
        <v>22</v>
      </c>
      <c r="D743" s="7" t="s">
        <v>88</v>
      </c>
      <c r="E743" s="9" t="s">
        <v>299</v>
      </c>
      <c r="F743" s="10" t="s">
        <v>2414</v>
      </c>
      <c r="G743" s="10">
        <f t="shared" si="16"/>
        <v>1</v>
      </c>
      <c r="H743" s="10" t="s">
        <v>2426</v>
      </c>
      <c r="I743" s="10" t="b">
        <f t="shared" si="9"/>
        <v>0</v>
      </c>
    </row>
    <row r="744">
      <c r="A744" s="13" t="s">
        <v>2417</v>
      </c>
      <c r="B744" s="13" t="s">
        <v>3020</v>
      </c>
      <c r="C744" s="13" t="s">
        <v>22</v>
      </c>
      <c r="D744" s="13" t="s">
        <v>88</v>
      </c>
      <c r="E744" s="14" t="s">
        <v>299</v>
      </c>
      <c r="F744" s="15" t="s">
        <v>2417</v>
      </c>
      <c r="G744" s="10">
        <f t="shared" si="16"/>
        <v>1</v>
      </c>
      <c r="H744" s="15" t="s">
        <v>2428</v>
      </c>
      <c r="I744" s="10" t="b">
        <f t="shared" si="9"/>
        <v>0</v>
      </c>
    </row>
    <row r="745">
      <c r="A745" s="7" t="s">
        <v>2419</v>
      </c>
      <c r="B745" s="7" t="s">
        <v>3021</v>
      </c>
      <c r="C745" s="7" t="s">
        <v>22</v>
      </c>
      <c r="D745" s="7" t="s">
        <v>88</v>
      </c>
      <c r="E745" s="9" t="s">
        <v>299</v>
      </c>
      <c r="F745" s="10" t="s">
        <v>2419</v>
      </c>
      <c r="G745" s="10">
        <f t="shared" si="16"/>
        <v>1</v>
      </c>
      <c r="H745" s="10" t="s">
        <v>2431</v>
      </c>
      <c r="I745" s="10" t="b">
        <f t="shared" si="9"/>
        <v>0</v>
      </c>
    </row>
    <row r="746">
      <c r="A746" s="13" t="s">
        <v>2422</v>
      </c>
      <c r="B746" s="13" t="s">
        <v>3023</v>
      </c>
      <c r="C746" s="13" t="s">
        <v>22</v>
      </c>
      <c r="D746" s="13" t="s">
        <v>88</v>
      </c>
      <c r="E746" s="14" t="s">
        <v>299</v>
      </c>
      <c r="F746" s="15" t="s">
        <v>2422</v>
      </c>
      <c r="G746" s="10">
        <f t="shared" si="16"/>
        <v>1</v>
      </c>
      <c r="H746" s="15" t="s">
        <v>2434</v>
      </c>
      <c r="I746" s="10" t="b">
        <f t="shared" si="9"/>
        <v>0</v>
      </c>
    </row>
    <row r="747">
      <c r="A747" s="7" t="s">
        <v>2425</v>
      </c>
      <c r="B747" s="7" t="s">
        <v>3024</v>
      </c>
      <c r="C747" s="7" t="s">
        <v>22</v>
      </c>
      <c r="D747" s="7" t="s">
        <v>88</v>
      </c>
      <c r="E747" s="9" t="s">
        <v>299</v>
      </c>
      <c r="F747" s="10" t="s">
        <v>2425</v>
      </c>
      <c r="G747" s="10">
        <f t="shared" si="16"/>
        <v>1</v>
      </c>
      <c r="H747" s="10" t="s">
        <v>2436</v>
      </c>
      <c r="I747" s="10" t="b">
        <f t="shared" si="9"/>
        <v>0</v>
      </c>
    </row>
    <row r="748">
      <c r="A748" s="13" t="s">
        <v>2427</v>
      </c>
      <c r="B748" s="13" t="s">
        <v>3025</v>
      </c>
      <c r="C748" s="13" t="s">
        <v>22</v>
      </c>
      <c r="D748" s="13" t="s">
        <v>88</v>
      </c>
      <c r="E748" s="14" t="s">
        <v>426</v>
      </c>
      <c r="F748" s="15" t="s">
        <v>2427</v>
      </c>
      <c r="G748" s="10">
        <f t="shared" si="16"/>
        <v>1</v>
      </c>
      <c r="H748" s="15" t="s">
        <v>2439</v>
      </c>
      <c r="I748" s="10" t="b">
        <f t="shared" si="9"/>
        <v>0</v>
      </c>
    </row>
    <row r="749">
      <c r="A749" s="7" t="s">
        <v>2430</v>
      </c>
      <c r="B749" s="7" t="s">
        <v>3027</v>
      </c>
      <c r="C749" s="7" t="s">
        <v>22</v>
      </c>
      <c r="D749" s="7" t="s">
        <v>88</v>
      </c>
      <c r="E749" s="9" t="s">
        <v>426</v>
      </c>
      <c r="F749" s="10" t="s">
        <v>2430</v>
      </c>
      <c r="G749" s="10">
        <f t="shared" si="16"/>
        <v>1</v>
      </c>
      <c r="H749" s="10" t="s">
        <v>2443</v>
      </c>
      <c r="I749" s="10" t="b">
        <f t="shared" si="9"/>
        <v>0</v>
      </c>
    </row>
    <row r="750">
      <c r="A750" s="13" t="s">
        <v>2433</v>
      </c>
      <c r="B750" s="13" t="s">
        <v>3028</v>
      </c>
      <c r="C750" s="13" t="s">
        <v>22</v>
      </c>
      <c r="D750" s="13" t="s">
        <v>88</v>
      </c>
      <c r="E750" s="14" t="s">
        <v>426</v>
      </c>
      <c r="F750" s="15" t="s">
        <v>2433</v>
      </c>
      <c r="G750" s="10">
        <f t="shared" si="16"/>
        <v>1</v>
      </c>
      <c r="H750" s="15" t="s">
        <v>2447</v>
      </c>
      <c r="I750" s="10" t="b">
        <f t="shared" si="9"/>
        <v>0</v>
      </c>
    </row>
    <row r="751">
      <c r="A751" s="7" t="s">
        <v>2435</v>
      </c>
      <c r="B751" s="7" t="s">
        <v>3030</v>
      </c>
      <c r="C751" s="7" t="s">
        <v>22</v>
      </c>
      <c r="D751" s="7" t="s">
        <v>88</v>
      </c>
      <c r="E751" s="9" t="s">
        <v>426</v>
      </c>
      <c r="F751" s="10" t="s">
        <v>2435</v>
      </c>
      <c r="G751" s="10">
        <f t="shared" si="16"/>
        <v>1</v>
      </c>
      <c r="H751" s="10" t="s">
        <v>2451</v>
      </c>
      <c r="I751" s="10" t="b">
        <f t="shared" si="9"/>
        <v>0</v>
      </c>
    </row>
    <row r="752">
      <c r="A752" s="13" t="s">
        <v>2438</v>
      </c>
      <c r="B752" s="13" t="s">
        <v>3031</v>
      </c>
      <c r="C752" s="13" t="s">
        <v>22</v>
      </c>
      <c r="D752" s="13" t="s">
        <v>88</v>
      </c>
      <c r="E752" s="14" t="s">
        <v>426</v>
      </c>
      <c r="F752" s="15" t="s">
        <v>2438</v>
      </c>
      <c r="G752" s="10">
        <f t="shared" si="16"/>
        <v>1</v>
      </c>
      <c r="H752" s="15" t="s">
        <v>2454</v>
      </c>
      <c r="I752" s="10" t="b">
        <f t="shared" si="9"/>
        <v>0</v>
      </c>
    </row>
    <row r="753">
      <c r="A753" s="7" t="s">
        <v>2442</v>
      </c>
      <c r="B753" s="7" t="s">
        <v>3032</v>
      </c>
      <c r="C753" s="7" t="s">
        <v>22</v>
      </c>
      <c r="D753" s="7" t="s">
        <v>88</v>
      </c>
      <c r="E753" s="9" t="s">
        <v>349</v>
      </c>
      <c r="F753" s="10" t="s">
        <v>2442</v>
      </c>
      <c r="G753" s="10">
        <f t="shared" si="16"/>
        <v>1</v>
      </c>
      <c r="H753" s="10" t="s">
        <v>2456</v>
      </c>
      <c r="I753" s="10" t="b">
        <f t="shared" si="9"/>
        <v>0</v>
      </c>
    </row>
    <row r="754">
      <c r="A754" s="13" t="s">
        <v>2446</v>
      </c>
      <c r="B754" s="13" t="s">
        <v>3033</v>
      </c>
      <c r="C754" s="13" t="s">
        <v>22</v>
      </c>
      <c r="D754" s="13" t="s">
        <v>88</v>
      </c>
      <c r="E754" s="14" t="s">
        <v>349</v>
      </c>
      <c r="F754" s="15" t="s">
        <v>2446</v>
      </c>
      <c r="G754" s="10">
        <f t="shared" si="16"/>
        <v>1</v>
      </c>
      <c r="H754" s="15" t="s">
        <v>2459</v>
      </c>
      <c r="I754" s="10" t="b">
        <f t="shared" si="9"/>
        <v>0</v>
      </c>
    </row>
    <row r="755">
      <c r="A755" s="7" t="s">
        <v>2449</v>
      </c>
      <c r="B755" s="7" t="s">
        <v>3034</v>
      </c>
      <c r="C755" s="7" t="s">
        <v>22</v>
      </c>
      <c r="D755" s="7" t="s">
        <v>88</v>
      </c>
      <c r="E755" s="9" t="s">
        <v>349</v>
      </c>
      <c r="F755" s="10" t="s">
        <v>2449</v>
      </c>
      <c r="G755" s="10">
        <f t="shared" si="16"/>
        <v>1</v>
      </c>
      <c r="H755" s="10" t="s">
        <v>2461</v>
      </c>
      <c r="I755" s="10" t="b">
        <f t="shared" si="9"/>
        <v>0</v>
      </c>
    </row>
    <row r="756">
      <c r="A756" s="13" t="s">
        <v>2452</v>
      </c>
      <c r="B756" s="13" t="s">
        <v>3035</v>
      </c>
      <c r="C756" s="13" t="s">
        <v>22</v>
      </c>
      <c r="D756" s="13" t="s">
        <v>88</v>
      </c>
      <c r="E756" s="14" t="s">
        <v>349</v>
      </c>
      <c r="F756" s="15" t="s">
        <v>2452</v>
      </c>
      <c r="G756" s="10">
        <f t="shared" si="16"/>
        <v>1</v>
      </c>
      <c r="H756" s="15" t="s">
        <v>2463</v>
      </c>
      <c r="I756" s="10" t="b">
        <f t="shared" si="9"/>
        <v>0</v>
      </c>
    </row>
    <row r="757">
      <c r="A757" s="7" t="s">
        <v>2455</v>
      </c>
      <c r="B757" s="9" t="s">
        <v>3036</v>
      </c>
      <c r="C757" s="7" t="s">
        <v>22</v>
      </c>
      <c r="D757" s="7" t="s">
        <v>88</v>
      </c>
      <c r="E757" s="9" t="s">
        <v>349</v>
      </c>
      <c r="F757" s="10" t="s">
        <v>2455</v>
      </c>
      <c r="G757" s="10">
        <f t="shared" si="16"/>
        <v>1</v>
      </c>
      <c r="H757" s="10" t="s">
        <v>2465</v>
      </c>
      <c r="I757" s="10" t="b">
        <f t="shared" si="9"/>
        <v>0</v>
      </c>
    </row>
    <row r="758">
      <c r="A758" s="13" t="s">
        <v>2458</v>
      </c>
      <c r="B758" s="13" t="s">
        <v>3038</v>
      </c>
      <c r="C758" s="13" t="s">
        <v>22</v>
      </c>
      <c r="D758" s="13" t="s">
        <v>88</v>
      </c>
      <c r="E758" s="14" t="s">
        <v>410</v>
      </c>
      <c r="F758" s="15" t="s">
        <v>2458</v>
      </c>
      <c r="G758" s="10">
        <f t="shared" si="16"/>
        <v>1</v>
      </c>
      <c r="H758" s="15" t="s">
        <v>2467</v>
      </c>
      <c r="I758" s="10" t="b">
        <f t="shared" si="9"/>
        <v>0</v>
      </c>
    </row>
    <row r="759">
      <c r="A759" s="7" t="s">
        <v>2460</v>
      </c>
      <c r="B759" s="7" t="s">
        <v>3039</v>
      </c>
      <c r="C759" s="7" t="s">
        <v>22</v>
      </c>
      <c r="D759" s="7" t="s">
        <v>88</v>
      </c>
      <c r="E759" s="9" t="s">
        <v>410</v>
      </c>
      <c r="F759" s="10" t="s">
        <v>2460</v>
      </c>
      <c r="G759" s="10">
        <f t="shared" si="16"/>
        <v>1</v>
      </c>
      <c r="H759" s="10" t="s">
        <v>3040</v>
      </c>
      <c r="I759" s="10" t="b">
        <f t="shared" si="9"/>
        <v>0</v>
      </c>
    </row>
    <row r="760">
      <c r="A760" s="13" t="s">
        <v>2462</v>
      </c>
      <c r="B760" s="13" t="s">
        <v>3041</v>
      </c>
      <c r="C760" s="13" t="s">
        <v>22</v>
      </c>
      <c r="D760" s="13" t="s">
        <v>88</v>
      </c>
      <c r="E760" s="14" t="s">
        <v>410</v>
      </c>
      <c r="F760" s="15" t="s">
        <v>2462</v>
      </c>
      <c r="G760" s="10">
        <f t="shared" si="16"/>
        <v>1</v>
      </c>
      <c r="H760" s="15" t="s">
        <v>2472</v>
      </c>
      <c r="I760" s="10" t="b">
        <f t="shared" si="9"/>
        <v>0</v>
      </c>
    </row>
    <row r="761">
      <c r="A761" s="7" t="s">
        <v>2464</v>
      </c>
      <c r="B761" s="7" t="s">
        <v>3042</v>
      </c>
      <c r="C761" s="7" t="s">
        <v>22</v>
      </c>
      <c r="D761" s="7" t="s">
        <v>88</v>
      </c>
      <c r="E761" s="9" t="s">
        <v>410</v>
      </c>
      <c r="F761" s="10" t="s">
        <v>2464</v>
      </c>
      <c r="G761" s="10">
        <f t="shared" si="16"/>
        <v>1</v>
      </c>
      <c r="H761" s="10" t="s">
        <v>2475</v>
      </c>
      <c r="I761" s="10" t="b">
        <f t="shared" si="9"/>
        <v>0</v>
      </c>
    </row>
    <row r="762">
      <c r="A762" s="13" t="s">
        <v>2466</v>
      </c>
      <c r="B762" s="13" t="s">
        <v>3043</v>
      </c>
      <c r="C762" s="13" t="s">
        <v>22</v>
      </c>
      <c r="D762" s="13" t="s">
        <v>88</v>
      </c>
      <c r="E762" s="14" t="s">
        <v>410</v>
      </c>
      <c r="F762" s="15" t="s">
        <v>2466</v>
      </c>
      <c r="G762" s="10">
        <f t="shared" si="16"/>
        <v>1</v>
      </c>
      <c r="H762" s="15" t="s">
        <v>2477</v>
      </c>
      <c r="I762" s="10" t="b">
        <f t="shared" si="9"/>
        <v>0</v>
      </c>
    </row>
    <row r="763">
      <c r="A763" s="18"/>
      <c r="B763" s="18"/>
      <c r="C763" s="18"/>
      <c r="D763" s="18"/>
      <c r="E763" s="18"/>
      <c r="F763" s="10" t="s">
        <v>2468</v>
      </c>
      <c r="G763" s="10" t="b">
        <f t="shared" si="16"/>
        <v>0</v>
      </c>
      <c r="H763" s="10" t="s">
        <v>2480</v>
      </c>
      <c r="I763" s="10" t="b">
        <f t="shared" si="9"/>
        <v>0</v>
      </c>
    </row>
    <row r="764">
      <c r="A764" s="7" t="s">
        <v>2470</v>
      </c>
      <c r="B764" s="7" t="s">
        <v>3044</v>
      </c>
      <c r="C764" s="7" t="s">
        <v>22</v>
      </c>
      <c r="D764" s="7" t="s">
        <v>26</v>
      </c>
      <c r="E764" s="7" t="s">
        <v>2126</v>
      </c>
      <c r="F764" s="15" t="s">
        <v>2470</v>
      </c>
      <c r="G764" s="10">
        <f t="shared" si="16"/>
        <v>1</v>
      </c>
      <c r="H764" s="15" t="s">
        <v>2484</v>
      </c>
      <c r="I764" s="10" t="b">
        <f t="shared" si="9"/>
        <v>0</v>
      </c>
    </row>
    <row r="765">
      <c r="A765" s="13" t="s">
        <v>2474</v>
      </c>
      <c r="B765" s="13" t="s">
        <v>3045</v>
      </c>
      <c r="C765" s="13" t="s">
        <v>22</v>
      </c>
      <c r="D765" s="13" t="s">
        <v>88</v>
      </c>
      <c r="E765" s="14" t="s">
        <v>671</v>
      </c>
      <c r="F765" s="10" t="s">
        <v>2474</v>
      </c>
      <c r="G765" s="10">
        <f t="shared" si="16"/>
        <v>1</v>
      </c>
      <c r="H765" s="10" t="s">
        <v>2488</v>
      </c>
      <c r="I765" s="10" t="b">
        <f t="shared" si="9"/>
        <v>0</v>
      </c>
    </row>
    <row r="766">
      <c r="A766" s="7" t="s">
        <v>2476</v>
      </c>
      <c r="B766" s="7" t="s">
        <v>3046</v>
      </c>
      <c r="C766" s="7" t="s">
        <v>22</v>
      </c>
      <c r="D766" s="7" t="s">
        <v>26</v>
      </c>
      <c r="E766" s="9" t="s">
        <v>29</v>
      </c>
      <c r="F766" s="15" t="s">
        <v>2476</v>
      </c>
      <c r="G766" s="10">
        <f t="shared" si="16"/>
        <v>1</v>
      </c>
      <c r="H766" s="15" t="s">
        <v>2490</v>
      </c>
      <c r="I766" s="10" t="b">
        <f t="shared" si="9"/>
        <v>0</v>
      </c>
    </row>
    <row r="767">
      <c r="A767" s="13" t="s">
        <v>2479</v>
      </c>
      <c r="B767" s="14" t="s">
        <v>3047</v>
      </c>
      <c r="C767" s="13" t="s">
        <v>22</v>
      </c>
      <c r="D767" s="13" t="s">
        <v>26</v>
      </c>
      <c r="E767" s="14" t="s">
        <v>29</v>
      </c>
      <c r="F767" s="10" t="s">
        <v>2479</v>
      </c>
      <c r="G767" s="10">
        <f t="shared" si="16"/>
        <v>1</v>
      </c>
      <c r="H767" s="10" t="s">
        <v>2493</v>
      </c>
      <c r="I767" s="10" t="b">
        <f t="shared" si="9"/>
        <v>0</v>
      </c>
    </row>
    <row r="768">
      <c r="A768" s="7" t="s">
        <v>2482</v>
      </c>
      <c r="B768" s="9" t="s">
        <v>3049</v>
      </c>
      <c r="C768" s="7" t="s">
        <v>227</v>
      </c>
      <c r="D768" s="7" t="s">
        <v>88</v>
      </c>
      <c r="E768" s="7" t="s">
        <v>229</v>
      </c>
      <c r="F768" s="15" t="s">
        <v>2482</v>
      </c>
      <c r="G768" s="10">
        <f t="shared" si="16"/>
        <v>1</v>
      </c>
      <c r="H768" s="15" t="s">
        <v>2496</v>
      </c>
      <c r="I768" s="10" t="b">
        <f t="shared" si="9"/>
        <v>0</v>
      </c>
    </row>
    <row r="769">
      <c r="A769" s="18"/>
      <c r="B769" s="18"/>
      <c r="C769" s="18"/>
      <c r="D769" s="18"/>
      <c r="E769" s="18"/>
      <c r="F769" s="10" t="s">
        <v>2487</v>
      </c>
      <c r="G769" s="10" t="b">
        <f t="shared" si="16"/>
        <v>0</v>
      </c>
      <c r="H769" s="10" t="s">
        <v>2501</v>
      </c>
      <c r="I769" s="10" t="b">
        <f t="shared" si="9"/>
        <v>0</v>
      </c>
    </row>
    <row r="770">
      <c r="A770" s="18"/>
      <c r="B770" s="18"/>
      <c r="C770" s="18"/>
      <c r="D770" s="18"/>
      <c r="E770" s="18"/>
      <c r="F770" s="15" t="s">
        <v>2489</v>
      </c>
      <c r="G770" s="10" t="b">
        <f t="shared" si="16"/>
        <v>0</v>
      </c>
      <c r="H770" s="15" t="s">
        <v>2503</v>
      </c>
      <c r="I770" s="10" t="b">
        <f t="shared" si="9"/>
        <v>0</v>
      </c>
    </row>
    <row r="771">
      <c r="A771" s="18"/>
      <c r="B771" s="18"/>
      <c r="C771" s="18"/>
      <c r="D771" s="18"/>
      <c r="E771" s="18"/>
      <c r="F771" s="10" t="s">
        <v>2492</v>
      </c>
      <c r="G771" s="10" t="b">
        <f t="shared" si="16"/>
        <v>0</v>
      </c>
      <c r="H771" s="10" t="s">
        <v>2506</v>
      </c>
      <c r="I771" s="10" t="b">
        <f t="shared" si="9"/>
        <v>0</v>
      </c>
    </row>
    <row r="772">
      <c r="A772" s="18"/>
      <c r="B772" s="18"/>
      <c r="C772" s="18"/>
      <c r="D772" s="18"/>
      <c r="E772" s="18"/>
      <c r="F772" s="15" t="s">
        <v>2495</v>
      </c>
      <c r="G772" s="10" t="b">
        <f t="shared" si="16"/>
        <v>0</v>
      </c>
      <c r="H772" s="15" t="s">
        <v>2509</v>
      </c>
      <c r="I772" s="10" t="b">
        <f t="shared" si="9"/>
        <v>0</v>
      </c>
    </row>
    <row r="773">
      <c r="A773" s="18"/>
      <c r="B773" s="18"/>
      <c r="C773" s="18"/>
      <c r="D773" s="18"/>
      <c r="E773" s="18"/>
      <c r="F773" s="17"/>
      <c r="G773" s="10" t="s">
        <v>3052</v>
      </c>
      <c r="H773" s="17"/>
      <c r="I773" s="10">
        <f t="shared" si="9"/>
        <v>1</v>
      </c>
    </row>
    <row r="774">
      <c r="A774" s="18"/>
      <c r="B774" s="18"/>
      <c r="C774" s="18"/>
      <c r="D774" s="18"/>
      <c r="E774" s="18"/>
      <c r="F774" s="17"/>
      <c r="G774" s="10" t="s">
        <v>3052</v>
      </c>
      <c r="H774" s="17"/>
      <c r="I774" s="10">
        <f t="shared" si="9"/>
        <v>1</v>
      </c>
    </row>
    <row r="775">
      <c r="A775" s="18"/>
      <c r="B775" s="18"/>
      <c r="C775" s="18"/>
      <c r="D775" s="18"/>
      <c r="E775" s="18"/>
      <c r="F775" s="17"/>
      <c r="G775" s="10" t="s">
        <v>3052</v>
      </c>
      <c r="H775" s="17"/>
      <c r="I775" s="10">
        <f t="shared" si="9"/>
        <v>1</v>
      </c>
    </row>
    <row r="776">
      <c r="A776" s="18"/>
      <c r="B776" s="18"/>
      <c r="C776" s="18"/>
      <c r="D776" s="18"/>
      <c r="E776" s="18"/>
      <c r="F776" s="17"/>
      <c r="G776" s="10" t="s">
        <v>3052</v>
      </c>
      <c r="H776" s="17"/>
      <c r="I776" s="10">
        <f t="shared" si="9"/>
        <v>1</v>
      </c>
    </row>
    <row r="777">
      <c r="A777" s="18"/>
      <c r="B777" s="18"/>
      <c r="C777" s="18"/>
      <c r="D777" s="18"/>
      <c r="E777" s="18"/>
      <c r="F777" s="17"/>
      <c r="G777" s="10" t="s">
        <v>3052</v>
      </c>
      <c r="H777" s="17"/>
      <c r="I777" s="10">
        <f t="shared" si="9"/>
        <v>1</v>
      </c>
    </row>
    <row r="778">
      <c r="A778" s="18"/>
      <c r="B778" s="18"/>
      <c r="C778" s="18"/>
      <c r="D778" s="18"/>
      <c r="E778" s="18"/>
      <c r="F778" s="17"/>
      <c r="G778" s="10" t="s">
        <v>3052</v>
      </c>
      <c r="H778" s="17"/>
      <c r="I778" s="10">
        <f t="shared" si="9"/>
        <v>1</v>
      </c>
    </row>
    <row r="779">
      <c r="A779" s="13" t="s">
        <v>2500</v>
      </c>
      <c r="B779" s="14" t="s">
        <v>3054</v>
      </c>
      <c r="C779" s="13" t="s">
        <v>87</v>
      </c>
      <c r="D779" s="13" t="s">
        <v>88</v>
      </c>
      <c r="E779" s="13" t="s">
        <v>343</v>
      </c>
      <c r="F779" s="10" t="s">
        <v>2500</v>
      </c>
      <c r="G779" s="10">
        <f t="shared" ref="G779:G913" si="17">IF(F779=A779,1,FALSE)</f>
        <v>1</v>
      </c>
      <c r="H779" s="10" t="s">
        <v>2512</v>
      </c>
      <c r="I779" s="10" t="b">
        <f t="shared" si="9"/>
        <v>0</v>
      </c>
    </row>
    <row r="780">
      <c r="A780" s="7" t="s">
        <v>324</v>
      </c>
      <c r="B780" s="7" t="s">
        <v>369</v>
      </c>
      <c r="C780" s="7" t="s">
        <v>22</v>
      </c>
      <c r="D780" s="7" t="s">
        <v>88</v>
      </c>
      <c r="E780" s="9" t="s">
        <v>3056</v>
      </c>
      <c r="F780" s="15" t="s">
        <v>324</v>
      </c>
      <c r="G780" s="10">
        <f t="shared" si="17"/>
        <v>1</v>
      </c>
      <c r="H780" s="15" t="s">
        <v>2514</v>
      </c>
      <c r="I780" s="10" t="b">
        <f t="shared" si="9"/>
        <v>0</v>
      </c>
    </row>
    <row r="781">
      <c r="A781" s="13" t="s">
        <v>2505</v>
      </c>
      <c r="B781" s="14" t="s">
        <v>3057</v>
      </c>
      <c r="C781" s="13" t="s">
        <v>22</v>
      </c>
      <c r="D781" s="13" t="s">
        <v>88</v>
      </c>
      <c r="E781" s="14" t="s">
        <v>3056</v>
      </c>
      <c r="F781" s="10" t="s">
        <v>2505</v>
      </c>
      <c r="G781" s="10">
        <f t="shared" si="17"/>
        <v>1</v>
      </c>
      <c r="H781" s="10" t="s">
        <v>2518</v>
      </c>
      <c r="I781" s="10" t="b">
        <f t="shared" si="9"/>
        <v>0</v>
      </c>
    </row>
    <row r="782">
      <c r="A782" s="7" t="s">
        <v>2507</v>
      </c>
      <c r="B782" s="9" t="s">
        <v>3058</v>
      </c>
      <c r="C782" s="7" t="s">
        <v>227</v>
      </c>
      <c r="D782" s="7" t="s">
        <v>88</v>
      </c>
      <c r="E782" s="7" t="s">
        <v>229</v>
      </c>
      <c r="F782" s="15" t="s">
        <v>2507</v>
      </c>
      <c r="G782" s="10">
        <f t="shared" si="17"/>
        <v>1</v>
      </c>
      <c r="H782" s="15" t="s">
        <v>2521</v>
      </c>
      <c r="I782" s="10" t="b">
        <f t="shared" si="9"/>
        <v>0</v>
      </c>
    </row>
    <row r="783">
      <c r="A783" s="13" t="s">
        <v>2511</v>
      </c>
      <c r="B783" s="13" t="s">
        <v>3060</v>
      </c>
      <c r="C783" s="13" t="s">
        <v>227</v>
      </c>
      <c r="D783" s="13" t="s">
        <v>88</v>
      </c>
      <c r="E783" s="13" t="s">
        <v>229</v>
      </c>
      <c r="F783" s="10" t="s">
        <v>2511</v>
      </c>
      <c r="G783" s="10">
        <f t="shared" si="17"/>
        <v>1</v>
      </c>
      <c r="H783" s="10" t="s">
        <v>2525</v>
      </c>
      <c r="I783" s="10" t="b">
        <f t="shared" si="9"/>
        <v>0</v>
      </c>
    </row>
    <row r="784">
      <c r="A784" s="7" t="s">
        <v>2513</v>
      </c>
      <c r="B784" s="9" t="s">
        <v>3061</v>
      </c>
      <c r="C784" s="7" t="s">
        <v>227</v>
      </c>
      <c r="D784" s="7" t="s">
        <v>88</v>
      </c>
      <c r="E784" s="7" t="s">
        <v>229</v>
      </c>
      <c r="F784" s="15" t="s">
        <v>2513</v>
      </c>
      <c r="G784" s="10">
        <f t="shared" si="17"/>
        <v>1</v>
      </c>
      <c r="H784" s="15" t="s">
        <v>2529</v>
      </c>
      <c r="I784" s="10" t="b">
        <f t="shared" si="9"/>
        <v>0</v>
      </c>
    </row>
    <row r="785">
      <c r="A785" s="13" t="s">
        <v>2516</v>
      </c>
      <c r="B785" s="14" t="s">
        <v>3062</v>
      </c>
      <c r="C785" s="13" t="s">
        <v>227</v>
      </c>
      <c r="D785" s="13" t="s">
        <v>88</v>
      </c>
      <c r="E785" s="13" t="s">
        <v>229</v>
      </c>
      <c r="F785" s="10" t="s">
        <v>2516</v>
      </c>
      <c r="G785" s="10">
        <f t="shared" si="17"/>
        <v>1</v>
      </c>
      <c r="H785" s="10" t="s">
        <v>2532</v>
      </c>
      <c r="I785" s="10" t="b">
        <f t="shared" si="9"/>
        <v>0</v>
      </c>
    </row>
    <row r="786">
      <c r="A786" s="7" t="s">
        <v>2520</v>
      </c>
      <c r="B786" s="7" t="s">
        <v>3064</v>
      </c>
      <c r="C786" s="7" t="s">
        <v>87</v>
      </c>
      <c r="D786" s="7" t="s">
        <v>88</v>
      </c>
      <c r="E786" s="7" t="s">
        <v>343</v>
      </c>
      <c r="F786" s="15" t="s">
        <v>2520</v>
      </c>
      <c r="G786" s="10">
        <f t="shared" si="17"/>
        <v>1</v>
      </c>
      <c r="H786" s="15" t="s">
        <v>2535</v>
      </c>
      <c r="I786" s="10" t="b">
        <f t="shared" si="9"/>
        <v>0</v>
      </c>
    </row>
    <row r="787">
      <c r="A787" s="13" t="s">
        <v>2523</v>
      </c>
      <c r="B787" s="13" t="s">
        <v>3065</v>
      </c>
      <c r="C787" s="13" t="s">
        <v>22</v>
      </c>
      <c r="D787" s="13" t="s">
        <v>88</v>
      </c>
      <c r="E787" s="14" t="s">
        <v>862</v>
      </c>
      <c r="F787" s="10" t="s">
        <v>2523</v>
      </c>
      <c r="G787" s="10">
        <f t="shared" si="17"/>
        <v>1</v>
      </c>
      <c r="H787" s="10" t="s">
        <v>2537</v>
      </c>
      <c r="I787" s="10" t="b">
        <f t="shared" si="9"/>
        <v>0</v>
      </c>
    </row>
    <row r="788">
      <c r="A788" s="7" t="s">
        <v>2527</v>
      </c>
      <c r="B788" s="7" t="s">
        <v>3066</v>
      </c>
      <c r="C788" s="7" t="s">
        <v>227</v>
      </c>
      <c r="D788" s="7" t="s">
        <v>88</v>
      </c>
      <c r="E788" s="9" t="s">
        <v>3067</v>
      </c>
      <c r="F788" s="15" t="s">
        <v>2527</v>
      </c>
      <c r="G788" s="10">
        <f t="shared" si="17"/>
        <v>1</v>
      </c>
      <c r="H788" s="15" t="s">
        <v>2542</v>
      </c>
      <c r="I788" s="10" t="b">
        <f t="shared" si="9"/>
        <v>0</v>
      </c>
    </row>
    <row r="789">
      <c r="A789" s="13" t="s">
        <v>2531</v>
      </c>
      <c r="B789" s="13" t="s">
        <v>3069</v>
      </c>
      <c r="C789" s="13" t="s">
        <v>227</v>
      </c>
      <c r="D789" s="13" t="s">
        <v>88</v>
      </c>
      <c r="E789" s="14" t="s">
        <v>89</v>
      </c>
      <c r="F789" s="10" t="s">
        <v>2531</v>
      </c>
      <c r="G789" s="10">
        <f t="shared" si="17"/>
        <v>1</v>
      </c>
      <c r="H789" s="10" t="s">
        <v>2548</v>
      </c>
      <c r="I789" s="10" t="b">
        <f t="shared" si="9"/>
        <v>0</v>
      </c>
    </row>
    <row r="790">
      <c r="A790" s="7" t="s">
        <v>2533</v>
      </c>
      <c r="B790" s="9" t="s">
        <v>3070</v>
      </c>
      <c r="C790" s="7" t="s">
        <v>227</v>
      </c>
      <c r="D790" s="7" t="s">
        <v>88</v>
      </c>
      <c r="E790" s="9" t="s">
        <v>150</v>
      </c>
      <c r="F790" s="15" t="s">
        <v>2533</v>
      </c>
      <c r="G790" s="10">
        <f t="shared" si="17"/>
        <v>1</v>
      </c>
      <c r="H790" s="15" t="s">
        <v>2552</v>
      </c>
      <c r="I790" s="10" t="b">
        <f t="shared" si="9"/>
        <v>0</v>
      </c>
    </row>
    <row r="791">
      <c r="A791" s="13" t="s">
        <v>2536</v>
      </c>
      <c r="B791" s="13" t="s">
        <v>2537</v>
      </c>
      <c r="C791" s="13" t="s">
        <v>87</v>
      </c>
      <c r="D791" s="13" t="s">
        <v>88</v>
      </c>
      <c r="E791" s="13" t="s">
        <v>92</v>
      </c>
      <c r="F791" s="10" t="s">
        <v>2536</v>
      </c>
      <c r="G791" s="10">
        <f t="shared" si="17"/>
        <v>1</v>
      </c>
      <c r="H791" s="10" t="s">
        <v>3071</v>
      </c>
      <c r="I791" s="10" t="b">
        <f t="shared" si="9"/>
        <v>0</v>
      </c>
    </row>
    <row r="792">
      <c r="A792" s="7" t="s">
        <v>2540</v>
      </c>
      <c r="B792" s="9" t="s">
        <v>3074</v>
      </c>
      <c r="C792" s="7" t="s">
        <v>227</v>
      </c>
      <c r="D792" s="7" t="s">
        <v>88</v>
      </c>
      <c r="E792" s="9" t="s">
        <v>3067</v>
      </c>
      <c r="F792" s="15" t="s">
        <v>2540</v>
      </c>
      <c r="G792" s="10">
        <f t="shared" si="17"/>
        <v>1</v>
      </c>
      <c r="H792" s="15" t="s">
        <v>2555</v>
      </c>
      <c r="I792" s="10" t="b">
        <f t="shared" si="9"/>
        <v>0</v>
      </c>
    </row>
    <row r="793">
      <c r="A793" s="13" t="s">
        <v>2546</v>
      </c>
      <c r="B793" s="14" t="s">
        <v>3075</v>
      </c>
      <c r="C793" s="13" t="s">
        <v>227</v>
      </c>
      <c r="D793" s="13" t="s">
        <v>88</v>
      </c>
      <c r="E793" s="14" t="s">
        <v>3076</v>
      </c>
      <c r="F793" s="10" t="s">
        <v>2546</v>
      </c>
      <c r="G793" s="10">
        <f t="shared" si="17"/>
        <v>1</v>
      </c>
      <c r="H793" s="10" t="s">
        <v>2559</v>
      </c>
      <c r="I793" s="10" t="b">
        <f t="shared" si="9"/>
        <v>0</v>
      </c>
    </row>
    <row r="794">
      <c r="A794" s="7" t="s">
        <v>2551</v>
      </c>
      <c r="B794" s="9" t="s">
        <v>3078</v>
      </c>
      <c r="C794" s="7" t="s">
        <v>227</v>
      </c>
      <c r="D794" s="7" t="s">
        <v>88</v>
      </c>
      <c r="E794" s="9" t="s">
        <v>3067</v>
      </c>
      <c r="F794" s="15" t="s">
        <v>2551</v>
      </c>
      <c r="G794" s="10">
        <f t="shared" si="17"/>
        <v>1</v>
      </c>
      <c r="H794" s="15" t="s">
        <v>2562</v>
      </c>
      <c r="I794" s="10" t="b">
        <f t="shared" si="9"/>
        <v>0</v>
      </c>
    </row>
    <row r="795">
      <c r="A795" s="13" t="s">
        <v>3079</v>
      </c>
      <c r="B795" s="14" t="s">
        <v>3080</v>
      </c>
      <c r="C795" s="13" t="s">
        <v>87</v>
      </c>
      <c r="D795" s="13" t="s">
        <v>88</v>
      </c>
      <c r="E795" s="13" t="s">
        <v>564</v>
      </c>
      <c r="F795" s="10" t="s">
        <v>3079</v>
      </c>
      <c r="G795" s="10">
        <f t="shared" si="17"/>
        <v>1</v>
      </c>
      <c r="H795" s="10" t="s">
        <v>2565</v>
      </c>
      <c r="I795" s="10" t="b">
        <f t="shared" si="9"/>
        <v>0</v>
      </c>
    </row>
    <row r="796">
      <c r="A796" s="7" t="s">
        <v>2554</v>
      </c>
      <c r="B796" s="9" t="s">
        <v>3081</v>
      </c>
      <c r="C796" s="7" t="s">
        <v>227</v>
      </c>
      <c r="D796" s="7" t="s">
        <v>88</v>
      </c>
      <c r="E796" s="7" t="s">
        <v>229</v>
      </c>
      <c r="F796" s="15" t="s">
        <v>2554</v>
      </c>
      <c r="G796" s="10">
        <f t="shared" si="17"/>
        <v>1</v>
      </c>
      <c r="H796" s="15" t="s">
        <v>2569</v>
      </c>
      <c r="I796" s="10" t="b">
        <f t="shared" si="9"/>
        <v>0</v>
      </c>
    </row>
    <row r="797">
      <c r="A797" s="13" t="s">
        <v>2558</v>
      </c>
      <c r="B797" s="14" t="s">
        <v>3082</v>
      </c>
      <c r="C797" s="13" t="s">
        <v>227</v>
      </c>
      <c r="D797" s="13" t="s">
        <v>88</v>
      </c>
      <c r="E797" s="13" t="s">
        <v>229</v>
      </c>
      <c r="F797" s="10" t="s">
        <v>2558</v>
      </c>
      <c r="G797" s="10">
        <f t="shared" si="17"/>
        <v>1</v>
      </c>
      <c r="H797" s="10" t="s">
        <v>2572</v>
      </c>
      <c r="I797" s="10" t="b">
        <f t="shared" si="9"/>
        <v>0</v>
      </c>
    </row>
    <row r="798">
      <c r="A798" s="7" t="s">
        <v>2561</v>
      </c>
      <c r="B798" s="9" t="s">
        <v>3084</v>
      </c>
      <c r="C798" s="7" t="s">
        <v>227</v>
      </c>
      <c r="D798" s="7" t="s">
        <v>88</v>
      </c>
      <c r="E798" s="7" t="s">
        <v>229</v>
      </c>
      <c r="F798" s="15" t="s">
        <v>2561</v>
      </c>
      <c r="G798" s="10">
        <f t="shared" si="17"/>
        <v>1</v>
      </c>
      <c r="H798" s="15" t="s">
        <v>3085</v>
      </c>
      <c r="I798" s="10" t="b">
        <f t="shared" si="9"/>
        <v>0</v>
      </c>
    </row>
    <row r="799">
      <c r="A799" s="13" t="s">
        <v>2563</v>
      </c>
      <c r="B799" s="14" t="s">
        <v>3086</v>
      </c>
      <c r="C799" s="13" t="s">
        <v>87</v>
      </c>
      <c r="D799" s="13" t="s">
        <v>88</v>
      </c>
      <c r="E799" s="13" t="s">
        <v>92</v>
      </c>
      <c r="F799" s="10" t="s">
        <v>2563</v>
      </c>
      <c r="G799" s="10">
        <f t="shared" si="17"/>
        <v>1</v>
      </c>
      <c r="H799" s="10" t="s">
        <v>2575</v>
      </c>
      <c r="I799" s="10" t="b">
        <f t="shared" si="9"/>
        <v>0</v>
      </c>
    </row>
    <row r="800">
      <c r="A800" s="7" t="s">
        <v>2566</v>
      </c>
      <c r="B800" s="7" t="s">
        <v>3087</v>
      </c>
      <c r="C800" s="7" t="s">
        <v>227</v>
      </c>
      <c r="D800" s="7" t="s">
        <v>88</v>
      </c>
      <c r="E800" s="7" t="s">
        <v>229</v>
      </c>
      <c r="F800" s="15" t="s">
        <v>2566</v>
      </c>
      <c r="G800" s="10">
        <f t="shared" si="17"/>
        <v>1</v>
      </c>
      <c r="H800" s="15" t="s">
        <v>2579</v>
      </c>
      <c r="I800" s="10" t="b">
        <f t="shared" si="9"/>
        <v>0</v>
      </c>
    </row>
    <row r="801">
      <c r="A801" s="13" t="s">
        <v>2571</v>
      </c>
      <c r="B801" s="14" t="s">
        <v>3088</v>
      </c>
      <c r="C801" s="13" t="s">
        <v>227</v>
      </c>
      <c r="D801" s="13" t="s">
        <v>88</v>
      </c>
      <c r="E801" s="13" t="s">
        <v>229</v>
      </c>
      <c r="F801" s="10" t="s">
        <v>2571</v>
      </c>
      <c r="G801" s="10">
        <f t="shared" si="17"/>
        <v>1</v>
      </c>
      <c r="H801" s="10" t="s">
        <v>2581</v>
      </c>
      <c r="I801" s="10" t="b">
        <f t="shared" si="9"/>
        <v>0</v>
      </c>
    </row>
    <row r="802">
      <c r="A802" s="7" t="s">
        <v>3091</v>
      </c>
      <c r="B802" s="9" t="s">
        <v>3092</v>
      </c>
      <c r="C802" s="7" t="s">
        <v>227</v>
      </c>
      <c r="D802" s="7" t="s">
        <v>88</v>
      </c>
      <c r="E802" s="7" t="s">
        <v>564</v>
      </c>
      <c r="F802" s="15" t="s">
        <v>3091</v>
      </c>
      <c r="G802" s="10">
        <f t="shared" si="17"/>
        <v>1</v>
      </c>
      <c r="H802" s="15" t="s">
        <v>2587</v>
      </c>
      <c r="I802" s="10" t="b">
        <f t="shared" si="9"/>
        <v>0</v>
      </c>
    </row>
    <row r="803">
      <c r="A803" s="13" t="s">
        <v>2574</v>
      </c>
      <c r="B803" s="14" t="s">
        <v>3093</v>
      </c>
      <c r="C803" s="13" t="s">
        <v>22</v>
      </c>
      <c r="D803" s="13" t="s">
        <v>88</v>
      </c>
      <c r="E803" s="14" t="s">
        <v>3094</v>
      </c>
      <c r="F803" s="10" t="s">
        <v>2574</v>
      </c>
      <c r="G803" s="10">
        <f t="shared" si="17"/>
        <v>1</v>
      </c>
      <c r="H803" s="10" t="s">
        <v>2590</v>
      </c>
      <c r="I803" s="10" t="b">
        <f t="shared" si="9"/>
        <v>0</v>
      </c>
    </row>
    <row r="804">
      <c r="A804" s="7" t="s">
        <v>2578</v>
      </c>
      <c r="B804" s="9" t="s">
        <v>3095</v>
      </c>
      <c r="C804" s="7" t="s">
        <v>22</v>
      </c>
      <c r="D804" s="7" t="s">
        <v>88</v>
      </c>
      <c r="E804" s="9" t="s">
        <v>3094</v>
      </c>
      <c r="F804" s="15" t="s">
        <v>2578</v>
      </c>
      <c r="G804" s="10">
        <f t="shared" si="17"/>
        <v>1</v>
      </c>
      <c r="H804" s="15" t="s">
        <v>2593</v>
      </c>
      <c r="I804" s="10" t="b">
        <f t="shared" si="9"/>
        <v>0</v>
      </c>
    </row>
    <row r="805">
      <c r="A805" s="13" t="s">
        <v>1252</v>
      </c>
      <c r="B805" s="14" t="s">
        <v>1254</v>
      </c>
      <c r="C805" s="13" t="s">
        <v>22</v>
      </c>
      <c r="D805" s="13" t="s">
        <v>88</v>
      </c>
      <c r="E805" s="14" t="s">
        <v>214</v>
      </c>
      <c r="F805" s="10" t="s">
        <v>1252</v>
      </c>
      <c r="G805" s="10">
        <f t="shared" si="17"/>
        <v>1</v>
      </c>
      <c r="H805" s="10" t="s">
        <v>2596</v>
      </c>
      <c r="I805" s="10" t="b">
        <f t="shared" si="9"/>
        <v>0</v>
      </c>
    </row>
    <row r="806">
      <c r="A806" s="7" t="s">
        <v>2585</v>
      </c>
      <c r="B806" s="9" t="s">
        <v>3098</v>
      </c>
      <c r="C806" s="7" t="s">
        <v>22</v>
      </c>
      <c r="D806" s="7" t="s">
        <v>88</v>
      </c>
      <c r="E806" s="9" t="s">
        <v>214</v>
      </c>
      <c r="F806" s="15" t="s">
        <v>2585</v>
      </c>
      <c r="G806" s="10">
        <f t="shared" si="17"/>
        <v>1</v>
      </c>
      <c r="H806" s="15" t="s">
        <v>2600</v>
      </c>
      <c r="I806" s="10" t="b">
        <f t="shared" si="9"/>
        <v>0</v>
      </c>
    </row>
    <row r="807">
      <c r="A807" s="13" t="s">
        <v>2589</v>
      </c>
      <c r="B807" s="14" t="s">
        <v>3099</v>
      </c>
      <c r="C807" s="13" t="s">
        <v>22</v>
      </c>
      <c r="D807" s="13" t="s">
        <v>88</v>
      </c>
      <c r="E807" s="14" t="s">
        <v>218</v>
      </c>
      <c r="F807" s="10" t="s">
        <v>2589</v>
      </c>
      <c r="G807" s="10">
        <f t="shared" si="17"/>
        <v>1</v>
      </c>
      <c r="H807" s="10" t="s">
        <v>2603</v>
      </c>
      <c r="I807" s="10" t="b">
        <f t="shared" si="9"/>
        <v>0</v>
      </c>
    </row>
    <row r="808">
      <c r="A808" s="7" t="s">
        <v>2592</v>
      </c>
      <c r="B808" s="9" t="s">
        <v>3100</v>
      </c>
      <c r="C808" s="7" t="s">
        <v>22</v>
      </c>
      <c r="D808" s="7" t="s">
        <v>88</v>
      </c>
      <c r="E808" s="9" t="s">
        <v>218</v>
      </c>
      <c r="F808" s="15" t="s">
        <v>2592</v>
      </c>
      <c r="G808" s="10">
        <f t="shared" si="17"/>
        <v>1</v>
      </c>
      <c r="H808" s="15" t="s">
        <v>2606</v>
      </c>
      <c r="I808" s="10" t="b">
        <f t="shared" si="9"/>
        <v>0</v>
      </c>
    </row>
    <row r="809">
      <c r="A809" s="13" t="s">
        <v>2594</v>
      </c>
      <c r="B809" s="14" t="s">
        <v>3102</v>
      </c>
      <c r="C809" s="13" t="s">
        <v>22</v>
      </c>
      <c r="D809" s="13" t="s">
        <v>88</v>
      </c>
      <c r="E809" s="14" t="s">
        <v>3103</v>
      </c>
      <c r="F809" s="10" t="s">
        <v>2594</v>
      </c>
      <c r="G809" s="10">
        <f t="shared" si="17"/>
        <v>1</v>
      </c>
      <c r="H809" s="10" t="s">
        <v>2609</v>
      </c>
      <c r="I809" s="10" t="b">
        <f t="shared" si="9"/>
        <v>0</v>
      </c>
    </row>
    <row r="810">
      <c r="A810" s="7" t="s">
        <v>2599</v>
      </c>
      <c r="B810" s="9" t="s">
        <v>3104</v>
      </c>
      <c r="C810" s="7" t="s">
        <v>22</v>
      </c>
      <c r="D810" s="7" t="s">
        <v>88</v>
      </c>
      <c r="E810" s="9" t="s">
        <v>426</v>
      </c>
      <c r="F810" s="15" t="s">
        <v>2599</v>
      </c>
      <c r="G810" s="10">
        <f t="shared" si="17"/>
        <v>1</v>
      </c>
      <c r="H810" s="15" t="s">
        <v>2612</v>
      </c>
      <c r="I810" s="10" t="b">
        <f t="shared" si="9"/>
        <v>0</v>
      </c>
    </row>
    <row r="811">
      <c r="A811" s="13" t="s">
        <v>2601</v>
      </c>
      <c r="B811" s="14" t="s">
        <v>3106</v>
      </c>
      <c r="C811" s="13" t="s">
        <v>22</v>
      </c>
      <c r="D811" s="13" t="s">
        <v>88</v>
      </c>
      <c r="E811" s="14" t="s">
        <v>349</v>
      </c>
      <c r="F811" s="10" t="s">
        <v>2601</v>
      </c>
      <c r="G811" s="10">
        <f t="shared" si="17"/>
        <v>1</v>
      </c>
      <c r="H811" s="10" t="s">
        <v>2615</v>
      </c>
      <c r="I811" s="10" t="b">
        <f t="shared" si="9"/>
        <v>0</v>
      </c>
    </row>
    <row r="812">
      <c r="A812" s="7" t="s">
        <v>2604</v>
      </c>
      <c r="B812" s="9" t="s">
        <v>3108</v>
      </c>
      <c r="C812" s="7" t="s">
        <v>22</v>
      </c>
      <c r="D812" s="7" t="s">
        <v>88</v>
      </c>
      <c r="E812" s="9" t="s">
        <v>349</v>
      </c>
      <c r="F812" s="15" t="s">
        <v>2604</v>
      </c>
      <c r="G812" s="10">
        <f t="shared" si="17"/>
        <v>1</v>
      </c>
      <c r="H812" s="15" t="s">
        <v>2618</v>
      </c>
      <c r="I812" s="10" t="b">
        <f t="shared" si="9"/>
        <v>0</v>
      </c>
    </row>
    <row r="813">
      <c r="A813" s="13" t="s">
        <v>2608</v>
      </c>
      <c r="B813" s="14" t="s">
        <v>3109</v>
      </c>
      <c r="C813" s="13" t="s">
        <v>227</v>
      </c>
      <c r="D813" s="13" t="s">
        <v>88</v>
      </c>
      <c r="E813" s="13" t="s">
        <v>229</v>
      </c>
      <c r="F813" s="10" t="s">
        <v>2608</v>
      </c>
      <c r="G813" s="10">
        <f t="shared" si="17"/>
        <v>1</v>
      </c>
      <c r="H813" s="10" t="s">
        <v>2622</v>
      </c>
      <c r="I813" s="10" t="b">
        <f t="shared" si="9"/>
        <v>0</v>
      </c>
    </row>
    <row r="814">
      <c r="A814" s="7" t="s">
        <v>2611</v>
      </c>
      <c r="B814" s="9" t="s">
        <v>3110</v>
      </c>
      <c r="C814" s="7" t="s">
        <v>227</v>
      </c>
      <c r="D814" s="7" t="s">
        <v>88</v>
      </c>
      <c r="E814" s="7" t="s">
        <v>229</v>
      </c>
      <c r="F814" s="15" t="s">
        <v>2611</v>
      </c>
      <c r="G814" s="10">
        <f t="shared" si="17"/>
        <v>1</v>
      </c>
      <c r="H814" s="15" t="s">
        <v>2624</v>
      </c>
      <c r="I814" s="10" t="b">
        <f t="shared" si="9"/>
        <v>0</v>
      </c>
    </row>
    <row r="815">
      <c r="A815" s="13" t="s">
        <v>2614</v>
      </c>
      <c r="B815" s="14" t="s">
        <v>3112</v>
      </c>
      <c r="C815" s="13" t="s">
        <v>227</v>
      </c>
      <c r="D815" s="13" t="s">
        <v>88</v>
      </c>
      <c r="E815" s="13" t="s">
        <v>229</v>
      </c>
      <c r="F815" s="10" t="s">
        <v>2614</v>
      </c>
      <c r="G815" s="10">
        <f t="shared" si="17"/>
        <v>1</v>
      </c>
      <c r="H815" s="10" t="s">
        <v>2625</v>
      </c>
      <c r="I815" s="10" t="b">
        <f t="shared" si="9"/>
        <v>0</v>
      </c>
    </row>
    <row r="816">
      <c r="A816" s="7" t="s">
        <v>2617</v>
      </c>
      <c r="B816" s="9" t="s">
        <v>3113</v>
      </c>
      <c r="C816" s="7" t="s">
        <v>227</v>
      </c>
      <c r="D816" s="7" t="s">
        <v>88</v>
      </c>
      <c r="E816" s="7" t="s">
        <v>229</v>
      </c>
      <c r="F816" s="15" t="s">
        <v>2617</v>
      </c>
      <c r="G816" s="10">
        <f t="shared" si="17"/>
        <v>1</v>
      </c>
      <c r="H816" s="15" t="s">
        <v>2629</v>
      </c>
      <c r="I816" s="10" t="b">
        <f t="shared" si="9"/>
        <v>0</v>
      </c>
    </row>
    <row r="817">
      <c r="A817" s="13" t="s">
        <v>2620</v>
      </c>
      <c r="B817" s="14" t="s">
        <v>3114</v>
      </c>
      <c r="C817" s="13" t="s">
        <v>227</v>
      </c>
      <c r="D817" s="13" t="s">
        <v>88</v>
      </c>
      <c r="E817" s="13" t="s">
        <v>229</v>
      </c>
      <c r="F817" s="10" t="s">
        <v>2620</v>
      </c>
      <c r="G817" s="10">
        <f t="shared" si="17"/>
        <v>1</v>
      </c>
      <c r="H817" s="10" t="s">
        <v>2632</v>
      </c>
      <c r="I817" s="10" t="b">
        <f t="shared" si="9"/>
        <v>0</v>
      </c>
    </row>
    <row r="818">
      <c r="A818" s="7" t="s">
        <v>2623</v>
      </c>
      <c r="B818" s="9" t="s">
        <v>3116</v>
      </c>
      <c r="C818" s="7" t="s">
        <v>87</v>
      </c>
      <c r="D818" s="7" t="s">
        <v>88</v>
      </c>
      <c r="E818" s="7" t="s">
        <v>92</v>
      </c>
      <c r="F818" s="15" t="s">
        <v>2623</v>
      </c>
      <c r="G818" s="10">
        <f t="shared" si="17"/>
        <v>1</v>
      </c>
      <c r="H818" s="15" t="s">
        <v>2635</v>
      </c>
      <c r="I818" s="10" t="b">
        <f t="shared" si="9"/>
        <v>0</v>
      </c>
    </row>
    <row r="819">
      <c r="A819" s="13" t="s">
        <v>190</v>
      </c>
      <c r="B819" s="13" t="s">
        <v>213</v>
      </c>
      <c r="C819" s="13" t="s">
        <v>22</v>
      </c>
      <c r="D819" s="13" t="s">
        <v>88</v>
      </c>
      <c r="E819" s="14" t="s">
        <v>3117</v>
      </c>
      <c r="F819" s="10" t="s">
        <v>190</v>
      </c>
      <c r="G819" s="10">
        <f t="shared" si="17"/>
        <v>1</v>
      </c>
      <c r="H819" s="10" t="s">
        <v>2638</v>
      </c>
      <c r="I819" s="10" t="b">
        <f t="shared" si="9"/>
        <v>0</v>
      </c>
    </row>
    <row r="820">
      <c r="A820" s="7" t="s">
        <v>2627</v>
      </c>
      <c r="B820" s="9" t="s">
        <v>3118</v>
      </c>
      <c r="C820" s="7" t="s">
        <v>22</v>
      </c>
      <c r="D820" s="7" t="s">
        <v>88</v>
      </c>
      <c r="E820" s="9" t="s">
        <v>349</v>
      </c>
      <c r="F820" s="15" t="s">
        <v>2627</v>
      </c>
      <c r="G820" s="10">
        <f t="shared" si="17"/>
        <v>1</v>
      </c>
      <c r="H820" s="15" t="s">
        <v>2640</v>
      </c>
      <c r="I820" s="10" t="b">
        <f t="shared" si="9"/>
        <v>0</v>
      </c>
    </row>
    <row r="821">
      <c r="A821" s="13" t="s">
        <v>2631</v>
      </c>
      <c r="B821" s="14" t="s">
        <v>3119</v>
      </c>
      <c r="C821" s="13" t="s">
        <v>227</v>
      </c>
      <c r="D821" s="13" t="s">
        <v>88</v>
      </c>
      <c r="E821" s="13" t="s">
        <v>229</v>
      </c>
      <c r="F821" s="10" t="s">
        <v>2631</v>
      </c>
      <c r="G821" s="10">
        <f t="shared" si="17"/>
        <v>1</v>
      </c>
      <c r="H821" s="10" t="s">
        <v>2644</v>
      </c>
      <c r="I821" s="10" t="b">
        <f t="shared" si="9"/>
        <v>0</v>
      </c>
    </row>
    <row r="822">
      <c r="A822" s="7" t="s">
        <v>2634</v>
      </c>
      <c r="B822" s="7" t="s">
        <v>3121</v>
      </c>
      <c r="C822" s="7" t="s">
        <v>227</v>
      </c>
      <c r="D822" s="7" t="s">
        <v>88</v>
      </c>
      <c r="E822" s="7" t="s">
        <v>229</v>
      </c>
      <c r="F822" s="15" t="s">
        <v>2634</v>
      </c>
      <c r="G822" s="10">
        <f t="shared" si="17"/>
        <v>1</v>
      </c>
      <c r="H822" s="15" t="s">
        <v>2647</v>
      </c>
      <c r="I822" s="10" t="b">
        <f t="shared" si="9"/>
        <v>0</v>
      </c>
    </row>
    <row r="823">
      <c r="A823" s="13" t="s">
        <v>2636</v>
      </c>
      <c r="B823" s="14" t="s">
        <v>3122</v>
      </c>
      <c r="C823" s="13" t="s">
        <v>87</v>
      </c>
      <c r="D823" s="13" t="s">
        <v>88</v>
      </c>
      <c r="E823" s="13" t="s">
        <v>343</v>
      </c>
      <c r="F823" s="10" t="s">
        <v>2636</v>
      </c>
      <c r="G823" s="10">
        <f t="shared" si="17"/>
        <v>1</v>
      </c>
      <c r="H823" s="10" t="s">
        <v>2650</v>
      </c>
      <c r="I823" s="10" t="b">
        <f t="shared" si="9"/>
        <v>0</v>
      </c>
    </row>
    <row r="824">
      <c r="A824" s="7" t="s">
        <v>2639</v>
      </c>
      <c r="B824" s="9" t="s">
        <v>3123</v>
      </c>
      <c r="C824" s="7" t="s">
        <v>22</v>
      </c>
      <c r="D824" s="7" t="s">
        <v>88</v>
      </c>
      <c r="E824" s="9" t="s">
        <v>167</v>
      </c>
      <c r="F824" s="15" t="s">
        <v>2639</v>
      </c>
      <c r="G824" s="10">
        <f t="shared" si="17"/>
        <v>1</v>
      </c>
      <c r="H824" s="15" t="s">
        <v>2653</v>
      </c>
      <c r="I824" s="10" t="b">
        <f t="shared" si="9"/>
        <v>0</v>
      </c>
    </row>
    <row r="825">
      <c r="A825" s="13" t="s">
        <v>2643</v>
      </c>
      <c r="B825" s="14" t="s">
        <v>3125</v>
      </c>
      <c r="C825" s="13" t="s">
        <v>22</v>
      </c>
      <c r="D825" s="13" t="s">
        <v>88</v>
      </c>
      <c r="E825" s="14" t="s">
        <v>167</v>
      </c>
      <c r="F825" s="10" t="s">
        <v>2643</v>
      </c>
      <c r="G825" s="10">
        <f t="shared" si="17"/>
        <v>1</v>
      </c>
      <c r="H825" s="10" t="s">
        <v>2655</v>
      </c>
      <c r="I825" s="10" t="b">
        <f t="shared" si="9"/>
        <v>0</v>
      </c>
    </row>
    <row r="826">
      <c r="A826" s="7" t="s">
        <v>2646</v>
      </c>
      <c r="B826" s="9" t="s">
        <v>3126</v>
      </c>
      <c r="C826" s="7" t="s">
        <v>22</v>
      </c>
      <c r="D826" s="7" t="s">
        <v>26</v>
      </c>
      <c r="E826" s="9" t="s">
        <v>175</v>
      </c>
      <c r="F826" s="15" t="s">
        <v>2646</v>
      </c>
      <c r="G826" s="10">
        <f t="shared" si="17"/>
        <v>1</v>
      </c>
      <c r="H826" s="15" t="s">
        <v>2658</v>
      </c>
      <c r="I826" s="10" t="b">
        <f t="shared" si="9"/>
        <v>0</v>
      </c>
    </row>
    <row r="827">
      <c r="A827" s="13" t="s">
        <v>2649</v>
      </c>
      <c r="B827" s="14" t="s">
        <v>3127</v>
      </c>
      <c r="C827" s="13" t="s">
        <v>22</v>
      </c>
      <c r="D827" s="13" t="s">
        <v>74</v>
      </c>
      <c r="E827" s="14" t="s">
        <v>671</v>
      </c>
      <c r="F827" s="10" t="s">
        <v>2649</v>
      </c>
      <c r="G827" s="10">
        <f t="shared" si="17"/>
        <v>1</v>
      </c>
      <c r="H827" s="10" t="s">
        <v>2660</v>
      </c>
      <c r="I827" s="10" t="b">
        <f t="shared" si="9"/>
        <v>0</v>
      </c>
    </row>
    <row r="828">
      <c r="A828" s="7" t="s">
        <v>2651</v>
      </c>
      <c r="B828" s="7" t="s">
        <v>3129</v>
      </c>
      <c r="C828" s="7" t="s">
        <v>227</v>
      </c>
      <c r="D828" s="7" t="s">
        <v>88</v>
      </c>
      <c r="E828" s="7" t="s">
        <v>229</v>
      </c>
      <c r="F828" s="15" t="s">
        <v>2651</v>
      </c>
      <c r="G828" s="10">
        <f t="shared" si="17"/>
        <v>1</v>
      </c>
      <c r="H828" s="15" t="s">
        <v>2664</v>
      </c>
      <c r="I828" s="10" t="b">
        <f t="shared" si="9"/>
        <v>0</v>
      </c>
    </row>
    <row r="829">
      <c r="A829" s="13" t="s">
        <v>2654</v>
      </c>
      <c r="B829" s="13" t="s">
        <v>3130</v>
      </c>
      <c r="C829" s="13" t="s">
        <v>22</v>
      </c>
      <c r="D829" s="13" t="s">
        <v>26</v>
      </c>
      <c r="E829" s="13" t="s">
        <v>201</v>
      </c>
      <c r="F829" s="10" t="s">
        <v>2654</v>
      </c>
      <c r="G829" s="10">
        <f t="shared" si="17"/>
        <v>1</v>
      </c>
      <c r="H829" s="10" t="s">
        <v>2666</v>
      </c>
      <c r="I829" s="10" t="b">
        <f t="shared" si="9"/>
        <v>0</v>
      </c>
    </row>
    <row r="830">
      <c r="A830" s="7" t="s">
        <v>2657</v>
      </c>
      <c r="B830" s="7" t="s">
        <v>3131</v>
      </c>
      <c r="C830" s="7" t="s">
        <v>22</v>
      </c>
      <c r="D830" s="7" t="s">
        <v>26</v>
      </c>
      <c r="E830" s="7" t="s">
        <v>201</v>
      </c>
      <c r="F830" s="15" t="s">
        <v>2657</v>
      </c>
      <c r="G830" s="10">
        <f t="shared" si="17"/>
        <v>1</v>
      </c>
      <c r="H830" s="15" t="s">
        <v>2668</v>
      </c>
      <c r="I830" s="10" t="b">
        <f t="shared" si="9"/>
        <v>0</v>
      </c>
    </row>
    <row r="831">
      <c r="A831" s="13" t="s">
        <v>2659</v>
      </c>
      <c r="B831" s="13" t="s">
        <v>3133</v>
      </c>
      <c r="C831" s="13" t="s">
        <v>22</v>
      </c>
      <c r="D831" s="13" t="s">
        <v>88</v>
      </c>
      <c r="E831" s="14" t="s">
        <v>382</v>
      </c>
      <c r="F831" s="10" t="s">
        <v>2659</v>
      </c>
      <c r="G831" s="10">
        <f t="shared" si="17"/>
        <v>1</v>
      </c>
      <c r="H831" s="10" t="s">
        <v>2671</v>
      </c>
      <c r="I831" s="10" t="b">
        <f t="shared" si="9"/>
        <v>0</v>
      </c>
    </row>
    <row r="832">
      <c r="A832" s="7" t="s">
        <v>2662</v>
      </c>
      <c r="B832" s="7" t="s">
        <v>3134</v>
      </c>
      <c r="C832" s="7" t="s">
        <v>22</v>
      </c>
      <c r="D832" s="7" t="s">
        <v>88</v>
      </c>
      <c r="E832" s="9" t="s">
        <v>349</v>
      </c>
      <c r="F832" s="15" t="s">
        <v>2662</v>
      </c>
      <c r="G832" s="10">
        <f t="shared" si="17"/>
        <v>1</v>
      </c>
      <c r="H832" s="15" t="s">
        <v>2673</v>
      </c>
      <c r="I832" s="10" t="b">
        <f t="shared" si="9"/>
        <v>0</v>
      </c>
    </row>
    <row r="833">
      <c r="A833" s="13" t="s">
        <v>2665</v>
      </c>
      <c r="B833" s="13" t="s">
        <v>3135</v>
      </c>
      <c r="C833" s="13" t="s">
        <v>22</v>
      </c>
      <c r="D833" s="13" t="s">
        <v>88</v>
      </c>
      <c r="E833" s="14" t="s">
        <v>349</v>
      </c>
      <c r="F833" s="10" t="s">
        <v>2665</v>
      </c>
      <c r="G833" s="10">
        <f t="shared" si="17"/>
        <v>1</v>
      </c>
      <c r="H833" s="10" t="s">
        <v>2676</v>
      </c>
      <c r="I833" s="10" t="b">
        <f t="shared" si="9"/>
        <v>0</v>
      </c>
    </row>
    <row r="834">
      <c r="A834" s="7" t="s">
        <v>2667</v>
      </c>
      <c r="B834" s="7" t="s">
        <v>3136</v>
      </c>
      <c r="C834" s="7" t="s">
        <v>22</v>
      </c>
      <c r="D834" s="7" t="s">
        <v>88</v>
      </c>
      <c r="E834" s="9" t="s">
        <v>349</v>
      </c>
      <c r="F834" s="15" t="s">
        <v>2667</v>
      </c>
      <c r="G834" s="10">
        <f t="shared" si="17"/>
        <v>1</v>
      </c>
      <c r="H834" s="15" t="s">
        <v>388</v>
      </c>
      <c r="I834" s="10" t="b">
        <f t="shared" si="9"/>
        <v>0</v>
      </c>
    </row>
    <row r="835">
      <c r="A835" s="13" t="s">
        <v>2670</v>
      </c>
      <c r="B835" s="14" t="s">
        <v>2954</v>
      </c>
      <c r="C835" s="13" t="s">
        <v>22</v>
      </c>
      <c r="D835" s="13" t="s">
        <v>88</v>
      </c>
      <c r="E835" s="14" t="s">
        <v>567</v>
      </c>
      <c r="F835" s="10" t="s">
        <v>2670</v>
      </c>
      <c r="G835" s="10">
        <f t="shared" si="17"/>
        <v>1</v>
      </c>
      <c r="H835" s="10" t="s">
        <v>2680</v>
      </c>
      <c r="I835" s="10" t="b">
        <f t="shared" si="9"/>
        <v>0</v>
      </c>
    </row>
    <row r="836">
      <c r="A836" s="7" t="s">
        <v>2672</v>
      </c>
      <c r="B836" s="7" t="s">
        <v>3139</v>
      </c>
      <c r="C836" s="7" t="s">
        <v>227</v>
      </c>
      <c r="D836" s="7" t="s">
        <v>26</v>
      </c>
      <c r="E836" s="7" t="s">
        <v>229</v>
      </c>
      <c r="F836" s="15" t="s">
        <v>2672</v>
      </c>
      <c r="G836" s="10">
        <f t="shared" si="17"/>
        <v>1</v>
      </c>
      <c r="H836" s="15" t="s">
        <v>2681</v>
      </c>
      <c r="I836" s="10" t="b">
        <f t="shared" si="9"/>
        <v>0</v>
      </c>
    </row>
    <row r="837">
      <c r="A837" s="13" t="s">
        <v>2675</v>
      </c>
      <c r="B837" s="13" t="s">
        <v>3140</v>
      </c>
      <c r="C837" s="13" t="s">
        <v>227</v>
      </c>
      <c r="D837" s="13" t="s">
        <v>26</v>
      </c>
      <c r="E837" s="13" t="s">
        <v>229</v>
      </c>
      <c r="F837" s="10" t="s">
        <v>2675</v>
      </c>
      <c r="G837" s="10">
        <f t="shared" si="17"/>
        <v>1</v>
      </c>
      <c r="H837" s="10" t="s">
        <v>2685</v>
      </c>
      <c r="I837" s="10" t="b">
        <f t="shared" si="9"/>
        <v>0</v>
      </c>
    </row>
    <row r="838">
      <c r="A838" s="7" t="s">
        <v>2677</v>
      </c>
      <c r="B838" s="9" t="s">
        <v>404</v>
      </c>
      <c r="C838" s="7" t="s">
        <v>87</v>
      </c>
      <c r="D838" s="7" t="s">
        <v>88</v>
      </c>
      <c r="E838" s="7" t="s">
        <v>343</v>
      </c>
      <c r="F838" s="15" t="s">
        <v>2677</v>
      </c>
      <c r="G838" s="10">
        <f t="shared" si="17"/>
        <v>1</v>
      </c>
      <c r="H838" s="15" t="s">
        <v>2687</v>
      </c>
      <c r="I838" s="10" t="b">
        <f t="shared" si="9"/>
        <v>0</v>
      </c>
    </row>
    <row r="839">
      <c r="A839" s="13" t="s">
        <v>2678</v>
      </c>
      <c r="B839" s="14" t="s">
        <v>3142</v>
      </c>
      <c r="C839" s="13" t="s">
        <v>87</v>
      </c>
      <c r="D839" s="13" t="s">
        <v>88</v>
      </c>
      <c r="E839" s="13" t="s">
        <v>343</v>
      </c>
      <c r="F839" s="10" t="s">
        <v>2678</v>
      </c>
      <c r="G839" s="10">
        <f t="shared" si="17"/>
        <v>1</v>
      </c>
      <c r="H839" s="10" t="s">
        <v>2689</v>
      </c>
      <c r="I839" s="10" t="b">
        <f t="shared" si="9"/>
        <v>0</v>
      </c>
    </row>
    <row r="840">
      <c r="A840" s="7" t="s">
        <v>223</v>
      </c>
      <c r="B840" s="7" t="s">
        <v>248</v>
      </c>
      <c r="C840" s="7" t="s">
        <v>22</v>
      </c>
      <c r="D840" s="7" t="s">
        <v>88</v>
      </c>
      <c r="E840" s="9" t="s">
        <v>426</v>
      </c>
      <c r="F840" s="15" t="s">
        <v>223</v>
      </c>
      <c r="G840" s="10">
        <f t="shared" si="17"/>
        <v>1</v>
      </c>
      <c r="H840" s="15" t="s">
        <v>2692</v>
      </c>
      <c r="I840" s="10" t="b">
        <f t="shared" si="9"/>
        <v>0</v>
      </c>
    </row>
    <row r="841">
      <c r="A841" s="13" t="s">
        <v>2683</v>
      </c>
      <c r="B841" s="13" t="s">
        <v>3143</v>
      </c>
      <c r="C841" s="13" t="s">
        <v>22</v>
      </c>
      <c r="D841" s="13" t="s">
        <v>88</v>
      </c>
      <c r="E841" s="14" t="s">
        <v>218</v>
      </c>
      <c r="F841" s="10" t="s">
        <v>2683</v>
      </c>
      <c r="G841" s="10">
        <f t="shared" si="17"/>
        <v>1</v>
      </c>
      <c r="H841" s="10" t="s">
        <v>2694</v>
      </c>
      <c r="I841" s="10" t="b">
        <f t="shared" si="9"/>
        <v>0</v>
      </c>
    </row>
    <row r="842">
      <c r="A842" s="7" t="s">
        <v>2686</v>
      </c>
      <c r="B842" s="7" t="s">
        <v>3145</v>
      </c>
      <c r="C842" s="7" t="s">
        <v>22</v>
      </c>
      <c r="D842" s="7" t="s">
        <v>88</v>
      </c>
      <c r="E842" s="9" t="s">
        <v>218</v>
      </c>
      <c r="F842" s="15" t="s">
        <v>2686</v>
      </c>
      <c r="G842" s="10">
        <f t="shared" si="17"/>
        <v>1</v>
      </c>
      <c r="H842" s="15" t="s">
        <v>2697</v>
      </c>
      <c r="I842" s="10" t="b">
        <f t="shared" si="9"/>
        <v>0</v>
      </c>
    </row>
    <row r="843">
      <c r="A843" s="13" t="s">
        <v>2688</v>
      </c>
      <c r="B843" s="13" t="s">
        <v>3146</v>
      </c>
      <c r="C843" s="13" t="s">
        <v>22</v>
      </c>
      <c r="D843" s="13" t="s">
        <v>88</v>
      </c>
      <c r="E843" s="14" t="s">
        <v>218</v>
      </c>
      <c r="F843" s="10" t="s">
        <v>2688</v>
      </c>
      <c r="G843" s="10">
        <f t="shared" si="17"/>
        <v>1</v>
      </c>
      <c r="H843" s="10" t="s">
        <v>2700</v>
      </c>
      <c r="I843" s="10" t="b">
        <f t="shared" si="9"/>
        <v>0</v>
      </c>
    </row>
    <row r="844">
      <c r="A844" s="7" t="s">
        <v>2691</v>
      </c>
      <c r="B844" s="7" t="s">
        <v>3147</v>
      </c>
      <c r="C844" s="7" t="s">
        <v>22</v>
      </c>
      <c r="D844" s="7" t="s">
        <v>88</v>
      </c>
      <c r="E844" s="9" t="s">
        <v>218</v>
      </c>
      <c r="F844" s="15" t="s">
        <v>2691</v>
      </c>
      <c r="G844" s="10">
        <f t="shared" si="17"/>
        <v>1</v>
      </c>
      <c r="H844" s="15" t="s">
        <v>2702</v>
      </c>
      <c r="I844" s="10" t="b">
        <f t="shared" si="9"/>
        <v>0</v>
      </c>
    </row>
    <row r="845">
      <c r="A845" s="13" t="s">
        <v>2693</v>
      </c>
      <c r="B845" s="13" t="s">
        <v>3148</v>
      </c>
      <c r="C845" s="13" t="s">
        <v>22</v>
      </c>
      <c r="D845" s="13" t="s">
        <v>88</v>
      </c>
      <c r="E845" s="14" t="s">
        <v>218</v>
      </c>
      <c r="F845" s="10" t="s">
        <v>2693</v>
      </c>
      <c r="G845" s="10">
        <f t="shared" si="17"/>
        <v>1</v>
      </c>
      <c r="H845" s="10" t="s">
        <v>2705</v>
      </c>
      <c r="I845" s="10" t="b">
        <f t="shared" si="9"/>
        <v>0</v>
      </c>
    </row>
    <row r="846">
      <c r="A846" s="7" t="s">
        <v>2696</v>
      </c>
      <c r="B846" s="7" t="s">
        <v>3149</v>
      </c>
      <c r="C846" s="7" t="s">
        <v>22</v>
      </c>
      <c r="D846" s="7" t="s">
        <v>88</v>
      </c>
      <c r="E846" s="9" t="s">
        <v>218</v>
      </c>
      <c r="F846" s="15" t="s">
        <v>2696</v>
      </c>
      <c r="G846" s="10">
        <f t="shared" si="17"/>
        <v>1</v>
      </c>
      <c r="H846" s="15" t="s">
        <v>2707</v>
      </c>
      <c r="I846" s="10" t="b">
        <f t="shared" si="9"/>
        <v>0</v>
      </c>
    </row>
    <row r="847">
      <c r="A847" s="13" t="s">
        <v>2698</v>
      </c>
      <c r="B847" s="13" t="s">
        <v>3150</v>
      </c>
      <c r="C847" s="13" t="s">
        <v>22</v>
      </c>
      <c r="D847" s="13" t="s">
        <v>88</v>
      </c>
      <c r="E847" s="14" t="s">
        <v>218</v>
      </c>
      <c r="F847" s="10" t="s">
        <v>2698</v>
      </c>
      <c r="G847" s="10">
        <f t="shared" si="17"/>
        <v>1</v>
      </c>
      <c r="H847" s="10" t="s">
        <v>2710</v>
      </c>
      <c r="I847" s="10" t="b">
        <f t="shared" si="9"/>
        <v>0</v>
      </c>
    </row>
    <row r="848">
      <c r="A848" s="7" t="s">
        <v>2701</v>
      </c>
      <c r="B848" s="7" t="s">
        <v>3151</v>
      </c>
      <c r="C848" s="7" t="s">
        <v>22</v>
      </c>
      <c r="D848" s="7" t="s">
        <v>88</v>
      </c>
      <c r="E848" s="9" t="s">
        <v>218</v>
      </c>
      <c r="F848" s="15" t="s">
        <v>2701</v>
      </c>
      <c r="G848" s="10">
        <f t="shared" si="17"/>
        <v>1</v>
      </c>
      <c r="H848" s="15" t="s">
        <v>2712</v>
      </c>
      <c r="I848" s="10" t="b">
        <f t="shared" si="9"/>
        <v>0</v>
      </c>
    </row>
    <row r="849">
      <c r="A849" s="13" t="s">
        <v>2704</v>
      </c>
      <c r="B849" s="13" t="s">
        <v>3152</v>
      </c>
      <c r="C849" s="13" t="s">
        <v>22</v>
      </c>
      <c r="D849" s="13" t="s">
        <v>88</v>
      </c>
      <c r="E849" s="14" t="s">
        <v>218</v>
      </c>
      <c r="F849" s="10" t="s">
        <v>2704</v>
      </c>
      <c r="G849" s="10">
        <f t="shared" si="17"/>
        <v>1</v>
      </c>
      <c r="H849" s="10" t="s">
        <v>2716</v>
      </c>
      <c r="I849" s="10" t="b">
        <f t="shared" si="9"/>
        <v>0</v>
      </c>
    </row>
    <row r="850">
      <c r="A850" s="7" t="s">
        <v>2706</v>
      </c>
      <c r="B850" s="7" t="s">
        <v>3153</v>
      </c>
      <c r="C850" s="7" t="s">
        <v>22</v>
      </c>
      <c r="D850" s="7" t="s">
        <v>88</v>
      </c>
      <c r="E850" s="9" t="s">
        <v>218</v>
      </c>
      <c r="F850" s="15" t="s">
        <v>2706</v>
      </c>
      <c r="G850" s="10">
        <f t="shared" si="17"/>
        <v>1</v>
      </c>
      <c r="H850" s="15" t="s">
        <v>2719</v>
      </c>
      <c r="I850" s="10" t="b">
        <f t="shared" si="9"/>
        <v>0</v>
      </c>
    </row>
    <row r="851">
      <c r="A851" s="13" t="s">
        <v>2708</v>
      </c>
      <c r="B851" s="14" t="s">
        <v>3154</v>
      </c>
      <c r="C851" s="13" t="s">
        <v>227</v>
      </c>
      <c r="D851" s="13" t="s">
        <v>88</v>
      </c>
      <c r="E851" s="13" t="s">
        <v>229</v>
      </c>
      <c r="F851" s="10" t="s">
        <v>2708</v>
      </c>
      <c r="G851" s="10">
        <f t="shared" si="17"/>
        <v>1</v>
      </c>
      <c r="H851" s="10" t="s">
        <v>2722</v>
      </c>
      <c r="I851" s="10" t="b">
        <f t="shared" si="9"/>
        <v>0</v>
      </c>
    </row>
    <row r="852">
      <c r="A852" s="7" t="s">
        <v>2711</v>
      </c>
      <c r="B852" s="9" t="s">
        <v>3156</v>
      </c>
      <c r="C852" s="7" t="s">
        <v>87</v>
      </c>
      <c r="D852" s="7" t="s">
        <v>88</v>
      </c>
      <c r="E852" s="7" t="s">
        <v>343</v>
      </c>
      <c r="F852" s="15" t="s">
        <v>2711</v>
      </c>
      <c r="G852" s="10">
        <f t="shared" si="17"/>
        <v>1</v>
      </c>
      <c r="H852" s="15" t="s">
        <v>2726</v>
      </c>
      <c r="I852" s="10" t="b">
        <f t="shared" si="9"/>
        <v>0</v>
      </c>
    </row>
    <row r="853">
      <c r="A853" s="13" t="s">
        <v>2715</v>
      </c>
      <c r="B853" s="14" t="s">
        <v>3161</v>
      </c>
      <c r="C853" s="13" t="s">
        <v>227</v>
      </c>
      <c r="D853" s="13" t="s">
        <v>88</v>
      </c>
      <c r="E853" s="13" t="s">
        <v>229</v>
      </c>
      <c r="F853" s="10" t="s">
        <v>2715</v>
      </c>
      <c r="G853" s="10">
        <f t="shared" si="17"/>
        <v>1</v>
      </c>
      <c r="H853" s="10" t="s">
        <v>2728</v>
      </c>
      <c r="I853" s="10" t="b">
        <f t="shared" si="9"/>
        <v>0</v>
      </c>
    </row>
    <row r="854">
      <c r="A854" s="7" t="s">
        <v>2718</v>
      </c>
      <c r="B854" s="9" t="s">
        <v>3163</v>
      </c>
      <c r="C854" s="7" t="s">
        <v>227</v>
      </c>
      <c r="D854" s="7" t="s">
        <v>88</v>
      </c>
      <c r="E854" s="7" t="s">
        <v>229</v>
      </c>
      <c r="F854" s="15" t="s">
        <v>2718</v>
      </c>
      <c r="G854" s="10">
        <f t="shared" si="17"/>
        <v>1</v>
      </c>
      <c r="H854" s="15" t="s">
        <v>2731</v>
      </c>
      <c r="I854" s="10" t="b">
        <f t="shared" si="9"/>
        <v>0</v>
      </c>
    </row>
    <row r="855">
      <c r="A855" s="13" t="s">
        <v>2721</v>
      </c>
      <c r="B855" s="14" t="s">
        <v>3165</v>
      </c>
      <c r="C855" s="13" t="s">
        <v>227</v>
      </c>
      <c r="D855" s="13" t="s">
        <v>88</v>
      </c>
      <c r="E855" s="13" t="s">
        <v>229</v>
      </c>
      <c r="F855" s="10" t="s">
        <v>2721</v>
      </c>
      <c r="G855" s="10">
        <f t="shared" si="17"/>
        <v>1</v>
      </c>
      <c r="H855" s="10" t="s">
        <v>2734</v>
      </c>
      <c r="I855" s="10" t="b">
        <f t="shared" si="9"/>
        <v>0</v>
      </c>
    </row>
    <row r="856">
      <c r="A856" s="7" t="s">
        <v>2724</v>
      </c>
      <c r="B856" s="9" t="s">
        <v>3166</v>
      </c>
      <c r="C856" s="7" t="s">
        <v>227</v>
      </c>
      <c r="D856" s="7" t="s">
        <v>88</v>
      </c>
      <c r="E856" s="7" t="s">
        <v>229</v>
      </c>
      <c r="F856" s="15" t="s">
        <v>2724</v>
      </c>
      <c r="G856" s="10">
        <f t="shared" si="17"/>
        <v>1</v>
      </c>
      <c r="H856" s="15" t="s">
        <v>2738</v>
      </c>
      <c r="I856" s="10" t="b">
        <f t="shared" si="9"/>
        <v>0</v>
      </c>
    </row>
    <row r="857">
      <c r="A857" s="13" t="s">
        <v>2727</v>
      </c>
      <c r="B857" s="14" t="s">
        <v>3168</v>
      </c>
      <c r="C857" s="13" t="s">
        <v>227</v>
      </c>
      <c r="D857" s="13" t="s">
        <v>88</v>
      </c>
      <c r="E857" s="13" t="s">
        <v>229</v>
      </c>
      <c r="F857" s="10" t="s">
        <v>2727</v>
      </c>
      <c r="G857" s="10">
        <f t="shared" si="17"/>
        <v>1</v>
      </c>
      <c r="H857" s="10" t="s">
        <v>2741</v>
      </c>
      <c r="I857" s="10" t="b">
        <f t="shared" si="9"/>
        <v>0</v>
      </c>
    </row>
    <row r="858">
      <c r="A858" s="7" t="s">
        <v>2730</v>
      </c>
      <c r="B858" s="9" t="s">
        <v>3169</v>
      </c>
      <c r="C858" s="7" t="s">
        <v>227</v>
      </c>
      <c r="D858" s="7" t="s">
        <v>88</v>
      </c>
      <c r="E858" s="7" t="s">
        <v>229</v>
      </c>
      <c r="F858" s="15" t="s">
        <v>2730</v>
      </c>
      <c r="G858" s="10">
        <f t="shared" si="17"/>
        <v>1</v>
      </c>
      <c r="H858" s="15" t="s">
        <v>2743</v>
      </c>
      <c r="I858" s="10" t="b">
        <f t="shared" si="9"/>
        <v>0</v>
      </c>
    </row>
    <row r="859">
      <c r="A859" s="13" t="s">
        <v>2733</v>
      </c>
      <c r="B859" s="14" t="s">
        <v>3171</v>
      </c>
      <c r="C859" s="13" t="s">
        <v>22</v>
      </c>
      <c r="D859" s="13" t="s">
        <v>88</v>
      </c>
      <c r="E859" s="14" t="s">
        <v>3103</v>
      </c>
      <c r="F859" s="10" t="s">
        <v>2733</v>
      </c>
      <c r="G859" s="10">
        <f t="shared" si="17"/>
        <v>1</v>
      </c>
      <c r="H859" s="10" t="s">
        <v>2746</v>
      </c>
      <c r="I859" s="10" t="b">
        <f t="shared" si="9"/>
        <v>0</v>
      </c>
    </row>
    <row r="860">
      <c r="A860" s="7" t="s">
        <v>2737</v>
      </c>
      <c r="B860" s="9" t="s">
        <v>3172</v>
      </c>
      <c r="C860" s="7" t="s">
        <v>22</v>
      </c>
      <c r="D860" s="7" t="s">
        <v>88</v>
      </c>
      <c r="E860" s="9" t="s">
        <v>3103</v>
      </c>
      <c r="F860" s="15" t="s">
        <v>2737</v>
      </c>
      <c r="G860" s="10">
        <f t="shared" si="17"/>
        <v>1</v>
      </c>
      <c r="H860" s="15" t="s">
        <v>2751</v>
      </c>
      <c r="I860" s="10" t="b">
        <f t="shared" si="9"/>
        <v>0</v>
      </c>
    </row>
    <row r="861">
      <c r="A861" s="13" t="s">
        <v>2739</v>
      </c>
      <c r="B861" s="14" t="s">
        <v>3173</v>
      </c>
      <c r="C861" s="13" t="s">
        <v>22</v>
      </c>
      <c r="D861" s="13" t="s">
        <v>26</v>
      </c>
      <c r="E861" s="14" t="s">
        <v>29</v>
      </c>
      <c r="F861" s="10" t="s">
        <v>2739</v>
      </c>
      <c r="G861" s="10">
        <f t="shared" si="17"/>
        <v>1</v>
      </c>
      <c r="H861" s="10" t="s">
        <v>2754</v>
      </c>
      <c r="I861" s="10" t="b">
        <f t="shared" si="9"/>
        <v>0</v>
      </c>
    </row>
    <row r="862">
      <c r="A862" s="7" t="s">
        <v>2742</v>
      </c>
      <c r="B862" s="7" t="s">
        <v>3175</v>
      </c>
      <c r="C862" s="7" t="s">
        <v>22</v>
      </c>
      <c r="D862" s="7" t="s">
        <v>88</v>
      </c>
      <c r="E862" s="7" t="s">
        <v>132</v>
      </c>
      <c r="F862" s="15" t="s">
        <v>2742</v>
      </c>
      <c r="G862" s="10">
        <f t="shared" si="17"/>
        <v>1</v>
      </c>
      <c r="H862" s="15" t="s">
        <v>2757</v>
      </c>
      <c r="I862" s="10" t="b">
        <f t="shared" si="9"/>
        <v>0</v>
      </c>
    </row>
    <row r="863">
      <c r="A863" s="13" t="s">
        <v>2745</v>
      </c>
      <c r="B863" s="13" t="s">
        <v>3176</v>
      </c>
      <c r="C863" s="13" t="s">
        <v>22</v>
      </c>
      <c r="D863" s="13" t="s">
        <v>88</v>
      </c>
      <c r="E863" s="14" t="s">
        <v>410</v>
      </c>
      <c r="F863" s="10" t="s">
        <v>2745</v>
      </c>
      <c r="G863" s="10">
        <f t="shared" si="17"/>
        <v>1</v>
      </c>
      <c r="H863" s="10" t="s">
        <v>2761</v>
      </c>
      <c r="I863" s="10" t="b">
        <f t="shared" si="9"/>
        <v>0</v>
      </c>
    </row>
    <row r="864">
      <c r="A864" s="7" t="s">
        <v>2750</v>
      </c>
      <c r="B864" s="7" t="s">
        <v>3178</v>
      </c>
      <c r="C864" s="7" t="s">
        <v>22</v>
      </c>
      <c r="D864" s="7" t="s">
        <v>88</v>
      </c>
      <c r="E864" s="9" t="s">
        <v>446</v>
      </c>
      <c r="F864" s="15" t="s">
        <v>2750</v>
      </c>
      <c r="G864" s="10">
        <f t="shared" si="17"/>
        <v>1</v>
      </c>
      <c r="H864" s="15" t="s">
        <v>2764</v>
      </c>
      <c r="I864" s="10" t="b">
        <f t="shared" si="9"/>
        <v>0</v>
      </c>
    </row>
    <row r="865">
      <c r="A865" s="13" t="s">
        <v>2753</v>
      </c>
      <c r="B865" s="14" t="s">
        <v>3179</v>
      </c>
      <c r="C865" s="13" t="s">
        <v>22</v>
      </c>
      <c r="D865" s="13" t="s">
        <v>88</v>
      </c>
      <c r="E865" s="14" t="s">
        <v>214</v>
      </c>
      <c r="F865" s="10" t="s">
        <v>2753</v>
      </c>
      <c r="G865" s="10">
        <f t="shared" si="17"/>
        <v>1</v>
      </c>
      <c r="H865" s="10" t="s">
        <v>2766</v>
      </c>
      <c r="I865" s="10" t="b">
        <f t="shared" si="9"/>
        <v>0</v>
      </c>
    </row>
    <row r="866">
      <c r="A866" s="7" t="s">
        <v>2756</v>
      </c>
      <c r="B866" s="9" t="s">
        <v>3180</v>
      </c>
      <c r="C866" s="7" t="s">
        <v>22</v>
      </c>
      <c r="D866" s="7" t="s">
        <v>88</v>
      </c>
      <c r="E866" s="9" t="s">
        <v>214</v>
      </c>
      <c r="F866" s="15" t="s">
        <v>2756</v>
      </c>
      <c r="G866" s="10">
        <f t="shared" si="17"/>
        <v>1</v>
      </c>
      <c r="H866" s="15" t="s">
        <v>3181</v>
      </c>
      <c r="I866" s="10" t="b">
        <f t="shared" si="9"/>
        <v>0</v>
      </c>
    </row>
    <row r="867">
      <c r="A867" s="13" t="s">
        <v>2759</v>
      </c>
      <c r="B867" s="14" t="s">
        <v>3183</v>
      </c>
      <c r="C867" s="13" t="s">
        <v>227</v>
      </c>
      <c r="D867" s="13" t="s">
        <v>88</v>
      </c>
      <c r="E867" s="13" t="s">
        <v>229</v>
      </c>
      <c r="F867" s="10" t="s">
        <v>2759</v>
      </c>
      <c r="G867" s="10">
        <f t="shared" si="17"/>
        <v>1</v>
      </c>
      <c r="H867" s="10" t="s">
        <v>2773</v>
      </c>
      <c r="I867" s="10" t="b">
        <f t="shared" si="9"/>
        <v>0</v>
      </c>
    </row>
    <row r="868">
      <c r="A868" s="7" t="s">
        <v>2762</v>
      </c>
      <c r="B868" s="9" t="s">
        <v>3184</v>
      </c>
      <c r="C868" s="7" t="s">
        <v>227</v>
      </c>
      <c r="D868" s="7" t="s">
        <v>88</v>
      </c>
      <c r="E868" s="7" t="s">
        <v>229</v>
      </c>
      <c r="F868" s="15" t="s">
        <v>2762</v>
      </c>
      <c r="G868" s="10">
        <f t="shared" si="17"/>
        <v>1</v>
      </c>
      <c r="H868" s="15" t="s">
        <v>2776</v>
      </c>
      <c r="I868" s="10" t="b">
        <f t="shared" si="9"/>
        <v>0</v>
      </c>
    </row>
    <row r="869">
      <c r="A869" s="13" t="s">
        <v>2765</v>
      </c>
      <c r="B869" s="14" t="s">
        <v>3185</v>
      </c>
      <c r="C869" s="13" t="s">
        <v>227</v>
      </c>
      <c r="D869" s="13" t="s">
        <v>88</v>
      </c>
      <c r="E869" s="13" t="s">
        <v>229</v>
      </c>
      <c r="F869" s="10" t="s">
        <v>2765</v>
      </c>
      <c r="G869" s="10">
        <f t="shared" si="17"/>
        <v>1</v>
      </c>
      <c r="H869" s="10" t="s">
        <v>2778</v>
      </c>
      <c r="I869" s="10" t="b">
        <f t="shared" si="9"/>
        <v>0</v>
      </c>
    </row>
    <row r="870">
      <c r="A870" s="7" t="s">
        <v>2768</v>
      </c>
      <c r="B870" s="9" t="s">
        <v>437</v>
      </c>
      <c r="C870" s="7" t="s">
        <v>22</v>
      </c>
      <c r="D870" s="7" t="s">
        <v>88</v>
      </c>
      <c r="E870" s="7" t="s">
        <v>287</v>
      </c>
      <c r="F870" s="15" t="s">
        <v>2768</v>
      </c>
      <c r="G870" s="10">
        <f t="shared" si="17"/>
        <v>1</v>
      </c>
      <c r="H870" s="15" t="s">
        <v>2781</v>
      </c>
      <c r="I870" s="10" t="b">
        <f t="shared" si="9"/>
        <v>0</v>
      </c>
    </row>
    <row r="871">
      <c r="A871" s="13" t="s">
        <v>2772</v>
      </c>
      <c r="B871" s="13" t="s">
        <v>3188</v>
      </c>
      <c r="C871" s="13" t="s">
        <v>227</v>
      </c>
      <c r="D871" s="13" t="s">
        <v>88</v>
      </c>
      <c r="E871" s="13" t="s">
        <v>229</v>
      </c>
      <c r="F871" s="10" t="s">
        <v>2772</v>
      </c>
      <c r="G871" s="10">
        <f t="shared" si="17"/>
        <v>1</v>
      </c>
      <c r="H871" s="10" t="s">
        <v>2784</v>
      </c>
      <c r="I871" s="10" t="b">
        <f t="shared" si="9"/>
        <v>0</v>
      </c>
    </row>
    <row r="872">
      <c r="A872" s="7" t="s">
        <v>2774</v>
      </c>
      <c r="B872" s="7" t="s">
        <v>3189</v>
      </c>
      <c r="C872" s="7" t="s">
        <v>227</v>
      </c>
      <c r="D872" s="7" t="s">
        <v>88</v>
      </c>
      <c r="E872" s="7" t="s">
        <v>229</v>
      </c>
      <c r="F872" s="15" t="s">
        <v>2774</v>
      </c>
      <c r="G872" s="10">
        <f t="shared" si="17"/>
        <v>1</v>
      </c>
      <c r="H872" s="15" t="s">
        <v>2786</v>
      </c>
      <c r="I872" s="10" t="b">
        <f t="shared" si="9"/>
        <v>0</v>
      </c>
    </row>
    <row r="873">
      <c r="A873" s="13" t="s">
        <v>2777</v>
      </c>
      <c r="B873" s="13" t="s">
        <v>3193</v>
      </c>
      <c r="C873" s="13" t="s">
        <v>227</v>
      </c>
      <c r="D873" s="13" t="s">
        <v>88</v>
      </c>
      <c r="E873" s="13" t="s">
        <v>229</v>
      </c>
      <c r="F873" s="10" t="s">
        <v>2777</v>
      </c>
      <c r="G873" s="10">
        <f t="shared" si="17"/>
        <v>1</v>
      </c>
      <c r="H873" s="10" t="s">
        <v>2789</v>
      </c>
      <c r="I873" s="10" t="b">
        <f t="shared" si="9"/>
        <v>0</v>
      </c>
    </row>
    <row r="874">
      <c r="A874" s="7" t="s">
        <v>2780</v>
      </c>
      <c r="B874" s="7" t="s">
        <v>3195</v>
      </c>
      <c r="C874" s="7" t="s">
        <v>227</v>
      </c>
      <c r="D874" s="7" t="s">
        <v>88</v>
      </c>
      <c r="E874" s="7" t="s">
        <v>229</v>
      </c>
      <c r="F874" s="15" t="s">
        <v>2780</v>
      </c>
      <c r="G874" s="10">
        <f t="shared" si="17"/>
        <v>1</v>
      </c>
      <c r="H874" s="15" t="s">
        <v>2791</v>
      </c>
      <c r="I874" s="10" t="b">
        <f t="shared" si="9"/>
        <v>0</v>
      </c>
    </row>
    <row r="875">
      <c r="A875" s="13" t="s">
        <v>2783</v>
      </c>
      <c r="B875" s="13" t="s">
        <v>3199</v>
      </c>
      <c r="C875" s="13" t="s">
        <v>227</v>
      </c>
      <c r="D875" s="13" t="s">
        <v>88</v>
      </c>
      <c r="E875" s="13" t="s">
        <v>229</v>
      </c>
      <c r="F875" s="10" t="s">
        <v>2783</v>
      </c>
      <c r="G875" s="10">
        <f t="shared" si="17"/>
        <v>1</v>
      </c>
      <c r="H875" s="10" t="s">
        <v>2794</v>
      </c>
      <c r="I875" s="10" t="b">
        <f t="shared" si="9"/>
        <v>0</v>
      </c>
    </row>
    <row r="876">
      <c r="A876" s="7" t="s">
        <v>2785</v>
      </c>
      <c r="B876" s="7" t="s">
        <v>3202</v>
      </c>
      <c r="C876" s="7" t="s">
        <v>227</v>
      </c>
      <c r="D876" s="7" t="s">
        <v>88</v>
      </c>
      <c r="E876" s="7" t="s">
        <v>229</v>
      </c>
      <c r="F876" s="15" t="s">
        <v>2785</v>
      </c>
      <c r="G876" s="10">
        <f t="shared" si="17"/>
        <v>1</v>
      </c>
      <c r="H876" s="15" t="s">
        <v>2797</v>
      </c>
      <c r="I876" s="10" t="b">
        <f t="shared" si="9"/>
        <v>0</v>
      </c>
    </row>
    <row r="877">
      <c r="A877" s="13" t="s">
        <v>2788</v>
      </c>
      <c r="B877" s="13" t="s">
        <v>3205</v>
      </c>
      <c r="C877" s="13" t="s">
        <v>227</v>
      </c>
      <c r="D877" s="13" t="s">
        <v>88</v>
      </c>
      <c r="E877" s="13" t="s">
        <v>229</v>
      </c>
      <c r="F877" s="10" t="s">
        <v>2788</v>
      </c>
      <c r="G877" s="10">
        <f t="shared" si="17"/>
        <v>1</v>
      </c>
      <c r="H877" s="10" t="s">
        <v>2800</v>
      </c>
      <c r="I877" s="10" t="b">
        <f t="shared" si="9"/>
        <v>0</v>
      </c>
    </row>
    <row r="878">
      <c r="A878" s="7" t="s">
        <v>2790</v>
      </c>
      <c r="B878" s="7" t="s">
        <v>3206</v>
      </c>
      <c r="C878" s="7" t="s">
        <v>227</v>
      </c>
      <c r="D878" s="7" t="s">
        <v>88</v>
      </c>
      <c r="E878" s="7" t="s">
        <v>229</v>
      </c>
      <c r="F878" s="15" t="s">
        <v>2790</v>
      </c>
      <c r="G878" s="10">
        <f t="shared" si="17"/>
        <v>1</v>
      </c>
      <c r="H878" s="15" t="s">
        <v>2802</v>
      </c>
      <c r="I878" s="10" t="b">
        <f t="shared" si="9"/>
        <v>0</v>
      </c>
    </row>
    <row r="879">
      <c r="A879" s="13" t="s">
        <v>2792</v>
      </c>
      <c r="B879" s="14" t="s">
        <v>3207</v>
      </c>
      <c r="C879" s="13" t="s">
        <v>22</v>
      </c>
      <c r="D879" s="13" t="s">
        <v>88</v>
      </c>
      <c r="E879" s="14" t="s">
        <v>426</v>
      </c>
      <c r="F879" s="10" t="s">
        <v>2792</v>
      </c>
      <c r="G879" s="10">
        <f t="shared" si="17"/>
        <v>1</v>
      </c>
      <c r="H879" s="10" t="s">
        <v>2805</v>
      </c>
      <c r="I879" s="10" t="b">
        <f t="shared" si="9"/>
        <v>0</v>
      </c>
    </row>
    <row r="880">
      <c r="A880" s="7" t="s">
        <v>2796</v>
      </c>
      <c r="B880" s="9" t="s">
        <v>3208</v>
      </c>
      <c r="C880" s="7" t="s">
        <v>227</v>
      </c>
      <c r="D880" s="7" t="s">
        <v>88</v>
      </c>
      <c r="E880" s="7" t="s">
        <v>229</v>
      </c>
      <c r="F880" s="15" t="s">
        <v>2796</v>
      </c>
      <c r="G880" s="10">
        <f t="shared" si="17"/>
        <v>1</v>
      </c>
      <c r="H880" s="15" t="s">
        <v>2807</v>
      </c>
      <c r="I880" s="10" t="b">
        <f t="shared" si="9"/>
        <v>0</v>
      </c>
    </row>
    <row r="881">
      <c r="A881" s="13" t="s">
        <v>2799</v>
      </c>
      <c r="B881" s="14" t="s">
        <v>3212</v>
      </c>
      <c r="C881" s="13" t="s">
        <v>22</v>
      </c>
      <c r="D881" s="13" t="s">
        <v>88</v>
      </c>
      <c r="E881" s="14" t="s">
        <v>218</v>
      </c>
      <c r="F881" s="10" t="s">
        <v>2799</v>
      </c>
      <c r="G881" s="10">
        <f t="shared" si="17"/>
        <v>1</v>
      </c>
      <c r="H881" s="10" t="s">
        <v>2809</v>
      </c>
      <c r="I881" s="10" t="b">
        <f t="shared" si="9"/>
        <v>0</v>
      </c>
    </row>
    <row r="882">
      <c r="A882" s="7" t="s">
        <v>2801</v>
      </c>
      <c r="B882" s="9" t="s">
        <v>3214</v>
      </c>
      <c r="C882" s="7" t="s">
        <v>22</v>
      </c>
      <c r="D882" s="7" t="s">
        <v>88</v>
      </c>
      <c r="E882" s="9" t="s">
        <v>214</v>
      </c>
      <c r="F882" s="15" t="s">
        <v>2801</v>
      </c>
      <c r="G882" s="10">
        <f t="shared" si="17"/>
        <v>1</v>
      </c>
      <c r="H882" s="15" t="s">
        <v>2812</v>
      </c>
      <c r="I882" s="10" t="b">
        <f t="shared" si="9"/>
        <v>0</v>
      </c>
    </row>
    <row r="883">
      <c r="A883" s="13" t="s">
        <v>2804</v>
      </c>
      <c r="B883" s="14" t="s">
        <v>3219</v>
      </c>
      <c r="C883" s="13" t="s">
        <v>87</v>
      </c>
      <c r="D883" s="13" t="s">
        <v>88</v>
      </c>
      <c r="E883" s="14" t="s">
        <v>802</v>
      </c>
      <c r="F883" s="10" t="s">
        <v>2804</v>
      </c>
      <c r="G883" s="10">
        <f t="shared" si="17"/>
        <v>1</v>
      </c>
      <c r="H883" s="10" t="s">
        <v>2813</v>
      </c>
      <c r="I883" s="10" t="b">
        <f t="shared" si="9"/>
        <v>0</v>
      </c>
    </row>
    <row r="884">
      <c r="A884" s="7" t="s">
        <v>2806</v>
      </c>
      <c r="B884" s="9" t="s">
        <v>3222</v>
      </c>
      <c r="C884" s="7" t="s">
        <v>227</v>
      </c>
      <c r="D884" s="7" t="s">
        <v>88</v>
      </c>
      <c r="E884" s="7" t="s">
        <v>229</v>
      </c>
      <c r="F884" s="15" t="s">
        <v>2806</v>
      </c>
      <c r="G884" s="10">
        <f t="shared" si="17"/>
        <v>1</v>
      </c>
      <c r="H884" s="15" t="s">
        <v>2815</v>
      </c>
      <c r="I884" s="10" t="b">
        <f t="shared" si="9"/>
        <v>0</v>
      </c>
    </row>
    <row r="885">
      <c r="A885" s="13" t="s">
        <v>2217</v>
      </c>
      <c r="B885" s="14" t="s">
        <v>2444</v>
      </c>
      <c r="C885" s="13" t="s">
        <v>22</v>
      </c>
      <c r="D885" s="13" t="s">
        <v>88</v>
      </c>
      <c r="E885" s="14" t="s">
        <v>3225</v>
      </c>
      <c r="F885" s="10" t="s">
        <v>2217</v>
      </c>
      <c r="G885" s="10">
        <f t="shared" si="17"/>
        <v>1</v>
      </c>
      <c r="H885" s="10" t="s">
        <v>2818</v>
      </c>
      <c r="I885" s="10" t="b">
        <f t="shared" si="9"/>
        <v>0</v>
      </c>
    </row>
    <row r="886">
      <c r="A886" s="7" t="s">
        <v>2811</v>
      </c>
      <c r="B886" s="9" t="s">
        <v>3227</v>
      </c>
      <c r="C886" s="7" t="s">
        <v>87</v>
      </c>
      <c r="D886" s="7" t="s">
        <v>88</v>
      </c>
      <c r="E886" s="7" t="s">
        <v>343</v>
      </c>
      <c r="F886" s="15" t="s">
        <v>2811</v>
      </c>
      <c r="G886" s="10">
        <f t="shared" si="17"/>
        <v>1</v>
      </c>
      <c r="H886" s="15" t="s">
        <v>2822</v>
      </c>
      <c r="I886" s="10" t="b">
        <f t="shared" si="9"/>
        <v>0</v>
      </c>
    </row>
    <row r="887">
      <c r="A887" s="13" t="s">
        <v>631</v>
      </c>
      <c r="B887" s="14" t="s">
        <v>3229</v>
      </c>
      <c r="C887" s="13" t="s">
        <v>227</v>
      </c>
      <c r="D887" s="13" t="s">
        <v>88</v>
      </c>
      <c r="E887" s="13" t="s">
        <v>229</v>
      </c>
      <c r="F887" s="10" t="s">
        <v>631</v>
      </c>
      <c r="G887" s="10">
        <f t="shared" si="17"/>
        <v>1</v>
      </c>
      <c r="H887" s="10" t="s">
        <v>2824</v>
      </c>
      <c r="I887" s="10" t="b">
        <f t="shared" si="9"/>
        <v>0</v>
      </c>
    </row>
    <row r="888">
      <c r="A888" s="7" t="s">
        <v>662</v>
      </c>
      <c r="B888" s="9" t="s">
        <v>3232</v>
      </c>
      <c r="C888" s="7" t="s">
        <v>227</v>
      </c>
      <c r="D888" s="7" t="s">
        <v>88</v>
      </c>
      <c r="E888" s="7" t="s">
        <v>229</v>
      </c>
      <c r="F888" s="15" t="s">
        <v>662</v>
      </c>
      <c r="G888" s="10">
        <f t="shared" si="17"/>
        <v>1</v>
      </c>
      <c r="H888" s="15" t="s">
        <v>3235</v>
      </c>
      <c r="I888" s="10" t="b">
        <f t="shared" si="9"/>
        <v>0</v>
      </c>
    </row>
    <row r="889">
      <c r="A889" s="13" t="s">
        <v>408</v>
      </c>
      <c r="B889" s="14" t="s">
        <v>3236</v>
      </c>
      <c r="C889" s="13" t="s">
        <v>227</v>
      </c>
      <c r="D889" s="13" t="s">
        <v>88</v>
      </c>
      <c r="E889" s="13" t="s">
        <v>229</v>
      </c>
      <c r="F889" s="10" t="s">
        <v>408</v>
      </c>
      <c r="G889" s="10">
        <f t="shared" si="17"/>
        <v>1</v>
      </c>
      <c r="H889" s="10" t="s">
        <v>2827</v>
      </c>
      <c r="I889" s="10" t="b">
        <f t="shared" si="9"/>
        <v>0</v>
      </c>
    </row>
    <row r="890">
      <c r="A890" s="7" t="s">
        <v>2819</v>
      </c>
      <c r="B890" s="9" t="s">
        <v>3237</v>
      </c>
      <c r="C890" s="7" t="s">
        <v>87</v>
      </c>
      <c r="D890" s="7" t="s">
        <v>88</v>
      </c>
      <c r="E890" s="7" t="s">
        <v>564</v>
      </c>
      <c r="F890" s="15" t="s">
        <v>2819</v>
      </c>
      <c r="G890" s="10">
        <f t="shared" si="17"/>
        <v>1</v>
      </c>
      <c r="H890" s="15" t="s">
        <v>2832</v>
      </c>
      <c r="I890" s="10" t="b">
        <f t="shared" si="9"/>
        <v>0</v>
      </c>
    </row>
    <row r="891">
      <c r="A891" s="13" t="s">
        <v>902</v>
      </c>
      <c r="B891" s="14" t="s">
        <v>3239</v>
      </c>
      <c r="C891" s="13" t="s">
        <v>87</v>
      </c>
      <c r="D891" s="13" t="s">
        <v>88</v>
      </c>
      <c r="E891" s="13" t="s">
        <v>564</v>
      </c>
      <c r="F891" s="10" t="s">
        <v>902</v>
      </c>
      <c r="G891" s="10">
        <f t="shared" si="17"/>
        <v>1</v>
      </c>
      <c r="H891" s="10" t="s">
        <v>2837</v>
      </c>
      <c r="I891" s="10" t="b">
        <f t="shared" si="9"/>
        <v>0</v>
      </c>
    </row>
    <row r="892">
      <c r="A892" s="7" t="s">
        <v>3242</v>
      </c>
      <c r="B892" s="9" t="s">
        <v>3243</v>
      </c>
      <c r="C892" s="7" t="s">
        <v>227</v>
      </c>
      <c r="D892" s="7" t="s">
        <v>88</v>
      </c>
      <c r="E892" s="7" t="s">
        <v>564</v>
      </c>
      <c r="F892" s="15" t="s">
        <v>3242</v>
      </c>
      <c r="G892" s="10">
        <f t="shared" si="17"/>
        <v>1</v>
      </c>
      <c r="H892" s="15" t="s">
        <v>2840</v>
      </c>
      <c r="I892" s="10" t="b">
        <f t="shared" si="9"/>
        <v>0</v>
      </c>
    </row>
    <row r="893">
      <c r="A893" s="13" t="s">
        <v>2826</v>
      </c>
      <c r="B893" s="13" t="s">
        <v>3245</v>
      </c>
      <c r="C893" s="13" t="s">
        <v>22</v>
      </c>
      <c r="D893" s="13" t="s">
        <v>88</v>
      </c>
      <c r="E893" s="14" t="s">
        <v>3249</v>
      </c>
      <c r="F893" s="10" t="s">
        <v>2826</v>
      </c>
      <c r="G893" s="10">
        <f t="shared" si="17"/>
        <v>1</v>
      </c>
      <c r="H893" s="10" t="s">
        <v>2842</v>
      </c>
      <c r="I893" s="10" t="b">
        <f t="shared" si="9"/>
        <v>0</v>
      </c>
    </row>
    <row r="894">
      <c r="A894" s="7" t="s">
        <v>2831</v>
      </c>
      <c r="B894" s="9" t="s">
        <v>3252</v>
      </c>
      <c r="C894" s="7" t="s">
        <v>22</v>
      </c>
      <c r="D894" s="7" t="s">
        <v>88</v>
      </c>
      <c r="E894" s="9" t="s">
        <v>3255</v>
      </c>
      <c r="F894" s="15" t="s">
        <v>2831</v>
      </c>
      <c r="G894" s="10">
        <f t="shared" si="17"/>
        <v>1</v>
      </c>
      <c r="H894" s="15" t="s">
        <v>2845</v>
      </c>
      <c r="I894" s="10" t="b">
        <f t="shared" si="9"/>
        <v>0</v>
      </c>
    </row>
    <row r="895">
      <c r="A895" s="13" t="s">
        <v>2836</v>
      </c>
      <c r="B895" s="14" t="s">
        <v>3257</v>
      </c>
      <c r="C895" s="13" t="s">
        <v>22</v>
      </c>
      <c r="D895" s="13" t="s">
        <v>88</v>
      </c>
      <c r="E895" s="14" t="s">
        <v>3260</v>
      </c>
      <c r="F895" s="10" t="s">
        <v>2836</v>
      </c>
      <c r="G895" s="10">
        <f t="shared" si="17"/>
        <v>1</v>
      </c>
      <c r="H895" s="10" t="s">
        <v>2847</v>
      </c>
      <c r="I895" s="10" t="b">
        <f t="shared" si="9"/>
        <v>0</v>
      </c>
    </row>
    <row r="896">
      <c r="A896" s="7" t="s">
        <v>2839</v>
      </c>
      <c r="B896" s="7" t="s">
        <v>3265</v>
      </c>
      <c r="C896" s="7" t="s">
        <v>22</v>
      </c>
      <c r="D896" s="7" t="s">
        <v>88</v>
      </c>
      <c r="E896" s="9" t="s">
        <v>2483</v>
      </c>
      <c r="F896" s="15" t="s">
        <v>2839</v>
      </c>
      <c r="G896" s="10">
        <f t="shared" si="17"/>
        <v>1</v>
      </c>
      <c r="H896" s="15" t="s">
        <v>2849</v>
      </c>
      <c r="I896" s="10" t="b">
        <f t="shared" si="9"/>
        <v>0</v>
      </c>
    </row>
    <row r="897">
      <c r="A897" s="13" t="s">
        <v>2841</v>
      </c>
      <c r="B897" s="13" t="s">
        <v>3268</v>
      </c>
      <c r="C897" s="13" t="s">
        <v>227</v>
      </c>
      <c r="D897" s="13" t="s">
        <v>88</v>
      </c>
      <c r="E897" s="13" t="s">
        <v>229</v>
      </c>
      <c r="F897" s="10" t="s">
        <v>2841</v>
      </c>
      <c r="G897" s="10">
        <f t="shared" si="17"/>
        <v>1</v>
      </c>
      <c r="H897" s="10" t="s">
        <v>2851</v>
      </c>
      <c r="I897" s="10" t="b">
        <f t="shared" si="9"/>
        <v>0</v>
      </c>
    </row>
    <row r="898">
      <c r="A898" s="7" t="s">
        <v>2843</v>
      </c>
      <c r="B898" s="7" t="s">
        <v>3271</v>
      </c>
      <c r="C898" s="7" t="s">
        <v>227</v>
      </c>
      <c r="D898" s="7" t="s">
        <v>88</v>
      </c>
      <c r="E898" s="7" t="s">
        <v>229</v>
      </c>
      <c r="F898" s="15" t="s">
        <v>2843</v>
      </c>
      <c r="G898" s="10">
        <f t="shared" si="17"/>
        <v>1</v>
      </c>
      <c r="H898" s="15" t="s">
        <v>2855</v>
      </c>
      <c r="I898" s="10" t="b">
        <f t="shared" si="9"/>
        <v>0</v>
      </c>
    </row>
    <row r="899">
      <c r="A899" s="13" t="s">
        <v>2846</v>
      </c>
      <c r="B899" s="13" t="s">
        <v>3274</v>
      </c>
      <c r="C899" s="13" t="s">
        <v>227</v>
      </c>
      <c r="D899" s="13" t="s">
        <v>88</v>
      </c>
      <c r="E899" s="13" t="s">
        <v>229</v>
      </c>
      <c r="F899" s="10" t="s">
        <v>2846</v>
      </c>
      <c r="G899" s="10">
        <f t="shared" si="17"/>
        <v>1</v>
      </c>
      <c r="H899" s="10" t="s">
        <v>2858</v>
      </c>
      <c r="I899" s="10" t="b">
        <f t="shared" si="9"/>
        <v>0</v>
      </c>
    </row>
    <row r="900">
      <c r="A900" s="7" t="s">
        <v>2848</v>
      </c>
      <c r="B900" s="7" t="s">
        <v>3277</v>
      </c>
      <c r="C900" s="7" t="s">
        <v>227</v>
      </c>
      <c r="D900" s="7" t="s">
        <v>88</v>
      </c>
      <c r="E900" s="7" t="s">
        <v>229</v>
      </c>
      <c r="F900" s="15" t="s">
        <v>2848</v>
      </c>
      <c r="G900" s="10">
        <f t="shared" si="17"/>
        <v>1</v>
      </c>
      <c r="H900" s="15" t="s">
        <v>2860</v>
      </c>
      <c r="I900" s="10" t="b">
        <f t="shared" si="9"/>
        <v>0</v>
      </c>
    </row>
    <row r="901">
      <c r="A901" s="13" t="s">
        <v>2850</v>
      </c>
      <c r="B901" s="13" t="s">
        <v>3281</v>
      </c>
      <c r="C901" s="13" t="s">
        <v>227</v>
      </c>
      <c r="D901" s="13" t="s">
        <v>88</v>
      </c>
      <c r="E901" s="13" t="s">
        <v>229</v>
      </c>
      <c r="F901" s="10" t="s">
        <v>2850</v>
      </c>
      <c r="G901" s="10">
        <f t="shared" si="17"/>
        <v>1</v>
      </c>
      <c r="H901" s="10" t="s">
        <v>2863</v>
      </c>
      <c r="I901" s="10" t="b">
        <f t="shared" si="9"/>
        <v>0</v>
      </c>
    </row>
    <row r="902">
      <c r="A902" s="7" t="s">
        <v>2852</v>
      </c>
      <c r="B902" s="9" t="s">
        <v>3287</v>
      </c>
      <c r="C902" s="7" t="s">
        <v>227</v>
      </c>
      <c r="D902" s="7" t="s">
        <v>88</v>
      </c>
      <c r="E902" s="7" t="s">
        <v>229</v>
      </c>
      <c r="F902" s="15" t="s">
        <v>2852</v>
      </c>
      <c r="G902" s="10">
        <f t="shared" si="17"/>
        <v>1</v>
      </c>
      <c r="H902" s="15" t="s">
        <v>2866</v>
      </c>
      <c r="I902" s="10" t="b">
        <f t="shared" si="9"/>
        <v>0</v>
      </c>
    </row>
    <row r="903">
      <c r="A903" s="13" t="s">
        <v>2856</v>
      </c>
      <c r="B903" s="13" t="s">
        <v>3291</v>
      </c>
      <c r="C903" s="13" t="s">
        <v>227</v>
      </c>
      <c r="D903" s="13" t="s">
        <v>88</v>
      </c>
      <c r="E903" s="13" t="s">
        <v>229</v>
      </c>
      <c r="F903" s="10" t="s">
        <v>2856</v>
      </c>
      <c r="G903" s="10">
        <f t="shared" si="17"/>
        <v>1</v>
      </c>
      <c r="H903" s="10" t="s">
        <v>2869</v>
      </c>
      <c r="I903" s="10" t="b">
        <f t="shared" si="9"/>
        <v>0</v>
      </c>
    </row>
    <row r="904">
      <c r="A904" s="7" t="s">
        <v>2859</v>
      </c>
      <c r="B904" s="9" t="s">
        <v>3296</v>
      </c>
      <c r="C904" s="7" t="s">
        <v>227</v>
      </c>
      <c r="D904" s="7" t="s">
        <v>88</v>
      </c>
      <c r="E904" s="7" t="s">
        <v>229</v>
      </c>
      <c r="F904" s="15" t="s">
        <v>2859</v>
      </c>
      <c r="G904" s="10">
        <f t="shared" si="17"/>
        <v>1</v>
      </c>
      <c r="H904" s="15" t="s">
        <v>2872</v>
      </c>
      <c r="I904" s="10" t="b">
        <f t="shared" si="9"/>
        <v>0</v>
      </c>
    </row>
    <row r="905">
      <c r="A905" s="13" t="s">
        <v>2861</v>
      </c>
      <c r="B905" s="14" t="s">
        <v>3300</v>
      </c>
      <c r="C905" s="13" t="s">
        <v>227</v>
      </c>
      <c r="D905" s="13" t="s">
        <v>88</v>
      </c>
      <c r="E905" s="13" t="s">
        <v>229</v>
      </c>
      <c r="F905" s="10" t="s">
        <v>2861</v>
      </c>
      <c r="G905" s="10">
        <f t="shared" si="17"/>
        <v>1</v>
      </c>
      <c r="H905" s="10" t="s">
        <v>2877</v>
      </c>
      <c r="I905" s="10" t="b">
        <f t="shared" si="9"/>
        <v>0</v>
      </c>
    </row>
    <row r="906">
      <c r="A906" s="7" t="s">
        <v>2865</v>
      </c>
      <c r="B906" s="9" t="s">
        <v>3305</v>
      </c>
      <c r="C906" s="7" t="s">
        <v>227</v>
      </c>
      <c r="D906" s="7" t="s">
        <v>88</v>
      </c>
      <c r="E906" s="7" t="s">
        <v>229</v>
      </c>
      <c r="F906" s="15" t="s">
        <v>2865</v>
      </c>
      <c r="G906" s="10">
        <f t="shared" si="17"/>
        <v>1</v>
      </c>
      <c r="H906" s="15" t="s">
        <v>2880</v>
      </c>
      <c r="I906" s="10" t="b">
        <f t="shared" si="9"/>
        <v>0</v>
      </c>
    </row>
    <row r="907">
      <c r="A907" s="13" t="s">
        <v>2868</v>
      </c>
      <c r="B907" s="14" t="s">
        <v>3308</v>
      </c>
      <c r="C907" s="13" t="s">
        <v>227</v>
      </c>
      <c r="D907" s="13" t="s">
        <v>88</v>
      </c>
      <c r="E907" s="13" t="s">
        <v>229</v>
      </c>
      <c r="F907" s="10" t="s">
        <v>2868</v>
      </c>
      <c r="G907" s="10">
        <f t="shared" si="17"/>
        <v>1</v>
      </c>
      <c r="H907" s="10" t="s">
        <v>2882</v>
      </c>
      <c r="I907" s="10" t="b">
        <f t="shared" si="9"/>
        <v>0</v>
      </c>
    </row>
    <row r="908">
      <c r="A908" s="7" t="s">
        <v>2871</v>
      </c>
      <c r="B908" s="7" t="s">
        <v>3311</v>
      </c>
      <c r="C908" s="7" t="s">
        <v>227</v>
      </c>
      <c r="D908" s="7" t="s">
        <v>88</v>
      </c>
      <c r="E908" s="7" t="s">
        <v>229</v>
      </c>
      <c r="F908" s="15" t="s">
        <v>2871</v>
      </c>
      <c r="G908" s="10">
        <f t="shared" si="17"/>
        <v>1</v>
      </c>
      <c r="H908" s="15" t="s">
        <v>2885</v>
      </c>
      <c r="I908" s="10" t="b">
        <f t="shared" si="9"/>
        <v>0</v>
      </c>
    </row>
    <row r="909">
      <c r="A909" s="13" t="s">
        <v>2876</v>
      </c>
      <c r="B909" s="13" t="s">
        <v>3315</v>
      </c>
      <c r="C909" s="13" t="s">
        <v>227</v>
      </c>
      <c r="D909" s="13" t="s">
        <v>88</v>
      </c>
      <c r="E909" s="13" t="s">
        <v>229</v>
      </c>
      <c r="F909" s="10" t="s">
        <v>2876</v>
      </c>
      <c r="G909" s="10">
        <f t="shared" si="17"/>
        <v>1</v>
      </c>
      <c r="H909" s="10" t="s">
        <v>2888</v>
      </c>
      <c r="I909" s="10" t="b">
        <f t="shared" si="9"/>
        <v>0</v>
      </c>
    </row>
    <row r="910">
      <c r="A910" s="7" t="s">
        <v>2878</v>
      </c>
      <c r="B910" s="9" t="s">
        <v>3316</v>
      </c>
      <c r="C910" s="7" t="s">
        <v>87</v>
      </c>
      <c r="D910" s="7" t="s">
        <v>88</v>
      </c>
      <c r="E910" s="7" t="s">
        <v>343</v>
      </c>
      <c r="F910" s="15" t="s">
        <v>2878</v>
      </c>
      <c r="G910" s="10">
        <f t="shared" si="17"/>
        <v>1</v>
      </c>
      <c r="H910" s="15" t="s">
        <v>2891</v>
      </c>
      <c r="I910" s="10" t="b">
        <f t="shared" si="9"/>
        <v>0</v>
      </c>
    </row>
    <row r="911">
      <c r="A911" s="13" t="s">
        <v>2881</v>
      </c>
      <c r="B911" s="13" t="s">
        <v>3318</v>
      </c>
      <c r="C911" s="13" t="s">
        <v>227</v>
      </c>
      <c r="D911" s="13" t="s">
        <v>88</v>
      </c>
      <c r="E911" s="13" t="s">
        <v>229</v>
      </c>
      <c r="F911" s="10" t="s">
        <v>2881</v>
      </c>
      <c r="G911" s="10">
        <f t="shared" si="17"/>
        <v>1</v>
      </c>
      <c r="H911" s="10" t="s">
        <v>2893</v>
      </c>
      <c r="I911" s="10" t="b">
        <f t="shared" si="9"/>
        <v>0</v>
      </c>
    </row>
    <row r="912">
      <c r="A912" s="7" t="s">
        <v>2884</v>
      </c>
      <c r="B912" s="9" t="s">
        <v>3319</v>
      </c>
      <c r="C912" s="7" t="s">
        <v>227</v>
      </c>
      <c r="D912" s="7" t="s">
        <v>88</v>
      </c>
      <c r="E912" s="7" t="s">
        <v>229</v>
      </c>
      <c r="F912" s="15" t="s">
        <v>2884</v>
      </c>
      <c r="G912" s="10">
        <f t="shared" si="17"/>
        <v>1</v>
      </c>
      <c r="H912" s="15" t="s">
        <v>2895</v>
      </c>
      <c r="I912" s="10" t="b">
        <f t="shared" si="9"/>
        <v>0</v>
      </c>
    </row>
    <row r="913">
      <c r="A913" s="13" t="s">
        <v>2886</v>
      </c>
      <c r="B913" s="13" t="s">
        <v>3321</v>
      </c>
      <c r="C913" s="13" t="s">
        <v>227</v>
      </c>
      <c r="D913" s="13" t="s">
        <v>88</v>
      </c>
      <c r="E913" s="13" t="s">
        <v>229</v>
      </c>
      <c r="F913" s="10" t="s">
        <v>2886</v>
      </c>
      <c r="G913" s="10">
        <f t="shared" si="17"/>
        <v>1</v>
      </c>
      <c r="H913" s="10" t="s">
        <v>2897</v>
      </c>
      <c r="I913" s="10" t="b">
        <f t="shared" si="9"/>
        <v>0</v>
      </c>
    </row>
    <row r="914">
      <c r="A914" s="7"/>
      <c r="B914" s="7"/>
      <c r="C914" s="7"/>
      <c r="D914" s="7"/>
      <c r="E914" s="7"/>
      <c r="G914" s="10" t="b">
        <f t="shared" ref="G914:G917" si="18">IF(F917=A914,1,FALSE)</f>
        <v>0</v>
      </c>
      <c r="H914" s="36"/>
      <c r="I914" s="10">
        <f t="shared" si="9"/>
        <v>1</v>
      </c>
    </row>
    <row r="915">
      <c r="A915" s="13"/>
      <c r="B915" s="13"/>
      <c r="C915" s="13"/>
      <c r="D915" s="13"/>
      <c r="E915" s="13"/>
      <c r="G915" s="10" t="b">
        <f t="shared" si="18"/>
        <v>0</v>
      </c>
      <c r="H915" s="37"/>
      <c r="I915" s="10">
        <f t="shared" si="9"/>
        <v>1</v>
      </c>
    </row>
    <row r="916">
      <c r="A916" s="7"/>
      <c r="B916" s="7"/>
      <c r="C916" s="7"/>
      <c r="D916" s="7"/>
      <c r="E916" s="7"/>
      <c r="G916" s="10" t="b">
        <f t="shared" si="18"/>
        <v>0</v>
      </c>
      <c r="H916" s="36"/>
      <c r="I916" s="10">
        <f t="shared" si="9"/>
        <v>1</v>
      </c>
    </row>
    <row r="917">
      <c r="A917" s="13" t="s">
        <v>2890</v>
      </c>
      <c r="B917" s="38" t="s">
        <v>3323</v>
      </c>
      <c r="C917" s="13"/>
      <c r="D917" s="13"/>
      <c r="E917" s="13"/>
      <c r="F917" s="15" t="s">
        <v>2890</v>
      </c>
      <c r="G917" s="10" t="b">
        <f t="shared" si="18"/>
        <v>0</v>
      </c>
      <c r="H917" s="37"/>
      <c r="I917" s="10" t="b">
        <f t="shared" si="9"/>
        <v>0</v>
      </c>
    </row>
    <row r="918">
      <c r="A918" s="7" t="s">
        <v>2892</v>
      </c>
      <c r="B918" s="39" t="s">
        <v>3325</v>
      </c>
      <c r="C918" s="7"/>
      <c r="D918" s="7"/>
      <c r="E918" s="7"/>
      <c r="F918" s="10" t="s">
        <v>2892</v>
      </c>
      <c r="G918" s="10" t="str">
        <f t="shared" ref="G918:G920" si="19">IF(#REF!=A918,1,FALSE)</f>
        <v>#REF!</v>
      </c>
      <c r="H918" s="36"/>
      <c r="I918" s="10" t="b">
        <f t="shared" si="9"/>
        <v>0</v>
      </c>
    </row>
    <row r="919">
      <c r="A919" s="13" t="s">
        <v>3326</v>
      </c>
      <c r="B919" s="38" t="s">
        <v>3327</v>
      </c>
      <c r="C919" s="13"/>
      <c r="D919" s="13"/>
      <c r="E919" s="13"/>
      <c r="F919" s="15" t="s">
        <v>2894</v>
      </c>
      <c r="G919" s="10" t="str">
        <f t="shared" si="19"/>
        <v>#REF!</v>
      </c>
      <c r="H919" s="37"/>
      <c r="I919" s="10" t="b">
        <f t="shared" si="9"/>
        <v>0</v>
      </c>
    </row>
    <row r="920">
      <c r="A920" s="7" t="s">
        <v>3328</v>
      </c>
      <c r="B920" s="39" t="s">
        <v>3329</v>
      </c>
      <c r="C920" s="7"/>
      <c r="D920" s="7"/>
      <c r="E920" s="7"/>
      <c r="F920" s="10" t="s">
        <v>2896</v>
      </c>
      <c r="G920" s="10" t="str">
        <f t="shared" si="19"/>
        <v>#REF!</v>
      </c>
      <c r="H920" s="36"/>
      <c r="I920" s="10" t="b">
        <f t="shared" si="9"/>
        <v>0</v>
      </c>
    </row>
    <row r="921">
      <c r="A921" s="13" t="s">
        <v>3330</v>
      </c>
      <c r="B921" s="38" t="s">
        <v>3331</v>
      </c>
      <c r="C921" s="13"/>
      <c r="D921" s="13"/>
      <c r="E921" s="13"/>
      <c r="F921" s="37"/>
      <c r="G921" s="10" t="b">
        <f t="shared" ref="G921:G998" si="20">IF(F921=A921,1,FALSE)</f>
        <v>0</v>
      </c>
      <c r="H921" s="37"/>
      <c r="I921" s="10" t="b">
        <f t="shared" si="9"/>
        <v>0</v>
      </c>
    </row>
    <row r="922">
      <c r="A922" s="7" t="s">
        <v>3332</v>
      </c>
      <c r="B922" s="39" t="s">
        <v>3333</v>
      </c>
      <c r="C922" s="7"/>
      <c r="D922" s="7"/>
      <c r="E922" s="7"/>
      <c r="F922" s="36"/>
      <c r="G922" s="10" t="b">
        <f t="shared" si="20"/>
        <v>0</v>
      </c>
      <c r="H922" s="36"/>
      <c r="I922" s="10" t="b">
        <f t="shared" si="9"/>
        <v>0</v>
      </c>
    </row>
    <row r="923">
      <c r="A923" s="13" t="s">
        <v>3334</v>
      </c>
      <c r="B923" s="38" t="s">
        <v>3335</v>
      </c>
      <c r="C923" s="13"/>
      <c r="D923" s="13"/>
      <c r="E923" s="13"/>
      <c r="F923" s="37"/>
      <c r="G923" s="10" t="b">
        <f t="shared" si="20"/>
        <v>0</v>
      </c>
      <c r="H923" s="37"/>
      <c r="I923" s="10" t="b">
        <f t="shared" si="9"/>
        <v>0</v>
      </c>
    </row>
    <row r="924">
      <c r="A924" s="7" t="s">
        <v>3336</v>
      </c>
      <c r="B924" s="39" t="s">
        <v>3337</v>
      </c>
      <c r="C924" s="7"/>
      <c r="D924" s="7"/>
      <c r="E924" s="7"/>
      <c r="F924" s="36"/>
      <c r="G924" s="10" t="b">
        <f t="shared" si="20"/>
        <v>0</v>
      </c>
      <c r="H924" s="36"/>
      <c r="I924" s="10" t="b">
        <f t="shared" si="9"/>
        <v>0</v>
      </c>
    </row>
    <row r="925">
      <c r="A925" s="13" t="s">
        <v>3338</v>
      </c>
      <c r="B925" s="38" t="s">
        <v>3339</v>
      </c>
      <c r="C925" s="13"/>
      <c r="D925" s="13"/>
      <c r="E925" s="13"/>
      <c r="F925" s="37"/>
      <c r="G925" s="10" t="b">
        <f t="shared" si="20"/>
        <v>0</v>
      </c>
      <c r="H925" s="37"/>
      <c r="I925" s="10" t="b">
        <f t="shared" si="9"/>
        <v>0</v>
      </c>
    </row>
    <row r="926">
      <c r="A926" s="7" t="s">
        <v>3340</v>
      </c>
      <c r="B926" s="39" t="s">
        <v>3341</v>
      </c>
      <c r="C926" s="7"/>
      <c r="D926" s="7"/>
      <c r="E926" s="7"/>
      <c r="F926" s="36"/>
      <c r="G926" s="10" t="b">
        <f t="shared" si="20"/>
        <v>0</v>
      </c>
      <c r="H926" s="36"/>
      <c r="I926" s="10" t="b">
        <f t="shared" si="9"/>
        <v>0</v>
      </c>
    </row>
    <row r="927">
      <c r="A927" s="13" t="s">
        <v>3342</v>
      </c>
      <c r="B927" s="38" t="s">
        <v>3343</v>
      </c>
      <c r="C927" s="13"/>
      <c r="D927" s="13"/>
      <c r="E927" s="13"/>
      <c r="F927" s="37"/>
      <c r="G927" s="10" t="b">
        <f t="shared" si="20"/>
        <v>0</v>
      </c>
      <c r="H927" s="37"/>
      <c r="I927" s="10" t="b">
        <f t="shared" si="9"/>
        <v>0</v>
      </c>
    </row>
    <row r="928">
      <c r="A928" s="7" t="s">
        <v>3347</v>
      </c>
      <c r="B928" s="39" t="s">
        <v>3349</v>
      </c>
      <c r="C928" s="7"/>
      <c r="D928" s="7"/>
      <c r="E928" s="7"/>
      <c r="F928" s="36"/>
      <c r="G928" s="10" t="b">
        <f t="shared" si="20"/>
        <v>0</v>
      </c>
      <c r="H928" s="36"/>
      <c r="I928" s="10" t="b">
        <f t="shared" si="9"/>
        <v>0</v>
      </c>
    </row>
    <row r="929">
      <c r="A929" s="13" t="s">
        <v>3362</v>
      </c>
      <c r="B929" s="38" t="s">
        <v>3365</v>
      </c>
      <c r="C929" s="13"/>
      <c r="D929" s="13"/>
      <c r="E929" s="13"/>
      <c r="F929" s="37"/>
      <c r="G929" s="10" t="b">
        <f t="shared" si="20"/>
        <v>0</v>
      </c>
      <c r="H929" s="37"/>
      <c r="I929" s="10" t="b">
        <f t="shared" si="9"/>
        <v>0</v>
      </c>
    </row>
    <row r="930">
      <c r="A930" s="7" t="s">
        <v>3372</v>
      </c>
      <c r="B930" s="39" t="s">
        <v>3374</v>
      </c>
      <c r="C930" s="7"/>
      <c r="D930" s="7"/>
      <c r="E930" s="7"/>
      <c r="F930" s="36"/>
      <c r="G930" s="10" t="b">
        <f t="shared" si="20"/>
        <v>0</v>
      </c>
      <c r="H930" s="36"/>
      <c r="I930" s="10" t="b">
        <f t="shared" si="9"/>
        <v>0</v>
      </c>
    </row>
    <row r="931">
      <c r="A931" s="13" t="s">
        <v>3380</v>
      </c>
      <c r="B931" s="38" t="s">
        <v>3382</v>
      </c>
      <c r="C931" s="13"/>
      <c r="D931" s="13"/>
      <c r="E931" s="13"/>
      <c r="F931" s="37"/>
      <c r="G931" s="10" t="b">
        <f t="shared" si="20"/>
        <v>0</v>
      </c>
      <c r="H931" s="37"/>
      <c r="I931" s="10" t="b">
        <f t="shared" si="9"/>
        <v>0</v>
      </c>
    </row>
    <row r="932">
      <c r="A932" s="7" t="s">
        <v>3390</v>
      </c>
      <c r="B932" s="39" t="s">
        <v>3392</v>
      </c>
      <c r="C932" s="7"/>
      <c r="D932" s="7"/>
      <c r="E932" s="7"/>
      <c r="F932" s="36"/>
      <c r="G932" s="10" t="b">
        <f t="shared" si="20"/>
        <v>0</v>
      </c>
      <c r="H932" s="36"/>
      <c r="I932" s="10" t="b">
        <f t="shared" si="9"/>
        <v>0</v>
      </c>
    </row>
    <row r="933">
      <c r="A933" s="13" t="s">
        <v>3398</v>
      </c>
      <c r="B933" s="38" t="s">
        <v>3400</v>
      </c>
      <c r="C933" s="13"/>
      <c r="D933" s="13"/>
      <c r="E933" s="13"/>
      <c r="F933" s="37"/>
      <c r="G933" s="10" t="b">
        <f t="shared" si="20"/>
        <v>0</v>
      </c>
      <c r="H933" s="37"/>
      <c r="I933" s="10" t="b">
        <f t="shared" si="9"/>
        <v>0</v>
      </c>
    </row>
    <row r="934">
      <c r="A934" s="7" t="s">
        <v>3406</v>
      </c>
      <c r="B934" s="39" t="s">
        <v>3407</v>
      </c>
      <c r="C934" s="7"/>
      <c r="D934" s="7"/>
      <c r="E934" s="7"/>
      <c r="F934" s="36"/>
      <c r="G934" s="10" t="b">
        <f t="shared" si="20"/>
        <v>0</v>
      </c>
      <c r="H934" s="36"/>
      <c r="I934" s="10" t="b">
        <f t="shared" si="9"/>
        <v>0</v>
      </c>
    </row>
    <row r="935">
      <c r="A935" s="13" t="s">
        <v>3415</v>
      </c>
      <c r="B935" s="38" t="s">
        <v>3418</v>
      </c>
      <c r="C935" s="13"/>
      <c r="D935" s="13"/>
      <c r="E935" s="13"/>
      <c r="F935" s="37"/>
      <c r="G935" s="10" t="b">
        <f t="shared" si="20"/>
        <v>0</v>
      </c>
      <c r="H935" s="37"/>
      <c r="I935" s="10" t="b">
        <f t="shared" si="9"/>
        <v>0</v>
      </c>
    </row>
    <row r="936">
      <c r="A936" s="7" t="s">
        <v>3423</v>
      </c>
      <c r="B936" s="39" t="s">
        <v>3424</v>
      </c>
      <c r="C936" s="7"/>
      <c r="D936" s="7"/>
      <c r="E936" s="7"/>
      <c r="F936" s="36"/>
      <c r="G936" s="10" t="b">
        <f t="shared" si="20"/>
        <v>0</v>
      </c>
      <c r="H936" s="36"/>
      <c r="I936" s="10" t="b">
        <f t="shared" si="9"/>
        <v>0</v>
      </c>
    </row>
    <row r="937">
      <c r="A937" s="13" t="s">
        <v>2894</v>
      </c>
      <c r="B937" s="38" t="s">
        <v>3425</v>
      </c>
      <c r="C937" s="13"/>
      <c r="D937" s="13"/>
      <c r="E937" s="13"/>
      <c r="F937" s="37"/>
      <c r="G937" s="10" t="b">
        <f t="shared" si="20"/>
        <v>0</v>
      </c>
      <c r="H937" s="37"/>
      <c r="I937" s="10" t="b">
        <f t="shared" si="9"/>
        <v>0</v>
      </c>
    </row>
    <row r="938">
      <c r="A938" s="7" t="s">
        <v>2896</v>
      </c>
      <c r="B938" s="39" t="s">
        <v>3427</v>
      </c>
      <c r="C938" s="7"/>
      <c r="D938" s="7"/>
      <c r="E938" s="7"/>
      <c r="F938" s="36"/>
      <c r="G938" s="10" t="b">
        <f t="shared" si="20"/>
        <v>0</v>
      </c>
      <c r="H938" s="36"/>
      <c r="I938" s="10" t="b">
        <f t="shared" si="9"/>
        <v>0</v>
      </c>
    </row>
    <row r="939">
      <c r="A939" s="13" t="s">
        <v>3429</v>
      </c>
      <c r="B939" s="38" t="s">
        <v>3430</v>
      </c>
      <c r="C939" s="13"/>
      <c r="D939" s="13"/>
      <c r="E939" s="13"/>
      <c r="F939" s="37"/>
      <c r="G939" s="10" t="b">
        <f t="shared" si="20"/>
        <v>0</v>
      </c>
      <c r="H939" s="37"/>
      <c r="I939" s="10" t="b">
        <f t="shared" si="9"/>
        <v>0</v>
      </c>
    </row>
    <row r="940">
      <c r="A940" s="7" t="s">
        <v>3433</v>
      </c>
      <c r="B940" s="39" t="s">
        <v>3434</v>
      </c>
      <c r="C940" s="7"/>
      <c r="D940" s="7"/>
      <c r="E940" s="7"/>
      <c r="F940" s="36"/>
      <c r="G940" s="10" t="b">
        <f t="shared" si="20"/>
        <v>0</v>
      </c>
      <c r="H940" s="36"/>
      <c r="I940" s="10" t="b">
        <f t="shared" si="9"/>
        <v>0</v>
      </c>
    </row>
    <row r="941">
      <c r="A941" s="13" t="s">
        <v>3435</v>
      </c>
      <c r="B941" s="38" t="s">
        <v>3437</v>
      </c>
      <c r="C941" s="13"/>
      <c r="D941" s="13"/>
      <c r="E941" s="13"/>
      <c r="F941" s="37"/>
      <c r="G941" s="10" t="b">
        <f t="shared" si="20"/>
        <v>0</v>
      </c>
      <c r="H941" s="37"/>
      <c r="I941" s="10" t="b">
        <f t="shared" si="9"/>
        <v>0</v>
      </c>
    </row>
    <row r="942">
      <c r="A942" s="7" t="s">
        <v>3442</v>
      </c>
      <c r="B942" s="39" t="s">
        <v>3443</v>
      </c>
      <c r="C942" s="7"/>
      <c r="D942" s="7"/>
      <c r="E942" s="7"/>
      <c r="F942" s="36"/>
      <c r="G942" s="10" t="b">
        <f t="shared" si="20"/>
        <v>0</v>
      </c>
      <c r="H942" s="36"/>
      <c r="I942" s="10" t="b">
        <f t="shared" si="9"/>
        <v>0</v>
      </c>
    </row>
    <row r="943">
      <c r="A943" s="13" t="s">
        <v>3448</v>
      </c>
      <c r="B943" s="38" t="s">
        <v>3450</v>
      </c>
      <c r="C943" s="13"/>
      <c r="D943" s="13"/>
      <c r="E943" s="13"/>
      <c r="F943" s="37"/>
      <c r="G943" s="10" t="b">
        <f t="shared" si="20"/>
        <v>0</v>
      </c>
      <c r="H943" s="37"/>
      <c r="I943" s="10" t="b">
        <f t="shared" si="9"/>
        <v>0</v>
      </c>
    </row>
    <row r="944">
      <c r="A944" s="7" t="s">
        <v>3455</v>
      </c>
      <c r="B944" s="39" t="s">
        <v>3457</v>
      </c>
      <c r="C944" s="7"/>
      <c r="D944" s="7"/>
      <c r="E944" s="7"/>
      <c r="F944" s="36"/>
      <c r="G944" s="10" t="b">
        <f t="shared" si="20"/>
        <v>0</v>
      </c>
      <c r="H944" s="36"/>
      <c r="I944" s="10" t="b">
        <f t="shared" si="9"/>
        <v>0</v>
      </c>
    </row>
    <row r="945">
      <c r="A945" s="13" t="s">
        <v>3462</v>
      </c>
      <c r="B945" s="38" t="s">
        <v>3463</v>
      </c>
      <c r="C945" s="13"/>
      <c r="D945" s="13"/>
      <c r="E945" s="13"/>
      <c r="F945" s="37"/>
      <c r="G945" s="10" t="b">
        <f t="shared" si="20"/>
        <v>0</v>
      </c>
      <c r="H945" s="37"/>
      <c r="I945" s="10" t="b">
        <f t="shared" si="9"/>
        <v>0</v>
      </c>
    </row>
    <row r="946">
      <c r="A946" s="7" t="s">
        <v>3466</v>
      </c>
      <c r="B946" s="39" t="s">
        <v>3467</v>
      </c>
      <c r="C946" s="7"/>
      <c r="D946" s="7"/>
      <c r="E946" s="7"/>
      <c r="F946" s="36"/>
      <c r="G946" s="10" t="b">
        <f t="shared" si="20"/>
        <v>0</v>
      </c>
      <c r="H946" s="36"/>
      <c r="I946" s="10" t="b">
        <f t="shared" si="9"/>
        <v>0</v>
      </c>
    </row>
    <row r="947">
      <c r="A947" s="13" t="s">
        <v>3470</v>
      </c>
      <c r="B947" s="38" t="s">
        <v>3472</v>
      </c>
      <c r="C947" s="13"/>
      <c r="D947" s="13"/>
      <c r="E947" s="13"/>
      <c r="F947" s="37"/>
      <c r="G947" s="10" t="b">
        <f t="shared" si="20"/>
        <v>0</v>
      </c>
      <c r="H947" s="37"/>
      <c r="I947" s="10" t="b">
        <f t="shared" si="9"/>
        <v>0</v>
      </c>
    </row>
    <row r="948">
      <c r="A948" s="7" t="s">
        <v>3476</v>
      </c>
      <c r="B948" s="39" t="s">
        <v>3478</v>
      </c>
      <c r="C948" s="7"/>
      <c r="D948" s="7"/>
      <c r="E948" s="7"/>
      <c r="F948" s="36"/>
      <c r="G948" s="10" t="b">
        <f t="shared" si="20"/>
        <v>0</v>
      </c>
      <c r="H948" s="36"/>
      <c r="I948" s="10" t="b">
        <f t="shared" si="9"/>
        <v>0</v>
      </c>
    </row>
    <row r="949">
      <c r="A949" s="13" t="s">
        <v>3482</v>
      </c>
      <c r="B949" s="38" t="s">
        <v>3484</v>
      </c>
      <c r="C949" s="13"/>
      <c r="D949" s="13"/>
      <c r="E949" s="13"/>
      <c r="F949" s="37"/>
      <c r="G949" s="10" t="b">
        <f t="shared" si="20"/>
        <v>0</v>
      </c>
      <c r="H949" s="37"/>
      <c r="I949" s="10" t="b">
        <f t="shared" si="9"/>
        <v>0</v>
      </c>
    </row>
    <row r="950">
      <c r="A950" s="7" t="s">
        <v>3487</v>
      </c>
      <c r="B950" s="39" t="s">
        <v>3488</v>
      </c>
      <c r="C950" s="7"/>
      <c r="D950" s="7"/>
      <c r="E950" s="7"/>
      <c r="F950" s="36"/>
      <c r="G950" s="10" t="b">
        <f t="shared" si="20"/>
        <v>0</v>
      </c>
      <c r="H950" s="36"/>
      <c r="I950" s="10" t="b">
        <f t="shared" si="9"/>
        <v>0</v>
      </c>
    </row>
    <row r="951">
      <c r="A951" s="13" t="s">
        <v>3489</v>
      </c>
      <c r="B951" s="38" t="s">
        <v>3490</v>
      </c>
      <c r="C951" s="13"/>
      <c r="D951" s="13"/>
      <c r="E951" s="13"/>
      <c r="F951" s="37"/>
      <c r="G951" s="10" t="b">
        <f t="shared" si="20"/>
        <v>0</v>
      </c>
      <c r="H951" s="37"/>
      <c r="I951" s="10" t="b">
        <f t="shared" si="9"/>
        <v>0</v>
      </c>
    </row>
    <row r="952">
      <c r="A952" s="7" t="s">
        <v>3491</v>
      </c>
      <c r="B952" s="39" t="s">
        <v>3492</v>
      </c>
      <c r="C952" s="7"/>
      <c r="D952" s="7"/>
      <c r="E952" s="7"/>
      <c r="F952" s="36"/>
      <c r="G952" s="10" t="b">
        <f t="shared" si="20"/>
        <v>0</v>
      </c>
      <c r="H952" s="36"/>
      <c r="I952" s="10" t="b">
        <f t="shared" si="9"/>
        <v>0</v>
      </c>
    </row>
    <row r="953">
      <c r="A953" s="13" t="s">
        <v>3493</v>
      </c>
      <c r="B953" s="38" t="s">
        <v>3494</v>
      </c>
      <c r="C953" s="13"/>
      <c r="D953" s="13"/>
      <c r="E953" s="13"/>
      <c r="F953" s="37"/>
      <c r="G953" s="10" t="b">
        <f t="shared" si="20"/>
        <v>0</v>
      </c>
      <c r="H953" s="37"/>
      <c r="I953" s="10" t="b">
        <f t="shared" si="9"/>
        <v>0</v>
      </c>
    </row>
    <row r="954">
      <c r="A954" s="7" t="s">
        <v>3495</v>
      </c>
      <c r="B954" s="39" t="s">
        <v>3496</v>
      </c>
      <c r="C954" s="7"/>
      <c r="D954" s="7"/>
      <c r="E954" s="7"/>
      <c r="F954" s="36"/>
      <c r="G954" s="10" t="b">
        <f t="shared" si="20"/>
        <v>0</v>
      </c>
      <c r="H954" s="36"/>
      <c r="I954" s="10" t="b">
        <f t="shared" si="9"/>
        <v>0</v>
      </c>
    </row>
    <row r="955">
      <c r="A955" s="13" t="s">
        <v>3497</v>
      </c>
      <c r="B955" s="38" t="s">
        <v>3498</v>
      </c>
      <c r="C955" s="13"/>
      <c r="D955" s="13"/>
      <c r="E955" s="13"/>
      <c r="F955" s="37"/>
      <c r="G955" s="10" t="b">
        <f t="shared" si="20"/>
        <v>0</v>
      </c>
      <c r="H955" s="37"/>
      <c r="I955" s="10" t="b">
        <f t="shared" si="9"/>
        <v>0</v>
      </c>
    </row>
    <row r="956">
      <c r="A956" s="7" t="s">
        <v>3500</v>
      </c>
      <c r="B956" s="42" t="s">
        <v>3501</v>
      </c>
      <c r="C956" s="7"/>
      <c r="D956" s="7"/>
      <c r="E956" s="7"/>
      <c r="F956" s="36"/>
      <c r="G956" s="10" t="b">
        <f t="shared" si="20"/>
        <v>0</v>
      </c>
      <c r="H956" s="36"/>
      <c r="I956" s="10" t="b">
        <f t="shared" si="9"/>
        <v>0</v>
      </c>
    </row>
    <row r="957">
      <c r="A957" s="13" t="s">
        <v>3502</v>
      </c>
      <c r="B957" s="38" t="s">
        <v>3503</v>
      </c>
      <c r="C957" s="13"/>
      <c r="D957" s="13"/>
      <c r="E957" s="13"/>
      <c r="F957" s="37"/>
      <c r="G957" s="10" t="b">
        <f t="shared" si="20"/>
        <v>0</v>
      </c>
      <c r="H957" s="37"/>
      <c r="I957" s="10" t="b">
        <f t="shared" si="9"/>
        <v>0</v>
      </c>
    </row>
    <row r="958">
      <c r="A958" s="7" t="s">
        <v>3504</v>
      </c>
      <c r="B958" s="39" t="s">
        <v>3505</v>
      </c>
      <c r="C958" s="7"/>
      <c r="D958" s="7"/>
      <c r="E958" s="7"/>
      <c r="F958" s="36"/>
      <c r="G958" s="10" t="b">
        <f t="shared" si="20"/>
        <v>0</v>
      </c>
      <c r="H958" s="37"/>
      <c r="I958" s="10" t="b">
        <f t="shared" si="9"/>
        <v>0</v>
      </c>
    </row>
    <row r="959">
      <c r="A959" s="13" t="s">
        <v>3506</v>
      </c>
      <c r="B959" s="38" t="s">
        <v>3507</v>
      </c>
      <c r="C959" s="13"/>
      <c r="D959" s="13"/>
      <c r="E959" s="13"/>
      <c r="F959" s="37"/>
      <c r="G959" s="10" t="b">
        <f t="shared" si="20"/>
        <v>0</v>
      </c>
      <c r="H959" s="36"/>
      <c r="I959" s="10" t="b">
        <f t="shared" si="9"/>
        <v>0</v>
      </c>
    </row>
    <row r="960">
      <c r="A960" s="7" t="s">
        <v>3508</v>
      </c>
      <c r="B960" s="39" t="s">
        <v>3509</v>
      </c>
      <c r="C960" s="7"/>
      <c r="D960" s="7"/>
      <c r="E960" s="7"/>
      <c r="F960" s="36"/>
      <c r="G960" s="10" t="b">
        <f t="shared" si="20"/>
        <v>0</v>
      </c>
      <c r="H960" s="37"/>
      <c r="I960" s="10" t="b">
        <f t="shared" si="9"/>
        <v>0</v>
      </c>
    </row>
    <row r="961">
      <c r="A961" s="13" t="s">
        <v>3511</v>
      </c>
      <c r="B961" s="38" t="s">
        <v>3512</v>
      </c>
      <c r="C961" s="13"/>
      <c r="D961" s="13"/>
      <c r="E961" s="13"/>
      <c r="F961" s="37"/>
      <c r="G961" s="10" t="b">
        <f t="shared" si="20"/>
        <v>0</v>
      </c>
      <c r="H961" s="36"/>
      <c r="I961" s="10" t="b">
        <f t="shared" si="9"/>
        <v>0</v>
      </c>
    </row>
    <row r="962">
      <c r="A962" s="7" t="s">
        <v>3513</v>
      </c>
      <c r="B962" s="39" t="s">
        <v>3514</v>
      </c>
      <c r="C962" s="7"/>
      <c r="D962" s="7"/>
      <c r="E962" s="7"/>
      <c r="F962" s="37"/>
      <c r="G962" s="10" t="b">
        <f t="shared" si="20"/>
        <v>0</v>
      </c>
      <c r="H962" s="37"/>
      <c r="I962" s="10" t="b">
        <f t="shared" si="9"/>
        <v>0</v>
      </c>
    </row>
    <row r="963">
      <c r="A963" s="13" t="s">
        <v>3515</v>
      </c>
      <c r="B963" s="38" t="s">
        <v>3516</v>
      </c>
      <c r="C963" s="13"/>
      <c r="D963" s="13"/>
      <c r="E963" s="13"/>
      <c r="F963" s="36"/>
      <c r="G963" s="10" t="b">
        <f t="shared" si="20"/>
        <v>0</v>
      </c>
      <c r="H963" s="36"/>
      <c r="I963" s="10" t="b">
        <f t="shared" si="9"/>
        <v>0</v>
      </c>
    </row>
    <row r="964">
      <c r="A964" s="7" t="s">
        <v>3517</v>
      </c>
      <c r="B964" s="39" t="s">
        <v>3518</v>
      </c>
      <c r="C964" s="7"/>
      <c r="D964" s="7"/>
      <c r="E964" s="7"/>
      <c r="F964" s="37"/>
      <c r="G964" s="10" t="b">
        <f t="shared" si="20"/>
        <v>0</v>
      </c>
      <c r="H964" s="37"/>
      <c r="I964" s="10" t="b">
        <f t="shared" si="9"/>
        <v>0</v>
      </c>
    </row>
    <row r="965">
      <c r="A965" s="13" t="s">
        <v>3520</v>
      </c>
      <c r="B965" s="38" t="s">
        <v>3521</v>
      </c>
      <c r="C965" s="13"/>
      <c r="D965" s="13"/>
      <c r="E965" s="13"/>
      <c r="F965" s="36"/>
      <c r="G965" s="10" t="b">
        <f t="shared" si="20"/>
        <v>0</v>
      </c>
      <c r="H965" s="36"/>
      <c r="I965" s="10" t="b">
        <f t="shared" si="9"/>
        <v>0</v>
      </c>
    </row>
    <row r="966">
      <c r="A966" s="7" t="s">
        <v>3522</v>
      </c>
      <c r="B966" s="39" t="s">
        <v>3523</v>
      </c>
      <c r="C966" s="7"/>
      <c r="D966" s="7"/>
      <c r="E966" s="7"/>
      <c r="F966" s="37"/>
      <c r="G966" s="10" t="b">
        <f t="shared" si="20"/>
        <v>0</v>
      </c>
      <c r="H966" s="37"/>
      <c r="I966" s="10" t="b">
        <f t="shared" si="9"/>
        <v>0</v>
      </c>
    </row>
    <row r="967">
      <c r="A967" s="13" t="s">
        <v>3524</v>
      </c>
      <c r="B967" s="38" t="s">
        <v>3525</v>
      </c>
      <c r="C967" s="13"/>
      <c r="D967" s="13"/>
      <c r="E967" s="13"/>
      <c r="F967" s="36"/>
      <c r="G967" s="10" t="b">
        <f t="shared" si="20"/>
        <v>0</v>
      </c>
      <c r="H967" s="36"/>
      <c r="I967" s="10" t="b">
        <f t="shared" si="9"/>
        <v>0</v>
      </c>
    </row>
    <row r="968">
      <c r="A968" s="7" t="s">
        <v>3526</v>
      </c>
      <c r="B968" s="39" t="s">
        <v>3527</v>
      </c>
      <c r="C968" s="7"/>
      <c r="D968" s="7"/>
      <c r="E968" s="7"/>
      <c r="F968" s="37"/>
      <c r="G968" s="10" t="b">
        <f t="shared" si="20"/>
        <v>0</v>
      </c>
      <c r="H968" s="37"/>
      <c r="I968" s="10" t="b">
        <f t="shared" si="9"/>
        <v>0</v>
      </c>
    </row>
    <row r="969">
      <c r="A969" s="13" t="s">
        <v>3529</v>
      </c>
      <c r="B969" s="38" t="s">
        <v>3530</v>
      </c>
      <c r="C969" s="13"/>
      <c r="D969" s="13"/>
      <c r="E969" s="13"/>
      <c r="F969" s="36"/>
      <c r="G969" s="10" t="b">
        <f t="shared" si="20"/>
        <v>0</v>
      </c>
      <c r="H969" s="36"/>
      <c r="I969" s="10" t="b">
        <f t="shared" si="9"/>
        <v>0</v>
      </c>
    </row>
    <row r="970">
      <c r="A970" s="7" t="s">
        <v>3531</v>
      </c>
      <c r="B970" s="39" t="s">
        <v>3532</v>
      </c>
      <c r="C970" s="7"/>
      <c r="D970" s="7"/>
      <c r="E970" s="7"/>
      <c r="F970" s="37"/>
      <c r="G970" s="10" t="b">
        <f t="shared" si="20"/>
        <v>0</v>
      </c>
      <c r="H970" s="37"/>
      <c r="I970" s="10" t="b">
        <f t="shared" si="9"/>
        <v>0</v>
      </c>
    </row>
    <row r="971">
      <c r="A971" s="13" t="s">
        <v>3533</v>
      </c>
      <c r="B971" s="38" t="s">
        <v>3534</v>
      </c>
      <c r="C971" s="13"/>
      <c r="D971" s="13"/>
      <c r="E971" s="13"/>
      <c r="F971" s="36"/>
      <c r="G971" s="10" t="b">
        <f t="shared" si="20"/>
        <v>0</v>
      </c>
      <c r="H971" s="36"/>
      <c r="I971" s="10" t="b">
        <f t="shared" si="9"/>
        <v>0</v>
      </c>
    </row>
    <row r="972">
      <c r="A972" s="22" t="s">
        <v>3536</v>
      </c>
      <c r="B972" s="23" t="s">
        <v>3537</v>
      </c>
      <c r="C972" s="7"/>
      <c r="D972" s="7"/>
      <c r="E972" s="7"/>
      <c r="F972" s="37"/>
      <c r="G972" s="10" t="b">
        <f t="shared" si="20"/>
        <v>0</v>
      </c>
      <c r="H972" s="37"/>
      <c r="I972" s="10" t="b">
        <f t="shared" si="9"/>
        <v>0</v>
      </c>
    </row>
    <row r="973">
      <c r="A973" s="22" t="s">
        <v>3538</v>
      </c>
      <c r="B973" s="23" t="s">
        <v>3539</v>
      </c>
      <c r="C973" s="13"/>
      <c r="D973" s="13"/>
      <c r="E973" s="13"/>
      <c r="F973" s="36"/>
      <c r="G973" s="10" t="b">
        <f t="shared" si="20"/>
        <v>0</v>
      </c>
      <c r="H973" s="36"/>
      <c r="I973" s="10" t="b">
        <f t="shared" si="9"/>
        <v>0</v>
      </c>
    </row>
    <row r="974">
      <c r="A974" s="22" t="s">
        <v>3540</v>
      </c>
      <c r="B974" s="24" t="s">
        <v>3541</v>
      </c>
      <c r="C974" s="7"/>
      <c r="D974" s="7"/>
      <c r="E974" s="7"/>
      <c r="F974" s="37"/>
      <c r="G974" s="10" t="b">
        <f t="shared" si="20"/>
        <v>0</v>
      </c>
      <c r="H974" s="37"/>
      <c r="I974" s="10" t="b">
        <f t="shared" si="9"/>
        <v>0</v>
      </c>
    </row>
    <row r="975">
      <c r="A975" s="22" t="s">
        <v>3542</v>
      </c>
      <c r="B975" s="22" t="s">
        <v>3543</v>
      </c>
      <c r="C975" s="13"/>
      <c r="D975" s="13"/>
      <c r="E975" s="13"/>
      <c r="F975" s="36"/>
      <c r="G975" s="10" t="b">
        <f t="shared" si="20"/>
        <v>0</v>
      </c>
      <c r="H975" s="36"/>
      <c r="I975" s="10" t="b">
        <f t="shared" si="9"/>
        <v>0</v>
      </c>
    </row>
    <row r="976">
      <c r="A976" s="22" t="s">
        <v>3545</v>
      </c>
      <c r="B976" s="22" t="s">
        <v>3546</v>
      </c>
      <c r="C976" s="7"/>
      <c r="D976" s="7"/>
      <c r="E976" s="7"/>
      <c r="F976" s="37"/>
      <c r="G976" s="10" t="b">
        <f t="shared" si="20"/>
        <v>0</v>
      </c>
      <c r="H976" s="37"/>
      <c r="I976" s="10" t="b">
        <f t="shared" si="9"/>
        <v>0</v>
      </c>
    </row>
    <row r="977">
      <c r="A977" s="22" t="s">
        <v>3547</v>
      </c>
      <c r="B977" s="22" t="s">
        <v>3548</v>
      </c>
      <c r="C977" s="13"/>
      <c r="D977" s="13"/>
      <c r="E977" s="13"/>
      <c r="F977" s="36"/>
      <c r="G977" s="10" t="b">
        <f t="shared" si="20"/>
        <v>0</v>
      </c>
      <c r="H977" s="36"/>
      <c r="I977" s="10" t="b">
        <f t="shared" si="9"/>
        <v>0</v>
      </c>
    </row>
    <row r="978">
      <c r="A978" s="22" t="s">
        <v>3549</v>
      </c>
      <c r="B978" s="22" t="s">
        <v>3550</v>
      </c>
      <c r="C978" s="7"/>
      <c r="D978" s="7"/>
      <c r="E978" s="7"/>
      <c r="F978" s="37"/>
      <c r="G978" s="10" t="b">
        <f t="shared" si="20"/>
        <v>0</v>
      </c>
      <c r="H978" s="37"/>
      <c r="I978" s="10" t="b">
        <f t="shared" si="9"/>
        <v>0</v>
      </c>
    </row>
    <row r="979">
      <c r="A979" s="22" t="s">
        <v>3551</v>
      </c>
      <c r="B979" s="25" t="s">
        <v>3552</v>
      </c>
      <c r="C979" s="13"/>
      <c r="D979" s="13"/>
      <c r="E979" s="13"/>
      <c r="F979" s="36"/>
      <c r="G979" s="10" t="b">
        <f t="shared" si="20"/>
        <v>0</v>
      </c>
      <c r="H979" s="36"/>
      <c r="I979" s="10" t="b">
        <f t="shared" si="9"/>
        <v>0</v>
      </c>
    </row>
    <row r="980">
      <c r="A980" s="22" t="s">
        <v>3555</v>
      </c>
      <c r="B980" s="22" t="s">
        <v>3556</v>
      </c>
      <c r="C980" s="7"/>
      <c r="D980" s="7"/>
      <c r="E980" s="7"/>
      <c r="F980" s="37"/>
      <c r="G980" s="10" t="b">
        <f t="shared" si="20"/>
        <v>0</v>
      </c>
      <c r="H980" s="37"/>
      <c r="I980" s="10" t="b">
        <f t="shared" si="9"/>
        <v>0</v>
      </c>
    </row>
    <row r="981">
      <c r="A981" s="22" t="s">
        <v>3557</v>
      </c>
      <c r="B981" s="22" t="s">
        <v>3558</v>
      </c>
      <c r="C981" s="13"/>
      <c r="D981" s="13"/>
      <c r="E981" s="13"/>
      <c r="F981" s="36"/>
      <c r="G981" s="10" t="b">
        <f t="shared" si="20"/>
        <v>0</v>
      </c>
      <c r="H981" s="36"/>
      <c r="I981" s="10" t="b">
        <f t="shared" si="9"/>
        <v>0</v>
      </c>
    </row>
    <row r="982">
      <c r="A982" s="22" t="s">
        <v>3559</v>
      </c>
      <c r="B982" s="22" t="s">
        <v>3560</v>
      </c>
      <c r="C982" s="7"/>
      <c r="D982" s="7"/>
      <c r="E982" s="7"/>
      <c r="F982" s="37"/>
      <c r="G982" s="10" t="b">
        <f t="shared" si="20"/>
        <v>0</v>
      </c>
      <c r="H982" s="37"/>
      <c r="I982" s="10" t="b">
        <f t="shared" si="9"/>
        <v>0</v>
      </c>
    </row>
    <row r="983">
      <c r="A983" s="22" t="s">
        <v>3561</v>
      </c>
      <c r="B983" s="22" t="s">
        <v>3562</v>
      </c>
      <c r="C983" s="13"/>
      <c r="D983" s="13"/>
      <c r="E983" s="13"/>
      <c r="F983" s="36"/>
      <c r="G983" s="10" t="b">
        <f t="shared" si="20"/>
        <v>0</v>
      </c>
      <c r="H983" s="36"/>
      <c r="I983" s="10" t="b">
        <f t="shared" si="9"/>
        <v>0</v>
      </c>
    </row>
    <row r="984">
      <c r="A984" s="22" t="s">
        <v>3563</v>
      </c>
      <c r="B984" s="22" t="s">
        <v>3564</v>
      </c>
      <c r="C984" s="7"/>
      <c r="D984" s="7"/>
      <c r="E984" s="7"/>
      <c r="F984" s="37"/>
      <c r="G984" s="10" t="b">
        <f t="shared" si="20"/>
        <v>0</v>
      </c>
      <c r="H984" s="37"/>
      <c r="I984" s="10" t="b">
        <f t="shared" si="9"/>
        <v>0</v>
      </c>
    </row>
    <row r="985">
      <c r="A985" s="22" t="s">
        <v>3565</v>
      </c>
      <c r="B985" s="22" t="s">
        <v>3566</v>
      </c>
      <c r="C985" s="13"/>
      <c r="D985" s="13"/>
      <c r="E985" s="13"/>
      <c r="F985" s="36"/>
      <c r="G985" s="10" t="b">
        <f t="shared" si="20"/>
        <v>0</v>
      </c>
      <c r="H985" s="36"/>
      <c r="I985" s="10" t="b">
        <f t="shared" si="9"/>
        <v>0</v>
      </c>
    </row>
    <row r="986">
      <c r="A986" s="22" t="s">
        <v>3567</v>
      </c>
      <c r="B986" s="22" t="s">
        <v>3566</v>
      </c>
      <c r="C986" s="7"/>
      <c r="D986" s="7"/>
      <c r="E986" s="7"/>
      <c r="F986" s="37"/>
      <c r="G986" s="10" t="b">
        <f t="shared" si="20"/>
        <v>0</v>
      </c>
      <c r="H986" s="37"/>
      <c r="I986" s="10" t="b">
        <f t="shared" si="9"/>
        <v>0</v>
      </c>
    </row>
    <row r="987">
      <c r="A987" s="26" t="s">
        <v>3568</v>
      </c>
      <c r="B987" s="27" t="s">
        <v>3570</v>
      </c>
      <c r="C987" s="13"/>
      <c r="D987" s="13"/>
      <c r="E987" s="13"/>
      <c r="F987" s="36"/>
      <c r="G987" s="10" t="b">
        <f t="shared" si="20"/>
        <v>0</v>
      </c>
      <c r="H987" s="36"/>
      <c r="I987" s="10" t="b">
        <f t="shared" si="9"/>
        <v>0</v>
      </c>
    </row>
    <row r="988">
      <c r="A988" s="26" t="s">
        <v>3571</v>
      </c>
      <c r="B988" s="28" t="s">
        <v>3509</v>
      </c>
      <c r="C988" s="7"/>
      <c r="D988" s="7"/>
      <c r="E988" s="7"/>
      <c r="F988" s="37"/>
      <c r="G988" s="10" t="b">
        <f t="shared" si="20"/>
        <v>0</v>
      </c>
      <c r="H988" s="37"/>
      <c r="I988" s="10" t="b">
        <f t="shared" si="9"/>
        <v>0</v>
      </c>
    </row>
    <row r="989">
      <c r="A989" s="29" t="s">
        <v>3572</v>
      </c>
      <c r="B989" s="30" t="s">
        <v>3573</v>
      </c>
      <c r="C989" s="13"/>
      <c r="D989" s="13"/>
      <c r="E989" s="13"/>
      <c r="F989" s="36"/>
      <c r="G989" s="10" t="b">
        <f t="shared" si="20"/>
        <v>0</v>
      </c>
      <c r="H989" s="36"/>
      <c r="I989" s="10" t="b">
        <f t="shared" si="9"/>
        <v>0</v>
      </c>
    </row>
    <row r="990">
      <c r="A990" s="29" t="s">
        <v>3574</v>
      </c>
      <c r="B990" s="30" t="s">
        <v>3575</v>
      </c>
      <c r="C990" s="7"/>
      <c r="D990" s="7"/>
      <c r="E990" s="7"/>
      <c r="F990" s="37"/>
      <c r="G990" s="10" t="b">
        <f t="shared" si="20"/>
        <v>0</v>
      </c>
      <c r="H990" s="37"/>
      <c r="I990" s="10" t="b">
        <f t="shared" si="9"/>
        <v>0</v>
      </c>
    </row>
    <row r="991">
      <c r="A991" s="29" t="s">
        <v>3576</v>
      </c>
      <c r="B991" s="30" t="s">
        <v>3577</v>
      </c>
      <c r="C991" s="13"/>
      <c r="D991" s="13"/>
      <c r="E991" s="13"/>
      <c r="F991" s="36"/>
      <c r="G991" s="10" t="b">
        <f t="shared" si="20"/>
        <v>0</v>
      </c>
      <c r="H991" s="36"/>
      <c r="I991" s="10" t="b">
        <f t="shared" si="9"/>
        <v>0</v>
      </c>
    </row>
    <row r="992">
      <c r="A992" s="29" t="s">
        <v>3578</v>
      </c>
      <c r="B992" s="30" t="s">
        <v>3579</v>
      </c>
      <c r="C992" s="7"/>
      <c r="D992" s="7"/>
      <c r="E992" s="7"/>
      <c r="F992" s="37"/>
      <c r="G992" s="10" t="b">
        <f t="shared" si="20"/>
        <v>0</v>
      </c>
      <c r="H992" s="37"/>
      <c r="I992" s="10" t="b">
        <f t="shared" si="9"/>
        <v>0</v>
      </c>
    </row>
    <row r="993">
      <c r="A993" s="29" t="s">
        <v>3580</v>
      </c>
      <c r="B993" s="30" t="s">
        <v>3581</v>
      </c>
      <c r="C993" s="7"/>
      <c r="D993" s="7"/>
      <c r="E993" s="7"/>
      <c r="F993" s="36"/>
      <c r="G993" s="10" t="b">
        <f t="shared" si="20"/>
        <v>0</v>
      </c>
      <c r="H993" s="36"/>
      <c r="I993" s="10" t="b">
        <f t="shared" si="9"/>
        <v>0</v>
      </c>
    </row>
    <row r="994">
      <c r="A994" s="22" t="s">
        <v>3582</v>
      </c>
      <c r="B994" s="23" t="s">
        <v>3583</v>
      </c>
      <c r="C994" s="38" t="s">
        <v>3584</v>
      </c>
      <c r="D994" s="13"/>
      <c r="E994" s="13"/>
      <c r="F994" s="37"/>
      <c r="G994" s="10" t="b">
        <f t="shared" si="20"/>
        <v>0</v>
      </c>
      <c r="H994" s="37"/>
      <c r="I994" s="10" t="b">
        <f t="shared" si="9"/>
        <v>0</v>
      </c>
    </row>
    <row r="995">
      <c r="A995" s="22" t="s">
        <v>3585</v>
      </c>
      <c r="B995" s="23" t="s">
        <v>3586</v>
      </c>
      <c r="C995" s="39" t="s">
        <v>3587</v>
      </c>
      <c r="D995" s="7"/>
      <c r="E995" s="7"/>
      <c r="F995" s="36"/>
      <c r="G995" s="10" t="b">
        <f t="shared" si="20"/>
        <v>0</v>
      </c>
      <c r="H995" s="36"/>
      <c r="I995" s="10" t="b">
        <f t="shared" si="9"/>
        <v>0</v>
      </c>
    </row>
    <row r="996">
      <c r="A996" s="22" t="s">
        <v>3588</v>
      </c>
      <c r="B996" s="23" t="s">
        <v>3589</v>
      </c>
      <c r="C996" s="38" t="s">
        <v>3587</v>
      </c>
      <c r="D996" s="13"/>
      <c r="E996" s="13"/>
      <c r="F996" s="37"/>
      <c r="G996" s="10" t="b">
        <f t="shared" si="20"/>
        <v>0</v>
      </c>
      <c r="H996" s="37"/>
      <c r="I996" s="10" t="b">
        <f t="shared" si="9"/>
        <v>0</v>
      </c>
    </row>
    <row r="997">
      <c r="A997" s="22" t="s">
        <v>3590</v>
      </c>
      <c r="B997" s="23" t="s">
        <v>3591</v>
      </c>
      <c r="C997" s="39" t="s">
        <v>3587</v>
      </c>
      <c r="D997" s="7"/>
      <c r="E997" s="7"/>
      <c r="F997" s="36"/>
      <c r="G997" s="10" t="b">
        <f t="shared" si="20"/>
        <v>0</v>
      </c>
      <c r="H997" s="36"/>
      <c r="I997" s="10" t="b">
        <f t="shared" si="9"/>
        <v>0</v>
      </c>
    </row>
    <row r="998">
      <c r="A998" s="22" t="s">
        <v>3592</v>
      </c>
      <c r="B998" s="23" t="s">
        <v>3593</v>
      </c>
      <c r="C998" s="38" t="s">
        <v>3587</v>
      </c>
      <c r="D998" s="13"/>
      <c r="E998" s="13"/>
      <c r="F998" s="37"/>
      <c r="G998" s="10" t="b">
        <f t="shared" si="20"/>
        <v>0</v>
      </c>
      <c r="H998" s="37"/>
      <c r="I998" s="10" t="b">
        <f t="shared" si="9"/>
        <v>0</v>
      </c>
    </row>
    <row r="999">
      <c r="A999" s="22"/>
      <c r="B999" s="23"/>
      <c r="C999" s="7"/>
      <c r="D999" s="7"/>
      <c r="E999" s="7"/>
      <c r="F999" s="36"/>
      <c r="G999" s="36"/>
      <c r="H999" s="36"/>
      <c r="I999" s="37"/>
    </row>
    <row r="1000">
      <c r="A1000" s="22"/>
      <c r="B1000" s="23"/>
      <c r="C1000" s="13"/>
      <c r="D1000" s="13"/>
      <c r="E1000" s="13"/>
      <c r="F1000" s="37"/>
      <c r="G1000" s="37"/>
      <c r="H1000" s="37"/>
      <c r="I1000" s="36"/>
    </row>
    <row r="1001">
      <c r="A1001" s="22"/>
      <c r="B1001" s="23"/>
      <c r="C1001" s="7"/>
      <c r="D1001" s="7"/>
      <c r="E1001" s="7"/>
      <c r="F1001" s="36"/>
      <c r="G1001" s="36"/>
      <c r="H1001" s="36"/>
      <c r="I1001" s="37"/>
    </row>
    <row r="1002">
      <c r="A1002" s="22"/>
      <c r="B1002" s="23"/>
      <c r="C1002" s="13"/>
      <c r="D1002" s="13"/>
      <c r="E1002" s="13"/>
      <c r="F1002" s="37"/>
      <c r="G1002" s="37"/>
      <c r="H1002" s="37"/>
      <c r="I1002" s="36"/>
    </row>
    <row r="1003">
      <c r="A1003" s="22"/>
      <c r="B1003" s="23"/>
      <c r="C1003" s="7"/>
      <c r="D1003" s="7"/>
      <c r="E1003" s="7"/>
      <c r="F1003" s="36"/>
      <c r="G1003" s="36"/>
      <c r="H1003" s="36"/>
      <c r="I1003" s="37"/>
    </row>
    <row r="1004">
      <c r="A1004" s="22"/>
      <c r="B1004" s="23"/>
      <c r="C1004" s="13"/>
      <c r="D1004" s="13"/>
      <c r="E1004" s="13"/>
      <c r="F1004" s="37"/>
      <c r="G1004" s="37"/>
      <c r="H1004" s="37"/>
      <c r="I1004" s="36"/>
    </row>
    <row r="1005">
      <c r="A1005" s="22"/>
      <c r="B1005" s="23"/>
      <c r="C1005" s="7"/>
      <c r="D1005" s="7"/>
      <c r="E1005" s="7"/>
      <c r="F1005" s="36"/>
      <c r="G1005" s="36"/>
      <c r="H1005" s="36"/>
      <c r="I1005" s="37"/>
    </row>
    <row r="1006">
      <c r="A1006" s="22"/>
      <c r="B1006" s="23"/>
      <c r="C1006" s="13"/>
      <c r="D1006" s="13"/>
      <c r="E1006" s="13"/>
      <c r="F1006" s="37"/>
      <c r="G1006" s="37"/>
      <c r="H1006" s="37"/>
      <c r="I1006" s="36"/>
    </row>
    <row r="1007">
      <c r="A1007" s="22"/>
      <c r="B1007" s="23"/>
      <c r="C1007" s="7"/>
      <c r="D1007" s="7"/>
      <c r="E1007" s="7"/>
      <c r="F1007" s="36"/>
      <c r="G1007" s="36"/>
      <c r="H1007" s="36"/>
      <c r="I1007" s="37"/>
    </row>
    <row r="1008">
      <c r="A1008" s="22"/>
      <c r="B1008" s="23"/>
      <c r="C1008" s="13"/>
      <c r="D1008" s="13"/>
      <c r="E1008" s="13"/>
      <c r="F1008" s="37"/>
      <c r="G1008" s="37"/>
      <c r="H1008" s="37"/>
      <c r="I1008" s="36"/>
    </row>
    <row r="1009">
      <c r="A1009" s="22"/>
      <c r="B1009" s="23"/>
      <c r="C1009" s="7"/>
      <c r="D1009" s="7"/>
      <c r="E1009" s="7"/>
      <c r="F1009" s="36"/>
      <c r="G1009" s="36"/>
      <c r="H1009" s="36"/>
      <c r="I1009" s="37"/>
    </row>
    <row r="1010">
      <c r="A1010" s="22"/>
      <c r="B1010" s="23"/>
      <c r="C1010" s="13"/>
      <c r="D1010" s="13"/>
      <c r="E1010" s="13"/>
      <c r="F1010" s="37"/>
      <c r="G1010" s="37"/>
      <c r="H1010" s="37"/>
      <c r="I1010" s="36"/>
    </row>
    <row r="1011">
      <c r="A1011" s="22"/>
      <c r="B1011" s="23"/>
      <c r="C1011" s="7"/>
      <c r="D1011" s="7"/>
      <c r="E1011" s="7"/>
      <c r="F1011" s="36"/>
      <c r="G1011" s="36"/>
      <c r="H1011" s="36"/>
      <c r="I1011" s="37"/>
    </row>
    <row r="1012">
      <c r="A1012" s="22"/>
      <c r="B1012" s="23"/>
      <c r="C1012" s="13"/>
      <c r="D1012" s="13"/>
      <c r="E1012" s="13"/>
      <c r="F1012" s="37"/>
      <c r="G1012" s="37"/>
      <c r="H1012" s="37"/>
      <c r="I1012" s="36"/>
    </row>
    <row r="1013">
      <c r="A1013" s="22"/>
      <c r="B1013" s="23"/>
      <c r="C1013" s="7"/>
      <c r="D1013" s="7"/>
      <c r="E1013" s="7"/>
      <c r="F1013" s="36"/>
      <c r="G1013" s="36"/>
      <c r="H1013" s="36"/>
      <c r="I1013" s="37"/>
    </row>
    <row r="1014">
      <c r="A1014" s="22"/>
      <c r="B1014" s="23"/>
      <c r="C1014" s="13"/>
      <c r="D1014" s="13"/>
      <c r="E1014" s="13"/>
      <c r="F1014" s="37"/>
      <c r="G1014" s="37"/>
      <c r="H1014" s="37"/>
      <c r="I1014" s="36"/>
    </row>
    <row r="1015">
      <c r="A1015" s="22"/>
      <c r="B1015" s="23"/>
      <c r="C1015" s="7"/>
      <c r="D1015" s="7"/>
      <c r="E1015" s="7"/>
      <c r="F1015" s="36"/>
      <c r="G1015" s="36"/>
      <c r="H1015" s="36"/>
      <c r="I1015" s="37"/>
    </row>
    <row r="1016">
      <c r="A1016" s="22"/>
      <c r="B1016" s="23"/>
      <c r="C1016" s="13"/>
      <c r="D1016" s="13"/>
      <c r="E1016" s="13"/>
      <c r="F1016" s="37"/>
      <c r="G1016" s="37"/>
      <c r="H1016" s="37"/>
      <c r="I1016" s="36"/>
    </row>
    <row r="1017">
      <c r="A1017" s="22"/>
      <c r="B1017" s="23"/>
      <c r="C1017" s="7"/>
      <c r="D1017" s="7"/>
      <c r="E1017" s="7"/>
      <c r="F1017" s="36"/>
      <c r="G1017" s="36"/>
      <c r="H1017" s="36"/>
      <c r="I1017" s="37"/>
    </row>
    <row r="1018">
      <c r="A1018" s="22"/>
      <c r="B1018" s="23"/>
      <c r="C1018" s="13"/>
      <c r="D1018" s="13"/>
      <c r="E1018" s="13"/>
      <c r="F1018" s="37"/>
      <c r="G1018" s="37"/>
      <c r="H1018" s="37"/>
      <c r="I1018" s="36"/>
    </row>
    <row r="1019">
      <c r="A1019" s="22"/>
      <c r="B1019" s="23"/>
      <c r="C1019" s="7"/>
      <c r="D1019" s="7"/>
      <c r="E1019" s="7"/>
      <c r="F1019" s="36"/>
      <c r="G1019" s="36"/>
      <c r="H1019" s="36"/>
      <c r="I1019" s="37"/>
    </row>
    <row r="1020">
      <c r="A1020" s="22"/>
      <c r="B1020" s="23"/>
      <c r="C1020" s="13"/>
      <c r="D1020" s="13"/>
      <c r="E1020" s="13"/>
      <c r="F1020" s="37"/>
      <c r="G1020" s="37"/>
      <c r="H1020" s="37"/>
      <c r="I1020" s="36"/>
    </row>
    <row r="1021">
      <c r="A1021" s="22"/>
      <c r="B1021" s="23"/>
      <c r="C1021" s="7"/>
      <c r="D1021" s="7"/>
      <c r="E1021" s="7"/>
      <c r="F1021" s="36"/>
      <c r="G1021" s="36"/>
      <c r="H1021" s="36"/>
      <c r="I1021" s="37"/>
    </row>
    <row r="1022">
      <c r="A1022" s="22"/>
      <c r="B1022" s="23"/>
      <c r="C1022" s="13"/>
      <c r="D1022" s="13"/>
      <c r="E1022" s="13"/>
      <c r="F1022" s="37"/>
      <c r="G1022" s="37"/>
      <c r="H1022" s="37"/>
      <c r="I1022" s="36"/>
    </row>
    <row r="1023">
      <c r="A1023" s="22"/>
      <c r="B1023" s="23"/>
      <c r="C1023" s="7"/>
      <c r="D1023" s="7"/>
      <c r="E1023" s="7"/>
      <c r="F1023" s="36"/>
      <c r="G1023" s="36"/>
      <c r="H1023" s="36"/>
      <c r="I1023" s="37"/>
    </row>
    <row r="1024">
      <c r="A1024" s="22"/>
      <c r="B1024" s="23"/>
      <c r="C1024" s="13"/>
      <c r="D1024" s="13"/>
      <c r="E1024" s="13"/>
      <c r="F1024" s="37"/>
      <c r="G1024" s="37"/>
      <c r="H1024" s="37"/>
      <c r="I1024" s="36"/>
    </row>
    <row r="1025">
      <c r="A1025" s="22"/>
      <c r="B1025" s="23"/>
      <c r="C1025" s="7"/>
      <c r="D1025" s="7"/>
      <c r="E1025" s="7"/>
      <c r="F1025" s="36"/>
      <c r="G1025" s="36"/>
      <c r="H1025" s="36"/>
      <c r="I1025" s="37"/>
    </row>
    <row r="1026">
      <c r="A1026" s="22"/>
      <c r="B1026" s="23"/>
      <c r="C1026" s="13"/>
      <c r="D1026" s="13"/>
      <c r="E1026" s="13"/>
      <c r="F1026" s="37"/>
      <c r="G1026" s="37"/>
      <c r="H1026" s="37"/>
      <c r="I1026" s="36"/>
    </row>
    <row r="1027">
      <c r="A1027" s="22"/>
      <c r="B1027" s="23"/>
      <c r="C1027" s="7"/>
      <c r="D1027" s="7"/>
      <c r="E1027" s="7"/>
      <c r="F1027" s="36"/>
      <c r="G1027" s="36"/>
      <c r="H1027" s="36"/>
      <c r="I1027" s="37"/>
    </row>
    <row r="1028">
      <c r="A1028" s="22"/>
      <c r="B1028" s="23"/>
      <c r="C1028" s="13"/>
      <c r="D1028" s="13"/>
      <c r="E1028" s="13"/>
      <c r="F1028" s="37"/>
      <c r="G1028" s="37"/>
      <c r="H1028" s="37"/>
      <c r="I1028" s="36"/>
    </row>
    <row r="1029">
      <c r="A1029" s="22"/>
      <c r="B1029" s="23"/>
      <c r="C1029" s="7"/>
      <c r="D1029" s="7"/>
      <c r="E1029" s="7"/>
      <c r="F1029" s="36"/>
      <c r="G1029" s="36"/>
      <c r="H1029" s="36"/>
      <c r="I1029" s="37"/>
    </row>
    <row r="1030">
      <c r="A1030" s="22"/>
      <c r="B1030" s="23"/>
      <c r="C1030" s="13"/>
      <c r="D1030" s="13"/>
      <c r="E1030" s="13"/>
      <c r="F1030" s="37"/>
      <c r="G1030" s="37"/>
      <c r="H1030" s="37"/>
      <c r="I1030" s="36"/>
    </row>
    <row r="1031">
      <c r="A1031" s="22"/>
      <c r="B1031" s="23"/>
      <c r="C1031" s="7"/>
      <c r="D1031" s="7"/>
      <c r="E1031" s="7"/>
      <c r="F1031" s="36"/>
      <c r="G1031" s="36"/>
      <c r="H1031" s="36"/>
      <c r="I1031" s="37"/>
    </row>
    <row r="1032">
      <c r="A1032" s="22"/>
      <c r="B1032" s="23"/>
      <c r="C1032" s="13"/>
      <c r="D1032" s="13"/>
      <c r="E1032" s="13"/>
      <c r="F1032" s="37"/>
      <c r="G1032" s="37"/>
      <c r="H1032" s="37"/>
      <c r="I1032" s="36"/>
    </row>
    <row r="1033">
      <c r="A1033" s="22"/>
      <c r="B1033" s="23"/>
      <c r="C1033" s="7"/>
      <c r="D1033" s="7"/>
      <c r="E1033" s="7"/>
      <c r="F1033" s="36"/>
      <c r="G1033" s="36"/>
      <c r="H1033" s="36"/>
      <c r="I1033" s="37"/>
    </row>
    <row r="1034">
      <c r="A1034" s="22"/>
      <c r="B1034" s="23"/>
      <c r="C1034" s="13"/>
      <c r="D1034" s="13"/>
      <c r="E1034" s="13"/>
      <c r="F1034" s="37"/>
      <c r="G1034" s="37"/>
      <c r="H1034" s="37"/>
      <c r="I1034" s="36"/>
    </row>
    <row r="1035">
      <c r="A1035" s="22"/>
      <c r="B1035" s="23"/>
      <c r="C1035" s="7"/>
      <c r="D1035" s="7"/>
      <c r="E1035" s="7"/>
      <c r="F1035" s="36"/>
      <c r="G1035" s="36"/>
      <c r="H1035" s="36"/>
      <c r="I1035" s="37"/>
    </row>
    <row r="1036">
      <c r="A1036" s="22"/>
      <c r="B1036" s="23"/>
      <c r="C1036" s="13"/>
      <c r="D1036" s="13"/>
      <c r="E1036" s="13"/>
      <c r="F1036" s="37"/>
      <c r="G1036" s="37"/>
      <c r="H1036" s="37"/>
      <c r="I1036" s="36"/>
    </row>
    <row r="1037">
      <c r="A1037" s="22"/>
      <c r="B1037" s="23"/>
      <c r="C1037" s="7"/>
      <c r="D1037" s="7"/>
      <c r="E1037" s="7"/>
      <c r="F1037" s="36"/>
      <c r="G1037" s="36"/>
      <c r="H1037" s="36"/>
      <c r="I1037" s="37"/>
    </row>
    <row r="1038">
      <c r="A1038" s="22"/>
      <c r="B1038" s="23"/>
      <c r="C1038" s="13"/>
      <c r="D1038" s="13"/>
      <c r="E1038" s="13"/>
      <c r="F1038" s="37"/>
      <c r="G1038" s="37"/>
      <c r="H1038" s="37"/>
      <c r="I1038" s="36"/>
    </row>
    <row r="1039">
      <c r="A1039" s="22"/>
      <c r="B1039" s="23"/>
      <c r="C1039" s="7"/>
      <c r="D1039" s="7"/>
      <c r="E1039" s="7"/>
      <c r="F1039" s="36"/>
      <c r="G1039" s="36"/>
      <c r="H1039" s="36"/>
      <c r="I1039" s="37"/>
    </row>
    <row r="1040">
      <c r="A1040" s="22"/>
      <c r="B1040" s="23"/>
      <c r="C1040" s="13"/>
      <c r="D1040" s="13"/>
      <c r="E1040" s="13"/>
      <c r="F1040" s="37"/>
      <c r="G1040" s="37"/>
      <c r="H1040" s="37"/>
      <c r="I1040" s="36"/>
    </row>
    <row r="1041">
      <c r="A1041" s="22"/>
      <c r="B1041" s="23"/>
      <c r="C1041" s="7"/>
      <c r="D1041" s="7"/>
      <c r="E1041" s="7"/>
      <c r="F1041" s="36"/>
      <c r="G1041" s="36"/>
      <c r="H1041" s="36"/>
      <c r="I1041" s="37"/>
    </row>
    <row r="1042">
      <c r="A1042" s="22"/>
      <c r="B1042" s="23"/>
      <c r="C1042" s="13"/>
      <c r="D1042" s="13"/>
      <c r="E1042" s="13"/>
      <c r="F1042" s="37"/>
      <c r="G1042" s="37"/>
      <c r="H1042" s="37"/>
      <c r="I1042" s="36"/>
    </row>
    <row r="1043">
      <c r="A1043" s="22"/>
      <c r="B1043" s="23"/>
      <c r="C1043" s="7"/>
      <c r="D1043" s="7"/>
      <c r="E1043" s="7"/>
      <c r="F1043" s="36"/>
      <c r="G1043" s="36"/>
      <c r="H1043" s="36"/>
      <c r="I1043" s="37"/>
    </row>
    <row r="1044">
      <c r="A1044" s="22"/>
      <c r="B1044" s="23"/>
      <c r="C1044" s="13"/>
      <c r="D1044" s="13"/>
      <c r="E1044" s="13"/>
      <c r="F1044" s="37"/>
      <c r="G1044" s="37"/>
      <c r="H1044" s="37"/>
      <c r="I1044" s="36"/>
    </row>
    <row r="1045">
      <c r="A1045" s="22"/>
      <c r="B1045" s="23"/>
      <c r="C1045" s="7"/>
      <c r="D1045" s="7"/>
      <c r="E1045" s="7"/>
      <c r="F1045" s="36"/>
      <c r="G1045" s="36"/>
      <c r="H1045" s="36"/>
      <c r="I1045" s="37"/>
    </row>
    <row r="1046">
      <c r="A1046" s="22"/>
      <c r="B1046" s="23"/>
      <c r="C1046" s="13"/>
      <c r="D1046" s="13"/>
      <c r="E1046" s="13"/>
      <c r="F1046" s="37"/>
      <c r="G1046" s="37"/>
      <c r="H1046" s="37"/>
      <c r="I1046" s="36"/>
    </row>
    <row r="1047">
      <c r="A1047" s="22"/>
      <c r="B1047" s="23"/>
      <c r="C1047" s="7"/>
      <c r="D1047" s="7"/>
      <c r="E1047" s="7"/>
      <c r="F1047" s="36"/>
      <c r="G1047" s="36"/>
      <c r="H1047" s="36"/>
      <c r="I1047" s="37"/>
    </row>
    <row r="1048">
      <c r="A1048" s="22"/>
      <c r="B1048" s="23"/>
      <c r="C1048" s="13"/>
      <c r="D1048" s="13"/>
      <c r="E1048" s="13"/>
      <c r="F1048" s="37"/>
      <c r="G1048" s="37"/>
      <c r="H1048" s="37"/>
      <c r="I1048" s="36"/>
    </row>
    <row r="1049">
      <c r="A1049" s="22"/>
      <c r="B1049" s="23"/>
      <c r="C1049" s="7"/>
      <c r="D1049" s="7"/>
      <c r="E1049" s="7"/>
      <c r="F1049" s="36"/>
      <c r="G1049" s="36"/>
      <c r="H1049" s="36"/>
      <c r="I1049" s="37"/>
    </row>
    <row r="1050">
      <c r="A1050" s="22"/>
      <c r="B1050" s="23"/>
      <c r="C1050" s="13"/>
      <c r="D1050" s="13"/>
      <c r="E1050" s="13"/>
      <c r="F1050" s="37"/>
      <c r="G1050" s="37"/>
      <c r="H1050" s="37"/>
      <c r="I1050" s="36"/>
    </row>
    <row r="1051">
      <c r="A1051" s="22"/>
      <c r="B1051" s="23"/>
      <c r="C1051" s="7"/>
      <c r="D1051" s="7"/>
      <c r="E1051" s="7"/>
      <c r="F1051" s="36"/>
      <c r="G1051" s="36"/>
      <c r="H1051" s="36"/>
      <c r="I1051" s="37"/>
    </row>
    <row r="1052">
      <c r="A1052" s="22"/>
      <c r="B1052" s="23"/>
      <c r="C1052" s="13"/>
      <c r="D1052" s="13"/>
      <c r="E1052" s="13"/>
      <c r="F1052" s="37"/>
      <c r="G1052" s="37"/>
      <c r="H1052" s="37"/>
      <c r="I1052" s="36"/>
    </row>
    <row r="1053">
      <c r="A1053" s="22"/>
      <c r="B1053" s="23"/>
      <c r="C1053" s="7"/>
      <c r="D1053" s="7"/>
      <c r="E1053" s="7"/>
      <c r="F1053" s="36"/>
      <c r="G1053" s="36"/>
      <c r="H1053" s="36"/>
      <c r="I1053" s="37"/>
    </row>
    <row r="1054">
      <c r="A1054" s="22"/>
      <c r="B1054" s="23"/>
      <c r="C1054" s="13"/>
      <c r="D1054" s="13"/>
      <c r="E1054" s="13"/>
      <c r="F1054" s="37"/>
      <c r="G1054" s="37"/>
      <c r="H1054" s="37"/>
      <c r="I1054" s="36"/>
    </row>
    <row r="1055">
      <c r="A1055" s="22"/>
      <c r="B1055" s="23"/>
      <c r="C1055" s="7"/>
      <c r="D1055" s="7"/>
      <c r="E1055" s="7"/>
      <c r="F1055" s="36"/>
      <c r="G1055" s="36"/>
      <c r="H1055" s="36"/>
      <c r="I1055" s="37"/>
    </row>
    <row r="1056">
      <c r="A1056" s="22"/>
      <c r="B1056" s="23"/>
      <c r="C1056" s="13"/>
      <c r="D1056" s="13"/>
      <c r="E1056" s="13"/>
      <c r="F1056" s="37"/>
      <c r="G1056" s="37"/>
      <c r="H1056" s="37"/>
      <c r="I1056" s="36"/>
    </row>
    <row r="1057">
      <c r="A1057" s="22"/>
      <c r="B1057" s="23"/>
      <c r="C1057" s="7"/>
      <c r="D1057" s="7"/>
      <c r="E1057" s="7"/>
      <c r="F1057" s="36"/>
      <c r="G1057" s="36"/>
      <c r="H1057" s="36"/>
      <c r="I1057" s="37"/>
    </row>
    <row r="1058">
      <c r="A1058" s="22"/>
      <c r="B1058" s="23"/>
      <c r="C1058" s="13"/>
      <c r="D1058" s="13"/>
      <c r="E1058" s="13"/>
      <c r="F1058" s="37"/>
      <c r="G1058" s="37"/>
      <c r="H1058" s="37"/>
      <c r="I1058" s="36"/>
    </row>
    <row r="1059">
      <c r="A1059" s="22"/>
      <c r="B1059" s="23"/>
      <c r="C1059" s="7"/>
      <c r="D1059" s="7"/>
      <c r="E1059" s="7"/>
      <c r="F1059" s="36"/>
      <c r="G1059" s="36"/>
      <c r="H1059" s="36"/>
      <c r="I1059" s="37"/>
    </row>
    <row r="1060">
      <c r="A1060" s="22"/>
      <c r="B1060" s="23"/>
      <c r="C1060" s="13"/>
      <c r="D1060" s="13"/>
      <c r="E1060" s="13"/>
      <c r="F1060" s="37"/>
      <c r="G1060" s="37"/>
      <c r="H1060" s="37"/>
      <c r="I1060" s="36"/>
    </row>
    <row r="1061">
      <c r="A1061" s="22"/>
      <c r="B1061" s="23"/>
      <c r="C1061" s="7"/>
      <c r="D1061" s="7"/>
      <c r="E1061" s="7"/>
      <c r="F1061" s="36"/>
      <c r="G1061" s="36"/>
      <c r="H1061" s="36"/>
      <c r="I1061" s="37"/>
    </row>
    <row r="1062">
      <c r="A1062" s="22"/>
      <c r="B1062" s="23"/>
      <c r="C1062" s="13"/>
      <c r="D1062" s="13"/>
      <c r="E1062" s="13"/>
      <c r="F1062" s="37"/>
      <c r="G1062" s="37"/>
      <c r="H1062" s="37"/>
      <c r="I1062" s="36"/>
    </row>
    <row r="1063">
      <c r="A1063" s="22"/>
      <c r="B1063" s="23"/>
      <c r="C1063" s="7"/>
      <c r="D1063" s="7"/>
      <c r="E1063" s="7"/>
      <c r="F1063" s="36"/>
      <c r="G1063" s="36"/>
      <c r="H1063" s="36"/>
      <c r="I1063" s="37"/>
    </row>
    <row r="1064">
      <c r="A1064" s="22"/>
      <c r="B1064" s="23"/>
      <c r="C1064" s="13"/>
      <c r="D1064" s="13"/>
      <c r="E1064" s="13"/>
      <c r="F1064" s="37"/>
      <c r="G1064" s="37"/>
      <c r="H1064" s="37"/>
      <c r="I1064" s="36"/>
    </row>
    <row r="1065">
      <c r="A1065" s="22"/>
      <c r="B1065" s="23"/>
      <c r="C1065" s="7"/>
      <c r="D1065" s="7"/>
      <c r="E1065" s="7"/>
      <c r="F1065" s="36"/>
      <c r="G1065" s="36"/>
      <c r="H1065" s="36"/>
      <c r="I1065" s="37"/>
    </row>
    <row r="1066">
      <c r="A1066" s="22"/>
      <c r="B1066" s="23"/>
      <c r="C1066" s="13"/>
      <c r="D1066" s="13"/>
      <c r="E1066" s="13"/>
      <c r="F1066" s="37"/>
      <c r="G1066" s="37"/>
      <c r="H1066" s="37"/>
      <c r="I1066" s="36"/>
    </row>
    <row r="1067">
      <c r="A1067" s="22"/>
      <c r="B1067" s="23"/>
      <c r="C1067" s="7"/>
      <c r="D1067" s="7"/>
      <c r="E1067" s="7"/>
      <c r="F1067" s="36"/>
      <c r="G1067" s="36"/>
      <c r="H1067" s="36"/>
      <c r="I1067" s="37"/>
    </row>
    <row r="1068">
      <c r="A1068" s="22"/>
      <c r="B1068" s="23"/>
      <c r="C1068" s="13"/>
      <c r="D1068" s="13"/>
      <c r="E1068" s="13"/>
      <c r="F1068" s="37"/>
      <c r="G1068" s="37"/>
      <c r="H1068" s="37"/>
      <c r="I1068" s="36"/>
    </row>
    <row r="1069">
      <c r="A1069" s="22"/>
      <c r="B1069" s="23"/>
      <c r="C1069" s="7"/>
      <c r="D1069" s="7"/>
      <c r="E1069" s="7"/>
      <c r="F1069" s="36"/>
      <c r="G1069" s="36"/>
      <c r="H1069" s="36"/>
      <c r="I1069" s="37"/>
    </row>
    <row r="1070">
      <c r="A1070" s="22"/>
      <c r="B1070" s="23"/>
      <c r="C1070" s="13"/>
      <c r="D1070" s="13"/>
      <c r="E1070" s="13"/>
      <c r="F1070" s="37"/>
      <c r="G1070" s="37"/>
      <c r="H1070" s="37"/>
      <c r="I1070" s="36"/>
    </row>
    <row r="1071">
      <c r="A1071" s="22"/>
      <c r="B1071" s="23"/>
      <c r="C1071" s="7"/>
      <c r="D1071" s="7"/>
      <c r="E1071" s="7"/>
      <c r="F1071" s="36"/>
      <c r="G1071" s="36"/>
      <c r="H1071" s="36"/>
      <c r="I1071" s="37"/>
    </row>
    <row r="1072">
      <c r="A1072" s="22"/>
      <c r="B1072" s="23"/>
      <c r="C1072" s="13"/>
      <c r="D1072" s="13"/>
      <c r="E1072" s="13"/>
      <c r="F1072" s="37"/>
      <c r="G1072" s="37"/>
      <c r="H1072" s="37"/>
      <c r="I1072" s="36"/>
    </row>
    <row r="1073">
      <c r="A1073" s="22"/>
      <c r="B1073" s="23"/>
      <c r="C1073" s="7"/>
      <c r="D1073" s="7"/>
      <c r="E1073" s="7"/>
      <c r="F1073" s="36"/>
      <c r="G1073" s="36"/>
      <c r="H1073" s="36"/>
      <c r="I1073" s="37"/>
    </row>
    <row r="1074">
      <c r="A1074" s="22"/>
      <c r="B1074" s="23"/>
      <c r="C1074" s="13"/>
      <c r="D1074" s="13"/>
      <c r="E1074" s="13"/>
      <c r="F1074" s="37"/>
      <c r="G1074" s="37"/>
      <c r="H1074" s="37"/>
      <c r="I1074" s="36"/>
    </row>
    <row r="1075">
      <c r="A1075" s="22"/>
      <c r="B1075" s="23"/>
      <c r="C1075" s="7"/>
      <c r="D1075" s="7"/>
      <c r="E1075" s="7"/>
      <c r="F1075" s="36"/>
      <c r="G1075" s="36"/>
      <c r="H1075" s="36"/>
      <c r="I1075" s="37"/>
    </row>
    <row r="1076">
      <c r="A1076" s="22"/>
      <c r="B1076" s="23"/>
      <c r="C1076" s="13"/>
      <c r="D1076" s="13"/>
      <c r="E1076" s="13"/>
      <c r="F1076" s="37"/>
      <c r="G1076" s="37"/>
      <c r="H1076" s="37"/>
      <c r="I1076" s="36"/>
    </row>
    <row r="1077">
      <c r="A1077" s="22"/>
      <c r="B1077" s="23"/>
      <c r="C1077" s="7"/>
      <c r="D1077" s="7"/>
      <c r="E1077" s="7"/>
      <c r="F1077" s="36"/>
      <c r="G1077" s="36"/>
      <c r="H1077" s="36"/>
      <c r="I1077" s="37"/>
    </row>
    <row r="1078">
      <c r="A1078" s="22"/>
      <c r="B1078" s="23"/>
      <c r="C1078" s="13"/>
      <c r="D1078" s="13"/>
      <c r="E1078" s="13"/>
      <c r="F1078" s="37"/>
      <c r="G1078" s="37"/>
      <c r="H1078" s="37"/>
      <c r="I1078" s="36"/>
    </row>
    <row r="1079">
      <c r="A1079" s="22"/>
      <c r="B1079" s="23"/>
      <c r="C1079" s="7"/>
      <c r="D1079" s="7"/>
      <c r="E1079" s="7"/>
      <c r="F1079" s="36"/>
      <c r="G1079" s="36"/>
      <c r="H1079" s="36"/>
      <c r="I1079" s="37"/>
    </row>
    <row r="1080">
      <c r="A1080" s="22"/>
      <c r="B1080" s="23"/>
      <c r="C1080" s="13"/>
      <c r="D1080" s="13"/>
      <c r="E1080" s="13"/>
      <c r="F1080" s="37"/>
      <c r="G1080" s="37"/>
      <c r="H1080" s="37"/>
      <c r="I1080" s="36"/>
    </row>
    <row r="1081">
      <c r="A1081" s="22"/>
      <c r="B1081" s="23"/>
      <c r="C1081" s="7"/>
      <c r="D1081" s="7"/>
      <c r="E1081" s="7"/>
      <c r="F1081" s="36"/>
      <c r="G1081" s="36"/>
      <c r="H1081" s="36"/>
      <c r="I1081" s="37"/>
    </row>
    <row r="1082">
      <c r="A1082" s="22"/>
      <c r="B1082" s="23"/>
      <c r="C1082" s="13"/>
      <c r="D1082" s="13"/>
      <c r="E1082" s="13"/>
      <c r="F1082" s="37"/>
      <c r="G1082" s="37"/>
      <c r="H1082" s="37"/>
      <c r="I1082" s="36"/>
    </row>
    <row r="1083">
      <c r="A1083" s="22"/>
      <c r="B1083" s="23"/>
      <c r="C1083" s="7"/>
      <c r="D1083" s="7"/>
      <c r="E1083" s="7"/>
      <c r="F1083" s="36"/>
      <c r="G1083" s="36"/>
      <c r="H1083" s="36"/>
      <c r="I1083" s="37"/>
    </row>
    <row r="1084">
      <c r="A1084" s="22"/>
      <c r="B1084" s="23"/>
      <c r="C1084" s="13"/>
      <c r="D1084" s="13"/>
      <c r="E1084" s="13"/>
      <c r="F1084" s="37"/>
      <c r="G1084" s="37"/>
      <c r="H1084" s="37"/>
      <c r="I1084" s="36"/>
    </row>
    <row r="1085">
      <c r="A1085" s="22"/>
      <c r="B1085" s="23"/>
      <c r="C1085" s="7"/>
      <c r="D1085" s="7"/>
      <c r="E1085" s="7"/>
      <c r="F1085" s="36"/>
      <c r="G1085" s="36"/>
      <c r="H1085" s="36"/>
      <c r="I1085" s="37"/>
    </row>
    <row r="1086">
      <c r="A1086" s="22"/>
      <c r="B1086" s="23"/>
      <c r="C1086" s="13"/>
      <c r="D1086" s="13"/>
      <c r="E1086" s="13"/>
      <c r="F1086" s="37"/>
      <c r="G1086" s="37"/>
      <c r="H1086" s="37"/>
      <c r="I1086" s="36"/>
    </row>
    <row r="1087">
      <c r="A1087" s="22"/>
      <c r="B1087" s="23"/>
      <c r="C1087" s="7"/>
      <c r="D1087" s="7"/>
      <c r="E1087" s="7"/>
      <c r="F1087" s="36"/>
      <c r="G1087" s="36"/>
      <c r="H1087" s="36"/>
      <c r="I1087" s="37"/>
    </row>
    <row r="1088">
      <c r="A1088" s="22"/>
      <c r="B1088" s="23"/>
      <c r="C1088" s="13"/>
      <c r="D1088" s="13"/>
      <c r="E1088" s="13"/>
      <c r="F1088" s="37"/>
      <c r="G1088" s="37"/>
      <c r="H1088" s="37"/>
      <c r="I1088" s="36"/>
    </row>
    <row r="1089">
      <c r="A1089" s="22"/>
      <c r="B1089" s="23"/>
      <c r="C1089" s="7"/>
      <c r="D1089" s="7"/>
      <c r="E1089" s="7"/>
      <c r="F1089" s="36"/>
      <c r="G1089" s="36"/>
      <c r="H1089" s="36"/>
      <c r="I1089" s="37"/>
    </row>
    <row r="1090">
      <c r="A1090" s="22"/>
      <c r="B1090" s="23"/>
      <c r="C1090" s="13"/>
      <c r="D1090" s="13"/>
      <c r="E1090" s="13"/>
      <c r="F1090" s="37"/>
      <c r="G1090" s="37"/>
      <c r="H1090" s="37"/>
      <c r="I1090" s="36"/>
    </row>
    <row r="1091">
      <c r="A1091" s="22"/>
      <c r="B1091" s="23"/>
      <c r="C1091" s="7"/>
      <c r="D1091" s="7"/>
      <c r="E1091" s="7"/>
      <c r="F1091" s="36"/>
      <c r="G1091" s="36"/>
      <c r="H1091" s="36"/>
      <c r="I1091" s="37"/>
    </row>
    <row r="1092">
      <c r="A1092" s="22"/>
      <c r="B1092" s="23"/>
      <c r="C1092" s="13"/>
      <c r="D1092" s="13"/>
      <c r="E1092" s="13"/>
      <c r="F1092" s="37"/>
      <c r="G1092" s="37"/>
      <c r="H1092" s="37"/>
      <c r="I1092" s="36"/>
    </row>
    <row r="1093">
      <c r="A1093" s="22"/>
      <c r="B1093" s="23"/>
      <c r="C1093" s="7"/>
      <c r="D1093" s="7"/>
      <c r="E1093" s="7"/>
      <c r="F1093" s="36"/>
      <c r="G1093" s="36"/>
      <c r="H1093" s="36"/>
      <c r="I1093" s="37"/>
    </row>
    <row r="1094">
      <c r="A1094" s="22"/>
      <c r="B1094" s="23"/>
      <c r="C1094" s="13"/>
      <c r="D1094" s="13"/>
      <c r="E1094" s="13"/>
      <c r="F1094" s="37"/>
      <c r="G1094" s="37"/>
      <c r="H1094" s="37"/>
      <c r="I1094" s="36"/>
    </row>
    <row r="1095">
      <c r="A1095" s="22"/>
      <c r="B1095" s="23"/>
      <c r="C1095" s="7"/>
      <c r="D1095" s="7"/>
      <c r="E1095" s="7"/>
      <c r="F1095" s="36"/>
      <c r="G1095" s="36"/>
      <c r="H1095" s="36"/>
      <c r="I1095" s="37"/>
    </row>
    <row r="1096">
      <c r="A1096" s="22"/>
      <c r="B1096" s="23"/>
      <c r="C1096" s="13"/>
      <c r="D1096" s="13"/>
      <c r="E1096" s="13"/>
      <c r="F1096" s="37"/>
      <c r="G1096" s="37"/>
      <c r="H1096" s="37"/>
      <c r="I1096" s="36"/>
    </row>
    <row r="1097">
      <c r="A1097" s="22"/>
      <c r="B1097" s="23"/>
      <c r="C1097" s="7"/>
      <c r="D1097" s="7"/>
      <c r="E1097" s="7"/>
      <c r="F1097" s="36"/>
      <c r="G1097" s="36"/>
      <c r="H1097" s="36"/>
      <c r="I1097" s="37"/>
    </row>
    <row r="1098">
      <c r="A1098" s="22"/>
      <c r="B1098" s="23"/>
      <c r="C1098" s="13"/>
      <c r="D1098" s="13"/>
      <c r="E1098" s="13"/>
      <c r="F1098" s="37"/>
      <c r="G1098" s="37"/>
      <c r="H1098" s="37"/>
      <c r="I1098" s="36"/>
    </row>
    <row r="1099">
      <c r="A1099" s="22"/>
      <c r="B1099" s="23"/>
      <c r="C1099" s="7"/>
      <c r="D1099" s="7"/>
      <c r="E1099" s="7"/>
      <c r="F1099" s="36"/>
      <c r="G1099" s="36"/>
      <c r="H1099" s="36"/>
      <c r="I1099" s="37"/>
    </row>
    <row r="1100">
      <c r="A1100" s="22"/>
      <c r="B1100" s="23"/>
      <c r="C1100" s="13"/>
      <c r="D1100" s="13"/>
      <c r="E1100" s="13"/>
      <c r="F1100" s="37"/>
      <c r="G1100" s="37"/>
      <c r="H1100" s="37"/>
      <c r="I1100" s="36"/>
    </row>
    <row r="1101">
      <c r="A1101" s="22"/>
      <c r="B1101" s="23"/>
      <c r="C1101" s="7"/>
      <c r="D1101" s="7"/>
      <c r="E1101" s="7"/>
      <c r="F1101" s="36"/>
      <c r="G1101" s="36"/>
      <c r="H1101" s="36"/>
      <c r="I1101" s="37"/>
    </row>
    <row r="1102">
      <c r="A1102" s="22"/>
      <c r="B1102" s="23"/>
      <c r="C1102" s="13"/>
      <c r="D1102" s="13"/>
      <c r="E1102" s="13"/>
      <c r="F1102" s="37"/>
      <c r="G1102" s="37"/>
      <c r="H1102" s="37"/>
      <c r="I1102" s="36"/>
    </row>
    <row r="1103">
      <c r="A1103" s="22"/>
      <c r="B1103" s="23"/>
      <c r="C1103" s="7"/>
      <c r="D1103" s="7"/>
      <c r="E1103" s="7"/>
      <c r="F1103" s="36"/>
      <c r="G1103" s="36"/>
      <c r="H1103" s="36"/>
      <c r="I1103" s="37"/>
    </row>
    <row r="1104">
      <c r="A1104" s="22"/>
      <c r="B1104" s="23"/>
      <c r="C1104" s="13"/>
      <c r="D1104" s="13"/>
      <c r="E1104" s="13"/>
      <c r="F1104" s="37"/>
      <c r="G1104" s="37"/>
      <c r="H1104" s="37"/>
      <c r="I1104" s="36"/>
    </row>
    <row r="1105">
      <c r="A1105" s="22"/>
      <c r="B1105" s="23"/>
      <c r="C1105" s="7"/>
      <c r="D1105" s="7"/>
      <c r="E1105" s="7"/>
      <c r="F1105" s="36"/>
      <c r="G1105" s="36"/>
      <c r="H1105" s="36"/>
      <c r="I1105" s="37"/>
    </row>
    <row r="1106">
      <c r="A1106" s="22"/>
      <c r="B1106" s="23"/>
      <c r="C1106" s="13"/>
      <c r="D1106" s="13"/>
      <c r="E1106" s="13"/>
      <c r="F1106" s="37"/>
      <c r="G1106" s="37"/>
      <c r="H1106" s="37"/>
      <c r="I1106" s="36"/>
    </row>
    <row r="1107">
      <c r="A1107" s="22"/>
      <c r="B1107" s="23"/>
      <c r="C1107" s="7"/>
      <c r="D1107" s="7"/>
      <c r="E1107" s="7"/>
      <c r="F1107" s="36"/>
      <c r="G1107" s="36"/>
      <c r="H1107" s="36"/>
      <c r="I1107" s="37"/>
    </row>
    <row r="1108">
      <c r="A1108" s="22"/>
      <c r="B1108" s="23"/>
      <c r="C1108" s="13"/>
      <c r="D1108" s="13"/>
      <c r="E1108" s="13"/>
      <c r="F1108" s="37"/>
      <c r="G1108" s="37"/>
      <c r="H1108" s="37"/>
      <c r="I1108" s="36"/>
    </row>
    <row r="1109">
      <c r="A1109" s="22"/>
      <c r="B1109" s="23"/>
      <c r="C1109" s="7"/>
      <c r="D1109" s="7"/>
      <c r="E1109" s="7"/>
      <c r="F1109" s="36"/>
      <c r="G1109" s="36"/>
      <c r="H1109" s="36"/>
      <c r="I1109" s="37"/>
    </row>
    <row r="1110">
      <c r="A1110" s="22"/>
      <c r="B1110" s="23"/>
      <c r="C1110" s="13"/>
      <c r="D1110" s="13"/>
      <c r="E1110" s="13"/>
      <c r="F1110" s="37"/>
      <c r="G1110" s="37"/>
      <c r="H1110" s="37"/>
      <c r="I1110" s="36"/>
    </row>
    <row r="1111">
      <c r="A1111" s="22"/>
      <c r="B1111" s="23"/>
      <c r="C1111" s="7"/>
      <c r="D1111" s="7"/>
      <c r="E1111" s="7"/>
      <c r="F1111" s="36"/>
      <c r="G1111" s="36"/>
      <c r="H1111" s="36"/>
      <c r="I1111" s="37"/>
    </row>
    <row r="1112">
      <c r="A1112" s="22"/>
      <c r="B1112" s="23"/>
      <c r="C1112" s="13"/>
      <c r="D1112" s="13"/>
      <c r="E1112" s="13"/>
      <c r="F1112" s="37"/>
      <c r="G1112" s="37"/>
      <c r="H1112" s="37"/>
      <c r="I1112" s="36"/>
    </row>
    <row r="1113">
      <c r="A1113" s="22"/>
      <c r="B1113" s="23"/>
      <c r="C1113" s="7"/>
      <c r="D1113" s="7"/>
      <c r="E1113" s="7"/>
      <c r="F1113" s="36"/>
      <c r="G1113" s="36"/>
      <c r="H1113" s="36"/>
      <c r="I1113" s="37"/>
    </row>
    <row r="1114">
      <c r="A1114" s="22"/>
      <c r="B1114" s="23"/>
      <c r="C1114" s="13"/>
      <c r="D1114" s="13"/>
      <c r="E1114" s="13"/>
      <c r="F1114" s="37"/>
      <c r="G1114" s="37"/>
      <c r="H1114" s="37"/>
      <c r="I1114" s="36"/>
    </row>
    <row r="1115">
      <c r="A1115" s="22"/>
      <c r="B1115" s="23"/>
      <c r="C1115" s="7"/>
      <c r="D1115" s="7"/>
      <c r="E1115" s="7"/>
      <c r="F1115" s="36"/>
      <c r="G1115" s="36"/>
      <c r="H1115" s="36"/>
      <c r="I1115" s="37"/>
    </row>
    <row r="1116">
      <c r="A1116" s="22"/>
      <c r="B1116" s="23"/>
      <c r="C1116" s="13"/>
      <c r="D1116" s="13"/>
      <c r="E1116" s="13"/>
      <c r="F1116" s="37"/>
      <c r="G1116" s="37"/>
      <c r="H1116" s="37"/>
      <c r="I1116" s="36"/>
    </row>
    <row r="1117">
      <c r="A1117" s="22"/>
      <c r="B1117" s="23"/>
      <c r="C1117" s="7"/>
      <c r="D1117" s="7"/>
      <c r="E1117" s="7"/>
      <c r="F1117" s="36"/>
      <c r="G1117" s="36"/>
      <c r="H1117" s="36"/>
      <c r="I1117" s="37"/>
    </row>
    <row r="1118">
      <c r="A1118" s="22"/>
      <c r="B1118" s="23"/>
      <c r="C1118" s="13"/>
      <c r="D1118" s="13"/>
      <c r="E1118" s="13"/>
      <c r="F1118" s="37"/>
      <c r="G1118" s="37"/>
      <c r="H1118" s="37"/>
      <c r="I1118" s="36"/>
    </row>
    <row r="1119">
      <c r="A1119" s="22"/>
      <c r="B1119" s="23"/>
      <c r="C1119" s="7"/>
      <c r="D1119" s="7"/>
      <c r="E1119" s="7"/>
      <c r="F1119" s="36"/>
      <c r="G1119" s="36"/>
      <c r="H1119" s="36"/>
      <c r="I1119" s="37"/>
    </row>
    <row r="1120">
      <c r="A1120" s="22"/>
      <c r="B1120" s="23"/>
      <c r="C1120" s="13"/>
      <c r="D1120" s="13"/>
      <c r="E1120" s="13"/>
      <c r="F1120" s="37"/>
      <c r="G1120" s="37"/>
      <c r="H1120" s="37"/>
      <c r="I1120" s="36"/>
    </row>
    <row r="1121">
      <c r="A1121" s="22"/>
      <c r="B1121" s="23"/>
      <c r="C1121" s="7"/>
      <c r="D1121" s="7"/>
      <c r="E1121" s="7"/>
      <c r="F1121" s="36"/>
      <c r="G1121" s="36"/>
      <c r="H1121" s="36"/>
      <c r="I1121" s="37"/>
    </row>
    <row r="1122">
      <c r="A1122" s="22"/>
      <c r="B1122" s="23"/>
      <c r="C1122" s="13"/>
      <c r="D1122" s="13"/>
      <c r="E1122" s="13"/>
      <c r="F1122" s="37"/>
      <c r="G1122" s="37"/>
      <c r="H1122" s="37"/>
      <c r="I1122" s="36"/>
    </row>
    <row r="1123">
      <c r="A1123" s="22"/>
      <c r="B1123" s="23"/>
      <c r="C1123" s="7"/>
      <c r="D1123" s="7"/>
      <c r="E1123" s="7"/>
      <c r="F1123" s="36"/>
      <c r="G1123" s="36"/>
      <c r="H1123" s="36"/>
      <c r="I1123" s="37"/>
    </row>
    <row r="1124">
      <c r="A1124" s="22"/>
      <c r="B1124" s="23"/>
      <c r="C1124" s="13"/>
      <c r="D1124" s="13"/>
      <c r="E1124" s="13"/>
      <c r="F1124" s="37"/>
      <c r="G1124" s="37"/>
      <c r="H1124" s="37"/>
      <c r="I1124" s="36"/>
    </row>
    <row r="1125">
      <c r="A1125" s="22"/>
      <c r="B1125" s="23"/>
      <c r="C1125" s="7"/>
      <c r="D1125" s="7"/>
      <c r="E1125" s="7"/>
      <c r="F1125" s="36"/>
      <c r="G1125" s="36"/>
      <c r="H1125" s="36"/>
      <c r="I1125" s="37"/>
    </row>
    <row r="1126">
      <c r="A1126" s="22"/>
      <c r="B1126" s="23"/>
      <c r="C1126" s="13"/>
      <c r="D1126" s="13"/>
      <c r="E1126" s="13"/>
      <c r="F1126" s="37"/>
      <c r="G1126" s="37"/>
      <c r="H1126" s="37"/>
      <c r="I1126" s="36"/>
    </row>
    <row r="1127">
      <c r="A1127" s="22"/>
      <c r="B1127" s="23"/>
      <c r="C1127" s="7"/>
      <c r="D1127" s="7"/>
      <c r="E1127" s="7"/>
      <c r="F1127" s="36"/>
      <c r="G1127" s="36"/>
      <c r="H1127" s="36"/>
      <c r="I1127" s="37"/>
    </row>
    <row r="1128">
      <c r="A1128" s="22"/>
      <c r="B1128" s="23"/>
      <c r="C1128" s="13"/>
      <c r="D1128" s="13"/>
      <c r="E1128" s="13"/>
      <c r="F1128" s="37"/>
      <c r="G1128" s="37"/>
      <c r="H1128" s="37"/>
      <c r="I1128" s="36"/>
    </row>
    <row r="1129">
      <c r="A1129" s="22"/>
      <c r="B1129" s="23"/>
      <c r="C1129" s="7"/>
      <c r="D1129" s="7"/>
      <c r="E1129" s="7"/>
      <c r="F1129" s="36"/>
      <c r="G1129" s="36"/>
      <c r="H1129" s="36"/>
      <c r="I1129" s="37"/>
    </row>
    <row r="1130">
      <c r="A1130" s="22"/>
      <c r="B1130" s="23"/>
      <c r="C1130" s="13"/>
      <c r="D1130" s="13"/>
      <c r="E1130" s="13"/>
      <c r="F1130" s="37"/>
      <c r="G1130" s="37"/>
      <c r="H1130" s="37"/>
      <c r="I1130" s="36"/>
    </row>
    <row r="1131">
      <c r="A1131" s="22"/>
      <c r="B1131" s="23"/>
      <c r="C1131" s="7"/>
      <c r="D1131" s="7"/>
      <c r="E1131" s="7"/>
      <c r="F1131" s="36"/>
      <c r="G1131" s="36"/>
      <c r="H1131" s="36"/>
      <c r="I1131" s="37"/>
    </row>
    <row r="1132">
      <c r="A1132" s="22"/>
      <c r="B1132" s="23"/>
      <c r="C1132" s="13"/>
      <c r="D1132" s="13"/>
      <c r="E1132" s="13"/>
      <c r="F1132" s="37"/>
      <c r="G1132" s="37"/>
      <c r="H1132" s="37"/>
      <c r="I1132" s="36"/>
    </row>
    <row r="1133">
      <c r="A1133" s="22"/>
      <c r="B1133" s="23"/>
      <c r="C1133" s="7"/>
      <c r="D1133" s="7"/>
      <c r="E1133" s="7"/>
      <c r="F1133" s="36"/>
      <c r="G1133" s="36"/>
      <c r="H1133" s="36"/>
      <c r="I1133" s="37"/>
    </row>
    <row r="1134">
      <c r="A1134" s="22"/>
      <c r="B1134" s="23"/>
      <c r="C1134" s="13"/>
      <c r="D1134" s="13"/>
      <c r="E1134" s="13"/>
      <c r="F1134" s="37"/>
      <c r="G1134" s="37"/>
      <c r="H1134" s="37"/>
      <c r="I1134" s="36"/>
    </row>
    <row r="1135">
      <c r="A1135" s="22"/>
      <c r="B1135" s="23"/>
      <c r="C1135" s="7"/>
      <c r="D1135" s="7"/>
      <c r="E1135" s="7"/>
      <c r="F1135" s="36"/>
      <c r="G1135" s="36"/>
      <c r="H1135" s="36"/>
      <c r="I1135" s="37"/>
    </row>
    <row r="1136">
      <c r="A1136" s="22"/>
      <c r="B1136" s="23"/>
      <c r="C1136" s="13"/>
      <c r="D1136" s="13"/>
      <c r="E1136" s="13"/>
      <c r="F1136" s="37"/>
      <c r="G1136" s="37"/>
      <c r="H1136" s="37"/>
      <c r="I1136" s="36"/>
    </row>
    <row r="1137">
      <c r="A1137" s="22"/>
      <c r="B1137" s="23"/>
      <c r="C1137" s="7"/>
      <c r="D1137" s="7"/>
      <c r="E1137" s="7"/>
      <c r="F1137" s="36"/>
      <c r="G1137" s="36"/>
      <c r="H1137" s="36"/>
      <c r="I1137" s="37"/>
    </row>
    <row r="1138">
      <c r="A1138" s="22"/>
      <c r="B1138" s="23"/>
      <c r="C1138" s="13"/>
      <c r="D1138" s="13"/>
      <c r="E1138" s="13"/>
      <c r="F1138" s="37"/>
      <c r="G1138" s="37"/>
      <c r="H1138" s="37"/>
      <c r="I1138" s="36"/>
    </row>
    <row r="1139">
      <c r="A1139" s="22"/>
      <c r="B1139" s="23"/>
      <c r="C1139" s="7"/>
      <c r="D1139" s="7"/>
      <c r="E1139" s="7"/>
      <c r="F1139" s="36"/>
      <c r="G1139" s="36"/>
      <c r="H1139" s="36"/>
      <c r="I1139" s="37"/>
    </row>
    <row r="1140">
      <c r="A1140" s="22"/>
      <c r="B1140" s="23"/>
      <c r="C1140" s="13"/>
      <c r="D1140" s="13"/>
      <c r="E1140" s="13"/>
      <c r="F1140" s="37"/>
      <c r="G1140" s="37"/>
      <c r="H1140" s="37"/>
      <c r="I1140" s="36"/>
    </row>
    <row r="1141">
      <c r="A1141" s="22"/>
      <c r="B1141" s="23"/>
      <c r="C1141" s="7"/>
      <c r="D1141" s="7"/>
      <c r="E1141" s="7"/>
      <c r="F1141" s="36"/>
      <c r="G1141" s="36"/>
      <c r="H1141" s="36"/>
      <c r="I1141" s="37"/>
    </row>
    <row r="1142">
      <c r="A1142" s="22"/>
      <c r="B1142" s="23"/>
      <c r="C1142" s="13"/>
      <c r="D1142" s="13"/>
      <c r="E1142" s="13"/>
      <c r="F1142" s="37"/>
      <c r="G1142" s="37"/>
      <c r="H1142" s="37"/>
      <c r="I1142" s="36"/>
    </row>
    <row r="1143">
      <c r="A1143" s="22"/>
      <c r="B1143" s="23"/>
      <c r="C1143" s="7"/>
      <c r="D1143" s="7"/>
      <c r="E1143" s="7"/>
      <c r="F1143" s="36"/>
      <c r="G1143" s="36"/>
      <c r="H1143" s="36"/>
      <c r="I1143" s="37"/>
    </row>
    <row r="1144">
      <c r="A1144" s="22"/>
      <c r="B1144" s="23"/>
      <c r="C1144" s="13"/>
      <c r="D1144" s="13"/>
      <c r="E1144" s="13"/>
      <c r="F1144" s="37"/>
      <c r="G1144" s="37"/>
      <c r="H1144" s="37"/>
      <c r="I1144" s="36"/>
    </row>
    <row r="1145">
      <c r="A1145" s="22"/>
      <c r="B1145" s="23"/>
      <c r="C1145" s="7"/>
      <c r="D1145" s="7"/>
      <c r="E1145" s="7"/>
      <c r="F1145" s="36"/>
      <c r="G1145" s="36"/>
      <c r="H1145" s="36"/>
      <c r="I1145" s="37"/>
    </row>
    <row r="1146">
      <c r="A1146" s="22"/>
      <c r="B1146" s="23"/>
      <c r="C1146" s="13"/>
      <c r="D1146" s="13"/>
      <c r="E1146" s="13"/>
      <c r="F1146" s="37"/>
      <c r="G1146" s="37"/>
      <c r="H1146" s="37"/>
      <c r="I1146" s="36"/>
    </row>
    <row r="1147">
      <c r="A1147" s="22"/>
      <c r="B1147" s="23"/>
      <c r="C1147" s="7"/>
      <c r="D1147" s="7"/>
      <c r="E1147" s="7"/>
      <c r="F1147" s="36"/>
      <c r="G1147" s="36"/>
      <c r="H1147" s="36"/>
      <c r="I1147" s="37"/>
    </row>
    <row r="1148">
      <c r="A1148" s="22"/>
      <c r="B1148" s="23"/>
      <c r="C1148" s="13"/>
      <c r="D1148" s="13"/>
      <c r="E1148" s="13"/>
      <c r="F1148" s="37"/>
      <c r="G1148" s="37"/>
      <c r="H1148" s="37"/>
      <c r="I1148" s="36"/>
    </row>
    <row r="1149">
      <c r="A1149" s="22"/>
      <c r="B1149" s="23"/>
      <c r="C1149" s="7"/>
      <c r="D1149" s="7"/>
      <c r="E1149" s="7"/>
      <c r="F1149" s="36"/>
      <c r="G1149" s="36"/>
      <c r="H1149" s="36"/>
      <c r="I1149" s="37"/>
    </row>
    <row r="1150">
      <c r="A1150" s="22"/>
      <c r="B1150" s="23"/>
      <c r="C1150" s="13"/>
      <c r="D1150" s="13"/>
      <c r="E1150" s="13"/>
      <c r="F1150" s="37"/>
      <c r="G1150" s="37"/>
      <c r="H1150" s="37"/>
      <c r="I1150" s="36"/>
    </row>
    <row r="1151">
      <c r="A1151" s="22"/>
      <c r="B1151" s="23"/>
      <c r="C1151" s="7"/>
      <c r="D1151" s="7"/>
      <c r="E1151" s="7"/>
      <c r="F1151" s="36"/>
      <c r="G1151" s="36"/>
      <c r="H1151" s="36"/>
      <c r="I1151" s="37"/>
    </row>
    <row r="1152">
      <c r="A1152" s="22"/>
      <c r="B1152" s="23"/>
      <c r="C1152" s="13"/>
      <c r="D1152" s="13"/>
      <c r="E1152" s="13"/>
      <c r="F1152" s="37"/>
      <c r="G1152" s="37"/>
      <c r="H1152" s="37"/>
      <c r="I1152" s="36"/>
    </row>
    <row r="1153">
      <c r="A1153" s="22"/>
      <c r="B1153" s="23"/>
      <c r="C1153" s="7"/>
      <c r="D1153" s="7"/>
      <c r="E1153" s="7"/>
      <c r="F1153" s="36"/>
      <c r="G1153" s="36"/>
      <c r="H1153" s="36"/>
      <c r="I1153" s="37"/>
    </row>
    <row r="1154">
      <c r="A1154" s="22"/>
      <c r="B1154" s="23"/>
      <c r="C1154" s="13"/>
      <c r="D1154" s="13"/>
      <c r="E1154" s="13"/>
      <c r="F1154" s="37"/>
      <c r="G1154" s="37"/>
      <c r="H1154" s="37"/>
      <c r="I1154" s="36"/>
    </row>
    <row r="1155">
      <c r="A1155" s="22"/>
      <c r="B1155" s="23"/>
      <c r="C1155" s="7"/>
      <c r="D1155" s="7"/>
      <c r="E1155" s="7"/>
      <c r="F1155" s="36"/>
      <c r="G1155" s="36"/>
      <c r="H1155" s="36"/>
      <c r="I1155" s="37"/>
    </row>
    <row r="1156">
      <c r="A1156" s="22"/>
      <c r="B1156" s="23"/>
      <c r="C1156" s="13"/>
      <c r="D1156" s="13"/>
      <c r="E1156" s="13"/>
      <c r="F1156" s="37"/>
      <c r="G1156" s="37"/>
      <c r="H1156" s="37"/>
      <c r="I1156" s="36"/>
    </row>
    <row r="1157">
      <c r="A1157" s="22"/>
      <c r="B1157" s="23"/>
      <c r="C1157" s="7"/>
      <c r="D1157" s="7"/>
      <c r="E1157" s="7"/>
      <c r="F1157" s="36"/>
      <c r="G1157" s="36"/>
      <c r="H1157" s="36"/>
      <c r="I1157" s="37"/>
    </row>
    <row r="1158">
      <c r="A1158" s="22"/>
      <c r="B1158" s="23"/>
      <c r="C1158" s="13"/>
      <c r="D1158" s="13"/>
      <c r="E1158" s="13"/>
      <c r="F1158" s="37"/>
      <c r="G1158" s="37"/>
      <c r="H1158" s="37"/>
      <c r="I1158" s="36"/>
    </row>
    <row r="1159">
      <c r="A1159" s="22"/>
      <c r="B1159" s="23"/>
      <c r="C1159" s="7"/>
      <c r="D1159" s="7"/>
      <c r="E1159" s="7"/>
      <c r="F1159" s="36"/>
      <c r="G1159" s="36"/>
      <c r="H1159" s="23"/>
      <c r="I1159" s="37"/>
    </row>
    <row r="1160">
      <c r="A1160" s="22"/>
      <c r="B1160" s="23"/>
      <c r="C1160" s="13"/>
      <c r="D1160" s="13"/>
      <c r="E1160" s="13"/>
      <c r="F1160" s="37"/>
      <c r="G1160" s="37"/>
      <c r="H1160" s="23"/>
      <c r="I1160" s="36"/>
    </row>
    <row r="1161">
      <c r="A1161" s="22"/>
      <c r="B1161" s="23"/>
      <c r="C1161" s="7"/>
      <c r="D1161" s="7"/>
      <c r="E1161" s="7"/>
      <c r="F1161" s="36"/>
      <c r="G1161" s="36"/>
      <c r="H1161" s="23"/>
      <c r="I1161" s="37"/>
    </row>
    <row r="1162">
      <c r="A1162" s="22"/>
      <c r="B1162" s="23"/>
      <c r="C1162" s="13"/>
      <c r="D1162" s="13"/>
      <c r="E1162" s="13"/>
      <c r="F1162" s="37"/>
      <c r="G1162" s="37"/>
      <c r="H1162" s="23"/>
      <c r="I1162" s="36"/>
    </row>
    <row r="1163">
      <c r="A1163" s="22"/>
      <c r="B1163" s="23"/>
      <c r="C1163" s="7"/>
      <c r="D1163" s="7"/>
      <c r="E1163" s="7"/>
      <c r="F1163" s="23"/>
      <c r="G1163" s="23"/>
      <c r="H1163" s="23"/>
      <c r="I1163" s="37"/>
    </row>
    <row r="1164">
      <c r="A1164" s="22"/>
      <c r="B1164" s="23"/>
      <c r="C1164" s="13"/>
      <c r="D1164" s="13"/>
      <c r="E1164" s="13"/>
      <c r="F1164" s="23"/>
      <c r="G1164" s="23"/>
      <c r="H1164" s="23"/>
      <c r="I1164" s="36"/>
    </row>
    <row r="1165">
      <c r="A1165" s="22"/>
      <c r="B1165" s="23"/>
      <c r="C1165" s="7"/>
      <c r="D1165" s="7"/>
      <c r="E1165" s="7"/>
      <c r="F1165" s="23"/>
      <c r="G1165" s="23"/>
      <c r="H1165" s="23"/>
      <c r="I1165" s="37"/>
    </row>
    <row r="1166">
      <c r="A1166" s="22"/>
      <c r="B1166" s="23"/>
      <c r="C1166" s="13"/>
      <c r="D1166" s="13"/>
      <c r="E1166" s="13"/>
      <c r="F1166" s="23"/>
      <c r="G1166" s="23"/>
      <c r="H1166" s="23"/>
      <c r="I1166" s="36"/>
    </row>
    <row r="1167">
      <c r="A1167" s="7"/>
      <c r="B1167" s="7"/>
      <c r="C1167" s="7"/>
      <c r="D1167" s="7"/>
      <c r="E1167" s="7"/>
      <c r="F1167" s="23"/>
      <c r="G1167" s="23"/>
      <c r="H1167" s="23"/>
      <c r="I1167" s="37"/>
    </row>
    <row r="1168">
      <c r="A1168" s="13"/>
      <c r="B1168" s="13"/>
      <c r="C1168" s="13"/>
      <c r="D1168" s="13"/>
      <c r="E1168" s="13"/>
      <c r="F1168" s="23"/>
      <c r="G1168" s="23"/>
      <c r="H1168" s="23"/>
      <c r="I1168" s="36"/>
    </row>
    <row r="1169">
      <c r="A1169" s="7"/>
      <c r="B1169" s="7"/>
      <c r="C1169" s="7"/>
      <c r="D1169" s="7"/>
      <c r="E1169" s="7"/>
      <c r="F1169" s="23"/>
      <c r="G1169" s="23"/>
      <c r="H1169" s="23"/>
      <c r="I1169" s="37"/>
    </row>
    <row r="1170">
      <c r="A1170" s="13"/>
      <c r="B1170" s="13"/>
      <c r="C1170" s="13"/>
      <c r="D1170" s="13"/>
      <c r="E1170" s="13"/>
      <c r="F1170" s="23"/>
      <c r="G1170" s="23"/>
      <c r="H1170" s="23"/>
      <c r="I1170" s="36"/>
    </row>
    <row r="1171">
      <c r="A1171" s="7"/>
      <c r="B1171" s="7"/>
      <c r="C1171" s="7"/>
      <c r="D1171" s="7"/>
      <c r="E1171" s="7"/>
      <c r="F1171" s="23"/>
      <c r="G1171" s="23"/>
      <c r="H1171" s="23"/>
      <c r="I1171" s="37"/>
    </row>
    <row r="1172">
      <c r="A1172" s="13"/>
      <c r="B1172" s="13"/>
      <c r="C1172" s="13"/>
      <c r="D1172" s="13"/>
      <c r="E1172" s="13"/>
      <c r="F1172" s="23"/>
      <c r="G1172" s="23"/>
      <c r="H1172" s="23"/>
      <c r="I1172" s="36"/>
    </row>
    <row r="1173">
      <c r="A1173" s="7"/>
      <c r="B1173" s="7"/>
      <c r="C1173" s="7"/>
      <c r="D1173" s="7"/>
      <c r="E1173" s="7"/>
      <c r="F1173" s="23"/>
      <c r="G1173" s="23"/>
      <c r="H1173" s="23"/>
      <c r="I1173" s="37"/>
    </row>
    <row r="1174">
      <c r="A1174" s="13"/>
      <c r="B1174" s="13"/>
      <c r="C1174" s="13"/>
      <c r="D1174" s="13"/>
      <c r="E1174" s="13"/>
      <c r="F1174" s="23"/>
      <c r="G1174" s="23"/>
      <c r="H1174" s="23"/>
      <c r="I1174" s="36"/>
    </row>
    <row r="1175">
      <c r="A1175" s="7"/>
      <c r="B1175" s="7"/>
      <c r="C1175" s="7"/>
      <c r="D1175" s="7"/>
      <c r="E1175" s="7"/>
      <c r="F1175" s="23"/>
      <c r="G1175" s="23"/>
      <c r="H1175" s="23"/>
      <c r="I1175" s="37"/>
    </row>
    <row r="1176">
      <c r="A1176" s="13"/>
      <c r="B1176" s="13"/>
      <c r="C1176" s="13"/>
      <c r="D1176" s="13"/>
      <c r="E1176" s="13"/>
      <c r="F1176" s="23"/>
      <c r="G1176" s="23"/>
      <c r="H1176" s="23"/>
      <c r="I1176" s="36"/>
    </row>
    <row r="1177">
      <c r="A1177" s="7"/>
      <c r="B1177" s="7"/>
      <c r="C1177" s="7"/>
      <c r="D1177" s="7"/>
      <c r="E1177" s="7"/>
      <c r="F1177" s="23"/>
      <c r="G1177" s="23"/>
      <c r="H1177" s="23"/>
      <c r="I1177" s="37"/>
    </row>
    <row r="1178">
      <c r="A1178" s="13"/>
      <c r="B1178" s="13"/>
      <c r="C1178" s="13"/>
      <c r="D1178" s="13"/>
      <c r="E1178" s="13"/>
      <c r="F1178" s="23"/>
      <c r="G1178" s="23"/>
      <c r="H1178" s="23"/>
      <c r="I1178" s="36"/>
    </row>
    <row r="1179">
      <c r="A1179" s="7"/>
      <c r="B1179" s="7"/>
      <c r="C1179" s="7"/>
      <c r="D1179" s="7"/>
      <c r="E1179" s="7"/>
      <c r="F1179" s="23"/>
      <c r="G1179" s="23"/>
      <c r="H1179" s="23"/>
      <c r="I1179" s="37"/>
    </row>
    <row r="1180">
      <c r="A1180" s="13"/>
      <c r="B1180" s="13"/>
      <c r="C1180" s="13"/>
      <c r="D1180" s="13"/>
      <c r="E1180" s="13"/>
      <c r="F1180" s="23"/>
      <c r="G1180" s="23"/>
      <c r="H1180" s="23"/>
      <c r="I1180" s="36"/>
    </row>
    <row r="1181">
      <c r="A1181" s="7"/>
      <c r="B1181" s="7"/>
      <c r="C1181" s="7"/>
      <c r="D1181" s="7"/>
      <c r="E1181" s="7"/>
      <c r="F1181" s="23"/>
      <c r="G1181" s="23"/>
      <c r="H1181" s="23"/>
      <c r="I1181" s="37"/>
    </row>
    <row r="1182">
      <c r="A1182" s="13"/>
      <c r="B1182" s="13"/>
      <c r="C1182" s="13"/>
      <c r="D1182" s="13"/>
      <c r="E1182" s="13"/>
      <c r="F1182" s="23"/>
      <c r="G1182" s="23"/>
      <c r="H1182" s="23"/>
      <c r="I1182" s="36"/>
    </row>
    <row r="1183">
      <c r="A1183" s="7"/>
      <c r="B1183" s="7"/>
      <c r="C1183" s="7"/>
      <c r="D1183" s="7"/>
      <c r="E1183" s="7"/>
      <c r="F1183" s="23"/>
      <c r="G1183" s="23"/>
      <c r="H1183" s="23"/>
      <c r="I1183" s="37"/>
    </row>
    <row r="1184">
      <c r="A1184" s="13"/>
      <c r="B1184" s="13"/>
      <c r="C1184" s="13"/>
      <c r="D1184" s="13"/>
      <c r="E1184" s="13"/>
      <c r="F1184" s="23"/>
      <c r="G1184" s="23"/>
      <c r="H1184" s="23"/>
      <c r="I1184" s="36"/>
    </row>
    <row r="1185">
      <c r="A1185" s="7"/>
      <c r="B1185" s="7"/>
      <c r="C1185" s="7"/>
      <c r="D1185" s="7"/>
      <c r="E1185" s="7"/>
      <c r="F1185" s="23"/>
      <c r="G1185" s="23"/>
      <c r="H1185" s="23"/>
      <c r="I1185" s="37"/>
    </row>
    <row r="1186">
      <c r="A1186" s="13"/>
      <c r="B1186" s="13"/>
      <c r="C1186" s="13"/>
      <c r="D1186" s="13"/>
      <c r="E1186" s="13"/>
      <c r="F1186" s="23"/>
      <c r="G1186" s="23"/>
      <c r="H1186" s="23"/>
      <c r="I1186" s="36"/>
    </row>
    <row r="1187">
      <c r="A1187" s="7"/>
      <c r="B1187" s="7"/>
      <c r="C1187" s="7"/>
      <c r="D1187" s="7"/>
      <c r="E1187" s="7"/>
      <c r="F1187" s="23"/>
      <c r="G1187" s="23"/>
      <c r="H1187" s="23"/>
      <c r="I1187" s="37"/>
    </row>
    <row r="1188">
      <c r="A1188" s="13"/>
      <c r="B1188" s="13"/>
      <c r="C1188" s="13"/>
      <c r="D1188" s="13"/>
      <c r="E1188" s="13"/>
      <c r="F1188" s="23"/>
      <c r="G1188" s="23"/>
      <c r="H1188" s="23"/>
      <c r="I1188" s="36"/>
    </row>
    <row r="1189">
      <c r="A1189" s="7"/>
      <c r="B1189" s="7"/>
      <c r="C1189" s="7"/>
      <c r="D1189" s="7"/>
      <c r="E1189" s="7"/>
      <c r="F1189" s="23"/>
      <c r="G1189" s="23"/>
      <c r="H1189" s="23"/>
      <c r="I1189" s="37"/>
    </row>
    <row r="1190">
      <c r="A1190" s="13"/>
      <c r="B1190" s="13"/>
      <c r="C1190" s="13"/>
      <c r="D1190" s="13"/>
      <c r="E1190" s="13"/>
      <c r="F1190" s="23"/>
      <c r="G1190" s="23"/>
      <c r="H1190" s="23"/>
      <c r="I1190" s="36"/>
    </row>
    <row r="1191">
      <c r="A1191" s="7"/>
      <c r="B1191" s="7"/>
      <c r="C1191" s="7"/>
      <c r="D1191" s="7"/>
      <c r="E1191" s="7"/>
      <c r="F1191" s="23"/>
      <c r="G1191" s="23"/>
      <c r="H1191" s="23"/>
      <c r="I1191" s="37"/>
    </row>
    <row r="1192">
      <c r="A1192" s="13"/>
      <c r="B1192" s="13"/>
      <c r="C1192" s="13"/>
      <c r="D1192" s="13"/>
      <c r="E1192" s="13"/>
      <c r="F1192" s="23"/>
      <c r="G1192" s="23"/>
      <c r="H1192" s="23"/>
      <c r="I1192" s="36"/>
    </row>
    <row r="1193">
      <c r="A1193" s="7"/>
      <c r="B1193" s="7"/>
      <c r="C1193" s="7"/>
      <c r="D1193" s="7"/>
      <c r="E1193" s="7"/>
      <c r="F1193" s="23"/>
      <c r="G1193" s="23"/>
      <c r="H1193" s="23"/>
      <c r="I1193" s="37"/>
    </row>
    <row r="1194">
      <c r="A1194" s="22"/>
      <c r="B1194" s="23"/>
      <c r="C1194" s="23"/>
      <c r="D1194" s="23"/>
      <c r="E1194" s="23"/>
      <c r="F1194" s="23"/>
      <c r="G1194" s="23"/>
      <c r="H1194" s="23"/>
      <c r="I1194" s="23"/>
    </row>
    <row r="1195">
      <c r="A1195" s="22"/>
      <c r="B1195" s="23"/>
      <c r="C1195" s="23"/>
      <c r="D1195" s="23"/>
      <c r="E1195" s="23"/>
      <c r="F1195" s="23"/>
      <c r="G1195" s="23"/>
      <c r="H1195" s="23"/>
      <c r="I1195" s="23"/>
    </row>
    <row r="1196">
      <c r="A1196" s="22"/>
      <c r="B1196" s="23"/>
      <c r="C1196" s="23"/>
      <c r="D1196" s="23"/>
      <c r="E1196" s="23"/>
      <c r="F1196" s="23"/>
      <c r="G1196" s="23"/>
      <c r="H1196" s="23"/>
      <c r="I1196" s="23"/>
    </row>
    <row r="1197">
      <c r="A1197" s="22"/>
      <c r="B1197" s="23"/>
      <c r="C1197" s="23"/>
      <c r="D1197" s="23"/>
      <c r="E1197" s="23"/>
      <c r="F1197" s="23"/>
      <c r="G1197" s="23"/>
      <c r="H1197" s="23"/>
      <c r="I1197" s="23"/>
    </row>
    <row r="1198">
      <c r="A1198" s="22"/>
      <c r="B1198" s="23"/>
      <c r="C1198" s="23"/>
      <c r="D1198" s="23"/>
      <c r="E1198" s="23"/>
      <c r="F1198" s="23"/>
      <c r="G1198" s="23"/>
      <c r="H1198" s="23"/>
      <c r="I1198" s="23"/>
    </row>
    <row r="1199">
      <c r="A1199" s="22"/>
      <c r="B1199" s="23"/>
      <c r="C1199" s="23"/>
      <c r="D1199" s="23"/>
      <c r="E1199" s="23"/>
      <c r="F1199" s="23"/>
      <c r="G1199" s="23"/>
      <c r="H1199" s="23"/>
      <c r="I1199" s="23"/>
    </row>
    <row r="1200">
      <c r="A1200" s="22"/>
      <c r="B1200" s="23"/>
      <c r="C1200" s="23"/>
      <c r="D1200" s="23"/>
      <c r="E1200" s="23"/>
      <c r="F1200" s="23"/>
      <c r="G1200" s="23"/>
      <c r="H1200" s="23"/>
      <c r="I1200" s="23"/>
    </row>
    <row r="1201">
      <c r="A1201" s="22"/>
      <c r="B1201" s="23"/>
      <c r="C1201" s="23"/>
      <c r="D1201" s="23"/>
      <c r="E1201" s="23"/>
      <c r="F1201" s="23"/>
      <c r="G1201" s="23"/>
      <c r="H1201" s="23"/>
      <c r="I1201" s="23"/>
    </row>
    <row r="1202">
      <c r="A1202" s="22"/>
      <c r="B1202" s="23"/>
      <c r="C1202" s="23"/>
      <c r="D1202" s="23"/>
      <c r="E1202" s="23"/>
      <c r="F1202" s="23"/>
      <c r="G1202" s="23"/>
      <c r="H1202" s="23"/>
      <c r="I1202" s="23"/>
    </row>
    <row r="1203">
      <c r="A1203" s="22"/>
      <c r="B1203" s="23"/>
      <c r="C1203" s="23"/>
      <c r="D1203" s="23"/>
      <c r="E1203" s="23"/>
      <c r="F1203" s="23"/>
      <c r="G1203" s="23"/>
      <c r="H1203" s="23"/>
      <c r="I1203" s="23"/>
    </row>
    <row r="1204">
      <c r="A1204" s="22"/>
      <c r="B1204" s="23"/>
      <c r="C1204" s="23"/>
      <c r="D1204" s="23"/>
      <c r="E1204" s="23"/>
      <c r="F1204" s="23"/>
      <c r="G1204" s="23"/>
      <c r="H1204" s="23"/>
      <c r="I1204" s="23"/>
    </row>
    <row r="1205">
      <c r="A1205" s="22"/>
      <c r="B1205" s="23"/>
      <c r="C1205" s="23"/>
      <c r="D1205" s="23"/>
      <c r="E1205" s="23"/>
      <c r="F1205" s="23"/>
      <c r="G1205" s="23"/>
      <c r="H1205" s="23"/>
      <c r="I1205" s="23"/>
    </row>
    <row r="1206">
      <c r="A1206" s="22"/>
      <c r="B1206" s="23"/>
      <c r="C1206" s="23"/>
      <c r="D1206" s="23"/>
      <c r="E1206" s="23"/>
      <c r="F1206" s="23"/>
      <c r="G1206" s="23"/>
      <c r="H1206" s="23"/>
      <c r="I1206" s="23"/>
    </row>
    <row r="1207">
      <c r="A1207" s="22"/>
      <c r="B1207" s="23"/>
      <c r="C1207" s="23"/>
      <c r="D1207" s="23"/>
      <c r="E1207" s="23"/>
      <c r="F1207" s="23"/>
      <c r="G1207" s="23"/>
      <c r="H1207" s="23"/>
      <c r="I1207" s="23"/>
    </row>
    <row r="1208">
      <c r="A1208" s="22"/>
      <c r="B1208" s="23"/>
      <c r="C1208" s="23"/>
      <c r="D1208" s="23"/>
      <c r="E1208" s="23"/>
      <c r="F1208" s="23"/>
      <c r="G1208" s="23"/>
      <c r="H1208" s="23"/>
      <c r="I1208" s="23"/>
    </row>
    <row r="1209">
      <c r="A1209" s="22"/>
      <c r="B1209" s="23"/>
      <c r="C1209" s="23"/>
      <c r="D1209" s="23"/>
      <c r="E1209" s="23"/>
      <c r="F1209" s="23"/>
      <c r="G1209" s="23"/>
      <c r="H1209" s="23"/>
      <c r="I1209" s="23"/>
    </row>
    <row r="1210">
      <c r="A1210" s="22"/>
      <c r="B1210" s="23"/>
      <c r="C1210" s="23"/>
      <c r="D1210" s="23"/>
      <c r="E1210" s="23"/>
      <c r="F1210" s="23"/>
      <c r="G1210" s="23"/>
      <c r="H1210" s="23"/>
      <c r="I1210" s="23"/>
    </row>
    <row r="1211">
      <c r="A1211" s="22"/>
      <c r="B1211" s="23"/>
      <c r="C1211" s="23"/>
      <c r="D1211" s="23"/>
      <c r="E1211" s="23"/>
      <c r="F1211" s="23"/>
      <c r="G1211" s="23"/>
      <c r="H1211" s="23"/>
      <c r="I1211" s="23"/>
    </row>
    <row r="1212">
      <c r="A1212" s="22"/>
      <c r="B1212" s="23"/>
      <c r="C1212" s="23"/>
      <c r="D1212" s="23"/>
      <c r="E1212" s="23"/>
      <c r="F1212" s="23"/>
      <c r="G1212" s="23"/>
      <c r="H1212" s="23"/>
      <c r="I1212" s="23"/>
    </row>
    <row r="1213">
      <c r="A1213" s="22"/>
      <c r="B1213" s="23"/>
      <c r="C1213" s="23"/>
      <c r="D1213" s="23"/>
      <c r="E1213" s="23"/>
      <c r="F1213" s="23"/>
      <c r="G1213" s="23"/>
      <c r="H1213" s="23"/>
      <c r="I1213" s="23"/>
    </row>
    <row r="1214">
      <c r="A1214" s="22"/>
      <c r="B1214" s="23"/>
      <c r="C1214" s="23"/>
      <c r="D1214" s="23"/>
      <c r="E1214" s="23"/>
      <c r="F1214" s="23"/>
      <c r="G1214" s="23"/>
      <c r="H1214" s="23"/>
      <c r="I1214" s="23"/>
    </row>
    <row r="1215">
      <c r="A1215" s="22"/>
      <c r="B1215" s="23"/>
      <c r="C1215" s="23"/>
      <c r="D1215" s="23"/>
      <c r="E1215" s="23"/>
      <c r="F1215" s="23"/>
      <c r="G1215" s="23"/>
      <c r="H1215" s="23"/>
      <c r="I1215" s="23"/>
    </row>
    <row r="1216">
      <c r="A1216" s="22"/>
      <c r="B1216" s="23"/>
      <c r="C1216" s="23"/>
      <c r="D1216" s="23"/>
      <c r="E1216" s="23"/>
      <c r="F1216" s="23"/>
      <c r="G1216" s="23"/>
      <c r="H1216" s="23"/>
      <c r="I1216" s="23"/>
    </row>
    <row r="1217">
      <c r="A1217" s="22"/>
      <c r="B1217" s="23"/>
      <c r="C1217" s="23"/>
      <c r="D1217" s="23"/>
      <c r="E1217" s="23"/>
      <c r="F1217" s="23"/>
      <c r="G1217" s="23"/>
      <c r="H1217" s="23"/>
      <c r="I1217" s="23"/>
    </row>
    <row r="1218">
      <c r="A1218" s="22"/>
      <c r="B1218" s="23"/>
      <c r="C1218" s="23"/>
      <c r="D1218" s="23"/>
      <c r="E1218" s="23"/>
      <c r="F1218" s="23"/>
      <c r="G1218" s="23"/>
      <c r="H1218" s="23"/>
      <c r="I1218" s="23"/>
    </row>
    <row r="1219">
      <c r="A1219" s="22"/>
      <c r="B1219" s="23"/>
      <c r="C1219" s="23"/>
      <c r="D1219" s="23"/>
      <c r="E1219" s="23"/>
      <c r="F1219" s="23"/>
      <c r="G1219" s="23"/>
      <c r="H1219" s="23"/>
      <c r="I1219" s="23"/>
    </row>
    <row r="1220">
      <c r="A1220" s="22"/>
      <c r="B1220" s="23"/>
      <c r="C1220" s="23"/>
      <c r="D1220" s="23"/>
      <c r="E1220" s="23"/>
      <c r="F1220" s="23"/>
      <c r="G1220" s="23"/>
      <c r="H1220" s="23"/>
      <c r="I1220" s="23"/>
    </row>
    <row r="1221">
      <c r="A1221" s="22"/>
      <c r="B1221" s="23"/>
      <c r="C1221" s="23"/>
      <c r="D1221" s="23"/>
      <c r="E1221" s="23"/>
      <c r="F1221" s="23"/>
      <c r="G1221" s="23"/>
      <c r="H1221" s="23"/>
      <c r="I1221" s="23"/>
    </row>
    <row r="1222">
      <c r="A1222" s="22"/>
      <c r="B1222" s="23"/>
      <c r="C1222" s="23"/>
      <c r="D1222" s="23"/>
      <c r="E1222" s="23"/>
      <c r="F1222" s="23"/>
      <c r="G1222" s="23"/>
      <c r="H1222" s="23"/>
      <c r="I1222" s="23"/>
    </row>
    <row r="1223">
      <c r="A1223" s="22"/>
      <c r="B1223" s="23"/>
      <c r="C1223" s="23"/>
      <c r="D1223" s="23"/>
      <c r="E1223" s="23"/>
      <c r="F1223" s="23"/>
      <c r="G1223" s="23"/>
      <c r="H1223" s="23"/>
      <c r="I1223" s="23"/>
    </row>
    <row r="1224">
      <c r="A1224" s="22"/>
      <c r="B1224" s="23"/>
      <c r="C1224" s="23"/>
      <c r="D1224" s="23"/>
      <c r="E1224" s="23"/>
      <c r="F1224" s="23"/>
      <c r="G1224" s="23"/>
      <c r="H1224" s="23"/>
      <c r="I1224" s="23"/>
    </row>
    <row r="1225">
      <c r="A1225" s="22"/>
      <c r="B1225" s="23"/>
      <c r="C1225" s="23"/>
      <c r="D1225" s="23"/>
      <c r="E1225" s="23"/>
      <c r="F1225" s="23"/>
      <c r="G1225" s="23"/>
      <c r="H1225" s="23"/>
      <c r="I1225" s="23"/>
    </row>
    <row r="1226">
      <c r="A1226" s="22"/>
      <c r="B1226" s="23"/>
      <c r="C1226" s="23"/>
      <c r="D1226" s="23"/>
      <c r="E1226" s="23"/>
      <c r="F1226" s="23"/>
      <c r="G1226" s="23"/>
      <c r="H1226" s="23"/>
      <c r="I1226" s="23"/>
    </row>
    <row r="1227">
      <c r="A1227" s="22"/>
      <c r="B1227" s="23"/>
      <c r="C1227" s="23"/>
      <c r="D1227" s="23"/>
      <c r="E1227" s="23"/>
      <c r="F1227" s="23"/>
      <c r="G1227" s="23"/>
      <c r="H1227" s="23"/>
      <c r="I1227" s="23"/>
    </row>
    <row r="1228">
      <c r="A1228" s="22"/>
      <c r="B1228" s="23"/>
      <c r="C1228" s="23"/>
      <c r="D1228" s="23"/>
      <c r="E1228" s="23"/>
      <c r="F1228" s="23"/>
      <c r="G1228" s="23"/>
      <c r="H1228" s="23"/>
      <c r="I1228" s="23"/>
    </row>
    <row r="1229">
      <c r="A1229" s="22"/>
      <c r="B1229" s="23"/>
      <c r="C1229" s="23"/>
      <c r="D1229" s="23"/>
      <c r="E1229" s="23"/>
      <c r="F1229" s="23"/>
      <c r="G1229" s="23"/>
      <c r="H1229" s="23"/>
      <c r="I1229" s="23"/>
    </row>
    <row r="1230">
      <c r="A1230" s="22"/>
      <c r="B1230" s="23"/>
      <c r="C1230" s="23"/>
      <c r="D1230" s="23"/>
      <c r="E1230" s="23"/>
      <c r="F1230" s="23"/>
      <c r="G1230" s="23"/>
      <c r="H1230" s="23"/>
      <c r="I1230" s="23"/>
    </row>
    <row r="1231">
      <c r="A1231" s="22"/>
      <c r="B1231" s="23"/>
      <c r="C1231" s="23"/>
      <c r="D1231" s="23"/>
      <c r="E1231" s="23"/>
      <c r="F1231" s="23"/>
      <c r="G1231" s="23"/>
      <c r="H1231" s="23"/>
      <c r="I1231" s="23"/>
    </row>
    <row r="1232">
      <c r="A1232" s="22"/>
      <c r="B1232" s="23"/>
      <c r="C1232" s="23"/>
      <c r="D1232" s="23"/>
      <c r="E1232" s="23"/>
      <c r="F1232" s="23"/>
      <c r="G1232" s="23"/>
      <c r="H1232" s="23"/>
      <c r="I1232" s="23"/>
    </row>
    <row r="1233">
      <c r="A1233" s="22"/>
      <c r="B1233" s="23"/>
      <c r="C1233" s="23"/>
      <c r="D1233" s="23"/>
      <c r="E1233" s="23"/>
      <c r="F1233" s="23"/>
      <c r="G1233" s="23"/>
      <c r="H1233" s="23"/>
      <c r="I1233" s="23"/>
    </row>
    <row r="1234">
      <c r="A1234" s="22"/>
      <c r="B1234" s="23"/>
      <c r="C1234" s="23"/>
      <c r="D1234" s="23"/>
      <c r="E1234" s="23"/>
      <c r="F1234" s="23"/>
      <c r="G1234" s="23"/>
      <c r="H1234" s="23"/>
      <c r="I1234" s="23"/>
    </row>
    <row r="1235">
      <c r="A1235" s="22"/>
      <c r="B1235" s="23"/>
      <c r="C1235" s="23"/>
      <c r="D1235" s="23"/>
      <c r="E1235" s="23"/>
      <c r="F1235" s="23"/>
      <c r="G1235" s="23"/>
      <c r="H1235" s="23"/>
      <c r="I1235" s="23"/>
    </row>
    <row r="1236">
      <c r="A1236" s="22"/>
      <c r="B1236" s="23"/>
      <c r="C1236" s="23"/>
      <c r="D1236" s="23"/>
      <c r="E1236" s="23"/>
      <c r="F1236" s="23"/>
      <c r="G1236" s="23"/>
      <c r="H1236" s="23"/>
      <c r="I1236" s="23"/>
    </row>
    <row r="1237">
      <c r="A1237" s="22"/>
      <c r="B1237" s="23"/>
      <c r="C1237" s="23"/>
      <c r="D1237" s="23"/>
      <c r="E1237" s="23"/>
      <c r="F1237" s="23"/>
      <c r="G1237" s="23"/>
      <c r="H1237" s="23"/>
      <c r="I1237" s="23"/>
    </row>
    <row r="1238">
      <c r="A1238" s="22"/>
      <c r="B1238" s="23"/>
      <c r="C1238" s="23"/>
      <c r="D1238" s="23"/>
      <c r="E1238" s="23"/>
      <c r="F1238" s="23"/>
      <c r="G1238" s="23"/>
      <c r="H1238" s="23"/>
      <c r="I1238" s="23"/>
    </row>
    <row r="1239">
      <c r="A1239" s="22"/>
      <c r="B1239" s="23"/>
      <c r="C1239" s="23"/>
      <c r="D1239" s="23"/>
      <c r="E1239" s="23"/>
      <c r="F1239" s="23"/>
      <c r="G1239" s="23"/>
      <c r="H1239" s="23"/>
      <c r="I1239" s="23"/>
    </row>
    <row r="1240">
      <c r="A1240" s="22"/>
      <c r="B1240" s="23"/>
      <c r="C1240" s="23"/>
      <c r="D1240" s="23"/>
      <c r="E1240" s="23"/>
      <c r="F1240" s="23"/>
      <c r="G1240" s="23"/>
      <c r="H1240" s="23"/>
      <c r="I1240" s="23"/>
    </row>
    <row r="1241">
      <c r="A1241" s="22"/>
      <c r="B1241" s="23"/>
      <c r="C1241" s="23"/>
      <c r="D1241" s="23"/>
      <c r="E1241" s="23"/>
      <c r="F1241" s="23"/>
      <c r="G1241" s="23"/>
      <c r="H1241" s="23"/>
      <c r="I1241" s="23"/>
    </row>
    <row r="1242">
      <c r="A1242" s="22"/>
      <c r="B1242" s="23"/>
      <c r="C1242" s="23"/>
      <c r="D1242" s="23"/>
      <c r="E1242" s="23"/>
      <c r="F1242" s="23"/>
      <c r="G1242" s="23"/>
      <c r="H1242" s="23"/>
      <c r="I1242" s="23"/>
    </row>
    <row r="1243">
      <c r="A1243" s="22"/>
      <c r="B1243" s="23"/>
      <c r="C1243" s="23"/>
      <c r="D1243" s="23"/>
      <c r="E1243" s="23"/>
      <c r="F1243" s="23"/>
      <c r="G1243" s="23"/>
      <c r="H1243" s="23"/>
      <c r="I1243" s="23"/>
    </row>
    <row r="1244">
      <c r="A1244" s="22"/>
      <c r="B1244" s="23"/>
      <c r="C1244" s="23"/>
      <c r="D1244" s="23"/>
      <c r="E1244" s="23"/>
      <c r="F1244" s="23"/>
      <c r="G1244" s="23"/>
      <c r="H1244" s="23"/>
      <c r="I1244" s="23"/>
    </row>
    <row r="1245">
      <c r="A1245" s="22"/>
      <c r="B1245" s="23"/>
      <c r="C1245" s="23"/>
      <c r="D1245" s="23"/>
      <c r="E1245" s="23"/>
      <c r="F1245" s="23"/>
      <c r="G1245" s="23"/>
      <c r="H1245" s="23"/>
      <c r="I1245" s="23"/>
    </row>
    <row r="1246">
      <c r="A1246" s="22"/>
      <c r="B1246" s="23"/>
      <c r="C1246" s="23"/>
      <c r="D1246" s="23"/>
      <c r="E1246" s="23"/>
      <c r="F1246" s="23"/>
      <c r="G1246" s="23"/>
      <c r="H1246" s="23"/>
      <c r="I1246" s="23"/>
    </row>
    <row r="1247">
      <c r="A1247" s="22"/>
      <c r="B1247" s="23"/>
      <c r="C1247" s="23"/>
      <c r="D1247" s="23"/>
      <c r="E1247" s="23"/>
      <c r="F1247" s="23"/>
      <c r="G1247" s="23"/>
      <c r="H1247" s="23"/>
      <c r="I1247" s="23"/>
    </row>
    <row r="1248">
      <c r="A1248" s="22"/>
      <c r="B1248" s="23"/>
      <c r="C1248" s="23"/>
      <c r="D1248" s="23"/>
      <c r="E1248" s="23"/>
      <c r="F1248" s="23"/>
      <c r="G1248" s="23"/>
      <c r="H1248" s="23"/>
      <c r="I1248" s="23"/>
    </row>
    <row r="1249">
      <c r="A1249" s="22"/>
      <c r="B1249" s="23"/>
      <c r="C1249" s="23"/>
      <c r="D1249" s="23"/>
      <c r="E1249" s="23"/>
      <c r="F1249" s="23"/>
      <c r="G1249" s="23"/>
      <c r="H1249" s="23"/>
      <c r="I1249" s="23"/>
    </row>
    <row r="1250">
      <c r="A1250" s="22"/>
      <c r="B1250" s="23"/>
      <c r="C1250" s="23"/>
      <c r="D1250" s="23"/>
      <c r="E1250" s="23"/>
      <c r="F1250" s="23"/>
      <c r="G1250" s="23"/>
      <c r="H1250" s="23"/>
      <c r="I1250" s="23"/>
    </row>
    <row r="1251">
      <c r="A1251" s="22"/>
      <c r="B1251" s="23"/>
      <c r="C1251" s="23"/>
      <c r="D1251" s="23"/>
      <c r="E1251" s="23"/>
      <c r="F1251" s="23"/>
      <c r="G1251" s="23"/>
      <c r="H1251" s="23"/>
      <c r="I1251" s="23"/>
    </row>
    <row r="1252">
      <c r="A1252" s="22"/>
      <c r="B1252" s="23"/>
      <c r="C1252" s="23"/>
      <c r="D1252" s="23"/>
      <c r="E1252" s="23"/>
      <c r="F1252" s="23"/>
      <c r="G1252" s="23"/>
      <c r="H1252" s="23"/>
      <c r="I1252" s="23"/>
    </row>
    <row r="1253">
      <c r="A1253" s="22"/>
      <c r="B1253" s="23"/>
      <c r="C1253" s="23"/>
      <c r="D1253" s="23"/>
      <c r="E1253" s="23"/>
      <c r="F1253" s="23"/>
      <c r="G1253" s="23"/>
      <c r="H1253" s="23"/>
      <c r="I1253" s="23"/>
    </row>
    <row r="1254">
      <c r="A1254" s="22"/>
      <c r="B1254" s="23"/>
      <c r="C1254" s="23"/>
      <c r="D1254" s="23"/>
      <c r="E1254" s="23"/>
      <c r="F1254" s="23"/>
      <c r="G1254" s="23"/>
      <c r="H1254" s="23"/>
      <c r="I1254" s="23"/>
    </row>
    <row r="1255">
      <c r="A1255" s="22"/>
      <c r="B1255" s="23"/>
      <c r="C1255" s="23"/>
      <c r="D1255" s="23"/>
      <c r="E1255" s="23"/>
      <c r="F1255" s="23"/>
      <c r="G1255" s="23"/>
      <c r="H1255" s="23"/>
      <c r="I1255" s="23"/>
    </row>
    <row r="1256">
      <c r="A1256" s="22"/>
      <c r="B1256" s="23"/>
      <c r="C1256" s="23"/>
      <c r="D1256" s="23"/>
      <c r="E1256" s="23"/>
      <c r="F1256" s="23"/>
      <c r="G1256" s="23"/>
      <c r="H1256" s="23"/>
      <c r="I1256" s="23"/>
    </row>
    <row r="1257">
      <c r="A1257" s="22"/>
      <c r="B1257" s="23"/>
      <c r="C1257" s="23"/>
      <c r="D1257" s="23"/>
      <c r="E1257" s="23"/>
      <c r="F1257" s="23"/>
      <c r="G1257" s="23"/>
      <c r="H1257" s="23"/>
      <c r="I1257" s="23"/>
    </row>
    <row r="1258">
      <c r="A1258" s="22"/>
      <c r="B1258" s="23"/>
      <c r="C1258" s="23"/>
      <c r="D1258" s="23"/>
      <c r="E1258" s="23"/>
      <c r="F1258" s="23"/>
      <c r="G1258" s="23"/>
      <c r="H1258" s="23"/>
      <c r="I1258" s="23"/>
    </row>
    <row r="1259">
      <c r="A1259" s="22"/>
      <c r="B1259" s="23"/>
      <c r="C1259" s="23"/>
      <c r="D1259" s="23"/>
      <c r="E1259" s="23"/>
      <c r="F1259" s="23"/>
      <c r="G1259" s="23"/>
      <c r="H1259" s="23"/>
      <c r="I1259" s="23"/>
    </row>
    <row r="1260">
      <c r="A1260" s="22"/>
      <c r="B1260" s="23"/>
      <c r="C1260" s="23"/>
      <c r="D1260" s="23"/>
      <c r="E1260" s="23"/>
      <c r="F1260" s="23"/>
      <c r="G1260" s="23"/>
      <c r="H1260" s="23"/>
      <c r="I1260" s="23"/>
    </row>
    <row r="1261">
      <c r="A1261" s="22"/>
      <c r="B1261" s="23"/>
      <c r="C1261" s="23"/>
      <c r="D1261" s="23"/>
      <c r="E1261" s="23"/>
      <c r="F1261" s="23"/>
      <c r="G1261" s="23"/>
      <c r="H1261" s="23"/>
      <c r="I1261" s="23"/>
    </row>
    <row r="1262">
      <c r="A1262" s="22"/>
      <c r="B1262" s="23"/>
      <c r="C1262" s="23"/>
      <c r="D1262" s="23"/>
      <c r="E1262" s="23"/>
      <c r="F1262" s="23"/>
      <c r="G1262" s="23"/>
      <c r="H1262" s="23"/>
      <c r="I1262" s="23"/>
    </row>
    <row r="1263">
      <c r="A1263" s="22"/>
      <c r="B1263" s="23"/>
      <c r="C1263" s="23"/>
      <c r="D1263" s="23"/>
      <c r="E1263" s="23"/>
      <c r="F1263" s="23"/>
      <c r="G1263" s="23"/>
      <c r="H1263" s="23"/>
      <c r="I1263" s="23"/>
    </row>
    <row r="1264">
      <c r="A1264" s="22"/>
      <c r="B1264" s="23"/>
      <c r="C1264" s="23"/>
      <c r="D1264" s="23"/>
      <c r="E1264" s="23"/>
      <c r="F1264" s="23"/>
      <c r="G1264" s="23"/>
      <c r="H1264" s="23"/>
      <c r="I1264" s="23"/>
    </row>
    <row r="1265">
      <c r="A1265" s="22"/>
      <c r="B1265" s="23"/>
      <c r="C1265" s="23"/>
      <c r="D1265" s="23"/>
      <c r="E1265" s="23"/>
      <c r="F1265" s="23"/>
      <c r="G1265" s="23"/>
      <c r="H1265" s="23"/>
      <c r="I1265" s="23"/>
    </row>
    <row r="1266">
      <c r="A1266" s="22"/>
      <c r="B1266" s="23"/>
      <c r="C1266" s="23"/>
      <c r="D1266" s="23"/>
      <c r="E1266" s="23"/>
      <c r="F1266" s="23"/>
      <c r="G1266" s="23"/>
      <c r="H1266" s="23"/>
      <c r="I1266" s="23"/>
    </row>
    <row r="1267">
      <c r="A1267" s="22"/>
      <c r="B1267" s="23"/>
      <c r="C1267" s="23"/>
      <c r="D1267" s="23"/>
      <c r="E1267" s="23"/>
      <c r="F1267" s="23"/>
      <c r="G1267" s="23"/>
      <c r="H1267" s="23"/>
      <c r="I1267" s="23"/>
    </row>
    <row r="1268">
      <c r="A1268" s="22"/>
      <c r="B1268" s="23"/>
      <c r="C1268" s="23"/>
      <c r="D1268" s="23"/>
      <c r="E1268" s="23"/>
      <c r="F1268" s="23"/>
      <c r="G1268" s="23"/>
      <c r="H1268" s="23"/>
      <c r="I1268" s="23"/>
    </row>
    <row r="1269">
      <c r="A1269" s="22"/>
      <c r="B1269" s="23"/>
      <c r="C1269" s="23"/>
      <c r="D1269" s="23"/>
      <c r="E1269" s="23"/>
      <c r="F1269" s="23"/>
      <c r="G1269" s="23"/>
      <c r="H1269" s="23"/>
      <c r="I1269" s="23"/>
    </row>
    <row r="1270">
      <c r="A1270" s="22"/>
      <c r="B1270" s="23"/>
      <c r="C1270" s="23"/>
      <c r="D1270" s="23"/>
      <c r="E1270" s="23"/>
      <c r="F1270" s="23"/>
      <c r="G1270" s="23"/>
      <c r="H1270" s="23"/>
      <c r="I1270" s="23"/>
    </row>
    <row r="1271">
      <c r="A1271" s="22"/>
      <c r="B1271" s="23"/>
      <c r="C1271" s="23"/>
      <c r="D1271" s="23"/>
      <c r="E1271" s="23"/>
      <c r="F1271" s="23"/>
      <c r="G1271" s="23"/>
      <c r="H1271" s="23"/>
      <c r="I1271" s="23"/>
    </row>
    <row r="1272">
      <c r="A1272" s="22"/>
      <c r="B1272" s="23"/>
      <c r="C1272" s="23"/>
      <c r="D1272" s="23"/>
      <c r="E1272" s="23"/>
      <c r="F1272" s="23"/>
      <c r="G1272" s="23"/>
      <c r="H1272" s="23"/>
      <c r="I1272" s="23"/>
    </row>
    <row r="1273">
      <c r="A1273" s="22"/>
      <c r="B1273" s="23"/>
      <c r="C1273" s="23"/>
      <c r="D1273" s="23"/>
      <c r="E1273" s="23"/>
      <c r="F1273" s="23"/>
      <c r="G1273" s="23"/>
      <c r="H1273" s="23"/>
      <c r="I1273" s="23"/>
    </row>
    <row r="1274">
      <c r="A1274" s="22"/>
      <c r="B1274" s="23"/>
      <c r="C1274" s="23"/>
      <c r="D1274" s="23"/>
      <c r="E1274" s="23"/>
      <c r="F1274" s="23"/>
      <c r="G1274" s="23"/>
      <c r="H1274" s="23"/>
      <c r="I1274" s="23"/>
    </row>
    <row r="1275">
      <c r="A1275" s="22"/>
      <c r="B1275" s="23"/>
      <c r="C1275" s="23"/>
      <c r="D1275" s="23"/>
      <c r="E1275" s="23"/>
      <c r="F1275" s="23"/>
      <c r="G1275" s="23"/>
      <c r="H1275" s="23"/>
      <c r="I1275" s="23"/>
    </row>
    <row r="1276">
      <c r="A1276" s="22"/>
      <c r="B1276" s="23"/>
      <c r="C1276" s="23"/>
      <c r="D1276" s="23"/>
      <c r="E1276" s="23"/>
      <c r="F1276" s="23"/>
      <c r="G1276" s="23"/>
      <c r="H1276" s="23"/>
      <c r="I1276" s="23"/>
    </row>
    <row r="1277">
      <c r="A1277" s="22"/>
      <c r="B1277" s="23"/>
      <c r="C1277" s="23"/>
      <c r="D1277" s="23"/>
      <c r="E1277" s="23"/>
      <c r="F1277" s="23"/>
      <c r="G1277" s="23"/>
      <c r="H1277" s="23"/>
      <c r="I1277" s="23"/>
    </row>
    <row r="1278">
      <c r="A1278" s="22"/>
      <c r="B1278" s="23"/>
      <c r="C1278" s="23"/>
      <c r="D1278" s="23"/>
      <c r="E1278" s="23"/>
      <c r="F1278" s="23"/>
      <c r="G1278" s="23"/>
      <c r="H1278" s="23"/>
      <c r="I1278" s="23"/>
    </row>
    <row r="1279">
      <c r="A1279" s="22"/>
      <c r="B1279" s="23"/>
      <c r="C1279" s="23"/>
      <c r="D1279" s="23"/>
      <c r="E1279" s="23"/>
      <c r="F1279" s="23"/>
      <c r="G1279" s="23"/>
      <c r="H1279" s="23"/>
      <c r="I1279" s="23"/>
    </row>
    <row r="1280">
      <c r="A1280" s="22"/>
      <c r="B1280" s="23"/>
      <c r="C1280" s="23"/>
      <c r="D1280" s="23"/>
      <c r="E1280" s="23"/>
      <c r="F1280" s="23"/>
      <c r="G1280" s="23"/>
      <c r="H1280" s="23"/>
      <c r="I1280" s="23"/>
    </row>
    <row r="1281">
      <c r="A1281" s="22"/>
      <c r="B1281" s="23"/>
      <c r="C1281" s="23"/>
      <c r="D1281" s="23"/>
      <c r="E1281" s="23"/>
      <c r="F1281" s="23"/>
      <c r="G1281" s="23"/>
      <c r="H1281" s="23"/>
      <c r="I1281" s="23"/>
    </row>
    <row r="1282">
      <c r="A1282" s="22"/>
      <c r="B1282" s="23"/>
      <c r="C1282" s="23"/>
      <c r="D1282" s="23"/>
      <c r="E1282" s="23"/>
      <c r="F1282" s="23"/>
      <c r="G1282" s="23"/>
      <c r="H1282" s="23"/>
      <c r="I1282" s="23"/>
    </row>
    <row r="1283">
      <c r="A1283" s="22"/>
      <c r="B1283" s="23"/>
      <c r="C1283" s="23"/>
      <c r="D1283" s="23"/>
      <c r="E1283" s="23"/>
      <c r="F1283" s="23"/>
      <c r="G1283" s="23"/>
      <c r="H1283" s="23"/>
      <c r="I1283" s="23"/>
    </row>
    <row r="1284">
      <c r="A1284" s="22"/>
      <c r="B1284" s="23"/>
      <c r="C1284" s="23"/>
      <c r="D1284" s="23"/>
      <c r="E1284" s="23"/>
      <c r="F1284" s="23"/>
      <c r="G1284" s="23"/>
      <c r="H1284" s="23"/>
      <c r="I1284" s="23"/>
    </row>
    <row r="1285">
      <c r="A1285" s="22"/>
      <c r="B1285" s="23"/>
      <c r="C1285" s="23"/>
      <c r="D1285" s="23"/>
      <c r="E1285" s="23"/>
      <c r="F1285" s="23"/>
      <c r="G1285" s="23"/>
      <c r="H1285" s="23"/>
      <c r="I1285" s="23"/>
    </row>
    <row r="1286">
      <c r="A1286" s="22"/>
      <c r="B1286" s="23"/>
      <c r="C1286" s="23"/>
      <c r="D1286" s="23"/>
      <c r="E1286" s="23"/>
      <c r="F1286" s="23"/>
      <c r="G1286" s="23"/>
      <c r="H1286" s="23"/>
      <c r="I1286" s="23"/>
    </row>
    <row r="1287">
      <c r="A1287" s="22"/>
      <c r="B1287" s="23"/>
      <c r="C1287" s="23"/>
      <c r="D1287" s="23"/>
      <c r="E1287" s="23"/>
      <c r="F1287" s="23"/>
      <c r="G1287" s="23"/>
      <c r="H1287" s="23"/>
      <c r="I1287" s="23"/>
    </row>
    <row r="1288">
      <c r="A1288" s="22"/>
      <c r="B1288" s="23"/>
      <c r="C1288" s="23"/>
      <c r="D1288" s="23"/>
      <c r="E1288" s="23"/>
      <c r="F1288" s="23"/>
      <c r="G1288" s="23"/>
      <c r="H1288" s="23"/>
      <c r="I1288" s="23"/>
    </row>
    <row r="1289">
      <c r="A1289" s="22"/>
      <c r="B1289" s="23"/>
      <c r="C1289" s="23"/>
      <c r="D1289" s="23"/>
      <c r="E1289" s="23"/>
      <c r="F1289" s="23"/>
      <c r="G1289" s="23"/>
      <c r="H1289" s="23"/>
      <c r="I1289" s="23"/>
    </row>
    <row r="1290">
      <c r="A1290" s="22"/>
      <c r="B1290" s="23"/>
      <c r="C1290" s="23"/>
      <c r="D1290" s="23"/>
      <c r="E1290" s="23"/>
      <c r="F1290" s="23"/>
      <c r="G1290" s="23"/>
      <c r="H1290" s="23"/>
      <c r="I1290" s="23"/>
    </row>
    <row r="1291">
      <c r="A1291" s="22"/>
      <c r="B1291" s="23"/>
      <c r="C1291" s="23"/>
      <c r="D1291" s="23"/>
      <c r="E1291" s="23"/>
      <c r="F1291" s="23"/>
      <c r="G1291" s="23"/>
      <c r="H1291" s="23"/>
      <c r="I1291" s="23"/>
    </row>
    <row r="1292">
      <c r="A1292" s="22"/>
      <c r="B1292" s="23"/>
      <c r="C1292" s="23"/>
      <c r="D1292" s="23"/>
      <c r="E1292" s="23"/>
      <c r="I1292" s="23"/>
    </row>
    <row r="1293">
      <c r="A1293" s="22"/>
      <c r="B1293" s="23"/>
      <c r="C1293" s="23"/>
      <c r="D1293" s="23"/>
      <c r="E1293" s="23"/>
      <c r="I1293" s="23"/>
    </row>
    <row r="1294">
      <c r="A1294" s="22"/>
      <c r="B1294" s="23"/>
      <c r="C1294" s="23"/>
      <c r="D1294" s="23"/>
      <c r="E1294" s="23"/>
      <c r="I1294" s="23"/>
    </row>
    <row r="1295">
      <c r="A1295" s="22"/>
      <c r="B1295" s="23"/>
      <c r="C1295" s="23"/>
      <c r="D1295" s="23"/>
      <c r="E1295" s="23"/>
      <c r="I1295" s="23"/>
    </row>
    <row r="1296">
      <c r="A1296" s="22"/>
      <c r="B1296" s="23"/>
      <c r="C1296" s="23"/>
      <c r="D1296" s="23"/>
      <c r="E1296" s="23"/>
      <c r="I1296" s="23"/>
    </row>
    <row r="1297">
      <c r="A1297" s="22"/>
      <c r="B1297" s="23"/>
      <c r="C1297" s="23"/>
      <c r="D1297" s="23"/>
      <c r="E1297" s="23"/>
      <c r="I1297" s="23"/>
    </row>
    <row r="1298">
      <c r="A1298" s="22"/>
      <c r="B1298" s="23"/>
      <c r="C1298" s="23"/>
      <c r="D1298" s="23"/>
      <c r="E1298" s="23"/>
      <c r="I1298" s="23"/>
    </row>
    <row r="1299">
      <c r="A1299" s="22"/>
      <c r="B1299" s="23"/>
      <c r="C1299" s="23"/>
      <c r="D1299" s="23"/>
      <c r="E1299" s="23"/>
      <c r="I1299" s="23"/>
    </row>
    <row r="1300">
      <c r="A1300" s="22"/>
      <c r="B1300" s="23"/>
      <c r="C1300" s="23"/>
      <c r="D1300" s="23"/>
      <c r="E1300" s="23"/>
      <c r="I1300" s="23"/>
    </row>
    <row r="1301">
      <c r="A1301" s="22"/>
      <c r="B1301" s="23"/>
      <c r="C1301" s="23"/>
      <c r="D1301" s="23"/>
      <c r="E1301" s="23"/>
      <c r="I1301" s="23"/>
    </row>
    <row r="1302">
      <c r="A1302" s="22"/>
      <c r="B1302" s="23"/>
      <c r="C1302" s="23"/>
      <c r="D1302" s="23"/>
      <c r="E1302" s="23"/>
      <c r="I1302" s="23"/>
    </row>
    <row r="1303">
      <c r="A1303" s="22"/>
      <c r="B1303" s="23"/>
      <c r="C1303" s="23"/>
      <c r="D1303" s="23"/>
      <c r="E1303" s="23"/>
      <c r="I1303" s="23"/>
    </row>
    <row r="1304">
      <c r="A1304" s="22"/>
      <c r="B1304" s="23"/>
      <c r="C1304" s="23"/>
      <c r="D1304" s="23"/>
      <c r="E1304" s="23"/>
      <c r="I1304" s="23"/>
    </row>
    <row r="1305">
      <c r="A1305" s="22"/>
      <c r="B1305" s="23"/>
      <c r="C1305" s="23"/>
      <c r="D1305" s="23"/>
      <c r="E1305" s="23"/>
      <c r="I1305" s="23"/>
    </row>
    <row r="1306">
      <c r="A1306" s="22"/>
      <c r="B1306" s="23"/>
      <c r="C1306" s="23"/>
      <c r="D1306" s="23"/>
      <c r="E1306" s="23"/>
      <c r="I1306" s="23"/>
    </row>
    <row r="1307">
      <c r="A1307" s="22"/>
      <c r="B1307" s="23"/>
      <c r="C1307" s="23"/>
      <c r="D1307" s="23"/>
      <c r="E1307" s="23"/>
      <c r="I1307" s="23"/>
    </row>
    <row r="1308">
      <c r="A1308" s="22"/>
      <c r="B1308" s="23"/>
      <c r="C1308" s="23"/>
      <c r="D1308" s="23"/>
      <c r="E1308" s="23"/>
      <c r="I1308" s="23"/>
    </row>
    <row r="1309">
      <c r="A1309" s="22"/>
      <c r="B1309" s="23"/>
      <c r="C1309" s="23"/>
      <c r="D1309" s="23"/>
      <c r="E1309" s="23"/>
      <c r="I1309" s="23"/>
    </row>
    <row r="1310">
      <c r="A1310" s="22"/>
      <c r="B1310" s="23"/>
      <c r="C1310" s="23"/>
      <c r="D1310" s="23"/>
      <c r="E1310" s="23"/>
      <c r="I1310" s="23"/>
    </row>
    <row r="1311">
      <c r="A1311" s="22"/>
      <c r="B1311" s="23"/>
      <c r="C1311" s="23"/>
      <c r="D1311" s="23"/>
      <c r="E1311" s="23"/>
      <c r="I1311" s="23"/>
    </row>
    <row r="1312">
      <c r="A1312" s="22"/>
      <c r="B1312" s="23"/>
      <c r="C1312" s="23"/>
      <c r="D1312" s="23"/>
      <c r="E1312" s="23"/>
      <c r="I1312" s="23"/>
    </row>
    <row r="1313">
      <c r="A1313" s="22"/>
      <c r="B1313" s="23"/>
      <c r="C1313" s="23"/>
      <c r="D1313" s="23"/>
      <c r="E1313" s="23"/>
      <c r="I1313" s="23"/>
    </row>
    <row r="1314">
      <c r="A1314" s="22"/>
      <c r="B1314" s="23"/>
      <c r="C1314" s="23"/>
      <c r="D1314" s="23"/>
      <c r="E1314" s="23"/>
      <c r="I1314" s="23"/>
    </row>
    <row r="1315">
      <c r="A1315" s="22"/>
      <c r="B1315" s="23"/>
      <c r="C1315" s="23"/>
      <c r="D1315" s="23"/>
      <c r="E1315" s="23"/>
      <c r="I1315" s="23"/>
    </row>
    <row r="1316">
      <c r="A1316" s="22"/>
      <c r="B1316" s="23"/>
      <c r="C1316" s="23"/>
      <c r="D1316" s="23"/>
      <c r="E1316" s="23"/>
      <c r="I1316" s="23"/>
    </row>
    <row r="1317">
      <c r="A1317" s="22"/>
      <c r="B1317" s="23"/>
      <c r="C1317" s="23"/>
      <c r="D1317" s="23"/>
      <c r="E1317" s="23"/>
      <c r="I1317" s="23"/>
    </row>
    <row r="1318">
      <c r="A1318" s="22"/>
      <c r="B1318" s="23"/>
      <c r="C1318" s="23"/>
      <c r="D1318" s="23"/>
      <c r="E1318" s="23"/>
      <c r="I1318" s="23"/>
    </row>
    <row r="1319">
      <c r="A1319" s="22"/>
      <c r="B1319" s="23"/>
      <c r="C1319" s="23"/>
      <c r="D1319" s="23"/>
      <c r="E1319" s="23"/>
      <c r="I1319" s="23"/>
    </row>
    <row r="1320">
      <c r="A1320" s="22" t="s">
        <v>3157</v>
      </c>
      <c r="B1320" s="23" t="s">
        <v>3158</v>
      </c>
      <c r="C1320" s="23" t="s">
        <v>3157</v>
      </c>
      <c r="D1320" s="23"/>
      <c r="E1320" s="23"/>
      <c r="I1320" s="23"/>
    </row>
    <row r="1321">
      <c r="A1321" s="22" t="s">
        <v>3159</v>
      </c>
      <c r="B1321" s="23" t="s">
        <v>3160</v>
      </c>
      <c r="C1321" s="23" t="s">
        <v>3159</v>
      </c>
      <c r="D1321" s="23"/>
      <c r="E1321" s="23"/>
      <c r="I1321" s="23"/>
    </row>
    <row r="1322">
      <c r="A1322" s="22" t="s">
        <v>3162</v>
      </c>
      <c r="B1322" s="23" t="s">
        <v>3162</v>
      </c>
      <c r="C1322" s="23" t="s">
        <v>3162</v>
      </c>
      <c r="D1322" s="23"/>
      <c r="E1322" s="23"/>
      <c r="I1322" s="23"/>
    </row>
    <row r="1323">
      <c r="A1323" s="22"/>
      <c r="B1323" s="23"/>
      <c r="C1323" s="23"/>
      <c r="D1323" s="23"/>
      <c r="E1323" s="23"/>
      <c r="I1323" s="23"/>
    </row>
    <row r="1324">
      <c r="A1324" s="22"/>
      <c r="B1324" s="23"/>
      <c r="C1324" s="23"/>
      <c r="D1324" s="23"/>
      <c r="E1324" s="23"/>
      <c r="I1324" s="23"/>
    </row>
    <row r="1325">
      <c r="A1325" s="22"/>
      <c r="B1325" s="23"/>
      <c r="C1325" s="23"/>
      <c r="D1325" s="23"/>
      <c r="E1325" s="23"/>
      <c r="I1325" s="23"/>
    </row>
    <row r="1326">
      <c r="A1326" s="22"/>
      <c r="B1326" s="23"/>
      <c r="C1326" s="23"/>
      <c r="D1326" s="23"/>
      <c r="E1326" s="23"/>
      <c r="I1326" s="23"/>
    </row>
    <row r="1327">
      <c r="A1327" s="22"/>
      <c r="B1327" s="23"/>
      <c r="C1327" s="23"/>
      <c r="D1327" s="23"/>
      <c r="E1327" s="23"/>
      <c r="I1327" s="23"/>
    </row>
    <row r="1328">
      <c r="A1328" s="22"/>
      <c r="B1328" s="23"/>
      <c r="C1328" s="23"/>
      <c r="D1328" s="23"/>
      <c r="E1328" s="23"/>
      <c r="I1328" s="23"/>
    </row>
    <row r="1329">
      <c r="A1329" s="22"/>
      <c r="B1329" s="23"/>
      <c r="C1329" s="23"/>
      <c r="D1329" s="23"/>
      <c r="E1329" s="23"/>
      <c r="I1329" s="23"/>
    </row>
    <row r="1330">
      <c r="A1330" s="22"/>
      <c r="B1330" s="23"/>
      <c r="C1330" s="23"/>
      <c r="D1330" s="23"/>
      <c r="E1330" s="23"/>
      <c r="I1330" s="23"/>
    </row>
    <row r="1331">
      <c r="A1331" s="22"/>
      <c r="B1331" s="23"/>
      <c r="C1331" s="23"/>
      <c r="D1331" s="23"/>
      <c r="E1331" s="23"/>
      <c r="I1331" s="23"/>
    </row>
    <row r="1332">
      <c r="A1332" s="22"/>
      <c r="B1332" s="23"/>
      <c r="C1332" s="23"/>
      <c r="D1332" s="23"/>
      <c r="E1332" s="23"/>
      <c r="I1332" s="23"/>
    </row>
    <row r="1333">
      <c r="A1333" s="22"/>
      <c r="B1333" s="23"/>
      <c r="C1333" s="23"/>
      <c r="D1333" s="23"/>
      <c r="E1333" s="23"/>
      <c r="I1333" s="23"/>
    </row>
  </sheetData>
  <customSheetViews>
    <customSheetView guid="{D42415EC-BCD2-4837-8207-9828990F0E19}" filter="1" showAutoFilter="1">
      <autoFilter ref="$A$1:$E$659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46.25"/>
    <col customWidth="1" min="4" max="4" width="14.38"/>
    <col customWidth="1" min="5" max="5" width="16.88"/>
    <col customWidth="1" min="6" max="6" width="14.75"/>
    <col customWidth="1" min="7" max="7" width="31.88"/>
    <col customWidth="1" min="8" max="8" width="27.13"/>
    <col customWidth="1" min="9" max="9" width="28.13"/>
    <col customWidth="1" min="10" max="10" width="27.13"/>
    <col customWidth="1" min="11" max="11" width="28.13"/>
    <col customWidth="1" min="12" max="12" width="30.88"/>
    <col customWidth="1" min="13" max="13" width="28.13"/>
  </cols>
  <sheetData>
    <row r="1">
      <c r="A1" s="2" t="s">
        <v>1</v>
      </c>
      <c r="B1" s="2" t="s">
        <v>5</v>
      </c>
      <c r="C1" s="2" t="s">
        <v>9</v>
      </c>
      <c r="D1" s="2" t="s">
        <v>10</v>
      </c>
      <c r="E1" s="2" t="s">
        <v>11</v>
      </c>
      <c r="F1" s="6" t="s">
        <v>13</v>
      </c>
      <c r="G1" s="6" t="s">
        <v>18</v>
      </c>
      <c r="H1" s="6" t="s">
        <v>20</v>
      </c>
      <c r="I1" s="6" t="s">
        <v>24</v>
      </c>
      <c r="J1" s="6" t="s">
        <v>28</v>
      </c>
      <c r="K1" s="6" t="s">
        <v>31</v>
      </c>
      <c r="L1" s="6" t="s">
        <v>33</v>
      </c>
      <c r="M1" s="6" t="s">
        <v>36</v>
      </c>
    </row>
    <row r="2">
      <c r="A2" s="11" t="s">
        <v>38</v>
      </c>
      <c r="B2" s="11" t="s">
        <v>41</v>
      </c>
      <c r="C2" s="11" t="s">
        <v>43</v>
      </c>
      <c r="D2" s="11" t="s">
        <v>44</v>
      </c>
      <c r="E2" s="11" t="s">
        <v>47</v>
      </c>
      <c r="F2" s="11" t="s">
        <v>49</v>
      </c>
      <c r="G2" s="12" t="str">
        <f>IFERROR(VLOOKUP(F2, DADOS_RM_EVENTOS_original!A:B, 2, FALSE), "Código não encontrado/Não digitado")</f>
        <v>Código não encontrado/Não digitado</v>
      </c>
      <c r="H2" s="12" t="s">
        <v>68</v>
      </c>
      <c r="I2" s="12" t="str">
        <f>IFERROR(VLOOKUP(H2, DADOS_RM_EVENTOS_original!C:D, 2, FALSE), "Código não encontrado/Não digitado")</f>
        <v>Código não encontrado/Não digitado</v>
      </c>
      <c r="J2" s="12" t="s">
        <v>68</v>
      </c>
      <c r="K2" s="12" t="str">
        <f>IFERROR(VLOOKUP(J2, DADOS_RM_EVENTOS_original!E:J, 2, FALSE), "Código não encontrado/Não digitado")</f>
        <v>Código não encontrado/Não digitado</v>
      </c>
      <c r="L2" s="12" t="s">
        <v>68</v>
      </c>
      <c r="M2" s="12" t="str">
        <f>IFERROR(VLOOKUP(L2, DADOS_RM_EVENTOS_original!K:L, 2, FALSE), "Código não encontrado/Não digitado")</f>
        <v>Código não encontrado/Não digitado</v>
      </c>
    </row>
    <row r="3" hidden="1">
      <c r="A3" s="11" t="s">
        <v>38</v>
      </c>
      <c r="B3" s="11" t="s">
        <v>93</v>
      </c>
      <c r="C3" s="11" t="s">
        <v>95</v>
      </c>
      <c r="D3" s="11" t="s">
        <v>96</v>
      </c>
      <c r="E3" s="11" t="s">
        <v>47</v>
      </c>
      <c r="F3" s="11" t="s">
        <v>99</v>
      </c>
      <c r="G3" s="12" t="str">
        <f>IFERROR(VLOOKUP(F3, DADOS_RM_EVENTOS_original!A:B, 2, FALSE), "Código não encontrado/Não digitado")</f>
        <v>Código não encontrado/Não digitado</v>
      </c>
      <c r="H3" s="12" t="s">
        <v>68</v>
      </c>
      <c r="I3" s="12" t="str">
        <f>IFERROR(VLOOKUP(H3, DADOS_RM_EVENTOS_original!C:D, 2, FALSE), "Código não encontrado/Não digitado")</f>
        <v>Código não encontrado/Não digitado</v>
      </c>
      <c r="J3" s="12" t="s">
        <v>68</v>
      </c>
      <c r="K3" s="12" t="str">
        <f>IFERROR(VLOOKUP(J3, DADOS_RM_EVENTOS_original!E:J, 2, FALSE), "Código não encontrado/Não digitado")</f>
        <v>Código não encontrado/Não digitado</v>
      </c>
      <c r="L3" s="12" t="s">
        <v>68</v>
      </c>
      <c r="M3" s="12" t="str">
        <f>IFERROR(VLOOKUP(L3, DADOS_RM_EVENTOS_original!K:L, 2, FALSE), "Código não encontrado/Não digitado")</f>
        <v>Código não encontrado/Não digitado</v>
      </c>
    </row>
    <row r="4" hidden="1">
      <c r="A4" s="11" t="s">
        <v>115</v>
      </c>
      <c r="B4" s="11" t="s">
        <v>116</v>
      </c>
      <c r="C4" s="11" t="s">
        <v>119</v>
      </c>
      <c r="D4" s="11" t="s">
        <v>120</v>
      </c>
      <c r="E4" s="11" t="s">
        <v>121</v>
      </c>
      <c r="F4" s="11" t="s">
        <v>122</v>
      </c>
      <c r="G4" s="12" t="str">
        <f>IFERROR(VLOOKUP(F4, DADOS_RM_EVENTOS_original!A:B, 2, FALSE), "Código não encontrado/Não digitado")</f>
        <v>Antecipacao Primeira Parcela 13º nas Fer</v>
      </c>
      <c r="H4" s="12" t="s">
        <v>68</v>
      </c>
      <c r="I4" s="12" t="str">
        <f>IFERROR(VLOOKUP(H4, DADOS_RM_EVENTOS_original!C:D, 2, FALSE), "Código não encontrado/Não digitado")</f>
        <v>Código não encontrado/Não digitado</v>
      </c>
      <c r="J4" s="12" t="s">
        <v>68</v>
      </c>
      <c r="K4" s="12" t="str">
        <f>IFERROR(VLOOKUP(J4, DADOS_RM_EVENTOS_original!E:J, 2, FALSE), "Código não encontrado/Não digitado")</f>
        <v>Código não encontrado/Não digitado</v>
      </c>
      <c r="L4" s="12" t="s">
        <v>68</v>
      </c>
      <c r="M4" s="12" t="str">
        <f>IFERROR(VLOOKUP(L4, DADOS_RM_EVENTOS_original!K:L, 2, FALSE), "Código não encontrado/Não digitado")</f>
        <v>Código não encontrado/Não digitado</v>
      </c>
    </row>
    <row r="5" hidden="1">
      <c r="A5" s="11" t="s">
        <v>38</v>
      </c>
      <c r="B5" s="11" t="s">
        <v>134</v>
      </c>
      <c r="C5" s="11" t="s">
        <v>136</v>
      </c>
      <c r="D5" s="11" t="s">
        <v>44</v>
      </c>
      <c r="E5" s="11" t="s">
        <v>47</v>
      </c>
      <c r="F5" s="11" t="s">
        <v>139</v>
      </c>
      <c r="G5" s="12" t="str">
        <f>IFERROR(VLOOKUP(F5, DADOS_RM_EVENTOS_original!A:B, 2, FALSE), "Código não encontrado/Não digitado")</f>
        <v>( - ) Desc. Adiantamento Salarial</v>
      </c>
      <c r="H5" s="12" t="s">
        <v>68</v>
      </c>
      <c r="I5" s="12" t="str">
        <f>IFERROR(VLOOKUP(H5, DADOS_RM_EVENTOS_original!C:D, 2, FALSE), "Código não encontrado/Não digitado")</f>
        <v>Código não encontrado/Não digitado</v>
      </c>
      <c r="J5" s="12" t="s">
        <v>68</v>
      </c>
      <c r="K5" s="12" t="str">
        <f>IFERROR(VLOOKUP(J5, DADOS_RM_EVENTOS_original!E:J, 2, FALSE), "Código não encontrado/Não digitado")</f>
        <v>Código não encontrado/Não digitado</v>
      </c>
      <c r="L5" s="12" t="s">
        <v>68</v>
      </c>
      <c r="M5" s="12" t="str">
        <f>IFERROR(VLOOKUP(L5, DADOS_RM_EVENTOS_original!K:L, 2, FALSE), "Código não encontrado/Não digitado")</f>
        <v>Código não encontrado/Não digitado</v>
      </c>
    </row>
    <row r="6" hidden="1">
      <c r="A6" s="11" t="s">
        <v>38</v>
      </c>
      <c r="B6" s="11" t="s">
        <v>153</v>
      </c>
      <c r="C6" s="11" t="s">
        <v>154</v>
      </c>
      <c r="D6" s="11" t="s">
        <v>44</v>
      </c>
      <c r="E6" s="11" t="s">
        <v>47</v>
      </c>
      <c r="F6" s="11" t="s">
        <v>157</v>
      </c>
      <c r="G6" s="12" t="str">
        <f>IFERROR(VLOOKUP(F6, DADOS_RM_EVENTOS_original!A:B, 2, FALSE), "Código não encontrado/Não digitado")</f>
        <v>Desc. Vale Alimentacao</v>
      </c>
      <c r="H6" s="12" t="s">
        <v>68</v>
      </c>
      <c r="I6" s="12" t="str">
        <f>IFERROR(VLOOKUP(H6, DADOS_RM_EVENTOS_original!C:D, 2, FALSE), "Código não encontrado/Não digitado")</f>
        <v>Código não encontrado/Não digitado</v>
      </c>
      <c r="J6" s="12" t="s">
        <v>68</v>
      </c>
      <c r="K6" s="12" t="str">
        <f>IFERROR(VLOOKUP(J6, DADOS_RM_EVENTOS_original!E:J, 2, FALSE), "Código não encontrado/Não digitado")</f>
        <v>Código não encontrado/Não digitado</v>
      </c>
      <c r="L6" s="12" t="s">
        <v>68</v>
      </c>
      <c r="M6" s="12" t="str">
        <f>IFERROR(VLOOKUP(L6, DADOS_RM_EVENTOS_original!K:L, 2, FALSE), "Código não encontrado/Não digitado")</f>
        <v>Código não encontrado/Não digitado</v>
      </c>
    </row>
    <row r="7" hidden="1">
      <c r="A7" s="11" t="s">
        <v>38</v>
      </c>
      <c r="B7" s="11" t="s">
        <v>169</v>
      </c>
      <c r="C7" s="11" t="s">
        <v>170</v>
      </c>
      <c r="D7" s="11" t="s">
        <v>44</v>
      </c>
      <c r="E7" s="11" t="s">
        <v>47</v>
      </c>
      <c r="F7" s="11" t="s">
        <v>173</v>
      </c>
      <c r="G7" s="12" t="str">
        <f>IFERROR(VLOOKUP(F7, DADOS_RM_EVENTOS_original!A:B, 2, FALSE), "Código não encontrado/Não digitado")</f>
        <v>Desc. Arred. Liquido Insufuciente</v>
      </c>
      <c r="H7" s="12" t="s">
        <v>68</v>
      </c>
      <c r="I7" s="12" t="str">
        <f>IFERROR(VLOOKUP(H7, DADOS_RM_EVENTOS_original!C:D, 2, FALSE), "Código não encontrado/Não digitado")</f>
        <v>Código não encontrado/Não digitado</v>
      </c>
      <c r="J7" s="12" t="s">
        <v>68</v>
      </c>
      <c r="K7" s="12" t="str">
        <f>IFERROR(VLOOKUP(J7, DADOS_RM_EVENTOS_original!E:J, 2, FALSE), "Código não encontrado/Não digitado")</f>
        <v>Código não encontrado/Não digitado</v>
      </c>
      <c r="L7" s="12" t="s">
        <v>68</v>
      </c>
      <c r="M7" s="12" t="str">
        <f>IFERROR(VLOOKUP(L7, DADOS_RM_EVENTOS_original!K:L, 2, FALSE), "Código não encontrado/Não digitado")</f>
        <v>Código não encontrado/Não digitado</v>
      </c>
    </row>
    <row r="8" hidden="1">
      <c r="A8" s="11" t="s">
        <v>38</v>
      </c>
      <c r="B8" s="11" t="s">
        <v>186</v>
      </c>
      <c r="C8" s="11" t="s">
        <v>188</v>
      </c>
      <c r="D8" s="11" t="s">
        <v>120</v>
      </c>
      <c r="E8" s="11" t="s">
        <v>47</v>
      </c>
      <c r="F8" s="11" t="s">
        <v>190</v>
      </c>
      <c r="G8" s="12" t="str">
        <f>IFERROR(VLOOKUP(F8, DADOS_RM_EVENTOS_original!A:B, 2, FALSE), "Código não encontrado/Não digitado")</f>
        <v>Arredondamento Liquido Insuficiente</v>
      </c>
      <c r="H8" s="12" t="s">
        <v>68</v>
      </c>
      <c r="I8" s="12" t="str">
        <f>IFERROR(VLOOKUP(H8, DADOS_RM_EVENTOS_original!C:D, 2, FALSE), "Código não encontrado/Não digitado")</f>
        <v>Código não encontrado/Não digitado</v>
      </c>
      <c r="J8" s="12" t="s">
        <v>68</v>
      </c>
      <c r="K8" s="12" t="str">
        <f>IFERROR(VLOOKUP(J8, DADOS_RM_EVENTOS_original!E:J, 2, FALSE), "Código não encontrado/Não digitado")</f>
        <v>Código não encontrado/Não digitado</v>
      </c>
      <c r="L8" s="12" t="s">
        <v>68</v>
      </c>
      <c r="M8" s="12" t="str">
        <f>IFERROR(VLOOKUP(L8, DADOS_RM_EVENTOS_original!K:L, 2, FALSE), "Código não encontrado/Não digitado")</f>
        <v>Código não encontrado/Não digitado</v>
      </c>
    </row>
    <row r="9" hidden="1">
      <c r="A9" s="11" t="s">
        <v>38</v>
      </c>
      <c r="B9" s="11" t="s">
        <v>202</v>
      </c>
      <c r="C9" s="11" t="s">
        <v>205</v>
      </c>
      <c r="D9" s="11" t="s">
        <v>44</v>
      </c>
      <c r="E9" s="11" t="s">
        <v>47</v>
      </c>
      <c r="F9" s="11" t="s">
        <v>173</v>
      </c>
      <c r="G9" s="12" t="str">
        <f>IFERROR(VLOOKUP(F9, DADOS_RM_EVENTOS_original!A:B, 2, FALSE), "Código não encontrado/Não digitado")</f>
        <v>Desc. Arred. Liquido Insufuciente</v>
      </c>
      <c r="H9" s="12" t="s">
        <v>68</v>
      </c>
      <c r="I9" s="12" t="str">
        <f>IFERROR(VLOOKUP(H9, DADOS_RM_EVENTOS_original!C:D, 2, FALSE), "Código não encontrado/Não digitado")</f>
        <v>Código não encontrado/Não digitado</v>
      </c>
      <c r="J9" s="12" t="s">
        <v>68</v>
      </c>
      <c r="K9" s="12" t="str">
        <f>IFERROR(VLOOKUP(J9, DADOS_RM_EVENTOS_original!E:J, 2, FALSE), "Código não encontrado/Não digitado")</f>
        <v>Código não encontrado/Não digitado</v>
      </c>
      <c r="L9" s="12" t="s">
        <v>68</v>
      </c>
      <c r="M9" s="12" t="str">
        <f>IFERROR(VLOOKUP(L9, DADOS_RM_EVENTOS_original!K:L, 2, FALSE), "Código não encontrado/Não digitado")</f>
        <v>Código não encontrado/Não digitado</v>
      </c>
    </row>
    <row r="10" hidden="1">
      <c r="A10" s="11" t="s">
        <v>38</v>
      </c>
      <c r="B10" s="11" t="s">
        <v>220</v>
      </c>
      <c r="C10" s="11" t="s">
        <v>221</v>
      </c>
      <c r="D10" s="11" t="s">
        <v>120</v>
      </c>
      <c r="E10" s="11" t="s">
        <v>47</v>
      </c>
      <c r="F10" s="11" t="s">
        <v>223</v>
      </c>
      <c r="G10" s="12" t="str">
        <f>IFERROR(VLOOKUP(F10, DADOS_RM_EVENTOS_original!A:B, 2, FALSE), "Código não encontrado/Não digitado")</f>
        <v>Dif. 13º  Salario (Janeiro)</v>
      </c>
      <c r="H10" s="12" t="s">
        <v>68</v>
      </c>
      <c r="I10" s="12" t="str">
        <f>IFERROR(VLOOKUP(H10, DADOS_RM_EVENTOS_original!C:D, 2, FALSE), "Código não encontrado/Não digitado")</f>
        <v>Código não encontrado/Não digitado</v>
      </c>
      <c r="J10" s="12" t="s">
        <v>68</v>
      </c>
      <c r="K10" s="12" t="str">
        <f>IFERROR(VLOOKUP(J10, DADOS_RM_EVENTOS_original!E:J, 2, FALSE), "Código não encontrado/Não digitado")</f>
        <v>Código não encontrado/Não digitado</v>
      </c>
      <c r="L10" s="12" t="s">
        <v>68</v>
      </c>
      <c r="M10" s="12" t="str">
        <f>IFERROR(VLOOKUP(L10, DADOS_RM_EVENTOS_original!K:L, 2, FALSE), "Código não encontrado/Não digitado")</f>
        <v>Código não encontrado/Não digitado</v>
      </c>
    </row>
    <row r="11" hidden="1">
      <c r="A11" s="11" t="s">
        <v>38</v>
      </c>
      <c r="B11" s="11" t="s">
        <v>242</v>
      </c>
      <c r="C11" s="11" t="s">
        <v>243</v>
      </c>
      <c r="D11" s="11" t="s">
        <v>44</v>
      </c>
      <c r="E11" s="11" t="s">
        <v>47</v>
      </c>
      <c r="F11" s="11" t="s">
        <v>245</v>
      </c>
      <c r="G11" s="12" t="str">
        <f>IFERROR(VLOOKUP(F11, DADOS_RM_EVENTOS_original!A:B, 2, FALSE), "Código não encontrado/Não digitado")</f>
        <v>Desc. Mensalidade Sindical</v>
      </c>
      <c r="H11" s="12" t="s">
        <v>68</v>
      </c>
      <c r="I11" s="12" t="str">
        <f>IFERROR(VLOOKUP(H11, DADOS_RM_EVENTOS_original!C:D, 2, FALSE), "Código não encontrado/Não digitado")</f>
        <v>Código não encontrado/Não digitado</v>
      </c>
      <c r="J11" s="12" t="s">
        <v>68</v>
      </c>
      <c r="K11" s="12" t="str">
        <f>IFERROR(VLOOKUP(J11, DADOS_RM_EVENTOS_original!E:J, 2, FALSE), "Código não encontrado/Não digitado")</f>
        <v>Código não encontrado/Não digitado</v>
      </c>
      <c r="L11" s="12" t="s">
        <v>68</v>
      </c>
      <c r="M11" s="12" t="str">
        <f>IFERROR(VLOOKUP(L11, DADOS_RM_EVENTOS_original!K:L, 2, FALSE), "Código não encontrado/Não digitado")</f>
        <v>Código não encontrado/Não digitado</v>
      </c>
    </row>
    <row r="12" hidden="1">
      <c r="A12" s="11" t="s">
        <v>38</v>
      </c>
      <c r="B12" s="11" t="s">
        <v>256</v>
      </c>
      <c r="C12" s="11" t="s">
        <v>257</v>
      </c>
      <c r="D12" s="11" t="s">
        <v>44</v>
      </c>
      <c r="E12" s="11" t="s">
        <v>47</v>
      </c>
      <c r="F12" s="11" t="s">
        <v>259</v>
      </c>
      <c r="G12" s="12" t="str">
        <f>IFERROR(VLOOKUP(F12, DADOS_RM_EVENTOS_original!A:B, 2, FALSE), "Código não encontrado/Não digitado")</f>
        <v>Desc. 2a via PASSCARD</v>
      </c>
      <c r="H12" s="12" t="s">
        <v>68</v>
      </c>
      <c r="I12" s="12" t="str">
        <f>IFERROR(VLOOKUP(H12, DADOS_RM_EVENTOS_original!C:D, 2, FALSE), "Código não encontrado/Não digitado")</f>
        <v>Código não encontrado/Não digitado</v>
      </c>
      <c r="J12" s="12" t="s">
        <v>68</v>
      </c>
      <c r="K12" s="12" t="str">
        <f>IFERROR(VLOOKUP(J12, DADOS_RM_EVENTOS_original!E:J, 2, FALSE), "Código não encontrado/Não digitado")</f>
        <v>Código não encontrado/Não digitado</v>
      </c>
      <c r="L12" s="12" t="s">
        <v>68</v>
      </c>
      <c r="M12" s="12" t="str">
        <f>IFERROR(VLOOKUP(L12, DADOS_RM_EVENTOS_original!K:L, 2, FALSE), "Código não encontrado/Não digitado")</f>
        <v>Código não encontrado/Não digitado</v>
      </c>
    </row>
    <row r="13" hidden="1">
      <c r="A13" s="11" t="s">
        <v>38</v>
      </c>
      <c r="B13" s="11" t="s">
        <v>272</v>
      </c>
      <c r="C13" s="11" t="s">
        <v>273</v>
      </c>
      <c r="D13" s="11" t="s">
        <v>120</v>
      </c>
      <c r="E13" s="11" t="s">
        <v>47</v>
      </c>
      <c r="F13" s="11" t="s">
        <v>274</v>
      </c>
      <c r="G13" s="12" t="str">
        <f>IFERROR(VLOOKUP(F13, DADOS_RM_EVENTOS_original!A:B, 2, FALSE), "Código não encontrado/Não digitado")</f>
        <v>Reembolso de Contribuicao Sindical</v>
      </c>
      <c r="H13" s="12" t="s">
        <v>68</v>
      </c>
      <c r="I13" s="12" t="str">
        <f>IFERROR(VLOOKUP(H13, DADOS_RM_EVENTOS_original!C:D, 2, FALSE), "Código não encontrado/Não digitado")</f>
        <v>Código não encontrado/Não digitado</v>
      </c>
      <c r="J13" s="12" t="s">
        <v>68</v>
      </c>
      <c r="K13" s="12" t="str">
        <f>IFERROR(VLOOKUP(J13, DADOS_RM_EVENTOS_original!E:J, 2, FALSE), "Código não encontrado/Não digitado")</f>
        <v>Código não encontrado/Não digitado</v>
      </c>
      <c r="L13" s="12" t="s">
        <v>68</v>
      </c>
      <c r="M13" s="12" t="str">
        <f>IFERROR(VLOOKUP(L13, DADOS_RM_EVENTOS_original!K:L, 2, FALSE), "Código não encontrado/Não digitado")</f>
        <v>Código não encontrado/Não digitado</v>
      </c>
    </row>
    <row r="14" hidden="1">
      <c r="A14" s="11" t="s">
        <v>38</v>
      </c>
      <c r="B14" s="11" t="s">
        <v>292</v>
      </c>
      <c r="C14" s="11" t="s">
        <v>293</v>
      </c>
      <c r="D14" s="11" t="s">
        <v>120</v>
      </c>
      <c r="E14" s="11" t="s">
        <v>47</v>
      </c>
      <c r="F14" s="11" t="s">
        <v>294</v>
      </c>
      <c r="G14" s="12" t="str">
        <f>IFERROR(VLOOKUP(F14, DADOS_RM_EVENTOS_original!A:B, 2, FALSE), "Código não encontrado/Não digitado")</f>
        <v>Reembolso Desc. Faltas</v>
      </c>
      <c r="H14" s="12" t="s">
        <v>68</v>
      </c>
      <c r="I14" s="12" t="str">
        <f>IFERROR(VLOOKUP(H14, DADOS_RM_EVENTOS_original!C:D, 2, FALSE), "Código não encontrado/Não digitado")</f>
        <v>Código não encontrado/Não digitado</v>
      </c>
      <c r="J14" s="12" t="s">
        <v>68</v>
      </c>
      <c r="K14" s="12" t="str">
        <f>IFERROR(VLOOKUP(J14, DADOS_RM_EVENTOS_original!E:J, 2, FALSE), "Código não encontrado/Não digitado")</f>
        <v>Código não encontrado/Não digitado</v>
      </c>
      <c r="L14" s="12" t="s">
        <v>68</v>
      </c>
      <c r="M14" s="12" t="str">
        <f>IFERROR(VLOOKUP(L14, DADOS_RM_EVENTOS_original!K:L, 2, FALSE), "Código não encontrado/Não digitado")</f>
        <v>Código não encontrado/Não digitado</v>
      </c>
    </row>
    <row r="15" hidden="1">
      <c r="A15" s="11" t="s">
        <v>38</v>
      </c>
      <c r="B15" s="11" t="s">
        <v>307</v>
      </c>
      <c r="C15" s="11" t="s">
        <v>309</v>
      </c>
      <c r="D15" s="11" t="s">
        <v>120</v>
      </c>
      <c r="E15" s="11" t="s">
        <v>47</v>
      </c>
      <c r="F15" s="11" t="s">
        <v>311</v>
      </c>
      <c r="G15" s="12" t="str">
        <f>IFERROR(VLOOKUP(F15, DADOS_RM_EVENTOS_original!A:B, 2, FALSE), "Código não encontrado/Não digitado")</f>
        <v>Reembolso Desc. Vale Transporte</v>
      </c>
      <c r="H15" s="12" t="s">
        <v>68</v>
      </c>
      <c r="I15" s="12" t="str">
        <f>IFERROR(VLOOKUP(H15, DADOS_RM_EVENTOS_original!C:D, 2, FALSE), "Código não encontrado/Não digitado")</f>
        <v>Código não encontrado/Não digitado</v>
      </c>
      <c r="J15" s="12" t="s">
        <v>68</v>
      </c>
      <c r="K15" s="12" t="str">
        <f>IFERROR(VLOOKUP(J15, DADOS_RM_EVENTOS_original!E:J, 2, FALSE), "Código não encontrado/Não digitado")</f>
        <v>Código não encontrado/Não digitado</v>
      </c>
      <c r="L15" s="12" t="s">
        <v>68</v>
      </c>
      <c r="M15" s="12" t="str">
        <f>IFERROR(VLOOKUP(L15, DADOS_RM_EVENTOS_original!K:L, 2, FALSE), "Código não encontrado/Não digitado")</f>
        <v>Código não encontrado/Não digitado</v>
      </c>
    </row>
    <row r="16" hidden="1">
      <c r="A16" s="11" t="s">
        <v>38</v>
      </c>
      <c r="B16" s="11" t="s">
        <v>321</v>
      </c>
      <c r="C16" s="11" t="s">
        <v>322</v>
      </c>
      <c r="D16" s="11" t="s">
        <v>120</v>
      </c>
      <c r="E16" s="11" t="s">
        <v>47</v>
      </c>
      <c r="F16" s="11" t="s">
        <v>324</v>
      </c>
      <c r="G16" s="12" t="str">
        <f>IFERROR(VLOOKUP(F16, DADOS_RM_EVENTOS_original!A:B, 2, FALSE), "Código não encontrado/Não digitado")</f>
        <v>Indeniz Art. 9º lei nº 7.238/84</v>
      </c>
      <c r="H16" s="12" t="s">
        <v>68</v>
      </c>
      <c r="I16" s="12" t="str">
        <f>IFERROR(VLOOKUP(H16, DADOS_RM_EVENTOS_original!C:D, 2, FALSE), "Código não encontrado/Não digitado")</f>
        <v>Código não encontrado/Não digitado</v>
      </c>
      <c r="J16" s="12" t="s">
        <v>68</v>
      </c>
      <c r="K16" s="12" t="str">
        <f>IFERROR(VLOOKUP(J16, DADOS_RM_EVENTOS_original!E:J, 2, FALSE), "Código não encontrado/Não digitado")</f>
        <v>Código não encontrado/Não digitado</v>
      </c>
      <c r="L16" s="12" t="s">
        <v>68</v>
      </c>
      <c r="M16" s="12" t="str">
        <f>IFERROR(VLOOKUP(L16, DADOS_RM_EVENTOS_original!K:L, 2, FALSE), "Código não encontrado/Não digitado")</f>
        <v>Código não encontrado/Não digitado</v>
      </c>
    </row>
    <row r="17" hidden="1">
      <c r="A17" s="11" t="s">
        <v>38</v>
      </c>
      <c r="B17" s="11" t="s">
        <v>337</v>
      </c>
      <c r="C17" s="11" t="s">
        <v>338</v>
      </c>
      <c r="D17" s="11" t="s">
        <v>120</v>
      </c>
      <c r="E17" s="11" t="s">
        <v>47</v>
      </c>
      <c r="F17" s="11" t="s">
        <v>340</v>
      </c>
      <c r="G17" s="12" t="str">
        <f>IFERROR(VLOOKUP(F17, DADOS_RM_EVENTOS_original!A:B, 2, FALSE), "Código não encontrado/Não digitado")</f>
        <v>Ferias em Dobro</v>
      </c>
      <c r="H17" s="12" t="s">
        <v>68</v>
      </c>
      <c r="I17" s="12" t="str">
        <f>IFERROR(VLOOKUP(H17, DADOS_RM_EVENTOS_original!C:D, 2, FALSE), "Código não encontrado/Não digitado")</f>
        <v>Código não encontrado/Não digitado</v>
      </c>
      <c r="J17" s="12" t="s">
        <v>68</v>
      </c>
      <c r="K17" s="12" t="str">
        <f>IFERROR(VLOOKUP(J17, DADOS_RM_EVENTOS_original!E:J, 2, FALSE), "Código não encontrado/Não digitado")</f>
        <v>Código não encontrado/Não digitado</v>
      </c>
      <c r="L17" s="12" t="s">
        <v>68</v>
      </c>
      <c r="M17" s="12" t="str">
        <f>IFERROR(VLOOKUP(L17, DADOS_RM_EVENTOS_original!K:L, 2, FALSE), "Código não encontrado/Não digitado")</f>
        <v>Código não encontrado/Não digitado</v>
      </c>
    </row>
    <row r="18" hidden="1">
      <c r="A18" s="11" t="s">
        <v>38</v>
      </c>
      <c r="B18" s="11" t="s">
        <v>354</v>
      </c>
      <c r="C18" s="11" t="s">
        <v>355</v>
      </c>
      <c r="D18" s="11" t="s">
        <v>96</v>
      </c>
      <c r="E18" s="11" t="s">
        <v>47</v>
      </c>
      <c r="F18" s="11" t="s">
        <v>99</v>
      </c>
      <c r="G18" s="12" t="str">
        <f>IFERROR(VLOOKUP(F18, DADOS_RM_EVENTOS_original!A:B, 2, FALSE), "Código não encontrado/Não digitado")</f>
        <v>Código não encontrado/Não digitado</v>
      </c>
      <c r="H18" s="12" t="s">
        <v>68</v>
      </c>
      <c r="I18" s="12" t="str">
        <f>IFERROR(VLOOKUP(H18, DADOS_RM_EVENTOS_original!C:D, 2, FALSE), "Código não encontrado/Não digitado")</f>
        <v>Código não encontrado/Não digitado</v>
      </c>
      <c r="J18" s="12" t="s">
        <v>68</v>
      </c>
      <c r="K18" s="12" t="str">
        <f>IFERROR(VLOOKUP(J18, DADOS_RM_EVENTOS_original!E:J, 2, FALSE), "Código não encontrado/Não digitado")</f>
        <v>Código não encontrado/Não digitado</v>
      </c>
      <c r="L18" s="12" t="s">
        <v>68</v>
      </c>
      <c r="M18" s="12" t="str">
        <f>IFERROR(VLOOKUP(L18, DADOS_RM_EVENTOS_original!K:L, 2, FALSE), "Código não encontrado/Não digitado")</f>
        <v>Código não encontrado/Não digitado</v>
      </c>
    </row>
    <row r="19" hidden="1">
      <c r="A19" s="11" t="s">
        <v>115</v>
      </c>
      <c r="B19" s="11" t="s">
        <v>354</v>
      </c>
      <c r="C19" s="11" t="s">
        <v>355</v>
      </c>
      <c r="D19" s="11" t="s">
        <v>96</v>
      </c>
      <c r="E19" s="11" t="s">
        <v>121</v>
      </c>
      <c r="F19" s="11" t="s">
        <v>99</v>
      </c>
      <c r="G19" s="12" t="str">
        <f>IFERROR(VLOOKUP(F19, DADOS_RM_EVENTOS_original!A:B, 2, FALSE), "Código não encontrado/Não digitado")</f>
        <v>Código não encontrado/Não digitado</v>
      </c>
      <c r="H19" s="12" t="s">
        <v>68</v>
      </c>
      <c r="I19" s="12" t="str">
        <f>IFERROR(VLOOKUP(H19, DADOS_RM_EVENTOS_original!C:D, 2, FALSE), "Código não encontrado/Não digitado")</f>
        <v>Código não encontrado/Não digitado</v>
      </c>
      <c r="J19" s="12" t="s">
        <v>68</v>
      </c>
      <c r="K19" s="12" t="str">
        <f>IFERROR(VLOOKUP(J19, DADOS_RM_EVENTOS_original!E:J, 2, FALSE), "Código não encontrado/Não digitado")</f>
        <v>Código não encontrado/Não digitado</v>
      </c>
      <c r="L19" s="12" t="s">
        <v>68</v>
      </c>
      <c r="M19" s="12" t="str">
        <f>IFERROR(VLOOKUP(L19, DADOS_RM_EVENTOS_original!K:L, 2, FALSE), "Código não encontrado/Não digitado")</f>
        <v>Código não encontrado/Não digitado</v>
      </c>
    </row>
    <row r="20" hidden="1">
      <c r="A20" s="11" t="s">
        <v>38</v>
      </c>
      <c r="B20" s="11" t="s">
        <v>383</v>
      </c>
      <c r="C20" s="11" t="s">
        <v>384</v>
      </c>
      <c r="D20" s="11" t="s">
        <v>96</v>
      </c>
      <c r="E20" s="11" t="s">
        <v>47</v>
      </c>
      <c r="F20" s="11" t="s">
        <v>99</v>
      </c>
      <c r="G20" s="12" t="str">
        <f>IFERROR(VLOOKUP(F20, DADOS_RM_EVENTOS_original!A:B, 2, FALSE), "Código não encontrado/Não digitado")</f>
        <v>Código não encontrado/Não digitado</v>
      </c>
      <c r="H20" s="12" t="s">
        <v>68</v>
      </c>
      <c r="I20" s="12" t="str">
        <f>IFERROR(VLOOKUP(H20, DADOS_RM_EVENTOS_original!C:D, 2, FALSE), "Código não encontrado/Não digitado")</f>
        <v>Código não encontrado/Não digitado</v>
      </c>
      <c r="J20" s="12" t="s">
        <v>68</v>
      </c>
      <c r="K20" s="12" t="str">
        <f>IFERROR(VLOOKUP(J20, DADOS_RM_EVENTOS_original!E:J, 2, FALSE), "Código não encontrado/Não digitado")</f>
        <v>Código não encontrado/Não digitado</v>
      </c>
      <c r="L20" s="12" t="s">
        <v>68</v>
      </c>
      <c r="M20" s="12" t="str">
        <f>IFERROR(VLOOKUP(L20, DADOS_RM_EVENTOS_original!K:L, 2, FALSE), "Código não encontrado/Não digitado")</f>
        <v>Código não encontrado/Não digitado</v>
      </c>
    </row>
    <row r="21" ht="15.75" hidden="1" customHeight="1">
      <c r="A21" s="11" t="s">
        <v>115</v>
      </c>
      <c r="B21" s="11" t="s">
        <v>383</v>
      </c>
      <c r="C21" s="11" t="s">
        <v>384</v>
      </c>
      <c r="D21" s="11" t="s">
        <v>96</v>
      </c>
      <c r="E21" s="11" t="s">
        <v>121</v>
      </c>
      <c r="F21" s="11" t="s">
        <v>99</v>
      </c>
      <c r="G21" s="12" t="str">
        <f>IFERROR(VLOOKUP(F21, DADOS_RM_EVENTOS_original!A:B, 2, FALSE), "Código não encontrado/Não digitado")</f>
        <v>Código não encontrado/Não digitado</v>
      </c>
      <c r="H21" s="12" t="s">
        <v>68</v>
      </c>
      <c r="I21" s="12" t="str">
        <f>IFERROR(VLOOKUP(H21, DADOS_RM_EVENTOS_original!C:D, 2, FALSE), "Código não encontrado/Não digitado")</f>
        <v>Código não encontrado/Não digitado</v>
      </c>
      <c r="J21" s="12" t="s">
        <v>68</v>
      </c>
      <c r="K21" s="12" t="str">
        <f>IFERROR(VLOOKUP(J21, DADOS_RM_EVENTOS_original!E:J, 2, FALSE), "Código não encontrado/Não digitado")</f>
        <v>Código não encontrado/Não digitado</v>
      </c>
      <c r="L21" s="12" t="s">
        <v>68</v>
      </c>
      <c r="M21" s="12" t="str">
        <f>IFERROR(VLOOKUP(L21, DADOS_RM_EVENTOS_original!K:L, 2, FALSE), "Código não encontrado/Não digitado")</f>
        <v>Código não encontrado/Não digitado</v>
      </c>
    </row>
    <row r="22" ht="15.75" hidden="1" customHeight="1">
      <c r="A22" s="11" t="s">
        <v>38</v>
      </c>
      <c r="B22" s="11" t="s">
        <v>408</v>
      </c>
      <c r="C22" s="11" t="s">
        <v>409</v>
      </c>
      <c r="D22" s="11" t="s">
        <v>96</v>
      </c>
      <c r="E22" s="11" t="s">
        <v>47</v>
      </c>
      <c r="F22" s="11" t="s">
        <v>99</v>
      </c>
      <c r="G22" s="12" t="str">
        <f>IFERROR(VLOOKUP(F22, DADOS_RM_EVENTOS_original!A:B, 2, FALSE), "Código não encontrado/Não digitado")</f>
        <v>Código não encontrado/Não digitado</v>
      </c>
      <c r="H22" s="12" t="s">
        <v>68</v>
      </c>
      <c r="I22" s="12" t="str">
        <f>IFERROR(VLOOKUP(H22, DADOS_RM_EVENTOS_original!C:D, 2, FALSE), "Código não encontrado/Não digitado")</f>
        <v>Código não encontrado/Não digitado</v>
      </c>
      <c r="J22" s="12" t="s">
        <v>68</v>
      </c>
      <c r="K22" s="12" t="str">
        <f>IFERROR(VLOOKUP(J22, DADOS_RM_EVENTOS_original!E:J, 2, FALSE), "Código não encontrado/Não digitado")</f>
        <v>Código não encontrado/Não digitado</v>
      </c>
      <c r="L22" s="12" t="s">
        <v>68</v>
      </c>
      <c r="M22" s="12" t="str">
        <f>IFERROR(VLOOKUP(L22, DADOS_RM_EVENTOS_original!K:L, 2, FALSE), "Código não encontrado/Não digitado")</f>
        <v>Código não encontrado/Não digitado</v>
      </c>
    </row>
    <row r="23" ht="15.75" hidden="1" customHeight="1">
      <c r="A23" s="11" t="s">
        <v>115</v>
      </c>
      <c r="B23" s="11" t="s">
        <v>408</v>
      </c>
      <c r="C23" s="11" t="s">
        <v>409</v>
      </c>
      <c r="D23" s="11" t="s">
        <v>96</v>
      </c>
      <c r="E23" s="11" t="s">
        <v>121</v>
      </c>
      <c r="F23" s="11" t="s">
        <v>99</v>
      </c>
      <c r="G23" s="12" t="str">
        <f>IFERROR(VLOOKUP(F23, DADOS_RM_EVENTOS_original!A:B, 2, FALSE), "Código não encontrado/Não digitado")</f>
        <v>Código não encontrado/Não digitado</v>
      </c>
      <c r="H23" s="12" t="s">
        <v>68</v>
      </c>
      <c r="I23" s="12" t="str">
        <f>IFERROR(VLOOKUP(H23, DADOS_RM_EVENTOS_original!C:D, 2, FALSE), "Código não encontrado/Não digitado")</f>
        <v>Código não encontrado/Não digitado</v>
      </c>
      <c r="J23" s="12" t="s">
        <v>68</v>
      </c>
      <c r="K23" s="12" t="str">
        <f>IFERROR(VLOOKUP(J23, DADOS_RM_EVENTOS_original!E:J, 2, FALSE), "Código não encontrado/Não digitado")</f>
        <v>Código não encontrado/Não digitado</v>
      </c>
      <c r="L23" s="12" t="s">
        <v>68</v>
      </c>
      <c r="M23" s="12" t="str">
        <f>IFERROR(VLOOKUP(L23, DADOS_RM_EVENTOS_original!K:L, 2, FALSE), "Código não encontrado/Não digitado")</f>
        <v>Código não encontrado/Não digitado</v>
      </c>
    </row>
    <row r="24" ht="15.75" hidden="1" customHeight="1">
      <c r="A24" s="11" t="s">
        <v>38</v>
      </c>
      <c r="B24" s="11" t="s">
        <v>433</v>
      </c>
      <c r="C24" s="11" t="s">
        <v>434</v>
      </c>
      <c r="D24" s="11" t="s">
        <v>120</v>
      </c>
      <c r="E24" s="11" t="s">
        <v>47</v>
      </c>
      <c r="F24" s="11" t="s">
        <v>155</v>
      </c>
      <c r="G24" s="12" t="str">
        <f>IFERROR(VLOOKUP(F24, DADOS_RM_EVENTOS_original!A:B, 2, FALSE), "Código não encontrado/Não digitado")</f>
        <v>Horas Normais - Aprendiz</v>
      </c>
      <c r="H24" s="12" t="s">
        <v>68</v>
      </c>
      <c r="I24" s="12" t="str">
        <f>IFERROR(VLOOKUP(H24, DADOS_RM_EVENTOS_original!C:D, 2, FALSE), "Código não encontrado/Não digitado")</f>
        <v>Código não encontrado/Não digitado</v>
      </c>
      <c r="J24" s="12" t="s">
        <v>68</v>
      </c>
      <c r="K24" s="12" t="str">
        <f>IFERROR(VLOOKUP(J24, DADOS_RM_EVENTOS_original!E:J, 2, FALSE), "Código não encontrado/Não digitado")</f>
        <v>Código não encontrado/Não digitado</v>
      </c>
      <c r="L24" s="12" t="s">
        <v>68</v>
      </c>
      <c r="M24" s="12" t="str">
        <f>IFERROR(VLOOKUP(L24, DADOS_RM_EVENTOS_original!K:L, 2, FALSE), "Código não encontrado/Não digitado")</f>
        <v>Código não encontrado/Não digitado</v>
      </c>
    </row>
    <row r="25" ht="15.75" hidden="1" customHeight="1">
      <c r="A25" s="11" t="s">
        <v>38</v>
      </c>
      <c r="B25" s="11" t="s">
        <v>452</v>
      </c>
      <c r="C25" s="11" t="s">
        <v>453</v>
      </c>
      <c r="D25" s="11" t="s">
        <v>96</v>
      </c>
      <c r="E25" s="11" t="s">
        <v>47</v>
      </c>
      <c r="F25" s="11" t="s">
        <v>99</v>
      </c>
      <c r="G25" s="12" t="str">
        <f>IFERROR(VLOOKUP(F25, DADOS_RM_EVENTOS_original!A:B, 2, FALSE), "Código não encontrado/Não digitado")</f>
        <v>Código não encontrado/Não digitado</v>
      </c>
      <c r="H25" s="12" t="s">
        <v>68</v>
      </c>
      <c r="I25" s="12" t="str">
        <f>IFERROR(VLOOKUP(H25, DADOS_RM_EVENTOS_original!C:D, 2, FALSE), "Código não encontrado/Não digitado")</f>
        <v>Código não encontrado/Não digitado</v>
      </c>
      <c r="J25" s="12" t="s">
        <v>68</v>
      </c>
      <c r="K25" s="12" t="str">
        <f>IFERROR(VLOOKUP(J25, DADOS_RM_EVENTOS_original!E:J, 2, FALSE), "Código não encontrado/Não digitado")</f>
        <v>Código não encontrado/Não digitado</v>
      </c>
      <c r="L25" s="12" t="s">
        <v>68</v>
      </c>
      <c r="M25" s="12" t="str">
        <f>IFERROR(VLOOKUP(L25, DADOS_RM_EVENTOS_original!K:L, 2, FALSE), "Código não encontrado/Não digitado")</f>
        <v>Código não encontrado/Não digitado</v>
      </c>
    </row>
    <row r="26" ht="15.75" hidden="1" customHeight="1">
      <c r="A26" s="11" t="s">
        <v>115</v>
      </c>
      <c r="B26" s="11" t="s">
        <v>452</v>
      </c>
      <c r="C26" s="11" t="s">
        <v>453</v>
      </c>
      <c r="D26" s="11" t="s">
        <v>96</v>
      </c>
      <c r="E26" s="11" t="s">
        <v>121</v>
      </c>
      <c r="F26" s="11" t="s">
        <v>99</v>
      </c>
      <c r="G26" s="12" t="str">
        <f>IFERROR(VLOOKUP(F26, DADOS_RM_EVENTOS_original!A:B, 2, FALSE), "Código não encontrado/Não digitado")</f>
        <v>Código não encontrado/Não digitado</v>
      </c>
      <c r="H26" s="12" t="s">
        <v>68</v>
      </c>
      <c r="I26" s="12" t="str">
        <f>IFERROR(VLOOKUP(H26, DADOS_RM_EVENTOS_original!C:D, 2, FALSE), "Código não encontrado/Não digitado")</f>
        <v>Código não encontrado/Não digitado</v>
      </c>
      <c r="J26" s="12" t="s">
        <v>68</v>
      </c>
      <c r="K26" s="12" t="str">
        <f>IFERROR(VLOOKUP(J26, DADOS_RM_EVENTOS_original!E:J, 2, FALSE), "Código não encontrado/Não digitado")</f>
        <v>Código não encontrado/Não digitado</v>
      </c>
      <c r="L26" s="12" t="s">
        <v>68</v>
      </c>
      <c r="M26" s="12" t="str">
        <f>IFERROR(VLOOKUP(L26, DADOS_RM_EVENTOS_original!K:L, 2, FALSE), "Código não encontrado/Não digitado")</f>
        <v>Código não encontrado/Não digitado</v>
      </c>
    </row>
    <row r="27" ht="15.75" hidden="1" customHeight="1">
      <c r="A27" s="11" t="s">
        <v>38</v>
      </c>
      <c r="B27" s="11" t="s">
        <v>482</v>
      </c>
      <c r="C27" s="11" t="s">
        <v>484</v>
      </c>
      <c r="D27" s="11" t="s">
        <v>96</v>
      </c>
      <c r="E27" s="11" t="s">
        <v>47</v>
      </c>
      <c r="F27" s="11" t="s">
        <v>99</v>
      </c>
      <c r="G27" s="12" t="str">
        <f>IFERROR(VLOOKUP(F27, DADOS_RM_EVENTOS_original!A:B, 2, FALSE), "Código não encontrado/Não digitado")</f>
        <v>Código não encontrado/Não digitado</v>
      </c>
      <c r="H27" s="12" t="s">
        <v>68</v>
      </c>
      <c r="I27" s="12" t="str">
        <f>IFERROR(VLOOKUP(H27, DADOS_RM_EVENTOS_original!C:D, 2, FALSE), "Código não encontrado/Não digitado")</f>
        <v>Código não encontrado/Não digitado</v>
      </c>
      <c r="J27" s="12" t="s">
        <v>68</v>
      </c>
      <c r="K27" s="12" t="str">
        <f>IFERROR(VLOOKUP(J27, DADOS_RM_EVENTOS_original!E:J, 2, FALSE), "Código não encontrado/Não digitado")</f>
        <v>Código não encontrado/Não digitado</v>
      </c>
      <c r="L27" s="12" t="s">
        <v>68</v>
      </c>
      <c r="M27" s="12" t="str">
        <f>IFERROR(VLOOKUP(L27, DADOS_RM_EVENTOS_original!K:L, 2, FALSE), "Código não encontrado/Não digitado")</f>
        <v>Código não encontrado/Não digitado</v>
      </c>
    </row>
    <row r="28" ht="15.75" hidden="1" customHeight="1">
      <c r="A28" s="11" t="s">
        <v>115</v>
      </c>
      <c r="B28" s="11" t="s">
        <v>482</v>
      </c>
      <c r="C28" s="11" t="s">
        <v>484</v>
      </c>
      <c r="D28" s="11" t="s">
        <v>96</v>
      </c>
      <c r="E28" s="11" t="s">
        <v>121</v>
      </c>
      <c r="F28" s="11" t="s">
        <v>99</v>
      </c>
      <c r="G28" s="12" t="str">
        <f>IFERROR(VLOOKUP(F28, DADOS_RM_EVENTOS_original!A:B, 2, FALSE), "Código não encontrado/Não digitado")</f>
        <v>Código não encontrado/Não digitado</v>
      </c>
      <c r="H28" s="12" t="s">
        <v>68</v>
      </c>
      <c r="I28" s="12" t="str">
        <f>IFERROR(VLOOKUP(H28, DADOS_RM_EVENTOS_original!C:D, 2, FALSE), "Código não encontrado/Não digitado")</f>
        <v>Código não encontrado/Não digitado</v>
      </c>
      <c r="J28" s="12" t="s">
        <v>68</v>
      </c>
      <c r="K28" s="12" t="str">
        <f>IFERROR(VLOOKUP(J28, DADOS_RM_EVENTOS_original!E:J, 2, FALSE), "Código não encontrado/Não digitado")</f>
        <v>Código não encontrado/Não digitado</v>
      </c>
      <c r="L28" s="12" t="s">
        <v>68</v>
      </c>
      <c r="M28" s="12" t="str">
        <f>IFERROR(VLOOKUP(L28, DADOS_RM_EVENTOS_original!K:L, 2, FALSE), "Código não encontrado/Não digitado")</f>
        <v>Código não encontrado/Não digitado</v>
      </c>
    </row>
    <row r="29" ht="15.75" hidden="1" customHeight="1">
      <c r="A29" s="11" t="s">
        <v>38</v>
      </c>
      <c r="B29" s="11" t="s">
        <v>517</v>
      </c>
      <c r="C29" s="11" t="s">
        <v>519</v>
      </c>
      <c r="D29" s="11" t="s">
        <v>44</v>
      </c>
      <c r="E29" s="11" t="s">
        <v>47</v>
      </c>
      <c r="F29" s="11" t="s">
        <v>246</v>
      </c>
      <c r="G29" s="12" t="str">
        <f>IFERROR(VLOOKUP(F29, DADOS_RM_EVENTOS_original!A:B, 2, FALSE), "Código não encontrado/Não digitado")</f>
        <v>Desc. IRRF Ferias</v>
      </c>
      <c r="H29" s="12" t="s">
        <v>68</v>
      </c>
      <c r="I29" s="12" t="str">
        <f>IFERROR(VLOOKUP(H29, DADOS_RM_EVENTOS_original!C:D, 2, FALSE), "Código não encontrado/Não digitado")</f>
        <v>Código não encontrado/Não digitado</v>
      </c>
      <c r="J29" s="12" t="s">
        <v>68</v>
      </c>
      <c r="K29" s="12" t="str">
        <f>IFERROR(VLOOKUP(J29, DADOS_RM_EVENTOS_original!E:J, 2, FALSE), "Código não encontrado/Não digitado")</f>
        <v>Código não encontrado/Não digitado</v>
      </c>
      <c r="L29" s="12" t="s">
        <v>68</v>
      </c>
      <c r="M29" s="12" t="str">
        <f>IFERROR(VLOOKUP(L29, DADOS_RM_EVENTOS_original!K:L, 2, FALSE), "Código não encontrado/Não digitado")</f>
        <v>Código não encontrado/Não digitado</v>
      </c>
    </row>
    <row r="30" ht="15.75" hidden="1" customHeight="1">
      <c r="A30" s="11" t="s">
        <v>38</v>
      </c>
      <c r="B30" s="11" t="s">
        <v>487</v>
      </c>
      <c r="C30" s="11" t="s">
        <v>535</v>
      </c>
      <c r="D30" s="11" t="s">
        <v>120</v>
      </c>
      <c r="E30" s="11" t="s">
        <v>47</v>
      </c>
      <c r="F30" s="11" t="s">
        <v>124</v>
      </c>
      <c r="G30" s="12" t="str">
        <f>IFERROR(VLOOKUP(F30, DADOS_RM_EVENTOS_original!A:B, 2, FALSE), "Código não encontrado/Não digitado")</f>
        <v>1ª Parcela 13º Salario</v>
      </c>
      <c r="H30" s="12" t="s">
        <v>68</v>
      </c>
      <c r="I30" s="12" t="str">
        <f>IFERROR(VLOOKUP(H30, DADOS_RM_EVENTOS_original!C:D, 2, FALSE), "Código não encontrado/Não digitado")</f>
        <v>Código não encontrado/Não digitado</v>
      </c>
      <c r="J30" s="12" t="s">
        <v>68</v>
      </c>
      <c r="K30" s="12" t="str">
        <f>IFERROR(VLOOKUP(J30, DADOS_RM_EVENTOS_original!E:J, 2, FALSE), "Código não encontrado/Não digitado")</f>
        <v>Código não encontrado/Não digitado</v>
      </c>
      <c r="L30" s="12" t="s">
        <v>68</v>
      </c>
      <c r="M30" s="12" t="str">
        <f>IFERROR(VLOOKUP(L30, DADOS_RM_EVENTOS_original!K:L, 2, FALSE), "Código não encontrado/Não digitado")</f>
        <v>Código não encontrado/Não digitado</v>
      </c>
    </row>
    <row r="31" ht="15.75" hidden="1" customHeight="1">
      <c r="A31" s="11" t="s">
        <v>38</v>
      </c>
      <c r="B31" s="11" t="s">
        <v>609</v>
      </c>
      <c r="C31" s="11" t="s">
        <v>611</v>
      </c>
      <c r="D31" s="11" t="s">
        <v>44</v>
      </c>
      <c r="E31" s="11" t="s">
        <v>47</v>
      </c>
      <c r="F31" s="11" t="s">
        <v>612</v>
      </c>
      <c r="G31" s="12" t="str">
        <f>IFERROR(VLOOKUP(F31, DADOS_RM_EVENTOS_original!A:B, 2, FALSE), "Código não encontrado/Não digitado")</f>
        <v>Código não encontrado/Não digitado</v>
      </c>
      <c r="H31" s="12" t="s">
        <v>68</v>
      </c>
      <c r="I31" s="12" t="str">
        <f>IFERROR(VLOOKUP(H31, DADOS_RM_EVENTOS_original!C:D, 2, FALSE), "Código não encontrado/Não digitado")</f>
        <v>Código não encontrado/Não digitado</v>
      </c>
      <c r="J31" s="12" t="s">
        <v>68</v>
      </c>
      <c r="K31" s="12" t="str">
        <f>IFERROR(VLOOKUP(J31, DADOS_RM_EVENTOS_original!E:J, 2, FALSE), "Código não encontrado/Não digitado")</f>
        <v>Código não encontrado/Não digitado</v>
      </c>
      <c r="L31" s="12" t="s">
        <v>68</v>
      </c>
      <c r="M31" s="12" t="str">
        <f>IFERROR(VLOOKUP(L31, DADOS_RM_EVENTOS_original!K:L, 2, FALSE), "Código não encontrado/Não digitado")</f>
        <v>Código não encontrado/Não digitado</v>
      </c>
    </row>
    <row r="32" ht="15.75" hidden="1" customHeight="1">
      <c r="A32" s="11" t="s">
        <v>38</v>
      </c>
      <c r="B32" s="11" t="s">
        <v>631</v>
      </c>
      <c r="C32" s="11" t="s">
        <v>633</v>
      </c>
      <c r="D32" s="11" t="s">
        <v>96</v>
      </c>
      <c r="E32" s="11" t="s">
        <v>47</v>
      </c>
      <c r="F32" s="11" t="s">
        <v>99</v>
      </c>
      <c r="G32" s="12" t="str">
        <f>IFERROR(VLOOKUP(F32, DADOS_RM_EVENTOS_original!A:B, 2, FALSE), "Código não encontrado/Não digitado")</f>
        <v>Código não encontrado/Não digitado</v>
      </c>
      <c r="H32" s="12" t="s">
        <v>68</v>
      </c>
      <c r="I32" s="12" t="str">
        <f>IFERROR(VLOOKUP(H32, DADOS_RM_EVENTOS_original!C:D, 2, FALSE), "Código não encontrado/Não digitado")</f>
        <v>Código não encontrado/Não digitado</v>
      </c>
      <c r="J32" s="12" t="s">
        <v>68</v>
      </c>
      <c r="K32" s="12" t="str">
        <f>IFERROR(VLOOKUP(J32, DADOS_RM_EVENTOS_original!E:J, 2, FALSE), "Código não encontrado/Não digitado")</f>
        <v>Código não encontrado/Não digitado</v>
      </c>
      <c r="L32" s="12" t="s">
        <v>68</v>
      </c>
      <c r="M32" s="12" t="str">
        <f>IFERROR(VLOOKUP(L32, DADOS_RM_EVENTOS_original!K:L, 2, FALSE), "Código não encontrado/Não digitado")</f>
        <v>Código não encontrado/Não digitado</v>
      </c>
    </row>
    <row r="33" ht="15.75" hidden="1" customHeight="1">
      <c r="A33" s="11" t="s">
        <v>115</v>
      </c>
      <c r="B33" s="11" t="s">
        <v>631</v>
      </c>
      <c r="C33" s="11" t="s">
        <v>633</v>
      </c>
      <c r="D33" s="11" t="s">
        <v>96</v>
      </c>
      <c r="E33" s="11" t="s">
        <v>121</v>
      </c>
      <c r="F33" s="11" t="s">
        <v>99</v>
      </c>
      <c r="G33" s="12" t="str">
        <f>IFERROR(VLOOKUP(F33, DADOS_RM_EVENTOS_original!A:B, 2, FALSE), "Código não encontrado/Não digitado")</f>
        <v>Código não encontrado/Não digitado</v>
      </c>
      <c r="H33" s="12" t="s">
        <v>68</v>
      </c>
      <c r="I33" s="12" t="str">
        <f>IFERROR(VLOOKUP(H33, DADOS_RM_EVENTOS_original!C:D, 2, FALSE), "Código não encontrado/Não digitado")</f>
        <v>Código não encontrado/Não digitado</v>
      </c>
      <c r="J33" s="12" t="s">
        <v>68</v>
      </c>
      <c r="K33" s="12" t="str">
        <f>IFERROR(VLOOKUP(J33, DADOS_RM_EVENTOS_original!E:J, 2, FALSE), "Código não encontrado/Não digitado")</f>
        <v>Código não encontrado/Não digitado</v>
      </c>
      <c r="L33" s="12" t="s">
        <v>68</v>
      </c>
      <c r="M33" s="12" t="str">
        <f>IFERROR(VLOOKUP(L33, DADOS_RM_EVENTOS_original!K:L, 2, FALSE), "Código não encontrado/Não digitado")</f>
        <v>Código não encontrado/Não digitado</v>
      </c>
    </row>
    <row r="34" ht="15.75" hidden="1" customHeight="1">
      <c r="A34" s="11" t="s">
        <v>38</v>
      </c>
      <c r="B34" s="11" t="s">
        <v>662</v>
      </c>
      <c r="C34" s="11" t="s">
        <v>664</v>
      </c>
      <c r="D34" s="11" t="s">
        <v>96</v>
      </c>
      <c r="E34" s="11" t="s">
        <v>47</v>
      </c>
      <c r="F34" s="11" t="s">
        <v>99</v>
      </c>
      <c r="G34" s="12" t="str">
        <f>IFERROR(VLOOKUP(F34, DADOS_RM_EVENTOS_original!A:B, 2, FALSE), "Código não encontrado/Não digitado")</f>
        <v>Código não encontrado/Não digitado</v>
      </c>
      <c r="H34" s="12" t="s">
        <v>68</v>
      </c>
      <c r="I34" s="12" t="str">
        <f>IFERROR(VLOOKUP(H34, DADOS_RM_EVENTOS_original!C:D, 2, FALSE), "Código não encontrado/Não digitado")</f>
        <v>Código não encontrado/Não digitado</v>
      </c>
      <c r="J34" s="12" t="s">
        <v>68</v>
      </c>
      <c r="K34" s="12" t="str">
        <f>IFERROR(VLOOKUP(J34, DADOS_RM_EVENTOS_original!E:J, 2, FALSE), "Código não encontrado/Não digitado")</f>
        <v>Código não encontrado/Não digitado</v>
      </c>
      <c r="L34" s="12" t="s">
        <v>68</v>
      </c>
      <c r="M34" s="12" t="str">
        <f>IFERROR(VLOOKUP(L34, DADOS_RM_EVENTOS_original!K:L, 2, FALSE), "Código não encontrado/Não digitado")</f>
        <v>Código não encontrado/Não digitado</v>
      </c>
    </row>
    <row r="35" ht="15.75" customHeight="1">
      <c r="A35" s="11" t="s">
        <v>38</v>
      </c>
      <c r="B35" s="11" t="s">
        <v>679</v>
      </c>
      <c r="C35" s="11" t="s">
        <v>680</v>
      </c>
      <c r="D35" s="11" t="s">
        <v>120</v>
      </c>
      <c r="E35" s="11" t="s">
        <v>47</v>
      </c>
      <c r="F35" s="11" t="s">
        <v>49</v>
      </c>
      <c r="G35" s="12" t="str">
        <f>IFERROR(VLOOKUP(F35, DADOS_RM_EVENTOS_original!A:B, 2, FALSE), "Código não encontrado/Não digitado")</f>
        <v>Código não encontrado/Não digitado</v>
      </c>
      <c r="H35" s="12" t="s">
        <v>68</v>
      </c>
      <c r="I35" s="12" t="str">
        <f>IFERROR(VLOOKUP(H35, DADOS_RM_EVENTOS_original!C:D, 2, FALSE), "Código não encontrado/Não digitado")</f>
        <v>Código não encontrado/Não digitado</v>
      </c>
      <c r="J35" s="12" t="s">
        <v>68</v>
      </c>
      <c r="K35" s="12" t="str">
        <f>IFERROR(VLOOKUP(J35, DADOS_RM_EVENTOS_original!E:J, 2, FALSE), "Código não encontrado/Não digitado")</f>
        <v>Código não encontrado/Não digitado</v>
      </c>
      <c r="L35" s="12" t="s">
        <v>68</v>
      </c>
      <c r="M35" s="12" t="str">
        <f>IFERROR(VLOOKUP(L35, DADOS_RM_EVENTOS_original!K:L, 2, FALSE), "Código não encontrado/Não digitado")</f>
        <v>Código não encontrado/Não digitado</v>
      </c>
    </row>
    <row r="36" ht="15.75" hidden="1" customHeight="1">
      <c r="A36" s="11" t="s">
        <v>38</v>
      </c>
      <c r="B36" s="11" t="s">
        <v>691</v>
      </c>
      <c r="C36" s="11" t="s">
        <v>693</v>
      </c>
      <c r="D36" s="11" t="s">
        <v>120</v>
      </c>
      <c r="E36" s="11" t="s">
        <v>47</v>
      </c>
      <c r="F36" s="11" t="s">
        <v>694</v>
      </c>
      <c r="G36" s="12" t="str">
        <f>IFERROR(VLOOKUP(F36, DADOS_RM_EVENTOS_original!A:B, 2, FALSE), "Código não encontrado/Não digitado")</f>
        <v>Participacao nos Lucros - (CE)</v>
      </c>
      <c r="H36" s="12" t="s">
        <v>68</v>
      </c>
      <c r="I36" s="12" t="str">
        <f>IFERROR(VLOOKUP(H36, DADOS_RM_EVENTOS_original!C:D, 2, FALSE), "Código não encontrado/Não digitado")</f>
        <v>Código não encontrado/Não digitado</v>
      </c>
      <c r="J36" s="12" t="s">
        <v>68</v>
      </c>
      <c r="K36" s="12" t="str">
        <f>IFERROR(VLOOKUP(J36, DADOS_RM_EVENTOS_original!E:J, 2, FALSE), "Código não encontrado/Não digitado")</f>
        <v>Código não encontrado/Não digitado</v>
      </c>
      <c r="L36" s="12" t="s">
        <v>68</v>
      </c>
      <c r="M36" s="12" t="str">
        <f>IFERROR(VLOOKUP(L36, DADOS_RM_EVENTOS_original!K:L, 2, FALSE), "Código não encontrado/Não digitado")</f>
        <v>Código não encontrado/Não digitado</v>
      </c>
    </row>
    <row r="37" ht="15.75" hidden="1" customHeight="1">
      <c r="A37" s="11" t="s">
        <v>38</v>
      </c>
      <c r="B37" s="11" t="s">
        <v>710</v>
      </c>
      <c r="C37" s="11" t="s">
        <v>711</v>
      </c>
      <c r="D37" s="11" t="s">
        <v>44</v>
      </c>
      <c r="E37" s="11" t="s">
        <v>47</v>
      </c>
      <c r="F37" s="11" t="s">
        <v>147</v>
      </c>
      <c r="G37" s="12" t="str">
        <f>IFERROR(VLOOKUP(F37, DADOS_RM_EVENTOS_original!A:B, 2, FALSE), "Código não encontrado/Não digitado")</f>
        <v>Desc. Pensao Alimenticia Judicial</v>
      </c>
      <c r="H37" s="12" t="s">
        <v>68</v>
      </c>
      <c r="I37" s="12" t="str">
        <f>IFERROR(VLOOKUP(H37, DADOS_RM_EVENTOS_original!C:D, 2, FALSE), "Código não encontrado/Não digitado")</f>
        <v>Código não encontrado/Não digitado</v>
      </c>
      <c r="J37" s="12" t="s">
        <v>68</v>
      </c>
      <c r="K37" s="12" t="str">
        <f>IFERROR(VLOOKUP(J37, DADOS_RM_EVENTOS_original!E:J, 2, FALSE), "Código não encontrado/Não digitado")</f>
        <v>Código não encontrado/Não digitado</v>
      </c>
      <c r="L37" s="12" t="s">
        <v>68</v>
      </c>
      <c r="M37" s="12" t="str">
        <f>IFERROR(VLOOKUP(L37, DADOS_RM_EVENTOS_original!K:L, 2, FALSE), "Código não encontrado/Não digitado")</f>
        <v>Código não encontrado/Não digitado</v>
      </c>
    </row>
    <row r="38" ht="15.75" hidden="1" customHeight="1">
      <c r="A38" s="11" t="s">
        <v>38</v>
      </c>
      <c r="B38" s="11" t="s">
        <v>723</v>
      </c>
      <c r="C38" s="11" t="s">
        <v>725</v>
      </c>
      <c r="D38" s="11" t="s">
        <v>44</v>
      </c>
      <c r="E38" s="11" t="s">
        <v>47</v>
      </c>
      <c r="F38" s="11" t="s">
        <v>147</v>
      </c>
      <c r="G38" s="12" t="str">
        <f>IFERROR(VLOOKUP(F38, DADOS_RM_EVENTOS_original!A:B, 2, FALSE), "Código não encontrado/Não digitado")</f>
        <v>Desc. Pensao Alimenticia Judicial</v>
      </c>
      <c r="H38" s="12" t="s">
        <v>68</v>
      </c>
      <c r="I38" s="12" t="str">
        <f>IFERROR(VLOOKUP(H38, DADOS_RM_EVENTOS_original!C:D, 2, FALSE), "Código não encontrado/Não digitado")</f>
        <v>Código não encontrado/Não digitado</v>
      </c>
      <c r="J38" s="12" t="s">
        <v>68</v>
      </c>
      <c r="K38" s="12" t="str">
        <f>IFERROR(VLOOKUP(J38, DADOS_RM_EVENTOS_original!E:J, 2, FALSE), "Código não encontrado/Não digitado")</f>
        <v>Código não encontrado/Não digitado</v>
      </c>
      <c r="L38" s="12" t="s">
        <v>68</v>
      </c>
      <c r="M38" s="12" t="str">
        <f>IFERROR(VLOOKUP(L38, DADOS_RM_EVENTOS_original!K:L, 2, FALSE), "Código não encontrado/Não digitado")</f>
        <v>Código não encontrado/Não digitado</v>
      </c>
    </row>
    <row r="39" ht="15.75" hidden="1" customHeight="1">
      <c r="A39" s="11" t="s">
        <v>38</v>
      </c>
      <c r="B39" s="11" t="s">
        <v>739</v>
      </c>
      <c r="C39" s="11" t="s">
        <v>740</v>
      </c>
      <c r="D39" s="11" t="s">
        <v>44</v>
      </c>
      <c r="E39" s="11" t="s">
        <v>47</v>
      </c>
      <c r="F39" s="11" t="s">
        <v>147</v>
      </c>
      <c r="G39" s="12" t="str">
        <f>IFERROR(VLOOKUP(F39, DADOS_RM_EVENTOS_original!A:B, 2, FALSE), "Código não encontrado/Não digitado")</f>
        <v>Desc. Pensao Alimenticia Judicial</v>
      </c>
      <c r="H39" s="12" t="s">
        <v>68</v>
      </c>
      <c r="I39" s="12" t="str">
        <f>IFERROR(VLOOKUP(H39, DADOS_RM_EVENTOS_original!C:D, 2, FALSE), "Código não encontrado/Não digitado")</f>
        <v>Código não encontrado/Não digitado</v>
      </c>
      <c r="J39" s="12" t="s">
        <v>68</v>
      </c>
      <c r="K39" s="12" t="str">
        <f>IFERROR(VLOOKUP(J39, DADOS_RM_EVENTOS_original!E:J, 2, FALSE), "Código não encontrado/Não digitado")</f>
        <v>Código não encontrado/Não digitado</v>
      </c>
      <c r="L39" s="12" t="s">
        <v>68</v>
      </c>
      <c r="M39" s="12" t="str">
        <f>IFERROR(VLOOKUP(L39, DADOS_RM_EVENTOS_original!K:L, 2, FALSE), "Código não encontrado/Não digitado")</f>
        <v>Código não encontrado/Não digitado</v>
      </c>
    </row>
    <row r="40" ht="15.75" hidden="1" customHeight="1">
      <c r="A40" s="11" t="s">
        <v>38</v>
      </c>
      <c r="B40" s="11" t="s">
        <v>760</v>
      </c>
      <c r="C40" s="11" t="s">
        <v>762</v>
      </c>
      <c r="D40" s="11" t="s">
        <v>44</v>
      </c>
      <c r="E40" s="11" t="s">
        <v>47</v>
      </c>
      <c r="F40" s="11" t="s">
        <v>765</v>
      </c>
      <c r="G40" s="12" t="str">
        <f>IFERROR(VLOOKUP(F40, DADOS_RM_EVENTOS_original!A:B, 2, FALSE), "Código não encontrado/Não digitado")</f>
        <v>Desc. Pl Saude AMIL Tit</v>
      </c>
      <c r="H40" s="12" t="s">
        <v>68</v>
      </c>
      <c r="I40" s="12" t="str">
        <f>IFERROR(VLOOKUP(H40, DADOS_RM_EVENTOS_original!C:D, 2, FALSE), "Código não encontrado/Não digitado")</f>
        <v>Código não encontrado/Não digitado</v>
      </c>
      <c r="J40" s="12" t="s">
        <v>68</v>
      </c>
      <c r="K40" s="12" t="str">
        <f>IFERROR(VLOOKUP(J40, DADOS_RM_EVENTOS_original!E:J, 2, FALSE), "Código não encontrado/Não digitado")</f>
        <v>Código não encontrado/Não digitado</v>
      </c>
      <c r="L40" s="12" t="s">
        <v>68</v>
      </c>
      <c r="M40" s="12" t="str">
        <f>IFERROR(VLOOKUP(L40, DADOS_RM_EVENTOS_original!K:L, 2, FALSE), "Código não encontrado/Não digitado")</f>
        <v>Código não encontrado/Não digitado</v>
      </c>
    </row>
    <row r="41" ht="15.75" hidden="1" customHeight="1">
      <c r="A41" s="11" t="s">
        <v>38</v>
      </c>
      <c r="B41" s="11" t="s">
        <v>778</v>
      </c>
      <c r="C41" s="11" t="s">
        <v>780</v>
      </c>
      <c r="D41" s="11" t="s">
        <v>44</v>
      </c>
      <c r="E41" s="11" t="s">
        <v>47</v>
      </c>
      <c r="F41" s="11" t="s">
        <v>782</v>
      </c>
      <c r="G41" s="12" t="str">
        <f>IFERROR(VLOOKUP(F41, DADOS_RM_EVENTOS_original!A:B, 2, FALSE), "Código não encontrado/Não digitado")</f>
        <v>Desc. Pl Odontol ODONTOSYSTEM Tit</v>
      </c>
      <c r="H41" s="12" t="s">
        <v>68</v>
      </c>
      <c r="I41" s="12" t="str">
        <f>IFERROR(VLOOKUP(H41, DADOS_RM_EVENTOS_original!C:D, 2, FALSE), "Código não encontrado/Não digitado")</f>
        <v>Código não encontrado/Não digitado</v>
      </c>
      <c r="J41" s="12" t="s">
        <v>68</v>
      </c>
      <c r="K41" s="12" t="str">
        <f>IFERROR(VLOOKUP(J41, DADOS_RM_EVENTOS_original!E:J, 2, FALSE), "Código não encontrado/Não digitado")</f>
        <v>Código não encontrado/Não digitado</v>
      </c>
      <c r="L41" s="12" t="s">
        <v>68</v>
      </c>
      <c r="M41" s="12" t="str">
        <f>IFERROR(VLOOKUP(L41, DADOS_RM_EVENTOS_original!K:L, 2, FALSE), "Código não encontrado/Não digitado")</f>
        <v>Código não encontrado/Não digitado</v>
      </c>
    </row>
    <row r="42" ht="15.75" hidden="1" customHeight="1">
      <c r="A42" s="11" t="s">
        <v>38</v>
      </c>
      <c r="B42" s="11" t="s">
        <v>797</v>
      </c>
      <c r="C42" s="11" t="s">
        <v>799</v>
      </c>
      <c r="D42" s="11" t="s">
        <v>96</v>
      </c>
      <c r="E42" s="11" t="s">
        <v>47</v>
      </c>
      <c r="F42" s="11" t="s">
        <v>99</v>
      </c>
      <c r="G42" s="12" t="str">
        <f>IFERROR(VLOOKUP(F42, DADOS_RM_EVENTOS_original!A:B, 2, FALSE), "Código não encontrado/Não digitado")</f>
        <v>Código não encontrado/Não digitado</v>
      </c>
      <c r="H42" s="12" t="s">
        <v>68</v>
      </c>
      <c r="I42" s="12" t="str">
        <f>IFERROR(VLOOKUP(H42, DADOS_RM_EVENTOS_original!C:D, 2, FALSE), "Código não encontrado/Não digitado")</f>
        <v>Código não encontrado/Não digitado</v>
      </c>
      <c r="J42" s="12" t="s">
        <v>68</v>
      </c>
      <c r="K42" s="12" t="str">
        <f>IFERROR(VLOOKUP(J42, DADOS_RM_EVENTOS_original!E:J, 2, FALSE), "Código não encontrado/Não digitado")</f>
        <v>Código não encontrado/Não digitado</v>
      </c>
      <c r="L42" s="12" t="s">
        <v>68</v>
      </c>
      <c r="M42" s="12" t="str">
        <f>IFERROR(VLOOKUP(L42, DADOS_RM_EVENTOS_original!K:L, 2, FALSE), "Código não encontrado/Não digitado")</f>
        <v>Código não encontrado/Não digitado</v>
      </c>
    </row>
    <row r="43" ht="15.75" hidden="1" customHeight="1">
      <c r="A43" s="11" t="s">
        <v>115</v>
      </c>
      <c r="B43" s="11" t="s">
        <v>797</v>
      </c>
      <c r="C43" s="11" t="s">
        <v>799</v>
      </c>
      <c r="D43" s="11" t="s">
        <v>96</v>
      </c>
      <c r="E43" s="11" t="s">
        <v>121</v>
      </c>
      <c r="F43" s="11" t="s">
        <v>99</v>
      </c>
      <c r="G43" s="12" t="str">
        <f>IFERROR(VLOOKUP(F43, DADOS_RM_EVENTOS_original!A:B, 2, FALSE), "Código não encontrado/Não digitado")</f>
        <v>Código não encontrado/Não digitado</v>
      </c>
      <c r="H43" s="12" t="s">
        <v>68</v>
      </c>
      <c r="I43" s="12" t="str">
        <f>IFERROR(VLOOKUP(H43, DADOS_RM_EVENTOS_original!C:D, 2, FALSE), "Código não encontrado/Não digitado")</f>
        <v>Código não encontrado/Não digitado</v>
      </c>
      <c r="J43" s="12" t="s">
        <v>68</v>
      </c>
      <c r="K43" s="12" t="str">
        <f>IFERROR(VLOOKUP(J43, DADOS_RM_EVENTOS_original!E:J, 2, FALSE), "Código não encontrado/Não digitado")</f>
        <v>Código não encontrado/Não digitado</v>
      </c>
      <c r="L43" s="12" t="s">
        <v>68</v>
      </c>
      <c r="M43" s="12" t="str">
        <f>IFERROR(VLOOKUP(L43, DADOS_RM_EVENTOS_original!K:L, 2, FALSE), "Código não encontrado/Não digitado")</f>
        <v>Código não encontrado/Não digitado</v>
      </c>
    </row>
    <row r="44" ht="15.75" hidden="1" customHeight="1">
      <c r="A44" s="11" t="s">
        <v>38</v>
      </c>
      <c r="B44" s="11" t="s">
        <v>619</v>
      </c>
      <c r="C44" s="11" t="s">
        <v>823</v>
      </c>
      <c r="D44" s="11" t="s">
        <v>120</v>
      </c>
      <c r="E44" s="11" t="s">
        <v>47</v>
      </c>
      <c r="F44" s="11" t="s">
        <v>399</v>
      </c>
      <c r="G44" s="12" t="str">
        <f>IFERROR(VLOOKUP(F44, DADOS_RM_EVENTOS_original!A:B, 2, FALSE), "Código não encontrado/Não digitado")</f>
        <v>Dif. Salario Familia</v>
      </c>
      <c r="H44" s="12" t="s">
        <v>68</v>
      </c>
      <c r="I44" s="12" t="str">
        <f>IFERROR(VLOOKUP(H44, DADOS_RM_EVENTOS_original!C:D, 2, FALSE), "Código não encontrado/Não digitado")</f>
        <v>Código não encontrado/Não digitado</v>
      </c>
      <c r="J44" s="12" t="s">
        <v>68</v>
      </c>
      <c r="K44" s="12" t="str">
        <f>IFERROR(VLOOKUP(J44, DADOS_RM_EVENTOS_original!E:J, 2, FALSE), "Código não encontrado/Não digitado")</f>
        <v>Código não encontrado/Não digitado</v>
      </c>
      <c r="L44" s="12" t="s">
        <v>68</v>
      </c>
      <c r="M44" s="12" t="str">
        <f>IFERROR(VLOOKUP(L44, DADOS_RM_EVENTOS_original!K:L, 2, FALSE), "Código não encontrado/Não digitado")</f>
        <v>Código não encontrado/Não digitado</v>
      </c>
    </row>
    <row r="45" ht="15.75" hidden="1" customHeight="1">
      <c r="A45" s="11" t="s">
        <v>38</v>
      </c>
      <c r="B45" s="11" t="s">
        <v>834</v>
      </c>
      <c r="C45" s="11" t="s">
        <v>837</v>
      </c>
      <c r="D45" s="11" t="s">
        <v>96</v>
      </c>
      <c r="E45" s="11" t="s">
        <v>47</v>
      </c>
      <c r="F45" s="11" t="s">
        <v>99</v>
      </c>
      <c r="G45" s="12" t="str">
        <f>IFERROR(VLOOKUP(F45, DADOS_RM_EVENTOS_original!A:B, 2, FALSE), "Código não encontrado/Não digitado")</f>
        <v>Código não encontrado/Não digitado</v>
      </c>
      <c r="H45" s="12" t="s">
        <v>68</v>
      </c>
      <c r="I45" s="12" t="str">
        <f>IFERROR(VLOOKUP(H45, DADOS_RM_EVENTOS_original!C:D, 2, FALSE), "Código não encontrado/Não digitado")</f>
        <v>Código não encontrado/Não digitado</v>
      </c>
      <c r="J45" s="12" t="s">
        <v>68</v>
      </c>
      <c r="K45" s="12" t="str">
        <f>IFERROR(VLOOKUP(J45, DADOS_RM_EVENTOS_original!E:J, 2, FALSE), "Código não encontrado/Não digitado")</f>
        <v>Código não encontrado/Não digitado</v>
      </c>
      <c r="L45" s="12" t="s">
        <v>68</v>
      </c>
      <c r="M45" s="12" t="str">
        <f>IFERROR(VLOOKUP(L45, DADOS_RM_EVENTOS_original!K:L, 2, FALSE), "Código não encontrado/Não digitado")</f>
        <v>Código não encontrado/Não digitado</v>
      </c>
    </row>
    <row r="46" ht="15.75" hidden="1" customHeight="1">
      <c r="A46" s="11" t="s">
        <v>115</v>
      </c>
      <c r="B46" s="11" t="s">
        <v>834</v>
      </c>
      <c r="C46" s="11" t="s">
        <v>837</v>
      </c>
      <c r="D46" s="11" t="s">
        <v>96</v>
      </c>
      <c r="E46" s="11" t="s">
        <v>121</v>
      </c>
      <c r="F46" s="11" t="s">
        <v>99</v>
      </c>
      <c r="G46" s="12" t="str">
        <f>IFERROR(VLOOKUP(F46, DADOS_RM_EVENTOS_original!A:B, 2, FALSE), "Código não encontrado/Não digitado")</f>
        <v>Código não encontrado/Não digitado</v>
      </c>
      <c r="H46" s="12" t="s">
        <v>68</v>
      </c>
      <c r="I46" s="12" t="str">
        <f>IFERROR(VLOOKUP(H46, DADOS_RM_EVENTOS_original!C:D, 2, FALSE), "Código não encontrado/Não digitado")</f>
        <v>Código não encontrado/Não digitado</v>
      </c>
      <c r="J46" s="12" t="s">
        <v>68</v>
      </c>
      <c r="K46" s="12" t="str">
        <f>IFERROR(VLOOKUP(J46, DADOS_RM_EVENTOS_original!E:J, 2, FALSE), "Código não encontrado/Não digitado")</f>
        <v>Código não encontrado/Não digitado</v>
      </c>
      <c r="L46" s="12" t="s">
        <v>68</v>
      </c>
      <c r="M46" s="12" t="str">
        <f>IFERROR(VLOOKUP(L46, DADOS_RM_EVENTOS_original!K:L, 2, FALSE), "Código não encontrado/Não digitado")</f>
        <v>Código não encontrado/Não digitado</v>
      </c>
    </row>
    <row r="47" ht="15.75" hidden="1" customHeight="1">
      <c r="A47" s="11" t="s">
        <v>38</v>
      </c>
      <c r="B47" s="11" t="s">
        <v>863</v>
      </c>
      <c r="C47" s="11" t="s">
        <v>864</v>
      </c>
      <c r="D47" s="11" t="s">
        <v>96</v>
      </c>
      <c r="E47" s="11" t="s">
        <v>47</v>
      </c>
      <c r="F47" s="11" t="s">
        <v>99</v>
      </c>
      <c r="G47" s="12" t="str">
        <f>IFERROR(VLOOKUP(F47, DADOS_RM_EVENTOS_original!A:B, 2, FALSE), "Código não encontrado/Não digitado")</f>
        <v>Código não encontrado/Não digitado</v>
      </c>
      <c r="H47" s="12" t="s">
        <v>68</v>
      </c>
      <c r="I47" s="12" t="str">
        <f>IFERROR(VLOOKUP(H47, DADOS_RM_EVENTOS_original!C:D, 2, FALSE), "Código não encontrado/Não digitado")</f>
        <v>Código não encontrado/Não digitado</v>
      </c>
      <c r="J47" s="12" t="s">
        <v>68</v>
      </c>
      <c r="K47" s="12" t="str">
        <f>IFERROR(VLOOKUP(J47, DADOS_RM_EVENTOS_original!E:J, 2, FALSE), "Código não encontrado/Não digitado")</f>
        <v>Código não encontrado/Não digitado</v>
      </c>
      <c r="L47" s="12" t="s">
        <v>68</v>
      </c>
      <c r="M47" s="12" t="str">
        <f>IFERROR(VLOOKUP(L47, DADOS_RM_EVENTOS_original!K:L, 2, FALSE), "Código não encontrado/Não digitado")</f>
        <v>Código não encontrado/Não digitado</v>
      </c>
    </row>
    <row r="48" ht="15.75" hidden="1" customHeight="1">
      <c r="A48" s="11" t="s">
        <v>115</v>
      </c>
      <c r="B48" s="11" t="s">
        <v>863</v>
      </c>
      <c r="C48" s="11" t="s">
        <v>864</v>
      </c>
      <c r="D48" s="11" t="s">
        <v>96</v>
      </c>
      <c r="E48" s="11" t="s">
        <v>121</v>
      </c>
      <c r="F48" s="11" t="s">
        <v>99</v>
      </c>
      <c r="G48" s="12" t="str">
        <f>IFERROR(VLOOKUP(F48, DADOS_RM_EVENTOS_original!A:B, 2, FALSE), "Código não encontrado/Não digitado")</f>
        <v>Código não encontrado/Não digitado</v>
      </c>
      <c r="H48" s="12" t="s">
        <v>68</v>
      </c>
      <c r="I48" s="12" t="str">
        <f>IFERROR(VLOOKUP(H48, DADOS_RM_EVENTOS_original!C:D, 2, FALSE), "Código não encontrado/Não digitado")</f>
        <v>Código não encontrado/Não digitado</v>
      </c>
      <c r="J48" s="12" t="s">
        <v>68</v>
      </c>
      <c r="K48" s="12" t="str">
        <f>IFERROR(VLOOKUP(J48, DADOS_RM_EVENTOS_original!E:J, 2, FALSE), "Código não encontrado/Não digitado")</f>
        <v>Código não encontrado/Não digitado</v>
      </c>
      <c r="L48" s="12" t="s">
        <v>68</v>
      </c>
      <c r="M48" s="12" t="str">
        <f>IFERROR(VLOOKUP(L48, DADOS_RM_EVENTOS_original!K:L, 2, FALSE), "Código não encontrado/Não digitado")</f>
        <v>Código não encontrado/Não digitado</v>
      </c>
    </row>
    <row r="49" ht="15.75" hidden="1" customHeight="1">
      <c r="A49" s="11" t="s">
        <v>38</v>
      </c>
      <c r="B49" s="11" t="s">
        <v>889</v>
      </c>
      <c r="C49" s="11" t="s">
        <v>892</v>
      </c>
      <c r="D49" s="11" t="s">
        <v>96</v>
      </c>
      <c r="E49" s="11" t="s">
        <v>47</v>
      </c>
      <c r="F49" s="11" t="s">
        <v>99</v>
      </c>
      <c r="G49" s="12" t="str">
        <f>IFERROR(VLOOKUP(F49, DADOS_RM_EVENTOS_original!A:B, 2, FALSE), "Código não encontrado/Não digitado")</f>
        <v>Código não encontrado/Não digitado</v>
      </c>
      <c r="H49" s="12" t="s">
        <v>68</v>
      </c>
      <c r="I49" s="12" t="str">
        <f>IFERROR(VLOOKUP(H49, DADOS_RM_EVENTOS_original!C:D, 2, FALSE), "Código não encontrado/Não digitado")</f>
        <v>Código não encontrado/Não digitado</v>
      </c>
      <c r="J49" s="12" t="s">
        <v>68</v>
      </c>
      <c r="K49" s="12" t="str">
        <f>IFERROR(VLOOKUP(J49, DADOS_RM_EVENTOS_original!E:J, 2, FALSE), "Código não encontrado/Não digitado")</f>
        <v>Código não encontrado/Não digitado</v>
      </c>
      <c r="L49" s="12" t="s">
        <v>68</v>
      </c>
      <c r="M49" s="12" t="str">
        <f>IFERROR(VLOOKUP(L49, DADOS_RM_EVENTOS_original!K:L, 2, FALSE), "Código não encontrado/Não digitado")</f>
        <v>Código não encontrado/Não digitado</v>
      </c>
    </row>
    <row r="50" ht="15.75" hidden="1" customHeight="1">
      <c r="A50" s="11" t="s">
        <v>38</v>
      </c>
      <c r="B50" s="11" t="s">
        <v>902</v>
      </c>
      <c r="C50" s="11" t="s">
        <v>905</v>
      </c>
      <c r="D50" s="11" t="s">
        <v>96</v>
      </c>
      <c r="E50" s="11" t="s">
        <v>47</v>
      </c>
      <c r="F50" s="11" t="s">
        <v>99</v>
      </c>
      <c r="G50" s="12" t="str">
        <f>IFERROR(VLOOKUP(F50, DADOS_RM_EVENTOS_original!A:B, 2, FALSE), "Código não encontrado/Não digitado")</f>
        <v>Código não encontrado/Não digitado</v>
      </c>
      <c r="H50" s="12" t="s">
        <v>68</v>
      </c>
      <c r="I50" s="12" t="str">
        <f>IFERROR(VLOOKUP(H50, DADOS_RM_EVENTOS_original!C:D, 2, FALSE), "Código não encontrado/Não digitado")</f>
        <v>Código não encontrado/Não digitado</v>
      </c>
      <c r="J50" s="12" t="s">
        <v>68</v>
      </c>
      <c r="K50" s="12" t="str">
        <f>IFERROR(VLOOKUP(J50, DADOS_RM_EVENTOS_original!E:J, 2, FALSE), "Código não encontrado/Não digitado")</f>
        <v>Código não encontrado/Não digitado</v>
      </c>
      <c r="L50" s="12" t="s">
        <v>68</v>
      </c>
      <c r="M50" s="12" t="str">
        <f>IFERROR(VLOOKUP(L50, DADOS_RM_EVENTOS_original!K:L, 2, FALSE), "Código não encontrado/Não digitado")</f>
        <v>Código não encontrado/Não digitado</v>
      </c>
    </row>
    <row r="51" ht="15.75" hidden="1" customHeight="1">
      <c r="A51" s="11" t="s">
        <v>115</v>
      </c>
      <c r="B51" s="11" t="s">
        <v>902</v>
      </c>
      <c r="C51" s="11" t="s">
        <v>905</v>
      </c>
      <c r="D51" s="11" t="s">
        <v>96</v>
      </c>
      <c r="E51" s="11" t="s">
        <v>121</v>
      </c>
      <c r="F51" s="11" t="s">
        <v>99</v>
      </c>
      <c r="G51" s="12" t="str">
        <f>IFERROR(VLOOKUP(F51, DADOS_RM_EVENTOS_original!A:B, 2, FALSE), "Código não encontrado/Não digitado")</f>
        <v>Código não encontrado/Não digitado</v>
      </c>
      <c r="H51" s="12" t="s">
        <v>68</v>
      </c>
      <c r="I51" s="12" t="str">
        <f>IFERROR(VLOOKUP(H51, DADOS_RM_EVENTOS_original!C:D, 2, FALSE), "Código não encontrado/Não digitado")</f>
        <v>Código não encontrado/Não digitado</v>
      </c>
      <c r="J51" s="12" t="s">
        <v>68</v>
      </c>
      <c r="K51" s="12" t="str">
        <f>IFERROR(VLOOKUP(J51, DADOS_RM_EVENTOS_original!E:J, 2, FALSE), "Código não encontrado/Não digitado")</f>
        <v>Código não encontrado/Não digitado</v>
      </c>
      <c r="L51" s="12" t="s">
        <v>68</v>
      </c>
      <c r="M51" s="12" t="str">
        <f>IFERROR(VLOOKUP(L51, DADOS_RM_EVENTOS_original!K:L, 2, FALSE), "Código não encontrado/Não digitado")</f>
        <v>Código não encontrado/Não digitado</v>
      </c>
    </row>
    <row r="52" ht="15.75" hidden="1" customHeight="1">
      <c r="A52" s="11" t="s">
        <v>38</v>
      </c>
      <c r="B52" s="11" t="s">
        <v>871</v>
      </c>
      <c r="C52" s="11" t="s">
        <v>928</v>
      </c>
      <c r="D52" s="11" t="s">
        <v>44</v>
      </c>
      <c r="E52" s="11" t="s">
        <v>47</v>
      </c>
      <c r="F52" s="11" t="s">
        <v>930</v>
      </c>
      <c r="G52" s="12" t="str">
        <f>IFERROR(VLOOKUP(F52, DADOS_RM_EVENTOS_original!A:B, 2, FALSE), "Código não encontrado/Não digitado")</f>
        <v>Desc. Contribuicao Assistencial</v>
      </c>
      <c r="H52" s="12" t="s">
        <v>68</v>
      </c>
      <c r="I52" s="12" t="str">
        <f>IFERROR(VLOOKUP(H52, DADOS_RM_EVENTOS_original!C:D, 2, FALSE), "Código não encontrado/Não digitado")</f>
        <v>Código não encontrado/Não digitado</v>
      </c>
      <c r="J52" s="12" t="s">
        <v>68</v>
      </c>
      <c r="K52" s="12" t="str">
        <f>IFERROR(VLOOKUP(J52, DADOS_RM_EVENTOS_original!E:J, 2, FALSE), "Código não encontrado/Não digitado")</f>
        <v>Código não encontrado/Não digitado</v>
      </c>
      <c r="L52" s="12" t="s">
        <v>68</v>
      </c>
      <c r="M52" s="12" t="str">
        <f>IFERROR(VLOOKUP(L52, DADOS_RM_EVENTOS_original!K:L, 2, FALSE), "Código não encontrado/Não digitado")</f>
        <v>Código não encontrado/Não digitado</v>
      </c>
    </row>
    <row r="53" ht="15.75" customHeight="1">
      <c r="A53" s="11" t="s">
        <v>38</v>
      </c>
      <c r="B53" s="11" t="s">
        <v>804</v>
      </c>
      <c r="C53" s="11" t="s">
        <v>943</v>
      </c>
      <c r="D53" s="11" t="s">
        <v>120</v>
      </c>
      <c r="E53" s="11" t="s">
        <v>47</v>
      </c>
      <c r="F53" s="11" t="s">
        <v>49</v>
      </c>
      <c r="G53" s="12" t="str">
        <f>IFERROR(VLOOKUP(F53, DADOS_RM_EVENTOS_original!A:B, 2, FALSE), "Código não encontrado/Não digitado")</f>
        <v>Código não encontrado/Não digitado</v>
      </c>
      <c r="H53" s="12" t="s">
        <v>68</v>
      </c>
      <c r="I53" s="12" t="str">
        <f>IFERROR(VLOOKUP(H53, DADOS_RM_EVENTOS_original!C:D, 2, FALSE), "Código não encontrado/Não digitado")</f>
        <v>Código não encontrado/Não digitado</v>
      </c>
      <c r="J53" s="12" t="s">
        <v>68</v>
      </c>
      <c r="K53" s="12" t="str">
        <f>IFERROR(VLOOKUP(J53, DADOS_RM_EVENTOS_original!E:J, 2, FALSE), "Código não encontrado/Não digitado")</f>
        <v>Código não encontrado/Não digitado</v>
      </c>
      <c r="L53" s="12" t="s">
        <v>68</v>
      </c>
      <c r="M53" s="12" t="str">
        <f>IFERROR(VLOOKUP(L53, DADOS_RM_EVENTOS_original!K:L, 2, FALSE), "Código não encontrado/Não digitado")</f>
        <v>Código não encontrado/Não digitado</v>
      </c>
    </row>
    <row r="54" ht="15.75" hidden="1" customHeight="1">
      <c r="A54" s="11" t="s">
        <v>38</v>
      </c>
      <c r="B54" s="11" t="s">
        <v>402</v>
      </c>
      <c r="C54" s="11" t="s">
        <v>957</v>
      </c>
      <c r="D54" s="11" t="s">
        <v>120</v>
      </c>
      <c r="E54" s="11" t="s">
        <v>47</v>
      </c>
      <c r="F54" s="11" t="s">
        <v>365</v>
      </c>
      <c r="G54" s="12" t="str">
        <f>IFERROR(VLOOKUP(F54, DADOS_RM_EVENTOS_original!A:B, 2, FALSE), "Código não encontrado/Não digitado")</f>
        <v>1/3 Abono de Ferias</v>
      </c>
      <c r="H54" s="12" t="s">
        <v>68</v>
      </c>
      <c r="I54" s="12" t="str">
        <f>IFERROR(VLOOKUP(H54, DADOS_RM_EVENTOS_original!C:D, 2, FALSE), "Código não encontrado/Não digitado")</f>
        <v>Código não encontrado/Não digitado</v>
      </c>
      <c r="J54" s="12" t="s">
        <v>68</v>
      </c>
      <c r="K54" s="12" t="str">
        <f>IFERROR(VLOOKUP(J54, DADOS_RM_EVENTOS_original!E:J, 2, FALSE), "Código não encontrado/Não digitado")</f>
        <v>Código não encontrado/Não digitado</v>
      </c>
      <c r="L54" s="12" t="s">
        <v>68</v>
      </c>
      <c r="M54" s="12" t="str">
        <f>IFERROR(VLOOKUP(L54, DADOS_RM_EVENTOS_original!K:L, 2, FALSE), "Código não encontrado/Não digitado")</f>
        <v>Código não encontrado/Não digitado</v>
      </c>
    </row>
    <row r="55" ht="15.75" hidden="1" customHeight="1">
      <c r="A55" s="11" t="s">
        <v>97</v>
      </c>
      <c r="B55" s="11" t="s">
        <v>970</v>
      </c>
      <c r="C55" s="11" t="s">
        <v>957</v>
      </c>
      <c r="D55" s="11" t="s">
        <v>120</v>
      </c>
      <c r="E55" s="11" t="s">
        <v>972</v>
      </c>
      <c r="F55" s="11" t="s">
        <v>365</v>
      </c>
      <c r="G55" s="12" t="str">
        <f>IFERROR(VLOOKUP(F55, DADOS_RM_EVENTOS_original!A:B, 2, FALSE), "Código não encontrado/Não digitado")</f>
        <v>1/3 Abono de Ferias</v>
      </c>
      <c r="H55" s="12" t="s">
        <v>68</v>
      </c>
      <c r="I55" s="12" t="str">
        <f>IFERROR(VLOOKUP(H55, DADOS_RM_EVENTOS_original!C:D, 2, FALSE), "Código não encontrado/Não digitado")</f>
        <v>Código não encontrado/Não digitado</v>
      </c>
      <c r="J55" s="12" t="s">
        <v>68</v>
      </c>
      <c r="K55" s="12" t="str">
        <f>IFERROR(VLOOKUP(J55, DADOS_RM_EVENTOS_original!E:J, 2, FALSE), "Código não encontrado/Não digitado")</f>
        <v>Código não encontrado/Não digitado</v>
      </c>
      <c r="L55" s="12" t="s">
        <v>68</v>
      </c>
      <c r="M55" s="12" t="str">
        <f>IFERROR(VLOOKUP(L55, DADOS_RM_EVENTOS_original!K:L, 2, FALSE), "Código não encontrado/Não digitado")</f>
        <v>Código não encontrado/Não digitado</v>
      </c>
    </row>
    <row r="56" ht="15.75" hidden="1" customHeight="1">
      <c r="A56" s="11" t="s">
        <v>142</v>
      </c>
      <c r="B56" s="11" t="s">
        <v>41</v>
      </c>
      <c r="C56" s="11" t="s">
        <v>957</v>
      </c>
      <c r="D56" s="11" t="s">
        <v>120</v>
      </c>
      <c r="E56" s="11" t="s">
        <v>985</v>
      </c>
      <c r="F56" s="11" t="s">
        <v>365</v>
      </c>
      <c r="G56" s="12" t="str">
        <f>IFERROR(VLOOKUP(F56, DADOS_RM_EVENTOS_original!A:B, 2, FALSE), "Código não encontrado/Não digitado")</f>
        <v>1/3 Abono de Ferias</v>
      </c>
      <c r="H56" s="12" t="s">
        <v>68</v>
      </c>
      <c r="I56" s="12" t="str">
        <f>IFERROR(VLOOKUP(H56, DADOS_RM_EVENTOS_original!C:D, 2, FALSE), "Código não encontrado/Não digitado")</f>
        <v>Código não encontrado/Não digitado</v>
      </c>
      <c r="J56" s="12" t="s">
        <v>68</v>
      </c>
      <c r="K56" s="12" t="str">
        <f>IFERROR(VLOOKUP(J56, DADOS_RM_EVENTOS_original!E:J, 2, FALSE), "Código não encontrado/Não digitado")</f>
        <v>Código não encontrado/Não digitado</v>
      </c>
      <c r="L56" s="12" t="s">
        <v>68</v>
      </c>
      <c r="M56" s="12" t="str">
        <f>IFERROR(VLOOKUP(L56, DADOS_RM_EVENTOS_original!K:L, 2, FALSE), "Código não encontrado/Não digitado")</f>
        <v>Código não encontrado/Não digitado</v>
      </c>
    </row>
    <row r="57" ht="15.75" hidden="1" customHeight="1">
      <c r="A57" s="11" t="s">
        <v>38</v>
      </c>
      <c r="B57" s="11" t="s">
        <v>554</v>
      </c>
      <c r="C57" s="11" t="s">
        <v>998</v>
      </c>
      <c r="D57" s="11" t="s">
        <v>120</v>
      </c>
      <c r="E57" s="11" t="s">
        <v>47</v>
      </c>
      <c r="F57" s="11" t="s">
        <v>443</v>
      </c>
      <c r="G57" s="12" t="str">
        <f>IFERROR(VLOOKUP(F57, DADOS_RM_EVENTOS_original!A:B, 2, FALSE), "Código não encontrado/Não digitado")</f>
        <v>1/3 Ferias no Mes</v>
      </c>
      <c r="H57" s="11" t="s">
        <v>443</v>
      </c>
      <c r="I57" s="12" t="str">
        <f>IFERROR(VLOOKUP(H57, DADOS_RM_EVENTOS_original!A:D, 2, FALSE), "Código não encontrado/Não digitado")</f>
        <v>1/3 Ferias no Mes</v>
      </c>
      <c r="J57" s="11" t="s">
        <v>447</v>
      </c>
      <c r="K57" s="12" t="str">
        <f>IFERROR(VLOOKUP(J57, DADOS_RM_EVENTOS_original!A:J, 2, FALSE), "Código não encontrado/Não digitado")</f>
        <v>1/3 Ferias no Proximo Mes</v>
      </c>
      <c r="L57" s="11" t="s">
        <v>296</v>
      </c>
      <c r="M57" s="12" t="str">
        <f>IFERROR(VLOOKUP(L57, DADOS_RM_EVENTOS_original!A:L, 2, FALSE), "Código não encontrado/Não digitado")</f>
        <v>1/3 de Ferias (Recibo)</v>
      </c>
    </row>
    <row r="58" ht="15.75" hidden="1" customHeight="1">
      <c r="A58" s="11" t="s">
        <v>115</v>
      </c>
      <c r="B58" s="11" t="s">
        <v>554</v>
      </c>
      <c r="C58" s="11" t="s">
        <v>998</v>
      </c>
      <c r="D58" s="11" t="s">
        <v>120</v>
      </c>
      <c r="E58" s="11" t="s">
        <v>121</v>
      </c>
      <c r="F58" s="11" t="s">
        <v>443</v>
      </c>
      <c r="G58" s="12" t="str">
        <f>IFERROR(VLOOKUP(F58, DADOS_RM_EVENTOS_original!A:B, 2, FALSE), "Código não encontrado/Não digitado")</f>
        <v>1/3 Ferias no Mes</v>
      </c>
      <c r="H58" s="11" t="s">
        <v>443</v>
      </c>
      <c r="I58" s="12" t="str">
        <f>IFERROR(VLOOKUP(H58, DADOS_RM_EVENTOS_original!A:D, 2, FALSE), "Código não encontrado/Não digitado")</f>
        <v>1/3 Ferias no Mes</v>
      </c>
      <c r="J58" s="11" t="s">
        <v>447</v>
      </c>
      <c r="K58" s="12" t="str">
        <f>IFERROR(VLOOKUP(J58, DADOS_RM_EVENTOS_original!A:J, 2, FALSE), "Código não encontrado/Não digitado")</f>
        <v>1/3 Ferias no Proximo Mes</v>
      </c>
      <c r="L58" s="11" t="s">
        <v>296</v>
      </c>
      <c r="M58" s="12" t="str">
        <f>IFERROR(VLOOKUP(L58, DADOS_RM_EVENTOS_original!A:L, 2, FALSE), "Código não encontrado/Não digitado")</f>
        <v>1/3 de Ferias (Recibo)</v>
      </c>
    </row>
    <row r="59" ht="15.75" hidden="1" customHeight="1">
      <c r="A59" s="11" t="s">
        <v>172</v>
      </c>
      <c r="B59" s="11" t="s">
        <v>554</v>
      </c>
      <c r="C59" s="11" t="s">
        <v>1028</v>
      </c>
      <c r="D59" s="11" t="s">
        <v>120</v>
      </c>
      <c r="E59" s="11" t="s">
        <v>1029</v>
      </c>
      <c r="F59" s="11" t="s">
        <v>443</v>
      </c>
      <c r="G59" s="12" t="str">
        <f>IFERROR(VLOOKUP(F59, DADOS_RM_EVENTOS_original!A:B, 2, FALSE), "Código não encontrado/Não digitado")</f>
        <v>1/3 Ferias no Mes</v>
      </c>
      <c r="H59" s="11" t="s">
        <v>443</v>
      </c>
      <c r="I59" s="12" t="str">
        <f>IFERROR(VLOOKUP(H59, DADOS_RM_EVENTOS_original!A:D, 2, FALSE), "Código não encontrado/Não digitado")</f>
        <v>1/3 Ferias no Mes</v>
      </c>
      <c r="J59" s="11" t="s">
        <v>447</v>
      </c>
      <c r="K59" s="12" t="str">
        <f>IFERROR(VLOOKUP(J59, DADOS_RM_EVENTOS_original!A:J, 2, FALSE), "Código não encontrado/Não digitado")</f>
        <v>1/3 Ferias no Proximo Mes</v>
      </c>
      <c r="L59" s="11" t="s">
        <v>296</v>
      </c>
      <c r="M59" s="12" t="str">
        <f>IFERROR(VLOOKUP(L59, DADOS_RM_EVENTOS_original!A:L, 2, FALSE), "Código não encontrado/Não digitado")</f>
        <v>1/3 de Ferias (Recibo)</v>
      </c>
    </row>
    <row r="60" ht="15.75" hidden="1" customHeight="1">
      <c r="A60" s="11" t="s">
        <v>97</v>
      </c>
      <c r="B60" s="11" t="s">
        <v>554</v>
      </c>
      <c r="C60" s="11" t="s">
        <v>1028</v>
      </c>
      <c r="D60" s="11" t="s">
        <v>120</v>
      </c>
      <c r="E60" s="11" t="s">
        <v>972</v>
      </c>
      <c r="F60" s="11" t="s">
        <v>443</v>
      </c>
      <c r="G60" s="12" t="str">
        <f>IFERROR(VLOOKUP(F60, DADOS_RM_EVENTOS_original!A:B, 2, FALSE), "Código não encontrado/Não digitado")</f>
        <v>1/3 Ferias no Mes</v>
      </c>
      <c r="H60" s="11" t="s">
        <v>443</v>
      </c>
      <c r="I60" s="12" t="str">
        <f>IFERROR(VLOOKUP(H60, DADOS_RM_EVENTOS_original!A:D, 2, FALSE), "Código não encontrado/Não digitado")</f>
        <v>1/3 Ferias no Mes</v>
      </c>
      <c r="J60" s="11" t="s">
        <v>447</v>
      </c>
      <c r="K60" s="12" t="str">
        <f>IFERROR(VLOOKUP(J60, DADOS_RM_EVENTOS_original!A:J, 2, FALSE), "Código não encontrado/Não digitado")</f>
        <v>1/3 Ferias no Proximo Mes</v>
      </c>
      <c r="L60" s="11" t="s">
        <v>296</v>
      </c>
      <c r="M60" s="12" t="str">
        <f>IFERROR(VLOOKUP(L60, DADOS_RM_EVENTOS_original!A:L, 2, FALSE), "Código não encontrado/Não digitado")</f>
        <v>1/3 de Ferias (Recibo)</v>
      </c>
    </row>
    <row r="61" ht="15.75" hidden="1" customHeight="1">
      <c r="A61" s="11" t="s">
        <v>142</v>
      </c>
      <c r="B61" s="11" t="s">
        <v>554</v>
      </c>
      <c r="C61" s="11" t="s">
        <v>1028</v>
      </c>
      <c r="D61" s="11" t="s">
        <v>120</v>
      </c>
      <c r="E61" s="11" t="s">
        <v>985</v>
      </c>
      <c r="F61" s="11" t="s">
        <v>443</v>
      </c>
      <c r="G61" s="12" t="str">
        <f>IFERROR(VLOOKUP(F61, DADOS_RM_EVENTOS_original!A:B, 2, FALSE), "Código não encontrado/Não digitado")</f>
        <v>1/3 Ferias no Mes</v>
      </c>
      <c r="H61" s="11" t="s">
        <v>443</v>
      </c>
      <c r="I61" s="12" t="str">
        <f>IFERROR(VLOOKUP(H61, DADOS_RM_EVENTOS_original!A:D, 2, FALSE), "Código não encontrado/Não digitado")</f>
        <v>1/3 Ferias no Mes</v>
      </c>
      <c r="J61" s="11" t="s">
        <v>447</v>
      </c>
      <c r="K61" s="12" t="str">
        <f>IFERROR(VLOOKUP(J61, DADOS_RM_EVENTOS_original!A:J, 2, FALSE), "Código não encontrado/Não digitado")</f>
        <v>1/3 Ferias no Proximo Mes</v>
      </c>
      <c r="L61" s="11" t="s">
        <v>296</v>
      </c>
      <c r="M61" s="12" t="str">
        <f>IFERROR(VLOOKUP(L61, DADOS_RM_EVENTOS_original!A:L, 2, FALSE), "Código não encontrado/Não digitado")</f>
        <v>1/3 de Ferias (Recibo)</v>
      </c>
    </row>
    <row r="62" ht="15.75" hidden="1" customHeight="1">
      <c r="A62" s="11" t="s">
        <v>199</v>
      </c>
      <c r="B62" s="11" t="s">
        <v>554</v>
      </c>
      <c r="C62" s="11" t="s">
        <v>1028</v>
      </c>
      <c r="D62" s="11" t="s">
        <v>120</v>
      </c>
      <c r="E62" s="11" t="s">
        <v>1074</v>
      </c>
      <c r="F62" s="11" t="s">
        <v>443</v>
      </c>
      <c r="G62" s="12" t="str">
        <f>IFERROR(VLOOKUP(F62, DADOS_RM_EVENTOS_original!A:B, 2, FALSE), "Código não encontrado/Não digitado")</f>
        <v>1/3 Ferias no Mes</v>
      </c>
      <c r="H62" s="11" t="s">
        <v>443</v>
      </c>
      <c r="I62" s="12" t="str">
        <f>IFERROR(VLOOKUP(H62, DADOS_RM_EVENTOS_original!A:D, 2, FALSE), "Código não encontrado/Não digitado")</f>
        <v>1/3 Ferias no Mes</v>
      </c>
      <c r="J62" s="11" t="s">
        <v>447</v>
      </c>
      <c r="K62" s="12" t="str">
        <f>IFERROR(VLOOKUP(J62, DADOS_RM_EVENTOS_original!A:J, 2, FALSE), "Código não encontrado/Não digitado")</f>
        <v>1/3 Ferias no Proximo Mes</v>
      </c>
      <c r="L62" s="11" t="s">
        <v>296</v>
      </c>
      <c r="M62" s="12" t="str">
        <f>IFERROR(VLOOKUP(L62, DADOS_RM_EVENTOS_original!A:L, 2, FALSE), "Código não encontrado/Não digitado")</f>
        <v>1/3 de Ferias (Recibo)</v>
      </c>
    </row>
    <row r="63" ht="15.75" hidden="1" customHeight="1">
      <c r="A63" s="11" t="s">
        <v>38</v>
      </c>
      <c r="B63" s="11" t="s">
        <v>854</v>
      </c>
      <c r="C63" s="11" t="s">
        <v>1090</v>
      </c>
      <c r="D63" s="11" t="s">
        <v>120</v>
      </c>
      <c r="E63" s="11" t="s">
        <v>47</v>
      </c>
      <c r="F63" s="11" t="s">
        <v>393</v>
      </c>
      <c r="G63" s="12" t="str">
        <f>IFERROR(VLOOKUP(F63, DADOS_RM_EVENTOS_original!A:B, 2, FALSE), "Código não encontrado/Não digitado")</f>
        <v>1/3 Ferias Rescisao</v>
      </c>
      <c r="H63" s="12" t="s">
        <v>68</v>
      </c>
      <c r="I63" s="12" t="str">
        <f>IFERROR(VLOOKUP(H63, DADOS_RM_EVENTOS_original!C:D, 2, FALSE), "Código não encontrado/Não digitado")</f>
        <v>Código não encontrado/Não digitado</v>
      </c>
      <c r="J63" s="12" t="s">
        <v>68</v>
      </c>
      <c r="K63" s="12" t="str">
        <f>IFERROR(VLOOKUP(J63, DADOS_RM_EVENTOS_original!E:J, 2, FALSE), "Código não encontrado/Não digitado")</f>
        <v>Código não encontrado/Não digitado</v>
      </c>
      <c r="L63" s="12" t="s">
        <v>68</v>
      </c>
      <c r="M63" s="12" t="str">
        <f>IFERROR(VLOOKUP(L63, DADOS_RM_EVENTOS_original!K:L, 2, FALSE), "Código não encontrado/Não digitado")</f>
        <v>Código não encontrado/Não digitado</v>
      </c>
    </row>
    <row r="64" ht="15.75" hidden="1" customHeight="1">
      <c r="A64" s="11" t="s">
        <v>97</v>
      </c>
      <c r="B64" s="11" t="s">
        <v>854</v>
      </c>
      <c r="C64" s="11" t="s">
        <v>1108</v>
      </c>
      <c r="D64" s="11" t="s">
        <v>120</v>
      </c>
      <c r="E64" s="11" t="s">
        <v>972</v>
      </c>
      <c r="F64" s="11" t="s">
        <v>393</v>
      </c>
      <c r="G64" s="12" t="str">
        <f>IFERROR(VLOOKUP(F64, DADOS_RM_EVENTOS_original!A:B, 2, FALSE), "Código não encontrado/Não digitado")</f>
        <v>1/3 Ferias Rescisao</v>
      </c>
      <c r="H64" s="12" t="s">
        <v>68</v>
      </c>
      <c r="I64" s="12" t="str">
        <f>IFERROR(VLOOKUP(H64, DADOS_RM_EVENTOS_original!C:D, 2, FALSE), "Código não encontrado/Não digitado")</f>
        <v>Código não encontrado/Não digitado</v>
      </c>
      <c r="J64" s="12" t="s">
        <v>68</v>
      </c>
      <c r="K64" s="12" t="str">
        <f>IFERROR(VLOOKUP(J64, DADOS_RM_EVENTOS_original!E:J, 2, FALSE), "Código não encontrado/Não digitado")</f>
        <v>Código não encontrado/Não digitado</v>
      </c>
      <c r="L64" s="12" t="s">
        <v>68</v>
      </c>
      <c r="M64" s="12" t="str">
        <f>IFERROR(VLOOKUP(L64, DADOS_RM_EVENTOS_original!K:L, 2, FALSE), "Código não encontrado/Não digitado")</f>
        <v>Código não encontrado/Não digitado</v>
      </c>
    </row>
    <row r="65" ht="15.75" hidden="1" customHeight="1">
      <c r="A65" s="11" t="s">
        <v>142</v>
      </c>
      <c r="B65" s="11" t="s">
        <v>854</v>
      </c>
      <c r="C65" s="11" t="s">
        <v>1108</v>
      </c>
      <c r="D65" s="11" t="s">
        <v>120</v>
      </c>
      <c r="E65" s="11" t="s">
        <v>985</v>
      </c>
      <c r="F65" s="11" t="s">
        <v>393</v>
      </c>
      <c r="G65" s="12" t="str">
        <f>IFERROR(VLOOKUP(F65, DADOS_RM_EVENTOS_original!A:B, 2, FALSE), "Código não encontrado/Não digitado")</f>
        <v>1/3 Ferias Rescisao</v>
      </c>
      <c r="H65" s="12" t="s">
        <v>68</v>
      </c>
      <c r="I65" s="12" t="str">
        <f>IFERROR(VLOOKUP(H65, DADOS_RM_EVENTOS_original!C:D, 2, FALSE), "Código não encontrado/Não digitado")</f>
        <v>Código não encontrado/Não digitado</v>
      </c>
      <c r="J65" s="12" t="s">
        <v>68</v>
      </c>
      <c r="K65" s="12" t="str">
        <f>IFERROR(VLOOKUP(J65, DADOS_RM_EVENTOS_original!E:J, 2, FALSE), "Código não encontrado/Não digitado")</f>
        <v>Código não encontrado/Não digitado</v>
      </c>
      <c r="L65" s="12" t="s">
        <v>68</v>
      </c>
      <c r="M65" s="12" t="str">
        <f>IFERROR(VLOOKUP(L65, DADOS_RM_EVENTOS_original!K:L, 2, FALSE), "Código não encontrado/Não digitado")</f>
        <v>Código não encontrado/Não digitado</v>
      </c>
    </row>
    <row r="66" ht="15.75" hidden="1" customHeight="1">
      <c r="A66" s="11" t="s">
        <v>38</v>
      </c>
      <c r="B66" s="11" t="s">
        <v>1141</v>
      </c>
      <c r="C66" s="11" t="s">
        <v>1142</v>
      </c>
      <c r="D66" s="11" t="s">
        <v>120</v>
      </c>
      <c r="E66" s="11" t="s">
        <v>47</v>
      </c>
      <c r="F66" s="11" t="s">
        <v>393</v>
      </c>
      <c r="G66" s="12" t="str">
        <f>IFERROR(VLOOKUP(F66, DADOS_RM_EVENTOS_original!A:B, 2, FALSE), "Código não encontrado/Não digitado")</f>
        <v>1/3 Ferias Rescisao</v>
      </c>
      <c r="H66" s="12" t="s">
        <v>68</v>
      </c>
      <c r="I66" s="12" t="str">
        <f>IFERROR(VLOOKUP(H66, DADOS_RM_EVENTOS_original!C:D, 2, FALSE), "Código não encontrado/Não digitado")</f>
        <v>Código não encontrado/Não digitado</v>
      </c>
      <c r="J66" s="12" t="s">
        <v>68</v>
      </c>
      <c r="K66" s="12" t="str">
        <f>IFERROR(VLOOKUP(J66, DADOS_RM_EVENTOS_original!E:J, 2, FALSE), "Código não encontrado/Não digitado")</f>
        <v>Código não encontrado/Não digitado</v>
      </c>
      <c r="L66" s="12" t="s">
        <v>68</v>
      </c>
      <c r="M66" s="12" t="str">
        <f>IFERROR(VLOOKUP(L66, DADOS_RM_EVENTOS_original!K:L, 2, FALSE), "Código não encontrado/Não digitado")</f>
        <v>Código não encontrado/Não digitado</v>
      </c>
    </row>
    <row r="67" ht="15.75" hidden="1" customHeight="1">
      <c r="A67" s="11" t="s">
        <v>172</v>
      </c>
      <c r="B67" s="11" t="s">
        <v>1159</v>
      </c>
      <c r="C67" s="11" t="s">
        <v>1160</v>
      </c>
      <c r="D67" s="11" t="s">
        <v>120</v>
      </c>
      <c r="E67" s="11" t="s">
        <v>1029</v>
      </c>
      <c r="F67" s="11" t="s">
        <v>393</v>
      </c>
      <c r="G67" s="12" t="str">
        <f>IFERROR(VLOOKUP(F67, DADOS_RM_EVENTOS_original!A:B, 2, FALSE), "Código não encontrado/Não digitado")</f>
        <v>1/3 Ferias Rescisao</v>
      </c>
      <c r="H67" s="12" t="s">
        <v>68</v>
      </c>
      <c r="I67" s="12" t="str">
        <f>IFERROR(VLOOKUP(H67, DADOS_RM_EVENTOS_original!C:D, 2, FALSE), "Código não encontrado/Não digitado")</f>
        <v>Código não encontrado/Não digitado</v>
      </c>
      <c r="J67" s="12" t="s">
        <v>68</v>
      </c>
      <c r="K67" s="12" t="str">
        <f>IFERROR(VLOOKUP(J67, DADOS_RM_EVENTOS_original!E:J, 2, FALSE), "Código não encontrado/Não digitado")</f>
        <v>Código não encontrado/Não digitado</v>
      </c>
      <c r="L67" s="12" t="s">
        <v>68</v>
      </c>
      <c r="M67" s="12" t="str">
        <f>IFERROR(VLOOKUP(L67, DADOS_RM_EVENTOS_original!K:L, 2, FALSE), "Código não encontrado/Não digitado")</f>
        <v>Código não encontrado/Não digitado</v>
      </c>
    </row>
    <row r="68" ht="15.75" hidden="1" customHeight="1">
      <c r="A68" s="11" t="s">
        <v>97</v>
      </c>
      <c r="B68" s="11" t="s">
        <v>1175</v>
      </c>
      <c r="C68" s="11" t="s">
        <v>1160</v>
      </c>
      <c r="D68" s="11" t="s">
        <v>120</v>
      </c>
      <c r="E68" s="11" t="s">
        <v>972</v>
      </c>
      <c r="F68" s="11" t="s">
        <v>393</v>
      </c>
      <c r="G68" s="12" t="str">
        <f>IFERROR(VLOOKUP(F68, DADOS_RM_EVENTOS_original!A:B, 2, FALSE), "Código não encontrado/Não digitado")</f>
        <v>1/3 Ferias Rescisao</v>
      </c>
      <c r="H68" s="12" t="s">
        <v>68</v>
      </c>
      <c r="I68" s="12" t="str">
        <f>IFERROR(VLOOKUP(H68, DADOS_RM_EVENTOS_original!C:D, 2, FALSE), "Código não encontrado/Não digitado")</f>
        <v>Código não encontrado/Não digitado</v>
      </c>
      <c r="J68" s="12" t="s">
        <v>68</v>
      </c>
      <c r="K68" s="12" t="str">
        <f>IFERROR(VLOOKUP(J68, DADOS_RM_EVENTOS_original!E:J, 2, FALSE), "Código não encontrado/Não digitado")</f>
        <v>Código não encontrado/Não digitado</v>
      </c>
      <c r="L68" s="12" t="s">
        <v>68</v>
      </c>
      <c r="M68" s="12" t="str">
        <f>IFERROR(VLOOKUP(L68, DADOS_RM_EVENTOS_original!K:L, 2, FALSE), "Código não encontrado/Não digitado")</f>
        <v>Código não encontrado/Não digitado</v>
      </c>
    </row>
    <row r="69" ht="15.75" hidden="1" customHeight="1">
      <c r="A69" s="11" t="s">
        <v>142</v>
      </c>
      <c r="B69" s="11" t="s">
        <v>1192</v>
      </c>
      <c r="C69" s="11" t="s">
        <v>1160</v>
      </c>
      <c r="D69" s="11" t="s">
        <v>120</v>
      </c>
      <c r="E69" s="11" t="s">
        <v>985</v>
      </c>
      <c r="F69" s="11" t="s">
        <v>393</v>
      </c>
      <c r="G69" s="12" t="str">
        <f>IFERROR(VLOOKUP(F69, DADOS_RM_EVENTOS_original!A:B, 2, FALSE), "Código não encontrado/Não digitado")</f>
        <v>1/3 Ferias Rescisao</v>
      </c>
      <c r="H69" s="12" t="s">
        <v>68</v>
      </c>
      <c r="I69" s="12" t="str">
        <f>IFERROR(VLOOKUP(H69, DADOS_RM_EVENTOS_original!C:D, 2, FALSE), "Código não encontrado/Não digitado")</f>
        <v>Código não encontrado/Não digitado</v>
      </c>
      <c r="J69" s="12" t="s">
        <v>68</v>
      </c>
      <c r="K69" s="12" t="str">
        <f>IFERROR(VLOOKUP(J69, DADOS_RM_EVENTOS_original!E:J, 2, FALSE), "Código não encontrado/Não digitado")</f>
        <v>Código não encontrado/Não digitado</v>
      </c>
      <c r="L69" s="12" t="s">
        <v>68</v>
      </c>
      <c r="M69" s="12" t="str">
        <f>IFERROR(VLOOKUP(L69, DADOS_RM_EVENTOS_original!K:L, 2, FALSE), "Código não encontrado/Não digitado")</f>
        <v>Código não encontrado/Não digitado</v>
      </c>
    </row>
    <row r="70" ht="15.75" hidden="1" customHeight="1">
      <c r="A70" s="11" t="s">
        <v>199</v>
      </c>
      <c r="B70" s="11" t="s">
        <v>869</v>
      </c>
      <c r="C70" s="11" t="s">
        <v>1160</v>
      </c>
      <c r="D70" s="11" t="s">
        <v>120</v>
      </c>
      <c r="E70" s="11" t="s">
        <v>1074</v>
      </c>
      <c r="F70" s="11" t="s">
        <v>393</v>
      </c>
      <c r="G70" s="12" t="str">
        <f>IFERROR(VLOOKUP(F70, DADOS_RM_EVENTOS_original!A:B, 2, FALSE), "Código não encontrado/Não digitado")</f>
        <v>1/3 Ferias Rescisao</v>
      </c>
      <c r="H70" s="12" t="s">
        <v>68</v>
      </c>
      <c r="I70" s="12" t="str">
        <f>IFERROR(VLOOKUP(H70, DADOS_RM_EVENTOS_original!C:D, 2, FALSE), "Código não encontrado/Não digitado")</f>
        <v>Código não encontrado/Não digitado</v>
      </c>
      <c r="J70" s="12" t="s">
        <v>68</v>
      </c>
      <c r="K70" s="12" t="str">
        <f>IFERROR(VLOOKUP(J70, DADOS_RM_EVENTOS_original!E:J, 2, FALSE), "Código não encontrado/Não digitado")</f>
        <v>Código não encontrado/Não digitado</v>
      </c>
      <c r="L70" s="12" t="s">
        <v>68</v>
      </c>
      <c r="M70" s="12" t="str">
        <f>IFERROR(VLOOKUP(L70, DADOS_RM_EVENTOS_original!K:L, 2, FALSE), "Código não encontrado/Não digitado")</f>
        <v>Código não encontrado/Não digitado</v>
      </c>
    </row>
    <row r="71" ht="15.75" hidden="1" customHeight="1">
      <c r="A71" s="11" t="s">
        <v>38</v>
      </c>
      <c r="B71" s="11" t="s">
        <v>1221</v>
      </c>
      <c r="C71" s="11" t="s">
        <v>1223</v>
      </c>
      <c r="D71" s="11" t="s">
        <v>120</v>
      </c>
      <c r="E71" s="11" t="s">
        <v>47</v>
      </c>
      <c r="F71" s="11" t="s">
        <v>393</v>
      </c>
      <c r="G71" s="12" t="str">
        <f>IFERROR(VLOOKUP(F71, DADOS_RM_EVENTOS_original!A:B, 2, FALSE), "Código não encontrado/Não digitado")</f>
        <v>1/3 Ferias Rescisao</v>
      </c>
      <c r="H71" s="12" t="s">
        <v>68</v>
      </c>
      <c r="I71" s="12" t="str">
        <f>IFERROR(VLOOKUP(H71, DADOS_RM_EVENTOS_original!C:D, 2, FALSE), "Código não encontrado/Não digitado")</f>
        <v>Código não encontrado/Não digitado</v>
      </c>
      <c r="J71" s="12" t="s">
        <v>68</v>
      </c>
      <c r="K71" s="12" t="str">
        <f>IFERROR(VLOOKUP(J71, DADOS_RM_EVENTOS_original!E:J, 2, FALSE), "Código não encontrado/Não digitado")</f>
        <v>Código não encontrado/Não digitado</v>
      </c>
      <c r="L71" s="12" t="s">
        <v>68</v>
      </c>
      <c r="M71" s="12" t="str">
        <f>IFERROR(VLOOKUP(L71, DADOS_RM_EVENTOS_original!K:L, 2, FALSE), "Código não encontrado/Não digitado")</f>
        <v>Código não encontrado/Não digitado</v>
      </c>
    </row>
    <row r="72" ht="15.75" hidden="1" customHeight="1">
      <c r="A72" s="11" t="s">
        <v>115</v>
      </c>
      <c r="B72" s="11" t="s">
        <v>1221</v>
      </c>
      <c r="C72" s="11" t="s">
        <v>1223</v>
      </c>
      <c r="D72" s="11" t="s">
        <v>120</v>
      </c>
      <c r="E72" s="11" t="s">
        <v>121</v>
      </c>
      <c r="F72" s="11" t="s">
        <v>393</v>
      </c>
      <c r="G72" s="12" t="str">
        <f>IFERROR(VLOOKUP(F72, DADOS_RM_EVENTOS_original!A:B, 2, FALSE), "Código não encontrado/Não digitado")</f>
        <v>1/3 Ferias Rescisao</v>
      </c>
      <c r="H72" s="12" t="s">
        <v>68</v>
      </c>
      <c r="I72" s="12" t="str">
        <f>IFERROR(VLOOKUP(H72, DADOS_RM_EVENTOS_original!C:D, 2, FALSE), "Código não encontrado/Não digitado")</f>
        <v>Código não encontrado/Não digitado</v>
      </c>
      <c r="J72" s="12" t="s">
        <v>68</v>
      </c>
      <c r="K72" s="12" t="str">
        <f>IFERROR(VLOOKUP(J72, DADOS_RM_EVENTOS_original!E:J, 2, FALSE), "Código não encontrado/Não digitado")</f>
        <v>Código não encontrado/Não digitado</v>
      </c>
      <c r="L72" s="12" t="s">
        <v>68</v>
      </c>
      <c r="M72" s="12" t="str">
        <f>IFERROR(VLOOKUP(L72, DADOS_RM_EVENTOS_original!K:L, 2, FALSE), "Código não encontrado/Não digitado")</f>
        <v>Código não encontrado/Não digitado</v>
      </c>
    </row>
    <row r="73" ht="15.75" hidden="1" customHeight="1">
      <c r="A73" s="11" t="s">
        <v>172</v>
      </c>
      <c r="B73" s="11" t="s">
        <v>1249</v>
      </c>
      <c r="C73" s="11" t="s">
        <v>1250</v>
      </c>
      <c r="D73" s="11" t="s">
        <v>120</v>
      </c>
      <c r="E73" s="11" t="s">
        <v>1029</v>
      </c>
      <c r="F73" s="11" t="s">
        <v>1252</v>
      </c>
      <c r="G73" s="12" t="str">
        <f>IFERROR(VLOOKUP(F73, DADOS_RM_EVENTOS_original!A:B, 2, FALSE), "Código não encontrado/Não digitado")</f>
        <v>Adicional 1/3 Ferias Vencidas</v>
      </c>
      <c r="H73" s="12" t="s">
        <v>68</v>
      </c>
      <c r="I73" s="12" t="str">
        <f>IFERROR(VLOOKUP(H73, DADOS_RM_EVENTOS_original!C:D, 2, FALSE), "Código não encontrado/Não digitado")</f>
        <v>Código não encontrado/Não digitado</v>
      </c>
      <c r="J73" s="12" t="s">
        <v>68</v>
      </c>
      <c r="K73" s="12" t="str">
        <f>IFERROR(VLOOKUP(J73, DADOS_RM_EVENTOS_original!E:J, 2, FALSE), "Código não encontrado/Não digitado")</f>
        <v>Código não encontrado/Não digitado</v>
      </c>
      <c r="L73" s="12" t="s">
        <v>68</v>
      </c>
      <c r="M73" s="12" t="str">
        <f>IFERROR(VLOOKUP(L73, DADOS_RM_EVENTOS_original!K:L, 2, FALSE), "Código não encontrado/Não digitado")</f>
        <v>Código não encontrado/Não digitado</v>
      </c>
    </row>
    <row r="74" ht="15.75" hidden="1" customHeight="1">
      <c r="A74" s="11" t="s">
        <v>97</v>
      </c>
      <c r="B74" s="11" t="s">
        <v>1264</v>
      </c>
      <c r="C74" s="11" t="s">
        <v>1250</v>
      </c>
      <c r="D74" s="11" t="s">
        <v>120</v>
      </c>
      <c r="E74" s="11" t="s">
        <v>972</v>
      </c>
      <c r="F74" s="11" t="s">
        <v>1252</v>
      </c>
      <c r="G74" s="12" t="str">
        <f>IFERROR(VLOOKUP(F74, DADOS_RM_EVENTOS_original!A:B, 2, FALSE), "Código não encontrado/Não digitado")</f>
        <v>Adicional 1/3 Ferias Vencidas</v>
      </c>
      <c r="H74" s="12" t="s">
        <v>68</v>
      </c>
      <c r="I74" s="12" t="str">
        <f>IFERROR(VLOOKUP(H74, DADOS_RM_EVENTOS_original!C:D, 2, FALSE), "Código não encontrado/Não digitado")</f>
        <v>Código não encontrado/Não digitado</v>
      </c>
      <c r="J74" s="12" t="s">
        <v>68</v>
      </c>
      <c r="K74" s="12" t="str">
        <f>IFERROR(VLOOKUP(J74, DADOS_RM_EVENTOS_original!E:J, 2, FALSE), "Código não encontrado/Não digitado")</f>
        <v>Código não encontrado/Não digitado</v>
      </c>
      <c r="L74" s="12" t="s">
        <v>68</v>
      </c>
      <c r="M74" s="12" t="str">
        <f>IFERROR(VLOOKUP(L74, DADOS_RM_EVENTOS_original!K:L, 2, FALSE), "Código não encontrado/Não digitado")</f>
        <v>Código não encontrado/Não digitado</v>
      </c>
    </row>
    <row r="75" ht="15.75" hidden="1" customHeight="1">
      <c r="A75" s="11" t="s">
        <v>142</v>
      </c>
      <c r="B75" s="11" t="s">
        <v>1175</v>
      </c>
      <c r="C75" s="11" t="s">
        <v>1250</v>
      </c>
      <c r="D75" s="11" t="s">
        <v>120</v>
      </c>
      <c r="E75" s="11" t="s">
        <v>985</v>
      </c>
      <c r="F75" s="11" t="s">
        <v>1252</v>
      </c>
      <c r="G75" s="12" t="str">
        <f>IFERROR(VLOOKUP(F75, DADOS_RM_EVENTOS_original!A:B, 2, FALSE), "Código não encontrado/Não digitado")</f>
        <v>Adicional 1/3 Ferias Vencidas</v>
      </c>
      <c r="H75" s="12" t="s">
        <v>68</v>
      </c>
      <c r="I75" s="12" t="str">
        <f>IFERROR(VLOOKUP(H75, DADOS_RM_EVENTOS_original!C:D, 2, FALSE), "Código não encontrado/Não digitado")</f>
        <v>Código não encontrado/Não digitado</v>
      </c>
      <c r="J75" s="12" t="s">
        <v>68</v>
      </c>
      <c r="K75" s="12" t="str">
        <f>IFERROR(VLOOKUP(J75, DADOS_RM_EVENTOS_original!E:J, 2, FALSE), "Código não encontrado/Não digitado")</f>
        <v>Código não encontrado/Não digitado</v>
      </c>
      <c r="L75" s="12" t="s">
        <v>68</v>
      </c>
      <c r="M75" s="12" t="str">
        <f>IFERROR(VLOOKUP(L75, DADOS_RM_EVENTOS_original!K:L, 2, FALSE), "Código não encontrado/Não digitado")</f>
        <v>Código não encontrado/Não digitado</v>
      </c>
    </row>
    <row r="76" ht="15.75" hidden="1" customHeight="1">
      <c r="A76" s="11" t="s">
        <v>38</v>
      </c>
      <c r="B76" s="11" t="s">
        <v>1299</v>
      </c>
      <c r="C76" s="11" t="s">
        <v>1301</v>
      </c>
      <c r="D76" s="11" t="s">
        <v>120</v>
      </c>
      <c r="E76" s="11" t="s">
        <v>47</v>
      </c>
      <c r="F76" s="11" t="s">
        <v>1252</v>
      </c>
      <c r="G76" s="12" t="str">
        <f>IFERROR(VLOOKUP(F76, DADOS_RM_EVENTOS_original!A:B, 2, FALSE), "Código não encontrado/Não digitado")</f>
        <v>Adicional 1/3 Ferias Vencidas</v>
      </c>
      <c r="H76" s="12" t="s">
        <v>68</v>
      </c>
      <c r="I76" s="12" t="str">
        <f>IFERROR(VLOOKUP(H76, DADOS_RM_EVENTOS_original!C:D, 2, FALSE), "Código não encontrado/Não digitado")</f>
        <v>Código não encontrado/Não digitado</v>
      </c>
      <c r="J76" s="12" t="s">
        <v>68</v>
      </c>
      <c r="K76" s="12" t="str">
        <f>IFERROR(VLOOKUP(J76, DADOS_RM_EVENTOS_original!E:J, 2, FALSE), "Código não encontrado/Não digitado")</f>
        <v>Código não encontrado/Não digitado</v>
      </c>
      <c r="L76" s="12" t="s">
        <v>68</v>
      </c>
      <c r="M76" s="12" t="str">
        <f>IFERROR(VLOOKUP(L76, DADOS_RM_EVENTOS_original!K:L, 2, FALSE), "Código não encontrado/Não digitado")</f>
        <v>Código não encontrado/Não digitado</v>
      </c>
    </row>
    <row r="77" ht="15.75" hidden="1" customHeight="1">
      <c r="A77" s="11" t="s">
        <v>115</v>
      </c>
      <c r="B77" s="11" t="s">
        <v>1299</v>
      </c>
      <c r="C77" s="11" t="s">
        <v>1301</v>
      </c>
      <c r="D77" s="11" t="s">
        <v>120</v>
      </c>
      <c r="E77" s="11" t="s">
        <v>121</v>
      </c>
      <c r="F77" s="11" t="s">
        <v>1252</v>
      </c>
      <c r="G77" s="12" t="str">
        <f>IFERROR(VLOOKUP(F77, DADOS_RM_EVENTOS_original!A:B, 2, FALSE), "Código não encontrado/Não digitado")</f>
        <v>Adicional 1/3 Ferias Vencidas</v>
      </c>
      <c r="H77" s="12" t="s">
        <v>68</v>
      </c>
      <c r="I77" s="12" t="str">
        <f>IFERROR(VLOOKUP(H77, DADOS_RM_EVENTOS_original!C:D, 2, FALSE), "Código não encontrado/Não digitado")</f>
        <v>Código não encontrado/Não digitado</v>
      </c>
      <c r="J77" s="12" t="s">
        <v>68</v>
      </c>
      <c r="K77" s="12" t="str">
        <f>IFERROR(VLOOKUP(J77, DADOS_RM_EVENTOS_original!E:J, 2, FALSE), "Código não encontrado/Não digitado")</f>
        <v>Código não encontrado/Não digitado</v>
      </c>
      <c r="L77" s="12" t="s">
        <v>68</v>
      </c>
      <c r="M77" s="12" t="str">
        <f>IFERROR(VLOOKUP(L77, DADOS_RM_EVENTOS_original!K:L, 2, FALSE), "Código não encontrado/Não digitado")</f>
        <v>Código não encontrado/Não digitado</v>
      </c>
    </row>
    <row r="78" ht="15.75" hidden="1" customHeight="1">
      <c r="A78" s="11" t="s">
        <v>38</v>
      </c>
      <c r="B78" s="11" t="s">
        <v>698</v>
      </c>
      <c r="C78" s="11" t="s">
        <v>1324</v>
      </c>
      <c r="D78" s="11" t="s">
        <v>120</v>
      </c>
      <c r="E78" s="11" t="s">
        <v>47</v>
      </c>
      <c r="F78" s="11" t="s">
        <v>603</v>
      </c>
      <c r="G78" s="12" t="str">
        <f>IFERROR(VLOOKUP(F78, DADOS_RM_EVENTOS_original!A:B, 2, FALSE), "Código não encontrado/Não digitado")</f>
        <v>2ª Parcela 13º Salario</v>
      </c>
      <c r="H78" s="12" t="s">
        <v>68</v>
      </c>
      <c r="I78" s="12" t="str">
        <f>IFERROR(VLOOKUP(H78, DADOS_RM_EVENTOS_original!C:D, 2, FALSE), "Código não encontrado/Não digitado")</f>
        <v>Código não encontrado/Não digitado</v>
      </c>
      <c r="J78" s="12" t="s">
        <v>68</v>
      </c>
      <c r="K78" s="12" t="str">
        <f>IFERROR(VLOOKUP(J78, DADOS_RM_EVENTOS_original!E:J, 2, FALSE), "Código não encontrado/Não digitado")</f>
        <v>Código não encontrado/Não digitado</v>
      </c>
      <c r="L78" s="12" t="s">
        <v>68</v>
      </c>
      <c r="M78" s="12" t="str">
        <f>IFERROR(VLOOKUP(L78, DADOS_RM_EVENTOS_original!K:L, 2, FALSE), "Código não encontrado/Não digitado")</f>
        <v>Código não encontrado/Não digitado</v>
      </c>
    </row>
    <row r="79" ht="15.75" hidden="1" customHeight="1">
      <c r="A79" s="11" t="s">
        <v>115</v>
      </c>
      <c r="B79" s="11" t="s">
        <v>698</v>
      </c>
      <c r="C79" s="11" t="s">
        <v>1324</v>
      </c>
      <c r="D79" s="11" t="s">
        <v>120</v>
      </c>
      <c r="E79" s="11" t="s">
        <v>121</v>
      </c>
      <c r="F79" s="11" t="s">
        <v>603</v>
      </c>
      <c r="G79" s="12" t="str">
        <f>IFERROR(VLOOKUP(F79, DADOS_RM_EVENTOS_original!A:B, 2, FALSE), "Código não encontrado/Não digitado")</f>
        <v>2ª Parcela 13º Salario</v>
      </c>
      <c r="H79" s="12" t="s">
        <v>68</v>
      </c>
      <c r="I79" s="12" t="str">
        <f>IFERROR(VLOOKUP(H79, DADOS_RM_EVENTOS_original!C:D, 2, FALSE), "Código não encontrado/Não digitado")</f>
        <v>Código não encontrado/Não digitado</v>
      </c>
      <c r="J79" s="12" t="s">
        <v>68</v>
      </c>
      <c r="K79" s="12" t="str">
        <f>IFERROR(VLOOKUP(J79, DADOS_RM_EVENTOS_original!E:J, 2, FALSE), "Código não encontrado/Não digitado")</f>
        <v>Código não encontrado/Não digitado</v>
      </c>
      <c r="L79" s="12" t="s">
        <v>68</v>
      </c>
      <c r="M79" s="12" t="str">
        <f>IFERROR(VLOOKUP(L79, DADOS_RM_EVENTOS_original!K:L, 2, FALSE), "Código não encontrado/Não digitado")</f>
        <v>Código não encontrado/Não digitado</v>
      </c>
    </row>
    <row r="80" ht="15.75" hidden="1" customHeight="1">
      <c r="A80" s="11" t="s">
        <v>172</v>
      </c>
      <c r="B80" s="11" t="s">
        <v>698</v>
      </c>
      <c r="C80" s="11" t="s">
        <v>1348</v>
      </c>
      <c r="D80" s="11" t="s">
        <v>120</v>
      </c>
      <c r="E80" s="11" t="s">
        <v>1029</v>
      </c>
      <c r="F80" s="11" t="s">
        <v>603</v>
      </c>
      <c r="G80" s="12" t="str">
        <f>IFERROR(VLOOKUP(F80, DADOS_RM_EVENTOS_original!A:B, 2, FALSE), "Código não encontrado/Não digitado")</f>
        <v>2ª Parcela 13º Salario</v>
      </c>
      <c r="H80" s="12" t="s">
        <v>68</v>
      </c>
      <c r="I80" s="12" t="str">
        <f>IFERROR(VLOOKUP(H80, DADOS_RM_EVENTOS_original!C:D, 2, FALSE), "Código não encontrado/Não digitado")</f>
        <v>Código não encontrado/Não digitado</v>
      </c>
      <c r="J80" s="12" t="s">
        <v>68</v>
      </c>
      <c r="K80" s="12" t="str">
        <f>IFERROR(VLOOKUP(J80, DADOS_RM_EVENTOS_original!E:J, 2, FALSE), "Código não encontrado/Não digitado")</f>
        <v>Código não encontrado/Não digitado</v>
      </c>
      <c r="L80" s="12" t="s">
        <v>68</v>
      </c>
      <c r="M80" s="12" t="str">
        <f>IFERROR(VLOOKUP(L80, DADOS_RM_EVENTOS_original!K:L, 2, FALSE), "Código não encontrado/Não digitado")</f>
        <v>Código não encontrado/Não digitado</v>
      </c>
    </row>
    <row r="81" ht="15.75" hidden="1" customHeight="1">
      <c r="A81" s="11" t="s">
        <v>97</v>
      </c>
      <c r="B81" s="11" t="s">
        <v>698</v>
      </c>
      <c r="C81" s="11" t="s">
        <v>1348</v>
      </c>
      <c r="D81" s="11" t="s">
        <v>120</v>
      </c>
      <c r="E81" s="11" t="s">
        <v>972</v>
      </c>
      <c r="F81" s="11" t="s">
        <v>603</v>
      </c>
      <c r="G81" s="12" t="str">
        <f>IFERROR(VLOOKUP(F81, DADOS_RM_EVENTOS_original!A:B, 2, FALSE), "Código não encontrado/Não digitado")</f>
        <v>2ª Parcela 13º Salario</v>
      </c>
      <c r="H81" s="12" t="s">
        <v>68</v>
      </c>
      <c r="I81" s="12" t="str">
        <f>IFERROR(VLOOKUP(H81, DADOS_RM_EVENTOS_original!C:D, 2, FALSE), "Código não encontrado/Não digitado")</f>
        <v>Código não encontrado/Não digitado</v>
      </c>
      <c r="J81" s="12" t="s">
        <v>68</v>
      </c>
      <c r="K81" s="12" t="str">
        <f>IFERROR(VLOOKUP(J81, DADOS_RM_EVENTOS_original!E:J, 2, FALSE), "Código não encontrado/Não digitado")</f>
        <v>Código não encontrado/Não digitado</v>
      </c>
      <c r="L81" s="12" t="s">
        <v>68</v>
      </c>
      <c r="M81" s="12" t="str">
        <f>IFERROR(VLOOKUP(L81, DADOS_RM_EVENTOS_original!K:L, 2, FALSE), "Código não encontrado/Não digitado")</f>
        <v>Código não encontrado/Não digitado</v>
      </c>
    </row>
    <row r="82" ht="15.75" hidden="1" customHeight="1">
      <c r="A82" s="11" t="s">
        <v>142</v>
      </c>
      <c r="B82" s="11" t="s">
        <v>698</v>
      </c>
      <c r="C82" s="11" t="s">
        <v>1348</v>
      </c>
      <c r="D82" s="11" t="s">
        <v>120</v>
      </c>
      <c r="E82" s="11" t="s">
        <v>985</v>
      </c>
      <c r="F82" s="11" t="s">
        <v>603</v>
      </c>
      <c r="G82" s="12" t="str">
        <f>IFERROR(VLOOKUP(F82, DADOS_RM_EVENTOS_original!A:B, 2, FALSE), "Código não encontrado/Não digitado")</f>
        <v>2ª Parcela 13º Salario</v>
      </c>
      <c r="H82" s="12" t="s">
        <v>68</v>
      </c>
      <c r="I82" s="12" t="str">
        <f>IFERROR(VLOOKUP(H82, DADOS_RM_EVENTOS_original!C:D, 2, FALSE), "Código não encontrado/Não digitado")</f>
        <v>Código não encontrado/Não digitado</v>
      </c>
      <c r="J82" s="12" t="s">
        <v>68</v>
      </c>
      <c r="K82" s="12" t="str">
        <f>IFERROR(VLOOKUP(J82, DADOS_RM_EVENTOS_original!E:J, 2, FALSE), "Código não encontrado/Não digitado")</f>
        <v>Código não encontrado/Não digitado</v>
      </c>
      <c r="L82" s="12" t="s">
        <v>68</v>
      </c>
      <c r="M82" s="12" t="str">
        <f>IFERROR(VLOOKUP(L82, DADOS_RM_EVENTOS_original!K:L, 2, FALSE), "Código não encontrado/Não digitado")</f>
        <v>Código não encontrado/Não digitado</v>
      </c>
    </row>
    <row r="83" ht="15.75" hidden="1" customHeight="1">
      <c r="A83" s="11" t="s">
        <v>199</v>
      </c>
      <c r="B83" s="11" t="s">
        <v>698</v>
      </c>
      <c r="C83" s="11" t="s">
        <v>1348</v>
      </c>
      <c r="D83" s="11" t="s">
        <v>120</v>
      </c>
      <c r="E83" s="11" t="s">
        <v>1074</v>
      </c>
      <c r="F83" s="11" t="s">
        <v>603</v>
      </c>
      <c r="G83" s="12" t="str">
        <f>IFERROR(VLOOKUP(F83, DADOS_RM_EVENTOS_original!A:B, 2, FALSE), "Código não encontrado/Não digitado")</f>
        <v>2ª Parcela 13º Salario</v>
      </c>
      <c r="H83" s="12" t="s">
        <v>68</v>
      </c>
      <c r="I83" s="12" t="str">
        <f>IFERROR(VLOOKUP(H83, DADOS_RM_EVENTOS_original!C:D, 2, FALSE), "Código não encontrado/Não digitado")</f>
        <v>Código não encontrado/Não digitado</v>
      </c>
      <c r="J83" s="12" t="s">
        <v>68</v>
      </c>
      <c r="K83" s="12" t="str">
        <f>IFERROR(VLOOKUP(J83, DADOS_RM_EVENTOS_original!E:J, 2, FALSE), "Código não encontrado/Não digitado")</f>
        <v>Código não encontrado/Não digitado</v>
      </c>
      <c r="L83" s="12" t="s">
        <v>68</v>
      </c>
      <c r="M83" s="12" t="str">
        <f>IFERROR(VLOOKUP(L83, DADOS_RM_EVENTOS_original!K:L, 2, FALSE), "Código não encontrado/Não digitado")</f>
        <v>Código não encontrado/Não digitado</v>
      </c>
    </row>
    <row r="84" ht="15.75" hidden="1" customHeight="1">
      <c r="A84" s="11" t="s">
        <v>38</v>
      </c>
      <c r="B84" s="11" t="s">
        <v>1390</v>
      </c>
      <c r="C84" s="11" t="s">
        <v>1391</v>
      </c>
      <c r="D84" s="11" t="s">
        <v>120</v>
      </c>
      <c r="E84" s="11" t="s">
        <v>47</v>
      </c>
      <c r="F84" s="11" t="s">
        <v>422</v>
      </c>
      <c r="G84" s="12" t="str">
        <f>IFERROR(VLOOKUP(F84, DADOS_RM_EVENTOS_original!A:B, 2, FALSE), "Código não encontrado/Não digitado")</f>
        <v>13º Salario Indenizado</v>
      </c>
      <c r="H84" s="12" t="s">
        <v>68</v>
      </c>
      <c r="I84" s="12" t="str">
        <f>IFERROR(VLOOKUP(H84, DADOS_RM_EVENTOS_original!C:D, 2, FALSE), "Código não encontrado/Não digitado")</f>
        <v>Código não encontrado/Não digitado</v>
      </c>
      <c r="J84" s="12" t="s">
        <v>68</v>
      </c>
      <c r="K84" s="12" t="str">
        <f>IFERROR(VLOOKUP(J84, DADOS_RM_EVENTOS_original!E:J, 2, FALSE), "Código não encontrado/Não digitado")</f>
        <v>Código não encontrado/Não digitado</v>
      </c>
      <c r="L84" s="12" t="s">
        <v>68</v>
      </c>
      <c r="M84" s="12" t="str">
        <f>IFERROR(VLOOKUP(L84, DADOS_RM_EVENTOS_original!K:L, 2, FALSE), "Código não encontrado/Não digitado")</f>
        <v>Código não encontrado/Não digitado</v>
      </c>
    </row>
    <row r="85" ht="15.75" hidden="1" customHeight="1">
      <c r="A85" s="11" t="s">
        <v>38</v>
      </c>
      <c r="B85" s="11" t="s">
        <v>1126</v>
      </c>
      <c r="C85" s="11" t="s">
        <v>1402</v>
      </c>
      <c r="D85" s="11" t="s">
        <v>120</v>
      </c>
      <c r="E85" s="11" t="s">
        <v>47</v>
      </c>
      <c r="F85" s="11" t="s">
        <v>422</v>
      </c>
      <c r="G85" s="12" t="str">
        <f>IFERROR(VLOOKUP(F85, DADOS_RM_EVENTOS_original!A:B, 2, FALSE), "Código não encontrado/Não digitado")</f>
        <v>13º Salario Indenizado</v>
      </c>
      <c r="H85" s="12" t="s">
        <v>68</v>
      </c>
      <c r="I85" s="12" t="str">
        <f>IFERROR(VLOOKUP(H85, DADOS_RM_EVENTOS_original!C:D, 2, FALSE), "Código não encontrado/Não digitado")</f>
        <v>Código não encontrado/Não digitado</v>
      </c>
      <c r="J85" s="12" t="s">
        <v>68</v>
      </c>
      <c r="K85" s="12" t="str">
        <f>IFERROR(VLOOKUP(J85, DADOS_RM_EVENTOS_original!E:J, 2, FALSE), "Código não encontrado/Não digitado")</f>
        <v>Código não encontrado/Não digitado</v>
      </c>
      <c r="L85" s="12" t="s">
        <v>68</v>
      </c>
      <c r="M85" s="12" t="str">
        <f>IFERROR(VLOOKUP(L85, DADOS_RM_EVENTOS_original!K:L, 2, FALSE), "Código não encontrado/Não digitado")</f>
        <v>Código não encontrado/Não digitado</v>
      </c>
    </row>
    <row r="86" ht="15.75" hidden="1" customHeight="1">
      <c r="A86" s="11" t="s">
        <v>115</v>
      </c>
      <c r="B86" s="11" t="s">
        <v>1126</v>
      </c>
      <c r="C86" s="11" t="s">
        <v>1402</v>
      </c>
      <c r="D86" s="11" t="s">
        <v>120</v>
      </c>
      <c r="E86" s="11" t="s">
        <v>121</v>
      </c>
      <c r="F86" s="11" t="s">
        <v>422</v>
      </c>
      <c r="G86" s="12" t="str">
        <f>IFERROR(VLOOKUP(F86, DADOS_RM_EVENTOS_original!A:B, 2, FALSE), "Código não encontrado/Não digitado")</f>
        <v>13º Salario Indenizado</v>
      </c>
      <c r="H86" s="12" t="s">
        <v>68</v>
      </c>
      <c r="I86" s="12" t="str">
        <f>IFERROR(VLOOKUP(H86, DADOS_RM_EVENTOS_original!C:D, 2, FALSE), "Código não encontrado/Não digitado")</f>
        <v>Código não encontrado/Não digitado</v>
      </c>
      <c r="J86" s="12" t="s">
        <v>68</v>
      </c>
      <c r="K86" s="12" t="str">
        <f>IFERROR(VLOOKUP(J86, DADOS_RM_EVENTOS_original!E:J, 2, FALSE), "Código não encontrado/Não digitado")</f>
        <v>Código não encontrado/Não digitado</v>
      </c>
      <c r="L86" s="12" t="s">
        <v>68</v>
      </c>
      <c r="M86" s="12" t="str">
        <f>IFERROR(VLOOKUP(L86, DADOS_RM_EVENTOS_original!K:L, 2, FALSE), "Código não encontrado/Não digitado")</f>
        <v>Código não encontrado/Não digitado</v>
      </c>
    </row>
    <row r="87" ht="15.75" hidden="1" customHeight="1">
      <c r="A87" s="11" t="s">
        <v>172</v>
      </c>
      <c r="B87" s="11" t="s">
        <v>1126</v>
      </c>
      <c r="C87" s="11" t="s">
        <v>1423</v>
      </c>
      <c r="D87" s="11" t="s">
        <v>120</v>
      </c>
      <c r="E87" s="11" t="s">
        <v>1029</v>
      </c>
      <c r="F87" s="11" t="s">
        <v>422</v>
      </c>
      <c r="G87" s="12" t="str">
        <f>IFERROR(VLOOKUP(F87, DADOS_RM_EVENTOS_original!A:B, 2, FALSE), "Código não encontrado/Não digitado")</f>
        <v>13º Salario Indenizado</v>
      </c>
      <c r="H87" s="12" t="s">
        <v>68</v>
      </c>
      <c r="I87" s="12" t="str">
        <f>IFERROR(VLOOKUP(H87, DADOS_RM_EVENTOS_original!C:D, 2, FALSE), "Código não encontrado/Não digitado")</f>
        <v>Código não encontrado/Não digitado</v>
      </c>
      <c r="J87" s="12" t="s">
        <v>68</v>
      </c>
      <c r="K87" s="12" t="str">
        <f>IFERROR(VLOOKUP(J87, DADOS_RM_EVENTOS_original!E:J, 2, FALSE), "Código não encontrado/Não digitado")</f>
        <v>Código não encontrado/Não digitado</v>
      </c>
      <c r="L87" s="12" t="s">
        <v>68</v>
      </c>
      <c r="M87" s="12" t="str">
        <f>IFERROR(VLOOKUP(L87, DADOS_RM_EVENTOS_original!K:L, 2, FALSE), "Código não encontrado/Não digitado")</f>
        <v>Código não encontrado/Não digitado</v>
      </c>
    </row>
    <row r="88" ht="15.75" hidden="1" customHeight="1">
      <c r="A88" s="11" t="s">
        <v>97</v>
      </c>
      <c r="B88" s="11" t="s">
        <v>1126</v>
      </c>
      <c r="C88" s="11" t="s">
        <v>1423</v>
      </c>
      <c r="D88" s="11" t="s">
        <v>120</v>
      </c>
      <c r="E88" s="11" t="s">
        <v>972</v>
      </c>
      <c r="F88" s="11" t="s">
        <v>422</v>
      </c>
      <c r="G88" s="12" t="str">
        <f>IFERROR(VLOOKUP(F88, DADOS_RM_EVENTOS_original!A:B, 2, FALSE), "Código não encontrado/Não digitado")</f>
        <v>13º Salario Indenizado</v>
      </c>
      <c r="H88" s="12" t="s">
        <v>68</v>
      </c>
      <c r="I88" s="12" t="str">
        <f>IFERROR(VLOOKUP(H88, DADOS_RM_EVENTOS_original!C:D, 2, FALSE), "Código não encontrado/Não digitado")</f>
        <v>Código não encontrado/Não digitado</v>
      </c>
      <c r="J88" s="12" t="s">
        <v>68</v>
      </c>
      <c r="K88" s="12" t="str">
        <f>IFERROR(VLOOKUP(J88, DADOS_RM_EVENTOS_original!E:J, 2, FALSE), "Código não encontrado/Não digitado")</f>
        <v>Código não encontrado/Não digitado</v>
      </c>
      <c r="L88" s="12" t="s">
        <v>68</v>
      </c>
      <c r="M88" s="12" t="str">
        <f>IFERROR(VLOOKUP(L88, DADOS_RM_EVENTOS_original!K:L, 2, FALSE), "Código não encontrado/Não digitado")</f>
        <v>Código não encontrado/Não digitado</v>
      </c>
    </row>
    <row r="89" ht="15.75" hidden="1" customHeight="1">
      <c r="A89" s="11" t="s">
        <v>142</v>
      </c>
      <c r="B89" s="11" t="s">
        <v>1126</v>
      </c>
      <c r="C89" s="11" t="s">
        <v>1423</v>
      </c>
      <c r="D89" s="11" t="s">
        <v>120</v>
      </c>
      <c r="E89" s="11" t="s">
        <v>985</v>
      </c>
      <c r="F89" s="11" t="s">
        <v>422</v>
      </c>
      <c r="G89" s="12" t="str">
        <f>IFERROR(VLOOKUP(F89, DADOS_RM_EVENTOS_original!A:B, 2, FALSE), "Código não encontrado/Não digitado")</f>
        <v>13º Salario Indenizado</v>
      </c>
      <c r="H89" s="12" t="s">
        <v>68</v>
      </c>
      <c r="I89" s="12" t="str">
        <f>IFERROR(VLOOKUP(H89, DADOS_RM_EVENTOS_original!C:D, 2, FALSE), "Código não encontrado/Não digitado")</f>
        <v>Código não encontrado/Não digitado</v>
      </c>
      <c r="J89" s="12" t="s">
        <v>68</v>
      </c>
      <c r="K89" s="12" t="str">
        <f>IFERROR(VLOOKUP(J89, DADOS_RM_EVENTOS_original!E:J, 2, FALSE), "Código não encontrado/Não digitado")</f>
        <v>Código não encontrado/Não digitado</v>
      </c>
      <c r="L89" s="12" t="s">
        <v>68</v>
      </c>
      <c r="M89" s="12" t="str">
        <f>IFERROR(VLOOKUP(L89, DADOS_RM_EVENTOS_original!K:L, 2, FALSE), "Código não encontrado/Não digitado")</f>
        <v>Código não encontrado/Não digitado</v>
      </c>
    </row>
    <row r="90" ht="15.75" hidden="1" customHeight="1">
      <c r="A90" s="11" t="s">
        <v>38</v>
      </c>
      <c r="B90" s="11" t="s">
        <v>857</v>
      </c>
      <c r="C90" s="11" t="s">
        <v>1459</v>
      </c>
      <c r="D90" s="11" t="s">
        <v>120</v>
      </c>
      <c r="E90" s="11" t="s">
        <v>47</v>
      </c>
      <c r="F90" s="11" t="s">
        <v>329</v>
      </c>
      <c r="G90" s="12" t="str">
        <f>IFERROR(VLOOKUP(F90, DADOS_RM_EVENTOS_original!A:B, 2, FALSE), "Código não encontrado/Não digitado")</f>
        <v>13º Salario Rescisao</v>
      </c>
      <c r="H90" s="12" t="s">
        <v>68</v>
      </c>
      <c r="I90" s="12" t="str">
        <f>IFERROR(VLOOKUP(H90, DADOS_RM_EVENTOS_original!C:D, 2, FALSE), "Código não encontrado/Não digitado")</f>
        <v>Código não encontrado/Não digitado</v>
      </c>
      <c r="J90" s="12" t="s">
        <v>68</v>
      </c>
      <c r="K90" s="12" t="str">
        <f>IFERROR(VLOOKUP(J90, DADOS_RM_EVENTOS_original!E:J, 2, FALSE), "Código não encontrado/Não digitado")</f>
        <v>Código não encontrado/Não digitado</v>
      </c>
      <c r="L90" s="12" t="s">
        <v>68</v>
      </c>
      <c r="M90" s="12" t="str">
        <f>IFERROR(VLOOKUP(L90, DADOS_RM_EVENTOS_original!K:L, 2, FALSE), "Código não encontrado/Não digitado")</f>
        <v>Código não encontrado/Não digitado</v>
      </c>
    </row>
    <row r="91" ht="15.75" hidden="1" customHeight="1">
      <c r="A91" s="11" t="s">
        <v>115</v>
      </c>
      <c r="B91" s="11" t="s">
        <v>857</v>
      </c>
      <c r="C91" s="11" t="s">
        <v>1459</v>
      </c>
      <c r="D91" s="11" t="s">
        <v>120</v>
      </c>
      <c r="E91" s="11" t="s">
        <v>121</v>
      </c>
      <c r="F91" s="11" t="s">
        <v>329</v>
      </c>
      <c r="G91" s="12" t="str">
        <f>IFERROR(VLOOKUP(F91, DADOS_RM_EVENTOS_original!A:B, 2, FALSE), "Código não encontrado/Não digitado")</f>
        <v>13º Salario Rescisao</v>
      </c>
      <c r="H91" s="12" t="s">
        <v>68</v>
      </c>
      <c r="I91" s="12" t="str">
        <f>IFERROR(VLOOKUP(H91, DADOS_RM_EVENTOS_original!C:D, 2, FALSE), "Código não encontrado/Não digitado")</f>
        <v>Código não encontrado/Não digitado</v>
      </c>
      <c r="J91" s="12" t="s">
        <v>68</v>
      </c>
      <c r="K91" s="12" t="str">
        <f>IFERROR(VLOOKUP(J91, DADOS_RM_EVENTOS_original!E:J, 2, FALSE), "Código não encontrado/Não digitado")</f>
        <v>Código não encontrado/Não digitado</v>
      </c>
      <c r="L91" s="12" t="s">
        <v>68</v>
      </c>
      <c r="M91" s="12" t="str">
        <f>IFERROR(VLOOKUP(L91, DADOS_RM_EVENTOS_original!K:L, 2, FALSE), "Código não encontrado/Não digitado")</f>
        <v>Código não encontrado/Não digitado</v>
      </c>
    </row>
    <row r="92" ht="15.75" hidden="1" customHeight="1">
      <c r="A92" s="11" t="s">
        <v>172</v>
      </c>
      <c r="B92" s="11" t="s">
        <v>857</v>
      </c>
      <c r="C92" s="11" t="s">
        <v>1483</v>
      </c>
      <c r="D92" s="11" t="s">
        <v>120</v>
      </c>
      <c r="E92" s="11" t="s">
        <v>1029</v>
      </c>
      <c r="F92" s="11" t="s">
        <v>329</v>
      </c>
      <c r="G92" s="12" t="str">
        <f>IFERROR(VLOOKUP(F92, DADOS_RM_EVENTOS_original!A:B, 2, FALSE), "Código não encontrado/Não digitado")</f>
        <v>13º Salario Rescisao</v>
      </c>
      <c r="H92" s="12" t="s">
        <v>68</v>
      </c>
      <c r="I92" s="12" t="str">
        <f>IFERROR(VLOOKUP(H92, DADOS_RM_EVENTOS_original!C:D, 2, FALSE), "Código não encontrado/Não digitado")</f>
        <v>Código não encontrado/Não digitado</v>
      </c>
      <c r="J92" s="12" t="s">
        <v>68</v>
      </c>
      <c r="K92" s="12" t="str">
        <f>IFERROR(VLOOKUP(J92, DADOS_RM_EVENTOS_original!E:J, 2, FALSE), "Código não encontrado/Não digitado")</f>
        <v>Código não encontrado/Não digitado</v>
      </c>
      <c r="L92" s="12" t="s">
        <v>68</v>
      </c>
      <c r="M92" s="12" t="str">
        <f>IFERROR(VLOOKUP(L92, DADOS_RM_EVENTOS_original!K:L, 2, FALSE), "Código não encontrado/Não digitado")</f>
        <v>Código não encontrado/Não digitado</v>
      </c>
    </row>
    <row r="93" ht="15.75" hidden="1" customHeight="1">
      <c r="A93" s="11" t="s">
        <v>97</v>
      </c>
      <c r="B93" s="11" t="s">
        <v>857</v>
      </c>
      <c r="C93" s="11" t="s">
        <v>1483</v>
      </c>
      <c r="D93" s="11" t="s">
        <v>120</v>
      </c>
      <c r="E93" s="11" t="s">
        <v>972</v>
      </c>
      <c r="F93" s="11" t="s">
        <v>329</v>
      </c>
      <c r="G93" s="12" t="str">
        <f>IFERROR(VLOOKUP(F93, DADOS_RM_EVENTOS_original!A:B, 2, FALSE), "Código não encontrado/Não digitado")</f>
        <v>13º Salario Rescisao</v>
      </c>
      <c r="H93" s="12" t="s">
        <v>68</v>
      </c>
      <c r="I93" s="12" t="str">
        <f>IFERROR(VLOOKUP(H93, DADOS_RM_EVENTOS_original!C:D, 2, FALSE), "Código não encontrado/Não digitado")</f>
        <v>Código não encontrado/Não digitado</v>
      </c>
      <c r="J93" s="12" t="s">
        <v>68</v>
      </c>
      <c r="K93" s="12" t="str">
        <f>IFERROR(VLOOKUP(J93, DADOS_RM_EVENTOS_original!E:J, 2, FALSE), "Código não encontrado/Não digitado")</f>
        <v>Código não encontrado/Não digitado</v>
      </c>
      <c r="L93" s="12" t="s">
        <v>68</v>
      </c>
      <c r="M93" s="12" t="str">
        <f>IFERROR(VLOOKUP(L93, DADOS_RM_EVENTOS_original!K:L, 2, FALSE), "Código não encontrado/Não digitado")</f>
        <v>Código não encontrado/Não digitado</v>
      </c>
    </row>
    <row r="94" ht="15.75" hidden="1" customHeight="1">
      <c r="A94" s="11" t="s">
        <v>142</v>
      </c>
      <c r="B94" s="11" t="s">
        <v>857</v>
      </c>
      <c r="C94" s="11" t="s">
        <v>1483</v>
      </c>
      <c r="D94" s="11" t="s">
        <v>120</v>
      </c>
      <c r="E94" s="11" t="s">
        <v>985</v>
      </c>
      <c r="F94" s="11" t="s">
        <v>329</v>
      </c>
      <c r="G94" s="12" t="str">
        <f>IFERROR(VLOOKUP(F94, DADOS_RM_EVENTOS_original!A:B, 2, FALSE), "Código não encontrado/Não digitado")</f>
        <v>13º Salario Rescisao</v>
      </c>
      <c r="H94" s="12" t="s">
        <v>68</v>
      </c>
      <c r="I94" s="12" t="str">
        <f>IFERROR(VLOOKUP(H94, DADOS_RM_EVENTOS_original!C:D, 2, FALSE), "Código não encontrado/Não digitado")</f>
        <v>Código não encontrado/Não digitado</v>
      </c>
      <c r="J94" s="12" t="s">
        <v>68</v>
      </c>
      <c r="K94" s="12" t="str">
        <f>IFERROR(VLOOKUP(J94, DADOS_RM_EVENTOS_original!E:J, 2, FALSE), "Código não encontrado/Não digitado")</f>
        <v>Código não encontrado/Não digitado</v>
      </c>
      <c r="L94" s="12" t="s">
        <v>68</v>
      </c>
      <c r="M94" s="12" t="str">
        <f>IFERROR(VLOOKUP(L94, DADOS_RM_EVENTOS_original!K:L, 2, FALSE), "Código não encontrado/Não digitado")</f>
        <v>Código não encontrado/Não digitado</v>
      </c>
    </row>
    <row r="95" ht="15.75" hidden="1" customHeight="1">
      <c r="A95" s="11" t="s">
        <v>199</v>
      </c>
      <c r="B95" s="11" t="s">
        <v>857</v>
      </c>
      <c r="C95" s="11" t="s">
        <v>1483</v>
      </c>
      <c r="D95" s="11" t="s">
        <v>120</v>
      </c>
      <c r="E95" s="11" t="s">
        <v>1074</v>
      </c>
      <c r="F95" s="11" t="s">
        <v>329</v>
      </c>
      <c r="G95" s="12" t="str">
        <f>IFERROR(VLOOKUP(F95, DADOS_RM_EVENTOS_original!A:B, 2, FALSE), "Código não encontrado/Não digitado")</f>
        <v>13º Salario Rescisao</v>
      </c>
      <c r="H95" s="12" t="s">
        <v>68</v>
      </c>
      <c r="I95" s="12" t="str">
        <f>IFERROR(VLOOKUP(H95, DADOS_RM_EVENTOS_original!C:D, 2, FALSE), "Código não encontrado/Não digitado")</f>
        <v>Código não encontrado/Não digitado</v>
      </c>
      <c r="J95" s="12" t="s">
        <v>68</v>
      </c>
      <c r="K95" s="12" t="str">
        <f>IFERROR(VLOOKUP(J95, DADOS_RM_EVENTOS_original!E:J, 2, FALSE), "Código não encontrado/Não digitado")</f>
        <v>Código não encontrado/Não digitado</v>
      </c>
      <c r="L95" s="12" t="s">
        <v>68</v>
      </c>
      <c r="M95" s="12" t="str">
        <f>IFERROR(VLOOKUP(L95, DADOS_RM_EVENTOS_original!K:L, 2, FALSE), "Código não encontrado/Não digitado")</f>
        <v>Código não encontrado/Não digitado</v>
      </c>
    </row>
    <row r="96" ht="15.75" customHeight="1">
      <c r="A96" s="11" t="s">
        <v>38</v>
      </c>
      <c r="B96" s="11" t="s">
        <v>984</v>
      </c>
      <c r="C96" s="11" t="s">
        <v>1542</v>
      </c>
      <c r="D96" s="11" t="s">
        <v>44</v>
      </c>
      <c r="E96" s="11" t="s">
        <v>47</v>
      </c>
      <c r="F96" s="11" t="s">
        <v>49</v>
      </c>
      <c r="G96" s="12" t="str">
        <f>IFERROR(VLOOKUP(F96, DADOS_RM_EVENTOS_original!A:B, 2, FALSE), "Código não encontrado/Não digitado")</f>
        <v>Código não encontrado/Não digitado</v>
      </c>
      <c r="H96" s="12" t="s">
        <v>68</v>
      </c>
      <c r="I96" s="12" t="str">
        <f>IFERROR(VLOOKUP(H96, DADOS_RM_EVENTOS_original!C:D, 2, FALSE), "Código não encontrado/Não digitado")</f>
        <v>Código não encontrado/Não digitado</v>
      </c>
      <c r="J96" s="12" t="s">
        <v>68</v>
      </c>
      <c r="K96" s="12" t="str">
        <f>IFERROR(VLOOKUP(J96, DADOS_RM_EVENTOS_original!E:J, 2, FALSE), "Código não encontrado/Não digitado")</f>
        <v>Código não encontrado/Não digitado</v>
      </c>
      <c r="L96" s="12" t="s">
        <v>68</v>
      </c>
      <c r="M96" s="12" t="str">
        <f>IFERROR(VLOOKUP(L96, DADOS_RM_EVENTOS_original!K:L, 2, FALSE), "Código não encontrado/Não digitado")</f>
        <v>Código não encontrado/Não digitado</v>
      </c>
    </row>
    <row r="97" ht="15.75" customHeight="1">
      <c r="A97" s="11" t="s">
        <v>172</v>
      </c>
      <c r="B97" s="11" t="s">
        <v>984</v>
      </c>
      <c r="C97" s="11" t="s">
        <v>1555</v>
      </c>
      <c r="D97" s="11" t="s">
        <v>44</v>
      </c>
      <c r="E97" s="11" t="s">
        <v>1029</v>
      </c>
      <c r="F97" s="11" t="s">
        <v>49</v>
      </c>
      <c r="G97" s="12" t="str">
        <f>IFERROR(VLOOKUP(F97, DADOS_RM_EVENTOS_original!A:B, 2, FALSE), "Código não encontrado/Não digitado")</f>
        <v>Código não encontrado/Não digitado</v>
      </c>
      <c r="H97" s="12" t="s">
        <v>68</v>
      </c>
      <c r="I97" s="12" t="str">
        <f>IFERROR(VLOOKUP(H97, DADOS_RM_EVENTOS_original!C:D, 2, FALSE), "Código não encontrado/Não digitado")</f>
        <v>Código não encontrado/Não digitado</v>
      </c>
      <c r="J97" s="12" t="s">
        <v>68</v>
      </c>
      <c r="K97" s="12" t="str">
        <f>IFERROR(VLOOKUP(J97, DADOS_RM_EVENTOS_original!E:J, 2, FALSE), "Código não encontrado/Não digitado")</f>
        <v>Código não encontrado/Não digitado</v>
      </c>
      <c r="L97" s="12" t="s">
        <v>68</v>
      </c>
      <c r="M97" s="12" t="str">
        <f>IFERROR(VLOOKUP(L97, DADOS_RM_EVENTOS_original!K:L, 2, FALSE), "Código não encontrado/Não digitado")</f>
        <v>Código não encontrado/Não digitado</v>
      </c>
    </row>
    <row r="98" ht="15.75" customHeight="1">
      <c r="A98" s="11" t="s">
        <v>97</v>
      </c>
      <c r="B98" s="11" t="s">
        <v>984</v>
      </c>
      <c r="C98" s="11" t="s">
        <v>1555</v>
      </c>
      <c r="D98" s="11" t="s">
        <v>44</v>
      </c>
      <c r="E98" s="11" t="s">
        <v>972</v>
      </c>
      <c r="F98" s="11" t="s">
        <v>49</v>
      </c>
      <c r="G98" s="12" t="str">
        <f>IFERROR(VLOOKUP(F98, DADOS_RM_EVENTOS_original!A:B, 2, FALSE), "Código não encontrado/Não digitado")</f>
        <v>Código não encontrado/Não digitado</v>
      </c>
      <c r="H98" s="12" t="s">
        <v>68</v>
      </c>
      <c r="I98" s="12" t="str">
        <f>IFERROR(VLOOKUP(H98, DADOS_RM_EVENTOS_original!C:D, 2, FALSE), "Código não encontrado/Não digitado")</f>
        <v>Código não encontrado/Não digitado</v>
      </c>
      <c r="J98" s="12" t="s">
        <v>68</v>
      </c>
      <c r="K98" s="12" t="str">
        <f>IFERROR(VLOOKUP(J98, DADOS_RM_EVENTOS_original!E:J, 2, FALSE), "Código não encontrado/Não digitado")</f>
        <v>Código não encontrado/Não digitado</v>
      </c>
      <c r="L98" s="12" t="s">
        <v>68</v>
      </c>
      <c r="M98" s="12" t="str">
        <f>IFERROR(VLOOKUP(L98, DADOS_RM_EVENTOS_original!K:L, 2, FALSE), "Código não encontrado/Não digitado")</f>
        <v>Código não encontrado/Não digitado</v>
      </c>
    </row>
    <row r="99" ht="15.75" customHeight="1">
      <c r="A99" s="11" t="s">
        <v>38</v>
      </c>
      <c r="B99" s="11" t="s">
        <v>970</v>
      </c>
      <c r="C99" s="11" t="s">
        <v>1577</v>
      </c>
      <c r="D99" s="11" t="s">
        <v>44</v>
      </c>
      <c r="E99" s="11" t="s">
        <v>47</v>
      </c>
      <c r="F99" s="11" t="s">
        <v>49</v>
      </c>
      <c r="G99" s="12" t="str">
        <f>IFERROR(VLOOKUP(F99, DADOS_RM_EVENTOS_original!A:B, 2, FALSE), "Código não encontrado/Não digitado")</f>
        <v>Código não encontrado/Não digitado</v>
      </c>
      <c r="H99" s="12" t="s">
        <v>68</v>
      </c>
      <c r="I99" s="12" t="str">
        <f>IFERROR(VLOOKUP(H99, DADOS_RM_EVENTOS_original!C:D, 2, FALSE), "Código não encontrado/Não digitado")</f>
        <v>Código não encontrado/Não digitado</v>
      </c>
      <c r="J99" s="12" t="s">
        <v>68</v>
      </c>
      <c r="K99" s="12" t="str">
        <f>IFERROR(VLOOKUP(J99, DADOS_RM_EVENTOS_original!E:J, 2, FALSE), "Código não encontrado/Não digitado")</f>
        <v>Código não encontrado/Não digitado</v>
      </c>
      <c r="L99" s="12" t="s">
        <v>68</v>
      </c>
      <c r="M99" s="12" t="str">
        <f>IFERROR(VLOOKUP(L99, DADOS_RM_EVENTOS_original!K:L, 2, FALSE), "Código não encontrado/Não digitado")</f>
        <v>Código não encontrado/Não digitado</v>
      </c>
    </row>
    <row r="100" ht="15.75" hidden="1" customHeight="1">
      <c r="A100" s="11" t="s">
        <v>172</v>
      </c>
      <c r="B100" s="11" t="s">
        <v>1221</v>
      </c>
      <c r="C100" s="11" t="s">
        <v>1595</v>
      </c>
      <c r="D100" s="11" t="s">
        <v>44</v>
      </c>
      <c r="E100" s="11" t="s">
        <v>1029</v>
      </c>
      <c r="F100" s="11" t="s">
        <v>259</v>
      </c>
      <c r="G100" s="12" t="str">
        <f>IFERROR(VLOOKUP(F100, DADOS_RM_EVENTOS_original!A:B, 2, FALSE), "Código não encontrado/Não digitado")</f>
        <v>Desc. 2a via PASSCARD</v>
      </c>
      <c r="H100" s="12" t="s">
        <v>68</v>
      </c>
      <c r="I100" s="12" t="str">
        <f>IFERROR(VLOOKUP(H100, DADOS_RM_EVENTOS_original!C:D, 2, FALSE), "Código não encontrado/Não digitado")</f>
        <v>Código não encontrado/Não digitado</v>
      </c>
      <c r="J100" s="12" t="s">
        <v>68</v>
      </c>
      <c r="K100" s="12" t="str">
        <f>IFERROR(VLOOKUP(J100, DADOS_RM_EVENTOS_original!E:J, 2, FALSE), "Código não encontrado/Não digitado")</f>
        <v>Código não encontrado/Não digitado</v>
      </c>
      <c r="L100" s="12" t="s">
        <v>68</v>
      </c>
      <c r="M100" s="12" t="str">
        <f>IFERROR(VLOOKUP(L100, DADOS_RM_EVENTOS_original!K:L, 2, FALSE), "Código não encontrado/Não digitado")</f>
        <v>Código não encontrado/Não digitado</v>
      </c>
    </row>
    <row r="101" ht="15.75" hidden="1" customHeight="1">
      <c r="A101" s="11" t="s">
        <v>38</v>
      </c>
      <c r="B101" s="11" t="s">
        <v>781</v>
      </c>
      <c r="C101" s="11" t="s">
        <v>1608</v>
      </c>
      <c r="D101" s="11" t="s">
        <v>44</v>
      </c>
      <c r="E101" s="11" t="s">
        <v>47</v>
      </c>
      <c r="F101" s="11" t="s">
        <v>259</v>
      </c>
      <c r="G101" s="12" t="str">
        <f>IFERROR(VLOOKUP(F101, DADOS_RM_EVENTOS_original!A:B, 2, FALSE), "Código não encontrado/Não digitado")</f>
        <v>Desc. 2a via PASSCARD</v>
      </c>
      <c r="H101" s="12" t="s">
        <v>68</v>
      </c>
      <c r="I101" s="12" t="str">
        <f>IFERROR(VLOOKUP(H101, DADOS_RM_EVENTOS_original!C:D, 2, FALSE), "Código não encontrado/Não digitado")</f>
        <v>Código não encontrado/Não digitado</v>
      </c>
      <c r="J101" s="12" t="s">
        <v>68</v>
      </c>
      <c r="K101" s="12" t="str">
        <f>IFERROR(VLOOKUP(J101, DADOS_RM_EVENTOS_original!E:J, 2, FALSE), "Código não encontrado/Não digitado")</f>
        <v>Código não encontrado/Não digitado</v>
      </c>
      <c r="L101" s="12" t="s">
        <v>68</v>
      </c>
      <c r="M101" s="12" t="str">
        <f>IFERROR(VLOOKUP(L101, DADOS_RM_EVENTOS_original!K:L, 2, FALSE), "Código não encontrado/Não digitado")</f>
        <v>Código não encontrado/Não digitado</v>
      </c>
    </row>
    <row r="102" ht="15.75" hidden="1" customHeight="1">
      <c r="A102" s="11" t="s">
        <v>38</v>
      </c>
      <c r="B102" s="11" t="s">
        <v>560</v>
      </c>
      <c r="C102" s="11" t="s">
        <v>1620</v>
      </c>
      <c r="D102" s="11" t="s">
        <v>120</v>
      </c>
      <c r="E102" s="11" t="s">
        <v>47</v>
      </c>
      <c r="F102" s="11" t="s">
        <v>289</v>
      </c>
      <c r="G102" s="12" t="str">
        <f>IFERROR(VLOOKUP(F102, DADOS_RM_EVENTOS_original!A:B, 2, FALSE), "Código não encontrado/Não digitado")</f>
        <v>Abono de Ferias</v>
      </c>
      <c r="H102" s="12" t="s">
        <v>68</v>
      </c>
      <c r="I102" s="12" t="str">
        <f>IFERROR(VLOOKUP(H102, DADOS_RM_EVENTOS_original!C:D, 2, FALSE), "Código não encontrado/Não digitado")</f>
        <v>Código não encontrado/Não digitado</v>
      </c>
      <c r="J102" s="12" t="s">
        <v>68</v>
      </c>
      <c r="K102" s="12" t="str">
        <f>IFERROR(VLOOKUP(J102, DADOS_RM_EVENTOS_original!E:J, 2, FALSE), "Código não encontrado/Não digitado")</f>
        <v>Código não encontrado/Não digitado</v>
      </c>
      <c r="L102" s="12" t="s">
        <v>68</v>
      </c>
      <c r="M102" s="12" t="str">
        <f>IFERROR(VLOOKUP(L102, DADOS_RM_EVENTOS_original!K:L, 2, FALSE), "Código não encontrado/Não digitado")</f>
        <v>Código não encontrado/Não digitado</v>
      </c>
    </row>
    <row r="103" ht="15.75" hidden="1" customHeight="1">
      <c r="A103" s="11" t="s">
        <v>97</v>
      </c>
      <c r="B103" s="11" t="s">
        <v>560</v>
      </c>
      <c r="C103" s="11" t="s">
        <v>1633</v>
      </c>
      <c r="D103" s="11" t="s">
        <v>120</v>
      </c>
      <c r="E103" s="11" t="s">
        <v>972</v>
      </c>
      <c r="F103" s="11" t="s">
        <v>289</v>
      </c>
      <c r="G103" s="12" t="str">
        <f>IFERROR(VLOOKUP(F103, DADOS_RM_EVENTOS_original!A:B, 2, FALSE), "Código não encontrado/Não digitado")</f>
        <v>Abono de Ferias</v>
      </c>
      <c r="H103" s="12" t="s">
        <v>68</v>
      </c>
      <c r="I103" s="12" t="str">
        <f>IFERROR(VLOOKUP(H103, DADOS_RM_EVENTOS_original!C:D, 2, FALSE), "Código não encontrado/Não digitado")</f>
        <v>Código não encontrado/Não digitado</v>
      </c>
      <c r="J103" s="12" t="s">
        <v>68</v>
      </c>
      <c r="K103" s="12" t="str">
        <f>IFERROR(VLOOKUP(J103, DADOS_RM_EVENTOS_original!E:J, 2, FALSE), "Código não encontrado/Não digitado")</f>
        <v>Código não encontrado/Não digitado</v>
      </c>
      <c r="L103" s="12" t="s">
        <v>68</v>
      </c>
      <c r="M103" s="12" t="str">
        <f>IFERROR(VLOOKUP(L103, DADOS_RM_EVENTOS_original!K:L, 2, FALSE), "Código não encontrado/Não digitado")</f>
        <v>Código não encontrado/Não digitado</v>
      </c>
    </row>
    <row r="104" ht="15.75" hidden="1" customHeight="1">
      <c r="A104" s="11" t="s">
        <v>142</v>
      </c>
      <c r="B104" s="11" t="s">
        <v>560</v>
      </c>
      <c r="C104" s="11" t="s">
        <v>1633</v>
      </c>
      <c r="D104" s="11" t="s">
        <v>120</v>
      </c>
      <c r="E104" s="11" t="s">
        <v>985</v>
      </c>
      <c r="F104" s="11" t="s">
        <v>289</v>
      </c>
      <c r="G104" s="12" t="str">
        <f>IFERROR(VLOOKUP(F104, DADOS_RM_EVENTOS_original!A:B, 2, FALSE), "Código não encontrado/Não digitado")</f>
        <v>Abono de Ferias</v>
      </c>
      <c r="H104" s="12" t="s">
        <v>68</v>
      </c>
      <c r="I104" s="12" t="str">
        <f>IFERROR(VLOOKUP(H104, DADOS_RM_EVENTOS_original!C:D, 2, FALSE), "Código não encontrado/Não digitado")</f>
        <v>Código não encontrado/Não digitado</v>
      </c>
      <c r="J104" s="12" t="s">
        <v>68</v>
      </c>
      <c r="K104" s="12" t="str">
        <f>IFERROR(VLOOKUP(J104, DADOS_RM_EVENTOS_original!E:J, 2, FALSE), "Código não encontrado/Não digitado")</f>
        <v>Código não encontrado/Não digitado</v>
      </c>
      <c r="L104" s="12" t="s">
        <v>68</v>
      </c>
      <c r="M104" s="12" t="str">
        <f>IFERROR(VLOOKUP(L104, DADOS_RM_EVENTOS_original!K:L, 2, FALSE), "Código não encontrado/Não digitado")</f>
        <v>Código não encontrado/Não digitado</v>
      </c>
    </row>
    <row r="105" ht="15.75" customHeight="1">
      <c r="A105" s="11" t="s">
        <v>38</v>
      </c>
      <c r="B105" s="11" t="s">
        <v>1638</v>
      </c>
      <c r="C105" s="11" t="s">
        <v>1658</v>
      </c>
      <c r="D105" s="11" t="s">
        <v>44</v>
      </c>
      <c r="E105" s="11" t="s">
        <v>47</v>
      </c>
      <c r="F105" s="11" t="s">
        <v>49</v>
      </c>
      <c r="G105" s="12" t="str">
        <f>IFERROR(VLOOKUP(F105, DADOS_RM_EVENTOS_original!A:B, 2, FALSE), "Código não encontrado/Não digitado")</f>
        <v>Código não encontrado/Não digitado</v>
      </c>
      <c r="H105" s="12" t="s">
        <v>68</v>
      </c>
      <c r="I105" s="12" t="str">
        <f>IFERROR(VLOOKUP(H105, DADOS_RM_EVENTOS_original!C:D, 2, FALSE), "Código não encontrado/Não digitado")</f>
        <v>Código não encontrado/Não digitado</v>
      </c>
      <c r="J105" s="12" t="s">
        <v>68</v>
      </c>
      <c r="K105" s="12" t="str">
        <f>IFERROR(VLOOKUP(J105, DADOS_RM_EVENTOS_original!E:J, 2, FALSE), "Código não encontrado/Não digitado")</f>
        <v>Código não encontrado/Não digitado</v>
      </c>
      <c r="L105" s="12" t="s">
        <v>68</v>
      </c>
      <c r="M105" s="12" t="str">
        <f>IFERROR(VLOOKUP(L105, DADOS_RM_EVENTOS_original!K:L, 2, FALSE), "Código não encontrado/Não digitado")</f>
        <v>Código não encontrado/Não digitado</v>
      </c>
    </row>
    <row r="106" ht="15.75" hidden="1" customHeight="1">
      <c r="A106" s="11" t="s">
        <v>38</v>
      </c>
      <c r="B106" s="11" t="s">
        <v>860</v>
      </c>
      <c r="C106" s="11" t="s">
        <v>1673</v>
      </c>
      <c r="D106" s="11" t="s">
        <v>44</v>
      </c>
      <c r="E106" s="11" t="s">
        <v>47</v>
      </c>
      <c r="F106" s="11" t="s">
        <v>139</v>
      </c>
      <c r="G106" s="12" t="str">
        <f>IFERROR(VLOOKUP(F106, DADOS_RM_EVENTOS_original!A:B, 2, FALSE), "Código não encontrado/Não digitado")</f>
        <v>( - ) Desc. Adiantamento Salarial</v>
      </c>
      <c r="H106" s="12" t="s">
        <v>68</v>
      </c>
      <c r="I106" s="12" t="str">
        <f>IFERROR(VLOOKUP(H106, DADOS_RM_EVENTOS_original!C:D, 2, FALSE), "Código não encontrado/Não digitado")</f>
        <v>Código não encontrado/Não digitado</v>
      </c>
      <c r="J106" s="12" t="s">
        <v>68</v>
      </c>
      <c r="K106" s="12" t="str">
        <f>IFERROR(VLOOKUP(J106, DADOS_RM_EVENTOS_original!E:J, 2, FALSE), "Código não encontrado/Não digitado")</f>
        <v>Código não encontrado/Não digitado</v>
      </c>
      <c r="L106" s="12" t="s">
        <v>68</v>
      </c>
      <c r="M106" s="12" t="str">
        <f>IFERROR(VLOOKUP(L106, DADOS_RM_EVENTOS_original!K:L, 2, FALSE), "Código não encontrado/Não digitado")</f>
        <v>Código não encontrado/Não digitado</v>
      </c>
    </row>
    <row r="107" ht="15.75" hidden="1" customHeight="1">
      <c r="A107" s="11" t="s">
        <v>38</v>
      </c>
      <c r="B107" s="11" t="s">
        <v>16</v>
      </c>
      <c r="C107" s="11" t="s">
        <v>1692</v>
      </c>
      <c r="D107" s="11" t="s">
        <v>120</v>
      </c>
      <c r="E107" s="11" t="s">
        <v>47</v>
      </c>
      <c r="F107" s="11" t="s">
        <v>263</v>
      </c>
      <c r="G107" s="12" t="str">
        <f>IFERROR(VLOOKUP(F107, DADOS_RM_EVENTOS_original!A:B, 2, FALSE), "Código não encontrado/Não digitado")</f>
        <v>( + ) Adiantamento Salarial (P)</v>
      </c>
      <c r="H107" s="12" t="s">
        <v>68</v>
      </c>
      <c r="I107" s="12" t="str">
        <f>IFERROR(VLOOKUP(H107, DADOS_RM_EVENTOS_original!C:D, 2, FALSE), "Código não encontrado/Não digitado")</f>
        <v>Código não encontrado/Não digitado</v>
      </c>
      <c r="J107" s="12" t="s">
        <v>68</v>
      </c>
      <c r="K107" s="12" t="str">
        <f>IFERROR(VLOOKUP(J107, DADOS_RM_EVENTOS_original!E:J, 2, FALSE), "Código não encontrado/Não digitado")</f>
        <v>Código não encontrado/Não digitado</v>
      </c>
      <c r="L107" s="12" t="s">
        <v>68</v>
      </c>
      <c r="M107" s="12" t="str">
        <f>IFERROR(VLOOKUP(L107, DADOS_RM_EVENTOS_original!K:L, 2, FALSE), "Código não encontrado/Não digitado")</f>
        <v>Código não encontrado/Não digitado</v>
      </c>
    </row>
    <row r="108" ht="15.75" hidden="1" customHeight="1">
      <c r="A108" s="11" t="s">
        <v>172</v>
      </c>
      <c r="B108" s="11" t="s">
        <v>16</v>
      </c>
      <c r="C108" s="11" t="s">
        <v>1673</v>
      </c>
      <c r="D108" s="11" t="s">
        <v>120</v>
      </c>
      <c r="E108" s="11" t="s">
        <v>1029</v>
      </c>
      <c r="F108" s="11" t="s">
        <v>263</v>
      </c>
      <c r="G108" s="12" t="str">
        <f>IFERROR(VLOOKUP(F108, DADOS_RM_EVENTOS_original!A:B, 2, FALSE), "Código não encontrado/Não digitado")</f>
        <v>( + ) Adiantamento Salarial (P)</v>
      </c>
      <c r="H108" s="12" t="s">
        <v>68</v>
      </c>
      <c r="I108" s="12" t="str">
        <f>IFERROR(VLOOKUP(H108, DADOS_RM_EVENTOS_original!C:D, 2, FALSE), "Código não encontrado/Não digitado")</f>
        <v>Código não encontrado/Não digitado</v>
      </c>
      <c r="J108" s="12" t="s">
        <v>68</v>
      </c>
      <c r="K108" s="12" t="str">
        <f>IFERROR(VLOOKUP(J108, DADOS_RM_EVENTOS_original!E:J, 2, FALSE), "Código não encontrado/Não digitado")</f>
        <v>Código não encontrado/Não digitado</v>
      </c>
      <c r="L108" s="12" t="s">
        <v>68</v>
      </c>
      <c r="M108" s="12" t="str">
        <f>IFERROR(VLOOKUP(L108, DADOS_RM_EVENTOS_original!K:L, 2, FALSE), "Código não encontrado/Não digitado")</f>
        <v>Código não encontrado/Não digitado</v>
      </c>
    </row>
    <row r="109" ht="15.75" hidden="1" customHeight="1">
      <c r="A109" s="11" t="s">
        <v>97</v>
      </c>
      <c r="B109" s="11" t="s">
        <v>860</v>
      </c>
      <c r="C109" s="11" t="s">
        <v>1692</v>
      </c>
      <c r="D109" s="11" t="s">
        <v>44</v>
      </c>
      <c r="E109" s="11" t="s">
        <v>972</v>
      </c>
      <c r="F109" s="11" t="s">
        <v>139</v>
      </c>
      <c r="G109" s="12" t="str">
        <f>IFERROR(VLOOKUP(F109, DADOS_RM_EVENTOS_original!A:B, 2, FALSE), "Código não encontrado/Não digitado")</f>
        <v>( - ) Desc. Adiantamento Salarial</v>
      </c>
      <c r="H109" s="12" t="s">
        <v>68</v>
      </c>
      <c r="I109" s="12" t="str">
        <f>IFERROR(VLOOKUP(H109, DADOS_RM_EVENTOS_original!C:D, 2, FALSE), "Código não encontrado/Não digitado")</f>
        <v>Código não encontrado/Não digitado</v>
      </c>
      <c r="J109" s="12" t="s">
        <v>68</v>
      </c>
      <c r="K109" s="12" t="str">
        <f>IFERROR(VLOOKUP(J109, DADOS_RM_EVENTOS_original!E:J, 2, FALSE), "Código não encontrado/Não digitado")</f>
        <v>Código não encontrado/Não digitado</v>
      </c>
      <c r="L109" s="12" t="s">
        <v>68</v>
      </c>
      <c r="M109" s="12" t="str">
        <f>IFERROR(VLOOKUP(L109, DADOS_RM_EVENTOS_original!K:L, 2, FALSE), "Código não encontrado/Não digitado")</f>
        <v>Código não encontrado/Não digitado</v>
      </c>
    </row>
    <row r="110" ht="15.75" hidden="1" customHeight="1">
      <c r="A110" s="11" t="s">
        <v>97</v>
      </c>
      <c r="B110" s="11" t="s">
        <v>16</v>
      </c>
      <c r="C110" s="11" t="s">
        <v>1673</v>
      </c>
      <c r="D110" s="11" t="s">
        <v>120</v>
      </c>
      <c r="E110" s="11" t="s">
        <v>972</v>
      </c>
      <c r="F110" s="11" t="s">
        <v>263</v>
      </c>
      <c r="G110" s="12" t="str">
        <f>IFERROR(VLOOKUP(F110, DADOS_RM_EVENTOS_original!A:B, 2, FALSE), "Código não encontrado/Não digitado")</f>
        <v>( + ) Adiantamento Salarial (P)</v>
      </c>
      <c r="H110" s="12" t="s">
        <v>68</v>
      </c>
      <c r="I110" s="12" t="str">
        <f>IFERROR(VLOOKUP(H110, DADOS_RM_EVENTOS_original!C:D, 2, FALSE), "Código não encontrado/Não digitado")</f>
        <v>Código não encontrado/Não digitado</v>
      </c>
      <c r="J110" s="12" t="s">
        <v>68</v>
      </c>
      <c r="K110" s="12" t="str">
        <f>IFERROR(VLOOKUP(J110, DADOS_RM_EVENTOS_original!E:J, 2, FALSE), "Código não encontrado/Não digitado")</f>
        <v>Código não encontrado/Não digitado</v>
      </c>
      <c r="L110" s="12" t="s">
        <v>68</v>
      </c>
      <c r="M110" s="12" t="str">
        <f>IFERROR(VLOOKUP(L110, DADOS_RM_EVENTOS_original!K:L, 2, FALSE), "Código não encontrado/Não digitado")</f>
        <v>Código não encontrado/Não digitado</v>
      </c>
    </row>
    <row r="111" ht="15.75" hidden="1" customHeight="1">
      <c r="A111" s="11" t="s">
        <v>142</v>
      </c>
      <c r="B111" s="11" t="s">
        <v>860</v>
      </c>
      <c r="C111" s="11" t="s">
        <v>1692</v>
      </c>
      <c r="D111" s="11" t="s">
        <v>44</v>
      </c>
      <c r="E111" s="11" t="s">
        <v>985</v>
      </c>
      <c r="F111" s="11" t="s">
        <v>139</v>
      </c>
      <c r="G111" s="12" t="str">
        <f>IFERROR(VLOOKUP(F111, DADOS_RM_EVENTOS_original!A:B, 2, FALSE), "Código não encontrado/Não digitado")</f>
        <v>( - ) Desc. Adiantamento Salarial</v>
      </c>
      <c r="H111" s="12" t="s">
        <v>68</v>
      </c>
      <c r="I111" s="12" t="str">
        <f>IFERROR(VLOOKUP(H111, DADOS_RM_EVENTOS_original!C:D, 2, FALSE), "Código não encontrado/Não digitado")</f>
        <v>Código não encontrado/Não digitado</v>
      </c>
      <c r="J111" s="12" t="s">
        <v>68</v>
      </c>
      <c r="K111" s="12" t="str">
        <f>IFERROR(VLOOKUP(J111, DADOS_RM_EVENTOS_original!E:J, 2, FALSE), "Código não encontrado/Não digitado")</f>
        <v>Código não encontrado/Não digitado</v>
      </c>
      <c r="L111" s="12" t="s">
        <v>68</v>
      </c>
      <c r="M111" s="12" t="str">
        <f>IFERROR(VLOOKUP(L111, DADOS_RM_EVENTOS_original!K:L, 2, FALSE), "Código não encontrado/Não digitado")</f>
        <v>Código não encontrado/Não digitado</v>
      </c>
    </row>
    <row r="112" ht="15.75" hidden="1" customHeight="1">
      <c r="A112" s="11" t="s">
        <v>38</v>
      </c>
      <c r="B112" s="11" t="s">
        <v>750</v>
      </c>
      <c r="C112" s="11" t="s">
        <v>1749</v>
      </c>
      <c r="D112" s="11" t="s">
        <v>44</v>
      </c>
      <c r="E112" s="11" t="s">
        <v>47</v>
      </c>
      <c r="F112" s="11" t="s">
        <v>267</v>
      </c>
      <c r="G112" s="12" t="str">
        <f>IFERROR(VLOOKUP(F112, DADOS_RM_EVENTOS_original!A:B, 2, FALSE), "Código não encontrado/Não digitado")</f>
        <v>Desc. Adiantamento 13º salario</v>
      </c>
      <c r="H112" s="12" t="s">
        <v>68</v>
      </c>
      <c r="I112" s="12" t="str">
        <f>IFERROR(VLOOKUP(H112, DADOS_RM_EVENTOS_original!C:D, 2, FALSE), "Código não encontrado/Não digitado")</f>
        <v>Código não encontrado/Não digitado</v>
      </c>
      <c r="J112" s="12" t="s">
        <v>68</v>
      </c>
      <c r="K112" s="12" t="str">
        <f>IFERROR(VLOOKUP(J112, DADOS_RM_EVENTOS_original!E:J, 2, FALSE), "Código não encontrado/Não digitado")</f>
        <v>Código não encontrado/Não digitado</v>
      </c>
      <c r="L112" s="12" t="s">
        <v>68</v>
      </c>
      <c r="M112" s="12" t="str">
        <f>IFERROR(VLOOKUP(L112, DADOS_RM_EVENTOS_original!K:L, 2, FALSE), "Código não encontrado/Não digitado")</f>
        <v>Código não encontrado/Não digitado</v>
      </c>
    </row>
    <row r="113" ht="15.75" hidden="1" customHeight="1">
      <c r="A113" s="11" t="s">
        <v>38</v>
      </c>
      <c r="B113" s="11" t="s">
        <v>694</v>
      </c>
      <c r="C113" s="11" t="s">
        <v>1761</v>
      </c>
      <c r="D113" s="11" t="s">
        <v>44</v>
      </c>
      <c r="E113" s="11" t="s">
        <v>47</v>
      </c>
      <c r="F113" s="11" t="s">
        <v>267</v>
      </c>
      <c r="G113" s="12" t="str">
        <f>IFERROR(VLOOKUP(F113, DADOS_RM_EVENTOS_original!A:B, 2, FALSE), "Código não encontrado/Não digitado")</f>
        <v>Desc. Adiantamento 13º salario</v>
      </c>
      <c r="H113" s="12" t="s">
        <v>68</v>
      </c>
      <c r="I113" s="12" t="str">
        <f>IFERROR(VLOOKUP(H113, DADOS_RM_EVENTOS_original!C:D, 2, FALSE), "Código não encontrado/Não digitado")</f>
        <v>Código não encontrado/Não digitado</v>
      </c>
      <c r="J113" s="12" t="s">
        <v>68</v>
      </c>
      <c r="K113" s="12" t="str">
        <f>IFERROR(VLOOKUP(J113, DADOS_RM_EVENTOS_original!E:J, 2, FALSE), "Código não encontrado/Não digitado")</f>
        <v>Código não encontrado/Não digitado</v>
      </c>
      <c r="L113" s="12" t="s">
        <v>68</v>
      </c>
      <c r="M113" s="12" t="str">
        <f>IFERROR(VLOOKUP(L113, DADOS_RM_EVENTOS_original!K:L, 2, FALSE), "Código não encontrado/Não digitado")</f>
        <v>Código não encontrado/Não digitado</v>
      </c>
    </row>
    <row r="114" ht="15.75" hidden="1" customHeight="1">
      <c r="A114" s="11" t="s">
        <v>172</v>
      </c>
      <c r="B114" s="11" t="s">
        <v>93</v>
      </c>
      <c r="C114" s="11" t="s">
        <v>1773</v>
      </c>
      <c r="D114" s="11" t="s">
        <v>96</v>
      </c>
      <c r="E114" s="11" t="s">
        <v>1029</v>
      </c>
      <c r="F114" s="11" t="s">
        <v>99</v>
      </c>
      <c r="G114" s="12" t="str">
        <f>IFERROR(VLOOKUP(F114, DADOS_RM_EVENTOS_original!A:B, 2, FALSE), "Código não encontrado/Não digitado")</f>
        <v>Código não encontrado/Não digitado</v>
      </c>
      <c r="H114" s="12" t="s">
        <v>68</v>
      </c>
      <c r="I114" s="12" t="str">
        <f>IFERROR(VLOOKUP(H114, DADOS_RM_EVENTOS_original!C:D, 2, FALSE), "Código não encontrado/Não digitado")</f>
        <v>Código não encontrado/Não digitado</v>
      </c>
      <c r="J114" s="12" t="s">
        <v>68</v>
      </c>
      <c r="K114" s="12" t="str">
        <f>IFERROR(VLOOKUP(J114, DADOS_RM_EVENTOS_original!E:J, 2, FALSE), "Código não encontrado/Não digitado")</f>
        <v>Código não encontrado/Não digitado</v>
      </c>
      <c r="L114" s="12" t="s">
        <v>68</v>
      </c>
      <c r="M114" s="12" t="str">
        <f>IFERROR(VLOOKUP(L114, DADOS_RM_EVENTOS_original!K:L, 2, FALSE), "Código não encontrado/Não digitado")</f>
        <v>Código não encontrado/Não digitado</v>
      </c>
    </row>
    <row r="115" ht="15.75" hidden="1" customHeight="1">
      <c r="A115" s="11" t="s">
        <v>97</v>
      </c>
      <c r="B115" s="11" t="s">
        <v>93</v>
      </c>
      <c r="C115" s="11" t="s">
        <v>1773</v>
      </c>
      <c r="D115" s="11" t="s">
        <v>96</v>
      </c>
      <c r="E115" s="11" t="s">
        <v>972</v>
      </c>
      <c r="F115" s="11" t="s">
        <v>99</v>
      </c>
      <c r="G115" s="12" t="str">
        <f>IFERROR(VLOOKUP(F115, DADOS_RM_EVENTOS_original!A:B, 2, FALSE), "Código não encontrado/Não digitado")</f>
        <v>Código não encontrado/Não digitado</v>
      </c>
      <c r="H115" s="12" t="s">
        <v>68</v>
      </c>
      <c r="I115" s="12" t="str">
        <f>IFERROR(VLOOKUP(H115, DADOS_RM_EVENTOS_original!C:D, 2, FALSE), "Código não encontrado/Não digitado")</f>
        <v>Código não encontrado/Não digitado</v>
      </c>
      <c r="J115" s="12" t="s">
        <v>68</v>
      </c>
      <c r="K115" s="12" t="str">
        <f>IFERROR(VLOOKUP(J115, DADOS_RM_EVENTOS_original!E:J, 2, FALSE), "Código não encontrado/Não digitado")</f>
        <v>Código não encontrado/Não digitado</v>
      </c>
      <c r="L115" s="12" t="s">
        <v>68</v>
      </c>
      <c r="M115" s="12" t="str">
        <f>IFERROR(VLOOKUP(L115, DADOS_RM_EVENTOS_original!K:L, 2, FALSE), "Código não encontrado/Não digitado")</f>
        <v>Código não encontrado/Não digitado</v>
      </c>
    </row>
    <row r="116" ht="15.75" hidden="1" customHeight="1">
      <c r="A116" s="11" t="s">
        <v>199</v>
      </c>
      <c r="B116" s="11" t="s">
        <v>93</v>
      </c>
      <c r="C116" s="11" t="s">
        <v>1773</v>
      </c>
      <c r="D116" s="11" t="s">
        <v>96</v>
      </c>
      <c r="E116" s="11" t="s">
        <v>1074</v>
      </c>
      <c r="F116" s="11" t="s">
        <v>99</v>
      </c>
      <c r="G116" s="12" t="str">
        <f>IFERROR(VLOOKUP(F116, DADOS_RM_EVENTOS_original!A:B, 2, FALSE), "Código não encontrado/Não digitado")</f>
        <v>Código não encontrado/Não digitado</v>
      </c>
      <c r="H116" s="12" t="s">
        <v>68</v>
      </c>
      <c r="I116" s="12" t="str">
        <f>IFERROR(VLOOKUP(H116, DADOS_RM_EVENTOS_original!C:D, 2, FALSE), "Código não encontrado/Não digitado")</f>
        <v>Código não encontrado/Não digitado</v>
      </c>
      <c r="J116" s="12" t="s">
        <v>68</v>
      </c>
      <c r="K116" s="12" t="str">
        <f>IFERROR(VLOOKUP(J116, DADOS_RM_EVENTOS_original!E:J, 2, FALSE), "Código não encontrado/Não digitado")</f>
        <v>Código não encontrado/Não digitado</v>
      </c>
      <c r="L116" s="12" t="s">
        <v>68</v>
      </c>
      <c r="M116" s="12" t="str">
        <f>IFERROR(VLOOKUP(L116, DADOS_RM_EVENTOS_original!K:L, 2, FALSE), "Código não encontrado/Não digitado")</f>
        <v>Código não encontrado/Não digitado</v>
      </c>
    </row>
    <row r="117" ht="15.75" hidden="1" customHeight="1">
      <c r="A117" s="11" t="s">
        <v>38</v>
      </c>
      <c r="B117" s="11" t="s">
        <v>1121</v>
      </c>
      <c r="C117" s="11" t="s">
        <v>1808</v>
      </c>
      <c r="D117" s="11" t="s">
        <v>44</v>
      </c>
      <c r="E117" s="11" t="s">
        <v>47</v>
      </c>
      <c r="F117" s="11" t="s">
        <v>139</v>
      </c>
      <c r="G117" s="12" t="str">
        <f>IFERROR(VLOOKUP(F117, DADOS_RM_EVENTOS_original!A:B, 2, FALSE), "Código não encontrado/Não digitado")</f>
        <v>( - ) Desc. Adiantamento Salarial</v>
      </c>
      <c r="H117" s="12" t="s">
        <v>68</v>
      </c>
      <c r="I117" s="12" t="str">
        <f>IFERROR(VLOOKUP(H117, DADOS_RM_EVENTOS_original!C:D, 2, FALSE), "Código não encontrado/Não digitado")</f>
        <v>Código não encontrado/Não digitado</v>
      </c>
      <c r="J117" s="12" t="s">
        <v>68</v>
      </c>
      <c r="K117" s="12" t="str">
        <f>IFERROR(VLOOKUP(J117, DADOS_RM_EVENTOS_original!E:J, 2, FALSE), "Código não encontrado/Não digitado")</f>
        <v>Código não encontrado/Não digitado</v>
      </c>
      <c r="L117" s="12" t="s">
        <v>68</v>
      </c>
      <c r="M117" s="12" t="str">
        <f>IFERROR(VLOOKUP(L117, DADOS_RM_EVENTOS_original!K:L, 2, FALSE), "Código não encontrado/Não digitado")</f>
        <v>Código não encontrado/Não digitado</v>
      </c>
    </row>
    <row r="118" ht="15.75" hidden="1" customHeight="1">
      <c r="A118" s="11" t="s">
        <v>172</v>
      </c>
      <c r="B118" s="11" t="s">
        <v>1121</v>
      </c>
      <c r="C118" s="11" t="s">
        <v>1819</v>
      </c>
      <c r="D118" s="11" t="s">
        <v>44</v>
      </c>
      <c r="E118" s="11" t="s">
        <v>1029</v>
      </c>
      <c r="F118" s="11" t="s">
        <v>139</v>
      </c>
      <c r="G118" s="12" t="str">
        <f>IFERROR(VLOOKUP(F118, DADOS_RM_EVENTOS_original!A:B, 2, FALSE), "Código não encontrado/Não digitado")</f>
        <v>( - ) Desc. Adiantamento Salarial</v>
      </c>
      <c r="H118" s="12" t="s">
        <v>68</v>
      </c>
      <c r="I118" s="12" t="str">
        <f>IFERROR(VLOOKUP(H118, DADOS_RM_EVENTOS_original!C:D, 2, FALSE), "Código não encontrado/Não digitado")</f>
        <v>Código não encontrado/Não digitado</v>
      </c>
      <c r="J118" s="12" t="s">
        <v>68</v>
      </c>
      <c r="K118" s="12" t="str">
        <f>IFERROR(VLOOKUP(J118, DADOS_RM_EVENTOS_original!E:J, 2, FALSE), "Código não encontrado/Não digitado")</f>
        <v>Código não encontrado/Não digitado</v>
      </c>
      <c r="L118" s="12" t="s">
        <v>68</v>
      </c>
      <c r="M118" s="12" t="str">
        <f>IFERROR(VLOOKUP(L118, DADOS_RM_EVENTOS_original!K:L, 2, FALSE), "Código não encontrado/Não digitado")</f>
        <v>Código não encontrado/Não digitado</v>
      </c>
    </row>
    <row r="119" ht="15.75" hidden="1" customHeight="1">
      <c r="A119" s="11" t="s">
        <v>97</v>
      </c>
      <c r="B119" s="11" t="s">
        <v>1121</v>
      </c>
      <c r="C119" s="11" t="s">
        <v>1819</v>
      </c>
      <c r="D119" s="11" t="s">
        <v>44</v>
      </c>
      <c r="E119" s="11" t="s">
        <v>972</v>
      </c>
      <c r="F119" s="11" t="s">
        <v>139</v>
      </c>
      <c r="G119" s="12" t="str">
        <f>IFERROR(VLOOKUP(F119, DADOS_RM_EVENTOS_original!A:B, 2, FALSE), "Código não encontrado/Não digitado")</f>
        <v>( - ) Desc. Adiantamento Salarial</v>
      </c>
      <c r="H119" s="12" t="s">
        <v>68</v>
      </c>
      <c r="I119" s="12" t="str">
        <f>IFERROR(VLOOKUP(H119, DADOS_RM_EVENTOS_original!C:D, 2, FALSE), "Código não encontrado/Não digitado")</f>
        <v>Código não encontrado/Não digitado</v>
      </c>
      <c r="J119" s="12" t="s">
        <v>68</v>
      </c>
      <c r="K119" s="12" t="str">
        <f>IFERROR(VLOOKUP(J119, DADOS_RM_EVENTOS_original!E:J, 2, FALSE), "Código não encontrado/Não digitado")</f>
        <v>Código não encontrado/Não digitado</v>
      </c>
      <c r="L119" s="12" t="s">
        <v>68</v>
      </c>
      <c r="M119" s="12" t="str">
        <f>IFERROR(VLOOKUP(L119, DADOS_RM_EVENTOS_original!K:L, 2, FALSE), "Código não encontrado/Não digitado")</f>
        <v>Código não encontrado/Não digitado</v>
      </c>
    </row>
    <row r="120" ht="15.75" hidden="1" customHeight="1">
      <c r="A120" s="11" t="s">
        <v>199</v>
      </c>
      <c r="B120" s="11" t="s">
        <v>1121</v>
      </c>
      <c r="C120" s="11" t="s">
        <v>1819</v>
      </c>
      <c r="D120" s="11" t="s">
        <v>44</v>
      </c>
      <c r="E120" s="11" t="s">
        <v>1074</v>
      </c>
      <c r="F120" s="11" t="s">
        <v>139</v>
      </c>
      <c r="G120" s="12" t="str">
        <f>IFERROR(VLOOKUP(F120, DADOS_RM_EVENTOS_original!A:B, 2, FALSE), "Código não encontrado/Não digitado")</f>
        <v>( - ) Desc. Adiantamento Salarial</v>
      </c>
      <c r="H120" s="12" t="s">
        <v>68</v>
      </c>
      <c r="I120" s="12" t="str">
        <f>IFERROR(VLOOKUP(H120, DADOS_RM_EVENTOS_original!C:D, 2, FALSE), "Código não encontrado/Não digitado")</f>
        <v>Código não encontrado/Não digitado</v>
      </c>
      <c r="J120" s="12" t="s">
        <v>68</v>
      </c>
      <c r="K120" s="12" t="str">
        <f>IFERROR(VLOOKUP(J120, DADOS_RM_EVENTOS_original!E:J, 2, FALSE), "Código não encontrado/Não digitado")</f>
        <v>Código não encontrado/Não digitado</v>
      </c>
      <c r="L120" s="12" t="s">
        <v>68</v>
      </c>
      <c r="M120" s="12" t="str">
        <f>IFERROR(VLOOKUP(L120, DADOS_RM_EVENTOS_original!K:L, 2, FALSE), "Código não encontrado/Não digitado")</f>
        <v>Código não encontrado/Não digitado</v>
      </c>
    </row>
    <row r="121" ht="15.75" hidden="1" customHeight="1">
      <c r="A121" s="11" t="s">
        <v>38</v>
      </c>
      <c r="B121" s="11" t="s">
        <v>658</v>
      </c>
      <c r="C121" s="11" t="s">
        <v>1854</v>
      </c>
      <c r="D121" s="11" t="s">
        <v>120</v>
      </c>
      <c r="E121" s="11" t="s">
        <v>47</v>
      </c>
      <c r="F121" s="11" t="s">
        <v>124</v>
      </c>
      <c r="G121" s="12" t="str">
        <f>IFERROR(VLOOKUP(F121, DADOS_RM_EVENTOS_original!A:B, 2, FALSE), "Código não encontrado/Não digitado")</f>
        <v>1ª Parcela 13º Salario</v>
      </c>
      <c r="H121" s="12" t="s">
        <v>68</v>
      </c>
      <c r="I121" s="12" t="str">
        <f>IFERROR(VLOOKUP(H121, DADOS_RM_EVENTOS_original!C:D, 2, FALSE), "Código não encontrado/Não digitado")</f>
        <v>Código não encontrado/Não digitado</v>
      </c>
      <c r="J121" s="12" t="s">
        <v>68</v>
      </c>
      <c r="K121" s="12" t="str">
        <f>IFERROR(VLOOKUP(J121, DADOS_RM_EVENTOS_original!E:J, 2, FALSE), "Código não encontrado/Não digitado")</f>
        <v>Código não encontrado/Não digitado</v>
      </c>
      <c r="L121" s="12" t="s">
        <v>68</v>
      </c>
      <c r="M121" s="12" t="str">
        <f>IFERROR(VLOOKUP(L121, DADOS_RM_EVENTOS_original!K:L, 2, FALSE), "Código não encontrado/Não digitado")</f>
        <v>Código não encontrado/Não digitado</v>
      </c>
    </row>
    <row r="122" ht="15.75" hidden="1" customHeight="1">
      <c r="A122" s="11" t="s">
        <v>115</v>
      </c>
      <c r="B122" s="11" t="s">
        <v>658</v>
      </c>
      <c r="C122" s="11" t="s">
        <v>1854</v>
      </c>
      <c r="D122" s="11" t="s">
        <v>120</v>
      </c>
      <c r="E122" s="11" t="s">
        <v>121</v>
      </c>
      <c r="F122" s="11" t="s">
        <v>124</v>
      </c>
      <c r="G122" s="12" t="str">
        <f>IFERROR(VLOOKUP(F122, DADOS_RM_EVENTOS_original!A:B, 2, FALSE), "Código não encontrado/Não digitado")</f>
        <v>1ª Parcela 13º Salario</v>
      </c>
      <c r="H122" s="12" t="s">
        <v>68</v>
      </c>
      <c r="I122" s="12" t="str">
        <f>IFERROR(VLOOKUP(H122, DADOS_RM_EVENTOS_original!C:D, 2, FALSE), "Código não encontrado/Não digitado")</f>
        <v>Código não encontrado/Não digitado</v>
      </c>
      <c r="J122" s="12" t="s">
        <v>68</v>
      </c>
      <c r="K122" s="12" t="str">
        <f>IFERROR(VLOOKUP(J122, DADOS_RM_EVENTOS_original!E:J, 2, FALSE), "Código não encontrado/Não digitado")</f>
        <v>Código não encontrado/Não digitado</v>
      </c>
      <c r="L122" s="12" t="s">
        <v>68</v>
      </c>
      <c r="M122" s="12" t="str">
        <f>IFERROR(VLOOKUP(L122, DADOS_RM_EVENTOS_original!K:L, 2, FALSE), "Código não encontrado/Não digitado")</f>
        <v>Código não encontrado/Não digitado</v>
      </c>
    </row>
    <row r="123" ht="15.75" hidden="1" customHeight="1">
      <c r="A123" s="11" t="s">
        <v>172</v>
      </c>
      <c r="B123" s="11" t="s">
        <v>658</v>
      </c>
      <c r="C123" s="11" t="s">
        <v>1879</v>
      </c>
      <c r="D123" s="11" t="s">
        <v>120</v>
      </c>
      <c r="E123" s="11" t="s">
        <v>1029</v>
      </c>
      <c r="F123" s="11" t="s">
        <v>124</v>
      </c>
      <c r="G123" s="12" t="str">
        <f>IFERROR(VLOOKUP(F123, DADOS_RM_EVENTOS_original!A:B, 2, FALSE), "Código não encontrado/Não digitado")</f>
        <v>1ª Parcela 13º Salario</v>
      </c>
      <c r="H123" s="12" t="s">
        <v>68</v>
      </c>
      <c r="I123" s="12" t="str">
        <f>IFERROR(VLOOKUP(H123, DADOS_RM_EVENTOS_original!C:D, 2, FALSE), "Código não encontrado/Não digitado")</f>
        <v>Código não encontrado/Não digitado</v>
      </c>
      <c r="J123" s="12" t="s">
        <v>68</v>
      </c>
      <c r="K123" s="12" t="str">
        <f>IFERROR(VLOOKUP(J123, DADOS_RM_EVENTOS_original!E:J, 2, FALSE), "Código não encontrado/Não digitado")</f>
        <v>Código não encontrado/Não digitado</v>
      </c>
      <c r="L123" s="12" t="s">
        <v>68</v>
      </c>
      <c r="M123" s="12" t="str">
        <f>IFERROR(VLOOKUP(L123, DADOS_RM_EVENTOS_original!K:L, 2, FALSE), "Código não encontrado/Não digitado")</f>
        <v>Código não encontrado/Não digitado</v>
      </c>
    </row>
    <row r="124" ht="15.75" hidden="1" customHeight="1">
      <c r="A124" s="11" t="s">
        <v>97</v>
      </c>
      <c r="B124" s="11" t="s">
        <v>658</v>
      </c>
      <c r="C124" s="11" t="s">
        <v>1879</v>
      </c>
      <c r="D124" s="11" t="s">
        <v>120</v>
      </c>
      <c r="E124" s="11" t="s">
        <v>972</v>
      </c>
      <c r="F124" s="11" t="s">
        <v>124</v>
      </c>
      <c r="G124" s="12" t="str">
        <f>IFERROR(VLOOKUP(F124, DADOS_RM_EVENTOS_original!A:B, 2, FALSE), "Código não encontrado/Não digitado")</f>
        <v>1ª Parcela 13º Salario</v>
      </c>
      <c r="H124" s="12" t="s">
        <v>68</v>
      </c>
      <c r="I124" s="12" t="str">
        <f>IFERROR(VLOOKUP(H124, DADOS_RM_EVENTOS_original!C:D, 2, FALSE), "Código não encontrado/Não digitado")</f>
        <v>Código não encontrado/Não digitado</v>
      </c>
      <c r="J124" s="12" t="s">
        <v>68</v>
      </c>
      <c r="K124" s="12" t="str">
        <f>IFERROR(VLOOKUP(J124, DADOS_RM_EVENTOS_original!E:J, 2, FALSE), "Código não encontrado/Não digitado")</f>
        <v>Código não encontrado/Não digitado</v>
      </c>
      <c r="L124" s="12" t="s">
        <v>68</v>
      </c>
      <c r="M124" s="12" t="str">
        <f>IFERROR(VLOOKUP(L124, DADOS_RM_EVENTOS_original!K:L, 2, FALSE), "Código não encontrado/Não digitado")</f>
        <v>Código não encontrado/Não digitado</v>
      </c>
    </row>
    <row r="125" ht="15.75" hidden="1" customHeight="1">
      <c r="A125" s="11" t="s">
        <v>142</v>
      </c>
      <c r="B125" s="11" t="s">
        <v>658</v>
      </c>
      <c r="C125" s="11" t="s">
        <v>1879</v>
      </c>
      <c r="D125" s="11" t="s">
        <v>120</v>
      </c>
      <c r="E125" s="11" t="s">
        <v>985</v>
      </c>
      <c r="F125" s="11" t="s">
        <v>124</v>
      </c>
      <c r="G125" s="12" t="str">
        <f>IFERROR(VLOOKUP(F125, DADOS_RM_EVENTOS_original!A:B, 2, FALSE), "Código não encontrado/Não digitado")</f>
        <v>1ª Parcela 13º Salario</v>
      </c>
      <c r="H125" s="12" t="s">
        <v>68</v>
      </c>
      <c r="I125" s="12" t="str">
        <f>IFERROR(VLOOKUP(H125, DADOS_RM_EVENTOS_original!C:D, 2, FALSE), "Código não encontrado/Não digitado")</f>
        <v>Código não encontrado/Não digitado</v>
      </c>
      <c r="J125" s="12" t="s">
        <v>68</v>
      </c>
      <c r="K125" s="12" t="str">
        <f>IFERROR(VLOOKUP(J125, DADOS_RM_EVENTOS_original!E:J, 2, FALSE), "Código não encontrado/Não digitado")</f>
        <v>Código não encontrado/Não digitado</v>
      </c>
      <c r="L125" s="12" t="s">
        <v>68</v>
      </c>
      <c r="M125" s="12" t="str">
        <f>IFERROR(VLOOKUP(L125, DADOS_RM_EVENTOS_original!K:L, 2, FALSE), "Código não encontrado/Não digitado")</f>
        <v>Código não encontrado/Não digitado</v>
      </c>
    </row>
    <row r="126" ht="15.75" hidden="1" customHeight="1">
      <c r="A126" s="11" t="s">
        <v>199</v>
      </c>
      <c r="B126" s="11" t="s">
        <v>658</v>
      </c>
      <c r="C126" s="11" t="s">
        <v>1879</v>
      </c>
      <c r="D126" s="11" t="s">
        <v>120</v>
      </c>
      <c r="E126" s="11" t="s">
        <v>1074</v>
      </c>
      <c r="F126" s="11" t="s">
        <v>124</v>
      </c>
      <c r="G126" s="12" t="str">
        <f>IFERROR(VLOOKUP(F126, DADOS_RM_EVENTOS_original!A:B, 2, FALSE), "Código não encontrado/Não digitado")</f>
        <v>1ª Parcela 13º Salario</v>
      </c>
      <c r="H126" s="12" t="s">
        <v>68</v>
      </c>
      <c r="I126" s="12" t="str">
        <f>IFERROR(VLOOKUP(H126, DADOS_RM_EVENTOS_original!C:D, 2, FALSE), "Código não encontrado/Não digitado")</f>
        <v>Código não encontrado/Não digitado</v>
      </c>
      <c r="J126" s="12" t="s">
        <v>68</v>
      </c>
      <c r="K126" s="12" t="str">
        <f>IFERROR(VLOOKUP(J126, DADOS_RM_EVENTOS_original!E:J, 2, FALSE), "Código não encontrado/Não digitado")</f>
        <v>Código não encontrado/Não digitado</v>
      </c>
      <c r="L126" s="12" t="s">
        <v>68</v>
      </c>
      <c r="M126" s="12" t="str">
        <f>IFERROR(VLOOKUP(L126, DADOS_RM_EVENTOS_original!K:L, 2, FALSE), "Código não encontrado/Não digitado")</f>
        <v>Código não encontrado/Não digitado</v>
      </c>
    </row>
    <row r="127" ht="15.75" hidden="1" customHeight="1">
      <c r="A127" s="11" t="s">
        <v>172</v>
      </c>
      <c r="B127" s="11" t="s">
        <v>116</v>
      </c>
      <c r="C127" s="11" t="s">
        <v>1927</v>
      </c>
      <c r="D127" s="11" t="s">
        <v>120</v>
      </c>
      <c r="E127" s="11" t="s">
        <v>1029</v>
      </c>
      <c r="F127" s="11" t="s">
        <v>122</v>
      </c>
      <c r="G127" s="12" t="str">
        <f>IFERROR(VLOOKUP(F127, DADOS_RM_EVENTOS_original!A:B, 2, FALSE), "Código não encontrado/Não digitado")</f>
        <v>Antecipacao Primeira Parcela 13º nas Fer</v>
      </c>
      <c r="H127" s="12" t="s">
        <v>68</v>
      </c>
      <c r="I127" s="12" t="str">
        <f>IFERROR(VLOOKUP(H127, DADOS_RM_EVENTOS_original!C:D, 2, FALSE), "Código não encontrado/Não digitado")</f>
        <v>Código não encontrado/Não digitado</v>
      </c>
      <c r="J127" s="12" t="s">
        <v>68</v>
      </c>
      <c r="K127" s="12" t="str">
        <f>IFERROR(VLOOKUP(J127, DADOS_RM_EVENTOS_original!E:J, 2, FALSE), "Código não encontrado/Não digitado")</f>
        <v>Código não encontrado/Não digitado</v>
      </c>
      <c r="L127" s="12" t="s">
        <v>68</v>
      </c>
      <c r="M127" s="12" t="str">
        <f>IFERROR(VLOOKUP(L127, DADOS_RM_EVENTOS_original!K:L, 2, FALSE), "Código não encontrado/Não digitado")</f>
        <v>Código não encontrado/Não digitado</v>
      </c>
    </row>
    <row r="128" ht="15.75" hidden="1" customHeight="1">
      <c r="A128" s="11" t="s">
        <v>142</v>
      </c>
      <c r="B128" s="11" t="s">
        <v>116</v>
      </c>
      <c r="C128" s="11" t="s">
        <v>1927</v>
      </c>
      <c r="D128" s="11" t="s">
        <v>120</v>
      </c>
      <c r="E128" s="11" t="s">
        <v>985</v>
      </c>
      <c r="F128" s="11" t="s">
        <v>122</v>
      </c>
      <c r="G128" s="12" t="str">
        <f>IFERROR(VLOOKUP(F128, DADOS_RM_EVENTOS_original!A:B, 2, FALSE), "Código não encontrado/Não digitado")</f>
        <v>Antecipacao Primeira Parcela 13º nas Fer</v>
      </c>
      <c r="H128" s="12" t="s">
        <v>68</v>
      </c>
      <c r="I128" s="12" t="str">
        <f>IFERROR(VLOOKUP(H128, DADOS_RM_EVENTOS_original!C:D, 2, FALSE), "Código não encontrado/Não digitado")</f>
        <v>Código não encontrado/Não digitado</v>
      </c>
      <c r="J128" s="12" t="s">
        <v>68</v>
      </c>
      <c r="K128" s="12" t="str">
        <f>IFERROR(VLOOKUP(J128, DADOS_RM_EVENTOS_original!E:J, 2, FALSE), "Código não encontrado/Não digitado")</f>
        <v>Código não encontrado/Não digitado</v>
      </c>
      <c r="L128" s="12" t="s">
        <v>68</v>
      </c>
      <c r="M128" s="12" t="str">
        <f>IFERROR(VLOOKUP(L128, DADOS_RM_EVENTOS_original!K:L, 2, FALSE), "Código não encontrado/Não digitado")</f>
        <v>Código não encontrado/Não digitado</v>
      </c>
    </row>
    <row r="129" ht="15.75" hidden="1" customHeight="1">
      <c r="A129" s="11" t="s">
        <v>38</v>
      </c>
      <c r="B129" s="11" t="s">
        <v>1554</v>
      </c>
      <c r="C129" s="11" t="s">
        <v>1952</v>
      </c>
      <c r="D129" s="11" t="s">
        <v>44</v>
      </c>
      <c r="E129" s="11" t="s">
        <v>47</v>
      </c>
      <c r="F129" s="11" t="s">
        <v>267</v>
      </c>
      <c r="G129" s="12" t="str">
        <f>IFERROR(VLOOKUP(F129, DADOS_RM_EVENTOS_original!A:B, 2, FALSE), "Código não encontrado/Não digitado")</f>
        <v>Desc. Adiantamento 13º salario</v>
      </c>
      <c r="H129" s="12" t="s">
        <v>68</v>
      </c>
      <c r="I129" s="12" t="str">
        <f>IFERROR(VLOOKUP(H129, DADOS_RM_EVENTOS_original!C:D, 2, FALSE), "Código não encontrado/Não digitado")</f>
        <v>Código não encontrado/Não digitado</v>
      </c>
      <c r="J129" s="12" t="s">
        <v>68</v>
      </c>
      <c r="K129" s="12" t="str">
        <f>IFERROR(VLOOKUP(J129, DADOS_RM_EVENTOS_original!E:J, 2, FALSE), "Código não encontrado/Não digitado")</f>
        <v>Código não encontrado/Não digitado</v>
      </c>
      <c r="L129" s="12" t="s">
        <v>68</v>
      </c>
      <c r="M129" s="12" t="str">
        <f>IFERROR(VLOOKUP(L129, DADOS_RM_EVENTOS_original!K:L, 2, FALSE), "Código não encontrado/Não digitado")</f>
        <v>Código não encontrado/Não digitado</v>
      </c>
    </row>
    <row r="130" ht="15.75" hidden="1" customHeight="1">
      <c r="A130" s="11" t="s">
        <v>115</v>
      </c>
      <c r="B130" s="11" t="s">
        <v>1554</v>
      </c>
      <c r="C130" s="11" t="s">
        <v>1952</v>
      </c>
      <c r="D130" s="11" t="s">
        <v>44</v>
      </c>
      <c r="E130" s="11" t="s">
        <v>121</v>
      </c>
      <c r="F130" s="11" t="s">
        <v>267</v>
      </c>
      <c r="G130" s="12" t="str">
        <f>IFERROR(VLOOKUP(F130, DADOS_RM_EVENTOS_original!A:B, 2, FALSE), "Código não encontrado/Não digitado")</f>
        <v>Desc. Adiantamento 13º salario</v>
      </c>
      <c r="H130" s="12" t="s">
        <v>68</v>
      </c>
      <c r="I130" s="12" t="str">
        <f>IFERROR(VLOOKUP(H130, DADOS_RM_EVENTOS_original!C:D, 2, FALSE), "Código não encontrado/Não digitado")</f>
        <v>Código não encontrado/Não digitado</v>
      </c>
      <c r="J130" s="12" t="s">
        <v>68</v>
      </c>
      <c r="K130" s="12" t="str">
        <f>IFERROR(VLOOKUP(J130, DADOS_RM_EVENTOS_original!E:J, 2, FALSE), "Código não encontrado/Não digitado")</f>
        <v>Código não encontrado/Não digitado</v>
      </c>
      <c r="L130" s="12" t="s">
        <v>68</v>
      </c>
      <c r="M130" s="12" t="str">
        <f>IFERROR(VLOOKUP(L130, DADOS_RM_EVENTOS_original!K:L, 2, FALSE), "Código não encontrado/Não digitado")</f>
        <v>Código não encontrado/Não digitado</v>
      </c>
    </row>
    <row r="131" ht="15.75" hidden="1" customHeight="1">
      <c r="A131" s="11" t="s">
        <v>172</v>
      </c>
      <c r="B131" s="11" t="s">
        <v>1554</v>
      </c>
      <c r="C131" s="11" t="s">
        <v>1974</v>
      </c>
      <c r="D131" s="11" t="s">
        <v>44</v>
      </c>
      <c r="E131" s="11" t="s">
        <v>1029</v>
      </c>
      <c r="F131" s="11" t="s">
        <v>267</v>
      </c>
      <c r="G131" s="12" t="str">
        <f>IFERROR(VLOOKUP(F131, DADOS_RM_EVENTOS_original!A:B, 2, FALSE), "Código não encontrado/Não digitado")</f>
        <v>Desc. Adiantamento 13º salario</v>
      </c>
      <c r="H131" s="12" t="s">
        <v>68</v>
      </c>
      <c r="I131" s="12" t="str">
        <f>IFERROR(VLOOKUP(H131, DADOS_RM_EVENTOS_original!C:D, 2, FALSE), "Código não encontrado/Não digitado")</f>
        <v>Código não encontrado/Não digitado</v>
      </c>
      <c r="J131" s="12" t="s">
        <v>68</v>
      </c>
      <c r="K131" s="12" t="str">
        <f>IFERROR(VLOOKUP(J131, DADOS_RM_EVENTOS_original!E:J, 2, FALSE), "Código não encontrado/Não digitado")</f>
        <v>Código não encontrado/Não digitado</v>
      </c>
      <c r="L131" s="12" t="s">
        <v>68</v>
      </c>
      <c r="M131" s="12" t="str">
        <f>IFERROR(VLOOKUP(L131, DADOS_RM_EVENTOS_original!K:L, 2, FALSE), "Código não encontrado/Não digitado")</f>
        <v>Código não encontrado/Não digitado</v>
      </c>
    </row>
    <row r="132" ht="15.75" hidden="1" customHeight="1">
      <c r="A132" s="11" t="s">
        <v>97</v>
      </c>
      <c r="B132" s="11" t="s">
        <v>1554</v>
      </c>
      <c r="C132" s="11" t="s">
        <v>1974</v>
      </c>
      <c r="D132" s="11" t="s">
        <v>44</v>
      </c>
      <c r="E132" s="11" t="s">
        <v>972</v>
      </c>
      <c r="F132" s="11" t="s">
        <v>267</v>
      </c>
      <c r="G132" s="12" t="str">
        <f>IFERROR(VLOOKUP(F132, DADOS_RM_EVENTOS_original!A:B, 2, FALSE), "Código não encontrado/Não digitado")</f>
        <v>Desc. Adiantamento 13º salario</v>
      </c>
      <c r="H132" s="12" t="s">
        <v>68</v>
      </c>
      <c r="I132" s="12" t="str">
        <f>IFERROR(VLOOKUP(H132, DADOS_RM_EVENTOS_original!C:D, 2, FALSE), "Código não encontrado/Não digitado")</f>
        <v>Código não encontrado/Não digitado</v>
      </c>
      <c r="J132" s="12" t="s">
        <v>68</v>
      </c>
      <c r="K132" s="12" t="str">
        <f>IFERROR(VLOOKUP(J132, DADOS_RM_EVENTOS_original!E:J, 2, FALSE), "Código não encontrado/Não digitado")</f>
        <v>Código não encontrado/Não digitado</v>
      </c>
      <c r="L132" s="12" t="s">
        <v>68</v>
      </c>
      <c r="M132" s="12" t="str">
        <f>IFERROR(VLOOKUP(L132, DADOS_RM_EVENTOS_original!K:L, 2, FALSE), "Código não encontrado/Não digitado")</f>
        <v>Código não encontrado/Não digitado</v>
      </c>
    </row>
    <row r="133" ht="15.75" hidden="1" customHeight="1">
      <c r="A133" s="11" t="s">
        <v>142</v>
      </c>
      <c r="B133" s="11" t="s">
        <v>1554</v>
      </c>
      <c r="C133" s="11" t="s">
        <v>1974</v>
      </c>
      <c r="D133" s="11" t="s">
        <v>44</v>
      </c>
      <c r="E133" s="11" t="s">
        <v>985</v>
      </c>
      <c r="F133" s="11" t="s">
        <v>267</v>
      </c>
      <c r="G133" s="12" t="str">
        <f>IFERROR(VLOOKUP(F133, DADOS_RM_EVENTOS_original!A:B, 2, FALSE), "Código não encontrado/Não digitado")</f>
        <v>Desc. Adiantamento 13º salario</v>
      </c>
      <c r="H133" s="12" t="s">
        <v>68</v>
      </c>
      <c r="I133" s="12" t="str">
        <f>IFERROR(VLOOKUP(H133, DADOS_RM_EVENTOS_original!C:D, 2, FALSE), "Código não encontrado/Não digitado")</f>
        <v>Código não encontrado/Não digitado</v>
      </c>
      <c r="J133" s="12" t="s">
        <v>68</v>
      </c>
      <c r="K133" s="12" t="str">
        <f>IFERROR(VLOOKUP(J133, DADOS_RM_EVENTOS_original!E:J, 2, FALSE), "Código não encontrado/Não digitado")</f>
        <v>Código não encontrado/Não digitado</v>
      </c>
      <c r="L133" s="12" t="s">
        <v>68</v>
      </c>
      <c r="M133" s="12" t="str">
        <f>IFERROR(VLOOKUP(L133, DADOS_RM_EVENTOS_original!K:L, 2, FALSE), "Código não encontrado/Não digitado")</f>
        <v>Código não encontrado/Não digitado</v>
      </c>
    </row>
    <row r="134" ht="15.75" hidden="1" customHeight="1">
      <c r="A134" s="11" t="s">
        <v>199</v>
      </c>
      <c r="B134" s="11" t="s">
        <v>1554</v>
      </c>
      <c r="C134" s="11" t="s">
        <v>1974</v>
      </c>
      <c r="D134" s="11" t="s">
        <v>44</v>
      </c>
      <c r="E134" s="11" t="s">
        <v>1074</v>
      </c>
      <c r="F134" s="11" t="s">
        <v>267</v>
      </c>
      <c r="G134" s="12" t="str">
        <f>IFERROR(VLOOKUP(F134, DADOS_RM_EVENTOS_original!A:B, 2, FALSE), "Código não encontrado/Não digitado")</f>
        <v>Desc. Adiantamento 13º salario</v>
      </c>
      <c r="H134" s="12" t="s">
        <v>68</v>
      </c>
      <c r="I134" s="12" t="str">
        <f>IFERROR(VLOOKUP(H134, DADOS_RM_EVENTOS_original!C:D, 2, FALSE), "Código não encontrado/Não digitado")</f>
        <v>Código não encontrado/Não digitado</v>
      </c>
      <c r="J134" s="12" t="s">
        <v>68</v>
      </c>
      <c r="K134" s="12" t="str">
        <f>IFERROR(VLOOKUP(J134, DADOS_RM_EVENTOS_original!E:J, 2, FALSE), "Código não encontrado/Não digitado")</f>
        <v>Código não encontrado/Não digitado</v>
      </c>
      <c r="L134" s="12" t="s">
        <v>68</v>
      </c>
      <c r="M134" s="12" t="str">
        <f>IFERROR(VLOOKUP(L134, DADOS_RM_EVENTOS_original!K:L, 2, FALSE), "Código não encontrado/Não digitado")</f>
        <v>Código não encontrado/Não digitado</v>
      </c>
    </row>
    <row r="135" ht="15.75" hidden="1" customHeight="1">
      <c r="A135" s="11" t="s">
        <v>199</v>
      </c>
      <c r="B135" s="11" t="s">
        <v>16</v>
      </c>
      <c r="C135" s="11" t="s">
        <v>2015</v>
      </c>
      <c r="D135" s="11" t="s">
        <v>120</v>
      </c>
      <c r="E135" s="11" t="s">
        <v>1074</v>
      </c>
      <c r="F135" s="11" t="s">
        <v>263</v>
      </c>
      <c r="G135" s="12" t="str">
        <f>IFERROR(VLOOKUP(F135, DADOS_RM_EVENTOS_original!A:B, 2, FALSE), "Código não encontrado/Não digitado")</f>
        <v>( + ) Adiantamento Salarial (P)</v>
      </c>
      <c r="H135" s="12" t="s">
        <v>68</v>
      </c>
      <c r="I135" s="12" t="str">
        <f>IFERROR(VLOOKUP(H135, DADOS_RM_EVENTOS_original!C:D, 2, FALSE), "Código não encontrado/Não digitado")</f>
        <v>Código não encontrado/Não digitado</v>
      </c>
      <c r="J135" s="12" t="s">
        <v>68</v>
      </c>
      <c r="K135" s="12" t="str">
        <f>IFERROR(VLOOKUP(J135, DADOS_RM_EVENTOS_original!E:J, 2, FALSE), "Código não encontrado/Não digitado")</f>
        <v>Código não encontrado/Não digitado</v>
      </c>
      <c r="L135" s="12" t="s">
        <v>68</v>
      </c>
      <c r="M135" s="12" t="str">
        <f>IFERROR(VLOOKUP(L135, DADOS_RM_EVENTOS_original!K:L, 2, FALSE), "Código não encontrado/Não digitado")</f>
        <v>Código não encontrado/Não digitado</v>
      </c>
    </row>
    <row r="136" ht="15.75" customHeight="1">
      <c r="A136" s="11" t="s">
        <v>38</v>
      </c>
      <c r="B136" s="11" t="s">
        <v>1175</v>
      </c>
      <c r="C136" s="11" t="s">
        <v>2026</v>
      </c>
      <c r="D136" s="11" t="s">
        <v>44</v>
      </c>
      <c r="E136" s="11" t="s">
        <v>47</v>
      </c>
      <c r="F136" s="11" t="s">
        <v>49</v>
      </c>
      <c r="G136" s="12" t="str">
        <f>IFERROR(VLOOKUP(F136, DADOS_RM_EVENTOS_original!A:B, 2, FALSE), "Código não encontrado/Não digitado")</f>
        <v>Código não encontrado/Não digitado</v>
      </c>
      <c r="H136" s="12" t="s">
        <v>68</v>
      </c>
      <c r="I136" s="12" t="str">
        <f>IFERROR(VLOOKUP(H136, DADOS_RM_EVENTOS_original!C:D, 2, FALSE), "Código não encontrado/Não digitado")</f>
        <v>Código não encontrado/Não digitado</v>
      </c>
      <c r="J136" s="12" t="s">
        <v>68</v>
      </c>
      <c r="K136" s="12" t="str">
        <f>IFERROR(VLOOKUP(J136, DADOS_RM_EVENTOS_original!E:J, 2, FALSE), "Código não encontrado/Não digitado")</f>
        <v>Código não encontrado/Não digitado</v>
      </c>
      <c r="L136" s="12" t="s">
        <v>68</v>
      </c>
      <c r="M136" s="12" t="str">
        <f>IFERROR(VLOOKUP(L136, DADOS_RM_EVENTOS_original!K:L, 2, FALSE), "Código não encontrado/Não digitado")</f>
        <v>Código não encontrado/Não digitado</v>
      </c>
    </row>
    <row r="137" ht="15.75" hidden="1" customHeight="1">
      <c r="A137" s="11" t="s">
        <v>97</v>
      </c>
      <c r="B137" s="11" t="s">
        <v>134</v>
      </c>
      <c r="C137" s="11" t="s">
        <v>2037</v>
      </c>
      <c r="D137" s="11" t="s">
        <v>44</v>
      </c>
      <c r="E137" s="11" t="s">
        <v>972</v>
      </c>
      <c r="F137" s="11" t="s">
        <v>139</v>
      </c>
      <c r="G137" s="12" t="str">
        <f>IFERROR(VLOOKUP(F137, DADOS_RM_EVENTOS_original!A:B, 2, FALSE), "Código não encontrado/Não digitado")</f>
        <v>( - ) Desc. Adiantamento Salarial</v>
      </c>
      <c r="H137" s="12" t="s">
        <v>68</v>
      </c>
      <c r="I137" s="12" t="str">
        <f>IFERROR(VLOOKUP(H137, DADOS_RM_EVENTOS_original!C:D, 2, FALSE), "Código não encontrado/Não digitado")</f>
        <v>Código não encontrado/Não digitado</v>
      </c>
      <c r="J137" s="12" t="s">
        <v>68</v>
      </c>
      <c r="K137" s="12" t="str">
        <f>IFERROR(VLOOKUP(J137, DADOS_RM_EVENTOS_original!E:J, 2, FALSE), "Código não encontrado/Não digitado")</f>
        <v>Código não encontrado/Não digitado</v>
      </c>
      <c r="L137" s="12" t="s">
        <v>68</v>
      </c>
      <c r="M137" s="12" t="str">
        <f>IFERROR(VLOOKUP(L137, DADOS_RM_EVENTOS_original!K:L, 2, FALSE), "Código não encontrado/Não digitado")</f>
        <v>Código não encontrado/Não digitado</v>
      </c>
    </row>
    <row r="138" ht="15.75" hidden="1" customHeight="1">
      <c r="A138" s="11" t="s">
        <v>38</v>
      </c>
      <c r="B138" s="11" t="s">
        <v>116</v>
      </c>
      <c r="C138" s="11" t="s">
        <v>2049</v>
      </c>
      <c r="D138" s="11" t="s">
        <v>120</v>
      </c>
      <c r="E138" s="11" t="s">
        <v>47</v>
      </c>
      <c r="F138" s="11" t="s">
        <v>122</v>
      </c>
      <c r="G138" s="12" t="str">
        <f>IFERROR(VLOOKUP(F138, DADOS_RM_EVENTOS_original!A:B, 2, FALSE), "Código não encontrado/Não digitado")</f>
        <v>Antecipacao Primeira Parcela 13º nas Fer</v>
      </c>
      <c r="H138" s="12" t="s">
        <v>68</v>
      </c>
      <c r="I138" s="12" t="str">
        <f>IFERROR(VLOOKUP(H138, DADOS_RM_EVENTOS_original!C:D, 2, FALSE), "Código não encontrado/Não digitado")</f>
        <v>Código não encontrado/Não digitado</v>
      </c>
      <c r="J138" s="12" t="s">
        <v>68</v>
      </c>
      <c r="K138" s="12" t="str">
        <f>IFERROR(VLOOKUP(J138, DADOS_RM_EVENTOS_original!E:J, 2, FALSE), "Código não encontrado/Não digitado")</f>
        <v>Código não encontrado/Não digitado</v>
      </c>
      <c r="L138" s="12" t="s">
        <v>68</v>
      </c>
      <c r="M138" s="12" t="str">
        <f>IFERROR(VLOOKUP(L138, DADOS_RM_EVENTOS_original!K:L, 2, FALSE), "Código não encontrado/Não digitado")</f>
        <v>Código não encontrado/Não digitado</v>
      </c>
    </row>
    <row r="139" ht="15.75" customHeight="1">
      <c r="A139" s="11" t="s">
        <v>38</v>
      </c>
      <c r="B139" s="11" t="s">
        <v>142</v>
      </c>
      <c r="C139" s="11" t="s">
        <v>2060</v>
      </c>
      <c r="D139" s="11" t="s">
        <v>120</v>
      </c>
      <c r="E139" s="11" t="s">
        <v>47</v>
      </c>
      <c r="F139" s="11" t="s">
        <v>49</v>
      </c>
      <c r="G139" s="12" t="str">
        <f>IFERROR(VLOOKUP(F139, DADOS_RM_EVENTOS_original!A:B, 2, FALSE), "Código não encontrado/Não digitado")</f>
        <v>Código não encontrado/Não digitado</v>
      </c>
      <c r="H139" s="12" t="s">
        <v>68</v>
      </c>
      <c r="I139" s="12" t="str">
        <f>IFERROR(VLOOKUP(H139, DADOS_RM_EVENTOS_original!C:D, 2, FALSE), "Código não encontrado/Não digitado")</f>
        <v>Código não encontrado/Não digitado</v>
      </c>
      <c r="J139" s="12" t="s">
        <v>68</v>
      </c>
      <c r="K139" s="12" t="str">
        <f>IFERROR(VLOOKUP(J139, DADOS_RM_EVENTOS_original!E:J, 2, FALSE), "Código não encontrado/Não digitado")</f>
        <v>Código não encontrado/Não digitado</v>
      </c>
      <c r="L139" s="12" t="s">
        <v>68</v>
      </c>
      <c r="M139" s="12" t="str">
        <f>IFERROR(VLOOKUP(L139, DADOS_RM_EVENTOS_original!K:L, 2, FALSE), "Código não encontrado/Não digitado")</f>
        <v>Código não encontrado/Não digitado</v>
      </c>
    </row>
    <row r="140" ht="15.75" customHeight="1">
      <c r="A140" s="11" t="s">
        <v>97</v>
      </c>
      <c r="B140" s="11" t="s">
        <v>142</v>
      </c>
      <c r="C140" s="11" t="s">
        <v>2071</v>
      </c>
      <c r="D140" s="11" t="s">
        <v>120</v>
      </c>
      <c r="E140" s="11" t="s">
        <v>972</v>
      </c>
      <c r="F140" s="11" t="s">
        <v>49</v>
      </c>
      <c r="G140" s="12" t="str">
        <f>IFERROR(VLOOKUP(F140, DADOS_RM_EVENTOS_original!A:B, 2, FALSE), "Código não encontrado/Não digitado")</f>
        <v>Código não encontrado/Não digitado</v>
      </c>
      <c r="H140" s="12" t="s">
        <v>68</v>
      </c>
      <c r="I140" s="12" t="str">
        <f>IFERROR(VLOOKUP(H140, DADOS_RM_EVENTOS_original!C:D, 2, FALSE), "Código não encontrado/Não digitado")</f>
        <v>Código não encontrado/Não digitado</v>
      </c>
      <c r="J140" s="12" t="s">
        <v>68</v>
      </c>
      <c r="K140" s="12" t="str">
        <f>IFERROR(VLOOKUP(J140, DADOS_RM_EVENTOS_original!E:J, 2, FALSE), "Código não encontrado/Não digitado")</f>
        <v>Código não encontrado/Não digitado</v>
      </c>
      <c r="L140" s="12" t="s">
        <v>68</v>
      </c>
      <c r="M140" s="12" t="str">
        <f>IFERROR(VLOOKUP(L140, DADOS_RM_EVENTOS_original!K:L, 2, FALSE), "Código não encontrado/Não digitado")</f>
        <v>Código não encontrado/Não digitado</v>
      </c>
    </row>
    <row r="141" ht="15.75" customHeight="1">
      <c r="A141" s="11" t="s">
        <v>142</v>
      </c>
      <c r="B141" s="11" t="s">
        <v>142</v>
      </c>
      <c r="C141" s="11" t="s">
        <v>2071</v>
      </c>
      <c r="D141" s="11" t="s">
        <v>120</v>
      </c>
      <c r="E141" s="11" t="s">
        <v>985</v>
      </c>
      <c r="F141" s="11" t="s">
        <v>49</v>
      </c>
      <c r="G141" s="12" t="str">
        <f>IFERROR(VLOOKUP(F141, DADOS_RM_EVENTOS_original!A:B, 2, FALSE), "Código não encontrado/Não digitado")</f>
        <v>Código não encontrado/Não digitado</v>
      </c>
      <c r="H141" s="12" t="s">
        <v>68</v>
      </c>
      <c r="I141" s="12" t="str">
        <f>IFERROR(VLOOKUP(H141, DADOS_RM_EVENTOS_original!C:D, 2, FALSE), "Código não encontrado/Não digitado")</f>
        <v>Código não encontrado/Não digitado</v>
      </c>
      <c r="J141" s="12" t="s">
        <v>68</v>
      </c>
      <c r="K141" s="12" t="str">
        <f>IFERROR(VLOOKUP(J141, DADOS_RM_EVENTOS_original!E:J, 2, FALSE), "Código não encontrado/Não digitado")</f>
        <v>Código não encontrado/Não digitado</v>
      </c>
      <c r="L141" s="12" t="s">
        <v>68</v>
      </c>
      <c r="M141" s="12" t="str">
        <f>IFERROR(VLOOKUP(L141, DADOS_RM_EVENTOS_original!K:L, 2, FALSE), "Código não encontrado/Não digitado")</f>
        <v>Código não encontrado/Não digitado</v>
      </c>
    </row>
    <row r="142" ht="15.75" hidden="1" customHeight="1">
      <c r="A142" s="11" t="s">
        <v>38</v>
      </c>
      <c r="B142" s="11" t="s">
        <v>339</v>
      </c>
      <c r="C142" s="11" t="s">
        <v>1764</v>
      </c>
      <c r="D142" s="11" t="s">
        <v>120</v>
      </c>
      <c r="E142" s="11" t="s">
        <v>47</v>
      </c>
      <c r="F142" s="11" t="s">
        <v>1763</v>
      </c>
      <c r="G142" s="12" t="str">
        <f>IFERROR(VLOOKUP(F142, DADOS_RM_EVENTOS_original!A:B, 2, FALSE), "Código não encontrado/Não digitado")</f>
        <v>Adicional Noturno 20%</v>
      </c>
      <c r="H142" s="12" t="s">
        <v>68</v>
      </c>
      <c r="I142" s="12" t="str">
        <f>IFERROR(VLOOKUP(H142, DADOS_RM_EVENTOS_original!C:D, 2, FALSE), "Código não encontrado/Não digitado")</f>
        <v>Código não encontrado/Não digitado</v>
      </c>
      <c r="J142" s="12" t="s">
        <v>68</v>
      </c>
      <c r="K142" s="12" t="str">
        <f>IFERROR(VLOOKUP(J142, DADOS_RM_EVENTOS_original!E:J, 2, FALSE), "Código não encontrado/Não digitado")</f>
        <v>Código não encontrado/Não digitado</v>
      </c>
      <c r="L142" s="12" t="s">
        <v>68</v>
      </c>
      <c r="M142" s="12" t="str">
        <f>IFERROR(VLOOKUP(L142, DADOS_RM_EVENTOS_original!K:L, 2, FALSE), "Código não encontrado/Não digitado")</f>
        <v>Código não encontrado/Não digitado</v>
      </c>
    </row>
    <row r="143" ht="15.75" hidden="1" customHeight="1">
      <c r="A143" s="11" t="s">
        <v>172</v>
      </c>
      <c r="B143" s="11" t="s">
        <v>339</v>
      </c>
      <c r="C143" s="11" t="s">
        <v>2105</v>
      </c>
      <c r="D143" s="11" t="s">
        <v>120</v>
      </c>
      <c r="E143" s="11" t="s">
        <v>1029</v>
      </c>
      <c r="F143" s="11" t="s">
        <v>1763</v>
      </c>
      <c r="G143" s="12" t="str">
        <f>IFERROR(VLOOKUP(F143, DADOS_RM_EVENTOS_original!A:B, 2, FALSE), "Código não encontrado/Não digitado")</f>
        <v>Adicional Noturno 20%</v>
      </c>
      <c r="H143" s="12" t="s">
        <v>68</v>
      </c>
      <c r="I143" s="12" t="str">
        <f>IFERROR(VLOOKUP(H143, DADOS_RM_EVENTOS_original!C:D, 2, FALSE), "Código não encontrado/Não digitado")</f>
        <v>Código não encontrado/Não digitado</v>
      </c>
      <c r="J143" s="12" t="s">
        <v>68</v>
      </c>
      <c r="K143" s="12" t="str">
        <f>IFERROR(VLOOKUP(J143, DADOS_RM_EVENTOS_original!E:J, 2, FALSE), "Código não encontrado/Não digitado")</f>
        <v>Código não encontrado/Não digitado</v>
      </c>
      <c r="L143" s="12" t="s">
        <v>68</v>
      </c>
      <c r="M143" s="12" t="str">
        <f>IFERROR(VLOOKUP(L143, DADOS_RM_EVENTOS_original!K:L, 2, FALSE), "Código não encontrado/Não digitado")</f>
        <v>Código não encontrado/Não digitado</v>
      </c>
    </row>
    <row r="144" ht="15.75" hidden="1" customHeight="1">
      <c r="A144" s="11" t="s">
        <v>97</v>
      </c>
      <c r="B144" s="11" t="s">
        <v>339</v>
      </c>
      <c r="C144" s="11" t="s">
        <v>2105</v>
      </c>
      <c r="D144" s="11" t="s">
        <v>120</v>
      </c>
      <c r="E144" s="11" t="s">
        <v>972</v>
      </c>
      <c r="F144" s="11" t="s">
        <v>1763</v>
      </c>
      <c r="G144" s="12" t="str">
        <f>IFERROR(VLOOKUP(F144, DADOS_RM_EVENTOS_original!A:B, 2, FALSE), "Código não encontrado/Não digitado")</f>
        <v>Adicional Noturno 20%</v>
      </c>
      <c r="H144" s="12" t="s">
        <v>68</v>
      </c>
      <c r="I144" s="12" t="str">
        <f>IFERROR(VLOOKUP(H144, DADOS_RM_EVENTOS_original!C:D, 2, FALSE), "Código não encontrado/Não digitado")</f>
        <v>Código não encontrado/Não digitado</v>
      </c>
      <c r="J144" s="12" t="s">
        <v>68</v>
      </c>
      <c r="K144" s="12" t="str">
        <f>IFERROR(VLOOKUP(J144, DADOS_RM_EVENTOS_original!E:J, 2, FALSE), "Código não encontrado/Não digitado")</f>
        <v>Código não encontrado/Não digitado</v>
      </c>
      <c r="L144" s="12" t="s">
        <v>68</v>
      </c>
      <c r="M144" s="12" t="str">
        <f>IFERROR(VLOOKUP(L144, DADOS_RM_EVENTOS_original!K:L, 2, FALSE), "Código não encontrado/Não digitado")</f>
        <v>Código não encontrado/Não digitado</v>
      </c>
    </row>
    <row r="145" ht="15.75" hidden="1" customHeight="1">
      <c r="A145" s="11" t="s">
        <v>142</v>
      </c>
      <c r="B145" s="11" t="s">
        <v>339</v>
      </c>
      <c r="C145" s="11" t="s">
        <v>2105</v>
      </c>
      <c r="D145" s="11" t="s">
        <v>120</v>
      </c>
      <c r="E145" s="11" t="s">
        <v>985</v>
      </c>
      <c r="F145" s="11" t="s">
        <v>1763</v>
      </c>
      <c r="G145" s="12" t="str">
        <f>IFERROR(VLOOKUP(F145, DADOS_RM_EVENTOS_original!A:B, 2, FALSE), "Código não encontrado/Não digitado")</f>
        <v>Adicional Noturno 20%</v>
      </c>
      <c r="H145" s="12" t="s">
        <v>68</v>
      </c>
      <c r="I145" s="12" t="str">
        <f>IFERROR(VLOOKUP(H145, DADOS_RM_EVENTOS_original!C:D, 2, FALSE), "Código não encontrado/Não digitado")</f>
        <v>Código não encontrado/Não digitado</v>
      </c>
      <c r="J145" s="12" t="s">
        <v>68</v>
      </c>
      <c r="K145" s="12" t="str">
        <f>IFERROR(VLOOKUP(J145, DADOS_RM_EVENTOS_original!E:J, 2, FALSE), "Código não encontrado/Não digitado")</f>
        <v>Código não encontrado/Não digitado</v>
      </c>
      <c r="L145" s="12" t="s">
        <v>68</v>
      </c>
      <c r="M145" s="12" t="str">
        <f>IFERROR(VLOOKUP(L145, DADOS_RM_EVENTOS_original!K:L, 2, FALSE), "Código não encontrado/Não digitado")</f>
        <v>Código não encontrado/Não digitado</v>
      </c>
    </row>
    <row r="146" ht="15.75" customHeight="1">
      <c r="A146" s="11" t="s">
        <v>38</v>
      </c>
      <c r="B146" s="11" t="s">
        <v>347</v>
      </c>
      <c r="C146" s="11" t="s">
        <v>2144</v>
      </c>
      <c r="D146" s="11" t="s">
        <v>120</v>
      </c>
      <c r="E146" s="11" t="s">
        <v>47</v>
      </c>
      <c r="F146" s="11" t="s">
        <v>49</v>
      </c>
      <c r="G146" s="12" t="str">
        <f>IFERROR(VLOOKUP(F146, DADOS_RM_EVENTOS_original!A:B, 2, FALSE), "Código não encontrado/Não digitado")</f>
        <v>Código não encontrado/Não digitado</v>
      </c>
      <c r="H146" s="12" t="s">
        <v>68</v>
      </c>
      <c r="I146" s="12" t="str">
        <f>IFERROR(VLOOKUP(H146, DADOS_RM_EVENTOS_original!C:D, 2, FALSE), "Código não encontrado/Não digitado")</f>
        <v>Código não encontrado/Não digitado</v>
      </c>
      <c r="J146" s="12" t="s">
        <v>68</v>
      </c>
      <c r="K146" s="12" t="str">
        <f>IFERROR(VLOOKUP(J146, DADOS_RM_EVENTOS_original!E:J, 2, FALSE), "Código não encontrado/Não digitado")</f>
        <v>Código não encontrado/Não digitado</v>
      </c>
      <c r="L146" s="12" t="s">
        <v>68</v>
      </c>
      <c r="M146" s="12" t="str">
        <f>IFERROR(VLOOKUP(L146, DADOS_RM_EVENTOS_original!K:L, 2, FALSE), "Código não encontrado/Não digitado")</f>
        <v>Código não encontrado/Não digitado</v>
      </c>
    </row>
    <row r="147" ht="15.75" customHeight="1">
      <c r="A147" s="11" t="s">
        <v>97</v>
      </c>
      <c r="B147" s="11" t="s">
        <v>347</v>
      </c>
      <c r="C147" s="11" t="s">
        <v>2156</v>
      </c>
      <c r="D147" s="11" t="s">
        <v>120</v>
      </c>
      <c r="E147" s="11" t="s">
        <v>972</v>
      </c>
      <c r="F147" s="11" t="s">
        <v>49</v>
      </c>
      <c r="G147" s="12" t="str">
        <f>IFERROR(VLOOKUP(F147, DADOS_RM_EVENTOS_original!A:B, 2, FALSE), "Código não encontrado/Não digitado")</f>
        <v>Código não encontrado/Não digitado</v>
      </c>
      <c r="H147" s="12" t="s">
        <v>68</v>
      </c>
      <c r="I147" s="12" t="str">
        <f>IFERROR(VLOOKUP(H147, DADOS_RM_EVENTOS_original!C:D, 2, FALSE), "Código não encontrado/Não digitado")</f>
        <v>Código não encontrado/Não digitado</v>
      </c>
      <c r="J147" s="12" t="s">
        <v>68</v>
      </c>
      <c r="K147" s="12" t="str">
        <f>IFERROR(VLOOKUP(J147, DADOS_RM_EVENTOS_original!E:J, 2, FALSE), "Código não encontrado/Não digitado")</f>
        <v>Código não encontrado/Não digitado</v>
      </c>
      <c r="L147" s="12" t="s">
        <v>68</v>
      </c>
      <c r="M147" s="12" t="str">
        <f>IFERROR(VLOOKUP(L147, DADOS_RM_EVENTOS_original!K:L, 2, FALSE), "Código não encontrado/Não digitado")</f>
        <v>Código não encontrado/Não digitado</v>
      </c>
    </row>
    <row r="148" ht="15.75" customHeight="1">
      <c r="A148" s="11" t="s">
        <v>142</v>
      </c>
      <c r="B148" s="11" t="s">
        <v>347</v>
      </c>
      <c r="C148" s="11" t="s">
        <v>2156</v>
      </c>
      <c r="D148" s="11" t="s">
        <v>120</v>
      </c>
      <c r="E148" s="11" t="s">
        <v>985</v>
      </c>
      <c r="F148" s="11" t="s">
        <v>49</v>
      </c>
      <c r="G148" s="12" t="str">
        <f>IFERROR(VLOOKUP(F148, DADOS_RM_EVENTOS_original!A:B, 2, FALSE), "Código não encontrado/Não digitado")</f>
        <v>Código não encontrado/Não digitado</v>
      </c>
      <c r="H148" s="12" t="s">
        <v>68</v>
      </c>
      <c r="I148" s="12" t="str">
        <f>IFERROR(VLOOKUP(H148, DADOS_RM_EVENTOS_original!C:D, 2, FALSE), "Código não encontrado/Não digitado")</f>
        <v>Código não encontrado/Não digitado</v>
      </c>
      <c r="J148" s="12" t="s">
        <v>68</v>
      </c>
      <c r="K148" s="12" t="str">
        <f>IFERROR(VLOOKUP(J148, DADOS_RM_EVENTOS_original!E:J, 2, FALSE), "Código não encontrado/Não digitado")</f>
        <v>Código não encontrado/Não digitado</v>
      </c>
      <c r="L148" s="12" t="s">
        <v>68</v>
      </c>
      <c r="M148" s="12" t="str">
        <f>IFERROR(VLOOKUP(L148, DADOS_RM_EVENTOS_original!K:L, 2, FALSE), "Código não encontrado/Não digitado")</f>
        <v>Código não encontrado/Não digitado</v>
      </c>
    </row>
    <row r="149" ht="15.75" hidden="1" customHeight="1">
      <c r="A149" s="11" t="s">
        <v>38</v>
      </c>
      <c r="B149" s="11" t="s">
        <v>786</v>
      </c>
      <c r="C149" s="11" t="s">
        <v>1779</v>
      </c>
      <c r="D149" s="11" t="s">
        <v>120</v>
      </c>
      <c r="E149" s="11" t="s">
        <v>47</v>
      </c>
      <c r="F149" s="11" t="s">
        <v>1777</v>
      </c>
      <c r="G149" s="12" t="str">
        <f>IFERROR(VLOOKUP(F149, DADOS_RM_EVENTOS_original!A:B, 2, FALSE), "Código não encontrado/Não digitado")</f>
        <v>Adicional Noturno 30%</v>
      </c>
      <c r="H149" s="12" t="s">
        <v>68</v>
      </c>
      <c r="I149" s="12" t="str">
        <f>IFERROR(VLOOKUP(H149, DADOS_RM_EVENTOS_original!C:D, 2, FALSE), "Código não encontrado/Não digitado")</f>
        <v>Código não encontrado/Não digitado</v>
      </c>
      <c r="J149" s="12" t="s">
        <v>68</v>
      </c>
      <c r="K149" s="12" t="str">
        <f>IFERROR(VLOOKUP(J149, DADOS_RM_EVENTOS_original!E:J, 2, FALSE), "Código não encontrado/Não digitado")</f>
        <v>Código não encontrado/Não digitado</v>
      </c>
      <c r="L149" s="12" t="s">
        <v>68</v>
      </c>
      <c r="M149" s="12" t="str">
        <f>IFERROR(VLOOKUP(L149, DADOS_RM_EVENTOS_original!K:L, 2, FALSE), "Código não encontrado/Não digitado")</f>
        <v>Código não encontrado/Não digitado</v>
      </c>
    </row>
    <row r="150" ht="15.75" hidden="1" customHeight="1">
      <c r="A150" s="11" t="s">
        <v>38</v>
      </c>
      <c r="B150" s="11" t="s">
        <v>97</v>
      </c>
      <c r="C150" s="11" t="s">
        <v>2191</v>
      </c>
      <c r="D150" s="11" t="s">
        <v>96</v>
      </c>
      <c r="E150" s="11" t="s">
        <v>47</v>
      </c>
      <c r="F150" s="11" t="s">
        <v>99</v>
      </c>
      <c r="G150" s="12" t="str">
        <f>IFERROR(VLOOKUP(F150, DADOS_RM_EVENTOS_original!A:B, 2, FALSE), "Código não encontrado/Não digitado")</f>
        <v>Código não encontrado/Não digitado</v>
      </c>
      <c r="H150" s="12" t="s">
        <v>68</v>
      </c>
      <c r="I150" s="12" t="str">
        <f>IFERROR(VLOOKUP(H150, DADOS_RM_EVENTOS_original!C:D, 2, FALSE), "Código não encontrado/Não digitado")</f>
        <v>Código não encontrado/Não digitado</v>
      </c>
      <c r="J150" s="12" t="s">
        <v>68</v>
      </c>
      <c r="K150" s="12" t="str">
        <f>IFERROR(VLOOKUP(J150, DADOS_RM_EVENTOS_original!E:J, 2, FALSE), "Código não encontrado/Não digitado")</f>
        <v>Código não encontrado/Não digitado</v>
      </c>
      <c r="L150" s="12" t="s">
        <v>68</v>
      </c>
      <c r="M150" s="12" t="str">
        <f>IFERROR(VLOOKUP(L150, DADOS_RM_EVENTOS_original!K:L, 2, FALSE), "Código não encontrado/Não digitado")</f>
        <v>Código não encontrado/Não digitado</v>
      </c>
    </row>
    <row r="151" ht="15.75" hidden="1" customHeight="1">
      <c r="A151" s="11" t="s">
        <v>97</v>
      </c>
      <c r="B151" s="11" t="s">
        <v>2200</v>
      </c>
      <c r="C151" s="11" t="s">
        <v>2202</v>
      </c>
      <c r="D151" s="11" t="s">
        <v>96</v>
      </c>
      <c r="E151" s="11" t="s">
        <v>972</v>
      </c>
      <c r="F151" s="11" t="s">
        <v>99</v>
      </c>
      <c r="G151" s="12" t="str">
        <f>IFERROR(VLOOKUP(F151, DADOS_RM_EVENTOS_original!A:B, 2, FALSE), "Código não encontrado/Não digitado")</f>
        <v>Código não encontrado/Não digitado</v>
      </c>
      <c r="H151" s="12" t="s">
        <v>68</v>
      </c>
      <c r="I151" s="12" t="str">
        <f>IFERROR(VLOOKUP(H151, DADOS_RM_EVENTOS_original!C:D, 2, FALSE), "Código não encontrado/Não digitado")</f>
        <v>Código não encontrado/Não digitado</v>
      </c>
      <c r="J151" s="12" t="s">
        <v>68</v>
      </c>
      <c r="K151" s="12" t="str">
        <f>IFERROR(VLOOKUP(J151, DADOS_RM_EVENTOS_original!E:J, 2, FALSE), "Código não encontrado/Não digitado")</f>
        <v>Código não encontrado/Não digitado</v>
      </c>
      <c r="L151" s="12" t="s">
        <v>68</v>
      </c>
      <c r="M151" s="12" t="str">
        <f>IFERROR(VLOOKUP(L151, DADOS_RM_EVENTOS_original!K:L, 2, FALSE), "Código não encontrado/Não digitado")</f>
        <v>Código não encontrado/Não digitado</v>
      </c>
    </row>
    <row r="152" ht="15.75" hidden="1" customHeight="1">
      <c r="A152" s="11" t="s">
        <v>38</v>
      </c>
      <c r="B152" s="11" t="s">
        <v>2214</v>
      </c>
      <c r="C152" s="11" t="s">
        <v>2215</v>
      </c>
      <c r="D152" s="11" t="s">
        <v>120</v>
      </c>
      <c r="E152" s="11" t="s">
        <v>47</v>
      </c>
      <c r="F152" s="11" t="s">
        <v>2217</v>
      </c>
      <c r="G152" s="12" t="str">
        <f>IFERROR(VLOOKUP(F152, DADOS_RM_EVENTOS_original!A:B, 2, FALSE), "Código não encontrado/Não digitado")</f>
        <v>MP936 - Ajuda Compensatoria</v>
      </c>
      <c r="H152" s="12" t="s">
        <v>68</v>
      </c>
      <c r="I152" s="12" t="str">
        <f>IFERROR(VLOOKUP(H152, DADOS_RM_EVENTOS_original!C:D, 2, FALSE), "Código não encontrado/Não digitado")</f>
        <v>Código não encontrado/Não digitado</v>
      </c>
      <c r="J152" s="12" t="s">
        <v>68</v>
      </c>
      <c r="K152" s="12" t="str">
        <f>IFERROR(VLOOKUP(J152, DADOS_RM_EVENTOS_original!E:J, 2, FALSE), "Código não encontrado/Não digitado")</f>
        <v>Código não encontrado/Não digitado</v>
      </c>
      <c r="L152" s="12" t="s">
        <v>68</v>
      </c>
      <c r="M152" s="12" t="str">
        <f>IFERROR(VLOOKUP(L152, DADOS_RM_EVENTOS_original!K:L, 2, FALSE), "Código não encontrado/Não digitado")</f>
        <v>Código não encontrado/Não digitado</v>
      </c>
    </row>
    <row r="153" ht="15.75" hidden="1" customHeight="1">
      <c r="A153" s="11" t="s">
        <v>38</v>
      </c>
      <c r="B153" s="11" t="s">
        <v>2226</v>
      </c>
      <c r="C153" s="11" t="s">
        <v>2227</v>
      </c>
      <c r="D153" s="11" t="s">
        <v>120</v>
      </c>
      <c r="E153" s="11" t="s">
        <v>47</v>
      </c>
      <c r="F153" s="11" t="s">
        <v>2217</v>
      </c>
      <c r="G153" s="12" t="str">
        <f>IFERROR(VLOOKUP(F153, DADOS_RM_EVENTOS_original!A:B, 2, FALSE), "Código não encontrado/Não digitado")</f>
        <v>MP936 - Ajuda Compensatoria</v>
      </c>
      <c r="H153" s="12" t="s">
        <v>68</v>
      </c>
      <c r="I153" s="12" t="str">
        <f>IFERROR(VLOOKUP(H153, DADOS_RM_EVENTOS_original!C:D, 2, FALSE), "Código não encontrado/Não digitado")</f>
        <v>Código não encontrado/Não digitado</v>
      </c>
      <c r="J153" s="12" t="s">
        <v>68</v>
      </c>
      <c r="K153" s="12" t="str">
        <f>IFERROR(VLOOKUP(J153, DADOS_RM_EVENTOS_original!E:J, 2, FALSE), "Código não encontrado/Não digitado")</f>
        <v>Código não encontrado/Não digitado</v>
      </c>
      <c r="L153" s="12" t="s">
        <v>68</v>
      </c>
      <c r="M153" s="12" t="str">
        <f>IFERROR(VLOOKUP(L153, DADOS_RM_EVENTOS_original!K:L, 2, FALSE), "Código não encontrado/Não digitado")</f>
        <v>Código não encontrado/Não digitado</v>
      </c>
    </row>
    <row r="154" ht="15.75" customHeight="1">
      <c r="A154" s="11" t="s">
        <v>38</v>
      </c>
      <c r="B154" s="11" t="s">
        <v>789</v>
      </c>
      <c r="C154" s="11" t="s">
        <v>2237</v>
      </c>
      <c r="D154" s="11" t="s">
        <v>120</v>
      </c>
      <c r="E154" s="11" t="s">
        <v>47</v>
      </c>
      <c r="F154" s="11" t="s">
        <v>49</v>
      </c>
      <c r="G154" s="12" t="str">
        <f>IFERROR(VLOOKUP(F154, DADOS_RM_EVENTOS_original!A:B, 2, FALSE), "Código não encontrado/Não digitado")</f>
        <v>Código não encontrado/Não digitado</v>
      </c>
      <c r="H154" s="12" t="s">
        <v>68</v>
      </c>
      <c r="I154" s="12" t="str">
        <f>IFERROR(VLOOKUP(H154, DADOS_RM_EVENTOS_original!C:D, 2, FALSE), "Código não encontrado/Não digitado")</f>
        <v>Código não encontrado/Não digitado</v>
      </c>
      <c r="J154" s="12" t="s">
        <v>68</v>
      </c>
      <c r="K154" s="12" t="str">
        <f>IFERROR(VLOOKUP(J154, DADOS_RM_EVENTOS_original!E:J, 2, FALSE), "Código não encontrado/Não digitado")</f>
        <v>Código não encontrado/Não digitado</v>
      </c>
      <c r="L154" s="12" t="s">
        <v>68</v>
      </c>
      <c r="M154" s="12" t="str">
        <f>IFERROR(VLOOKUP(L154, DADOS_RM_EVENTOS_original!K:L, 2, FALSE), "Código não encontrado/Não digitado")</f>
        <v>Código não encontrado/Não digitado</v>
      </c>
    </row>
    <row r="155" ht="15.75" hidden="1" customHeight="1">
      <c r="A155" s="11" t="s">
        <v>38</v>
      </c>
      <c r="B155" s="11" t="s">
        <v>2246</v>
      </c>
      <c r="C155" s="11" t="s">
        <v>2247</v>
      </c>
      <c r="D155" s="11" t="s">
        <v>120</v>
      </c>
      <c r="E155" s="11" t="s">
        <v>47</v>
      </c>
      <c r="F155" s="11" t="s">
        <v>115</v>
      </c>
      <c r="G155" s="12" t="str">
        <f>IFERROR(VLOOKUP(F155, DADOS_RM_EVENTOS_original!A:B, 2, FALSE), "Código não encontrado/Não digitado")</f>
        <v>Ajuda de Custo s/Incidencia</v>
      </c>
      <c r="H155" s="12" t="s">
        <v>68</v>
      </c>
      <c r="I155" s="12" t="str">
        <f>IFERROR(VLOOKUP(H155, DADOS_RM_EVENTOS_original!C:D, 2, FALSE), "Código não encontrado/Não digitado")</f>
        <v>Código não encontrado/Não digitado</v>
      </c>
      <c r="J155" s="12" t="s">
        <v>68</v>
      </c>
      <c r="K155" s="12" t="str">
        <f>IFERROR(VLOOKUP(J155, DADOS_RM_EVENTOS_original!E:J, 2, FALSE), "Código não encontrado/Não digitado")</f>
        <v>Código não encontrado/Não digitado</v>
      </c>
      <c r="L155" s="12" t="s">
        <v>68</v>
      </c>
      <c r="M155" s="12" t="str">
        <f>IFERROR(VLOOKUP(L155, DADOS_RM_EVENTOS_original!K:L, 2, FALSE), "Código não encontrado/Não digitado")</f>
        <v>Código não encontrado/Não digitado</v>
      </c>
    </row>
    <row r="156" ht="15.75" hidden="1" customHeight="1">
      <c r="A156" s="11" t="s">
        <v>97</v>
      </c>
      <c r="B156" s="11" t="s">
        <v>804</v>
      </c>
      <c r="C156" s="11" t="s">
        <v>2261</v>
      </c>
      <c r="D156" s="11" t="s">
        <v>120</v>
      </c>
      <c r="E156" s="11" t="s">
        <v>972</v>
      </c>
      <c r="F156" s="11" t="s">
        <v>1486</v>
      </c>
      <c r="G156" s="12" t="str">
        <f>IFERROR(VLOOKUP(F156, DADOS_RM_EVENTOS_original!A:B, 2, FALSE), "Código não encontrado/Não digitado")</f>
        <v>Auxilio Alimentacao</v>
      </c>
      <c r="H156" s="12" t="s">
        <v>68</v>
      </c>
      <c r="I156" s="12" t="str">
        <f>IFERROR(VLOOKUP(H156, DADOS_RM_EVENTOS_original!C:D, 2, FALSE), "Código não encontrado/Não digitado")</f>
        <v>Código não encontrado/Não digitado</v>
      </c>
      <c r="J156" s="12" t="s">
        <v>68</v>
      </c>
      <c r="K156" s="12" t="str">
        <f>IFERROR(VLOOKUP(J156, DADOS_RM_EVENTOS_original!E:J, 2, FALSE), "Código não encontrado/Não digitado")</f>
        <v>Código não encontrado/Não digitado</v>
      </c>
      <c r="L156" s="12" t="s">
        <v>68</v>
      </c>
      <c r="M156" s="12" t="str">
        <f>IFERROR(VLOOKUP(L156, DADOS_RM_EVENTOS_original!K:L, 2, FALSE), "Código não encontrado/Não digitado")</f>
        <v>Código não encontrado/Não digitado</v>
      </c>
    </row>
    <row r="157" ht="15.75" hidden="1" customHeight="1">
      <c r="A157" s="11" t="s">
        <v>142</v>
      </c>
      <c r="B157" s="11" t="s">
        <v>583</v>
      </c>
      <c r="C157" s="11" t="s">
        <v>2271</v>
      </c>
      <c r="D157" s="11" t="s">
        <v>44</v>
      </c>
      <c r="E157" s="11" t="s">
        <v>985</v>
      </c>
      <c r="F157" s="11" t="s">
        <v>157</v>
      </c>
      <c r="G157" s="12" t="str">
        <f>IFERROR(VLOOKUP(F157, DADOS_RM_EVENTOS_original!A:B, 2, FALSE), "Código não encontrado/Não digitado")</f>
        <v>Desc. Vale Alimentacao</v>
      </c>
      <c r="H157" s="12" t="s">
        <v>68</v>
      </c>
      <c r="I157" s="12" t="str">
        <f>IFERROR(VLOOKUP(H157, DADOS_RM_EVENTOS_original!C:D, 2, FALSE), "Código não encontrado/Não digitado")</f>
        <v>Código não encontrado/Não digitado</v>
      </c>
      <c r="J157" s="12" t="s">
        <v>68</v>
      </c>
      <c r="K157" s="12" t="str">
        <f>IFERROR(VLOOKUP(J157, DADOS_RM_EVENTOS_original!E:J, 2, FALSE), "Código não encontrado/Não digitado")</f>
        <v>Código não encontrado/Não digitado</v>
      </c>
      <c r="L157" s="12" t="s">
        <v>68</v>
      </c>
      <c r="M157" s="12" t="str">
        <f>IFERROR(VLOOKUP(L157, DADOS_RM_EVENTOS_original!K:L, 2, FALSE), "Código não encontrado/Não digitado")</f>
        <v>Código não encontrado/Não digitado</v>
      </c>
    </row>
    <row r="158" ht="15.75" hidden="1" customHeight="1">
      <c r="A158" s="11" t="s">
        <v>172</v>
      </c>
      <c r="B158" s="11" t="s">
        <v>630</v>
      </c>
      <c r="C158" s="11" t="s">
        <v>2286</v>
      </c>
      <c r="D158" s="11" t="s">
        <v>44</v>
      </c>
      <c r="E158" s="11" t="s">
        <v>1029</v>
      </c>
      <c r="F158" s="11" t="s">
        <v>521</v>
      </c>
      <c r="G158" s="12" t="str">
        <f>IFERROR(VLOOKUP(F158, DADOS_RM_EVENTOS_original!A:B, 2, FALSE), "Código não encontrado/Não digitado")</f>
        <v>Desc. Cesta Basica</v>
      </c>
      <c r="H158" s="12" t="s">
        <v>68</v>
      </c>
      <c r="I158" s="12" t="str">
        <f>IFERROR(VLOOKUP(H158, DADOS_RM_EVENTOS_original!C:D, 2, FALSE), "Código não encontrado/Não digitado")</f>
        <v>Código não encontrado/Não digitado</v>
      </c>
      <c r="J158" s="12" t="s">
        <v>68</v>
      </c>
      <c r="K158" s="12" t="str">
        <f>IFERROR(VLOOKUP(J158, DADOS_RM_EVENTOS_original!E:J, 2, FALSE), "Código não encontrado/Não digitado")</f>
        <v>Código não encontrado/Não digitado</v>
      </c>
      <c r="L158" s="12" t="s">
        <v>68</v>
      </c>
      <c r="M158" s="12" t="str">
        <f>IFERROR(VLOOKUP(L158, DADOS_RM_EVENTOS_original!K:L, 2, FALSE), "Código não encontrado/Não digitado")</f>
        <v>Código não encontrado/Não digitado</v>
      </c>
    </row>
    <row r="159" ht="15.75" hidden="1" customHeight="1">
      <c r="A159" s="11" t="s">
        <v>38</v>
      </c>
      <c r="B159" s="11" t="s">
        <v>583</v>
      </c>
      <c r="C159" s="11" t="s">
        <v>2298</v>
      </c>
      <c r="D159" s="11" t="s">
        <v>44</v>
      </c>
      <c r="E159" s="11" t="s">
        <v>47</v>
      </c>
      <c r="F159" s="11" t="s">
        <v>157</v>
      </c>
      <c r="G159" s="12" t="str">
        <f>IFERROR(VLOOKUP(F159, DADOS_RM_EVENTOS_original!A:B, 2, FALSE), "Código não encontrado/Não digitado")</f>
        <v>Desc. Vale Alimentacao</v>
      </c>
      <c r="H159" s="12" t="s">
        <v>68</v>
      </c>
      <c r="I159" s="12" t="str">
        <f>IFERROR(VLOOKUP(H159, DADOS_RM_EVENTOS_original!C:D, 2, FALSE), "Código não encontrado/Não digitado")</f>
        <v>Código não encontrado/Não digitado</v>
      </c>
      <c r="J159" s="12" t="s">
        <v>68</v>
      </c>
      <c r="K159" s="12" t="str">
        <f>IFERROR(VLOOKUP(J159, DADOS_RM_EVENTOS_original!E:J, 2, FALSE), "Código não encontrado/Não digitado")</f>
        <v>Código não encontrado/Não digitado</v>
      </c>
      <c r="L159" s="12" t="s">
        <v>68</v>
      </c>
      <c r="M159" s="12" t="str">
        <f>IFERROR(VLOOKUP(L159, DADOS_RM_EVENTOS_original!K:L, 2, FALSE), "Código não encontrado/Não digitado")</f>
        <v>Código não encontrado/Não digitado</v>
      </c>
    </row>
    <row r="160" ht="15.75" hidden="1" customHeight="1">
      <c r="A160" s="11" t="s">
        <v>115</v>
      </c>
      <c r="B160" s="11" t="s">
        <v>583</v>
      </c>
      <c r="C160" s="11" t="s">
        <v>2298</v>
      </c>
      <c r="D160" s="11" t="s">
        <v>44</v>
      </c>
      <c r="E160" s="11" t="s">
        <v>121</v>
      </c>
      <c r="F160" s="11" t="s">
        <v>157</v>
      </c>
      <c r="G160" s="12" t="str">
        <f>IFERROR(VLOOKUP(F160, DADOS_RM_EVENTOS_original!A:B, 2, FALSE), "Código não encontrado/Não digitado")</f>
        <v>Desc. Vale Alimentacao</v>
      </c>
      <c r="H160" s="12" t="s">
        <v>68</v>
      </c>
      <c r="I160" s="12" t="str">
        <f>IFERROR(VLOOKUP(H160, DADOS_RM_EVENTOS_original!C:D, 2, FALSE), "Código não encontrado/Não digitado")</f>
        <v>Código não encontrado/Não digitado</v>
      </c>
      <c r="J160" s="12" t="s">
        <v>68</v>
      </c>
      <c r="K160" s="12" t="str">
        <f>IFERROR(VLOOKUP(J160, DADOS_RM_EVENTOS_original!E:J, 2, FALSE), "Código não encontrado/Não digitado")</f>
        <v>Código não encontrado/Não digitado</v>
      </c>
      <c r="L160" s="12" t="s">
        <v>68</v>
      </c>
      <c r="M160" s="12" t="str">
        <f>IFERROR(VLOOKUP(L160, DADOS_RM_EVENTOS_original!K:L, 2, FALSE), "Código não encontrado/Não digitado")</f>
        <v>Código não encontrado/Não digitado</v>
      </c>
    </row>
    <row r="161" ht="15.75" hidden="1" customHeight="1">
      <c r="A161" s="11" t="s">
        <v>199</v>
      </c>
      <c r="B161" s="11" t="s">
        <v>211</v>
      </c>
      <c r="C161" s="11" t="s">
        <v>2298</v>
      </c>
      <c r="D161" s="11" t="s">
        <v>44</v>
      </c>
      <c r="E161" s="11" t="s">
        <v>1074</v>
      </c>
      <c r="F161" s="11" t="s">
        <v>157</v>
      </c>
      <c r="G161" s="12" t="str">
        <f>IFERROR(VLOOKUP(F161, DADOS_RM_EVENTOS_original!A:B, 2, FALSE), "Código não encontrado/Não digitado")</f>
        <v>Desc. Vale Alimentacao</v>
      </c>
      <c r="H161" s="12" t="s">
        <v>68</v>
      </c>
      <c r="I161" s="12" t="str">
        <f>IFERROR(VLOOKUP(H161, DADOS_RM_EVENTOS_original!C:D, 2, FALSE), "Código não encontrado/Não digitado")</f>
        <v>Código não encontrado/Não digitado</v>
      </c>
      <c r="J161" s="12" t="s">
        <v>68</v>
      </c>
      <c r="K161" s="12" t="str">
        <f>IFERROR(VLOOKUP(J161, DADOS_RM_EVENTOS_original!E:J, 2, FALSE), "Código não encontrado/Não digitado")</f>
        <v>Código não encontrado/Não digitado</v>
      </c>
      <c r="L161" s="12" t="s">
        <v>68</v>
      </c>
      <c r="M161" s="12" t="str">
        <f>IFERROR(VLOOKUP(L161, DADOS_RM_EVENTOS_original!K:L, 2, FALSE), "Código não encontrado/Não digitado")</f>
        <v>Código não encontrado/Não digitado</v>
      </c>
    </row>
    <row r="162" ht="15.75" hidden="1" customHeight="1">
      <c r="A162" s="11" t="s">
        <v>38</v>
      </c>
      <c r="B162" s="11" t="s">
        <v>1665</v>
      </c>
      <c r="C162" s="11" t="s">
        <v>2324</v>
      </c>
      <c r="D162" s="11" t="s">
        <v>44</v>
      </c>
      <c r="E162" s="11" t="s">
        <v>47</v>
      </c>
      <c r="F162" s="11" t="s">
        <v>718</v>
      </c>
      <c r="G162" s="12" t="str">
        <f>IFERROR(VLOOKUP(F162, DADOS_RM_EVENTOS_original!A:B, 2, FALSE), "Código não encontrado/Não digitado")</f>
        <v>Desc. Cafe da Manha</v>
      </c>
      <c r="H162" s="12" t="s">
        <v>68</v>
      </c>
      <c r="I162" s="12" t="str">
        <f>IFERROR(VLOOKUP(H162, DADOS_RM_EVENTOS_original!C:D, 2, FALSE), "Código não encontrado/Não digitado")</f>
        <v>Código não encontrado/Não digitado</v>
      </c>
      <c r="J162" s="12" t="s">
        <v>68</v>
      </c>
      <c r="K162" s="12" t="str">
        <f>IFERROR(VLOOKUP(J162, DADOS_RM_EVENTOS_original!E:J, 2, FALSE), "Código não encontrado/Não digitado")</f>
        <v>Código não encontrado/Não digitado</v>
      </c>
      <c r="L162" s="12" t="s">
        <v>68</v>
      </c>
      <c r="M162" s="12" t="str">
        <f>IFERROR(VLOOKUP(L162, DADOS_RM_EVENTOS_original!K:L, 2, FALSE), "Código não encontrado/Não digitado")</f>
        <v>Código não encontrado/Não digitado</v>
      </c>
    </row>
    <row r="163" ht="15.75" hidden="1" customHeight="1">
      <c r="A163" s="11" t="s">
        <v>115</v>
      </c>
      <c r="B163" s="11" t="s">
        <v>1665</v>
      </c>
      <c r="C163" s="11" t="s">
        <v>2324</v>
      </c>
      <c r="D163" s="11" t="s">
        <v>44</v>
      </c>
      <c r="E163" s="11" t="s">
        <v>121</v>
      </c>
      <c r="F163" s="11" t="s">
        <v>718</v>
      </c>
      <c r="G163" s="12" t="str">
        <f>IFERROR(VLOOKUP(F163, DADOS_RM_EVENTOS_original!A:B, 2, FALSE), "Código não encontrado/Não digitado")</f>
        <v>Desc. Cafe da Manha</v>
      </c>
      <c r="H163" s="12" t="s">
        <v>68</v>
      </c>
      <c r="I163" s="12" t="str">
        <f>IFERROR(VLOOKUP(H163, DADOS_RM_EVENTOS_original!C:D, 2, FALSE), "Código não encontrado/Não digitado")</f>
        <v>Código não encontrado/Não digitado</v>
      </c>
      <c r="J163" s="12" t="s">
        <v>68</v>
      </c>
      <c r="K163" s="12" t="str">
        <f>IFERROR(VLOOKUP(J163, DADOS_RM_EVENTOS_original!E:J, 2, FALSE), "Código não encontrado/Não digitado")</f>
        <v>Código não encontrado/Não digitado</v>
      </c>
      <c r="L163" s="12" t="s">
        <v>68</v>
      </c>
      <c r="M163" s="12" t="str">
        <f>IFERROR(VLOOKUP(L163, DADOS_RM_EVENTOS_original!K:L, 2, FALSE), "Código não encontrado/Não digitado")</f>
        <v>Código não encontrado/Não digitado</v>
      </c>
    </row>
    <row r="164" ht="15.75" hidden="1" customHeight="1">
      <c r="A164" s="11" t="s">
        <v>142</v>
      </c>
      <c r="B164" s="11" t="s">
        <v>1665</v>
      </c>
      <c r="C164" s="11" t="s">
        <v>2345</v>
      </c>
      <c r="D164" s="11" t="s">
        <v>44</v>
      </c>
      <c r="E164" s="11" t="s">
        <v>985</v>
      </c>
      <c r="F164" s="11" t="s">
        <v>718</v>
      </c>
      <c r="G164" s="12" t="str">
        <f>IFERROR(VLOOKUP(F164, DADOS_RM_EVENTOS_original!A:B, 2, FALSE), "Código não encontrado/Não digitado")</f>
        <v>Desc. Cafe da Manha</v>
      </c>
      <c r="H164" s="12" t="s">
        <v>68</v>
      </c>
      <c r="I164" s="12" t="str">
        <f>IFERROR(VLOOKUP(H164, DADOS_RM_EVENTOS_original!C:D, 2, FALSE), "Código não encontrado/Não digitado")</f>
        <v>Código não encontrado/Não digitado</v>
      </c>
      <c r="J164" s="12" t="s">
        <v>68</v>
      </c>
      <c r="K164" s="12" t="str">
        <f>IFERROR(VLOOKUP(J164, DADOS_RM_EVENTOS_original!E:J, 2, FALSE), "Código não encontrado/Não digitado")</f>
        <v>Código não encontrado/Não digitado</v>
      </c>
      <c r="L164" s="12" t="s">
        <v>68</v>
      </c>
      <c r="M164" s="12" t="str">
        <f>IFERROR(VLOOKUP(L164, DADOS_RM_EVENTOS_original!K:L, 2, FALSE), "Código não encontrado/Não digitado")</f>
        <v>Código não encontrado/Não digitado</v>
      </c>
    </row>
    <row r="165" ht="15.75" hidden="1" customHeight="1">
      <c r="A165" s="11" t="s">
        <v>97</v>
      </c>
      <c r="B165" s="11" t="s">
        <v>153</v>
      </c>
      <c r="C165" s="11" t="s">
        <v>2358</v>
      </c>
      <c r="D165" s="11" t="s">
        <v>44</v>
      </c>
      <c r="E165" s="11" t="s">
        <v>972</v>
      </c>
      <c r="F165" s="11" t="s">
        <v>507</v>
      </c>
      <c r="G165" s="12" t="str">
        <f>IFERROR(VLOOKUP(F165, DADOS_RM_EVENTOS_original!A:B, 2, FALSE), "Código não encontrado/Não digitado")</f>
        <v>Desc. Vale Refeicao</v>
      </c>
      <c r="H165" s="12" t="s">
        <v>68</v>
      </c>
      <c r="I165" s="12" t="str">
        <f>IFERROR(VLOOKUP(H165, DADOS_RM_EVENTOS_original!C:D, 2, FALSE), "Código não encontrado/Não digitado")</f>
        <v>Código não encontrado/Não digitado</v>
      </c>
      <c r="J165" s="12" t="s">
        <v>68</v>
      </c>
      <c r="K165" s="12" t="str">
        <f>IFERROR(VLOOKUP(J165, DADOS_RM_EVENTOS_original!E:J, 2, FALSE), "Código não encontrado/Não digitado")</f>
        <v>Código não encontrado/Não digitado</v>
      </c>
      <c r="L165" s="12" t="s">
        <v>68</v>
      </c>
      <c r="M165" s="12" t="str">
        <f>IFERROR(VLOOKUP(L165, DADOS_RM_EVENTOS_original!K:L, 2, FALSE), "Código não encontrado/Não digitado")</f>
        <v>Código não encontrado/Não digitado</v>
      </c>
    </row>
    <row r="166" ht="15.75" hidden="1" customHeight="1">
      <c r="A166" s="11" t="s">
        <v>142</v>
      </c>
      <c r="B166" s="11" t="s">
        <v>153</v>
      </c>
      <c r="C166" s="11" t="s">
        <v>2370</v>
      </c>
      <c r="D166" s="11" t="s">
        <v>120</v>
      </c>
      <c r="E166" s="11" t="s">
        <v>985</v>
      </c>
      <c r="F166" s="11" t="s">
        <v>844</v>
      </c>
      <c r="G166" s="12" t="str">
        <f>IFERROR(VLOOKUP(F166, DADOS_RM_EVENTOS_original!A:B, 2, FALSE), "Código não encontrado/Não digitado")</f>
        <v>Reembolso Desc. Vale Refeicao</v>
      </c>
      <c r="H166" s="12" t="s">
        <v>68</v>
      </c>
      <c r="I166" s="12" t="str">
        <f>IFERROR(VLOOKUP(H166, DADOS_RM_EVENTOS_original!C:D, 2, FALSE), "Código não encontrado/Não digitado")</f>
        <v>Código não encontrado/Não digitado</v>
      </c>
      <c r="J166" s="12" t="s">
        <v>68</v>
      </c>
      <c r="K166" s="12" t="str">
        <f>IFERROR(VLOOKUP(J166, DADOS_RM_EVENTOS_original!E:J, 2, FALSE), "Código não encontrado/Não digitado")</f>
        <v>Código não encontrado/Não digitado</v>
      </c>
      <c r="L166" s="12" t="s">
        <v>68</v>
      </c>
      <c r="M166" s="12" t="str">
        <f>IFERROR(VLOOKUP(L166, DADOS_RM_EVENTOS_original!K:L, 2, FALSE), "Código não encontrado/Não digitado")</f>
        <v>Código não encontrado/Não digitado</v>
      </c>
    </row>
    <row r="167" ht="15.75" hidden="1" customHeight="1">
      <c r="A167" s="11" t="s">
        <v>38</v>
      </c>
      <c r="B167" s="11" t="s">
        <v>172</v>
      </c>
      <c r="C167" s="11" t="s">
        <v>2379</v>
      </c>
      <c r="D167" s="11" t="s">
        <v>120</v>
      </c>
      <c r="E167" s="11" t="s">
        <v>47</v>
      </c>
      <c r="F167" s="11" t="s">
        <v>220</v>
      </c>
      <c r="G167" s="12" t="str">
        <f>IFERROR(VLOOKUP(F167, DADOS_RM_EVENTOS_original!A:B, 2, FALSE), "Código não encontrado/Não digitado")</f>
        <v>Adicional por Tempo Servico Anuenio</v>
      </c>
      <c r="H167" s="12" t="s">
        <v>68</v>
      </c>
      <c r="I167" s="12" t="str">
        <f>IFERROR(VLOOKUP(H167, DADOS_RM_EVENTOS_original!C:D, 2, FALSE), "Código não encontrado/Não digitado")</f>
        <v>Código não encontrado/Não digitado</v>
      </c>
      <c r="J167" s="12" t="s">
        <v>68</v>
      </c>
      <c r="K167" s="12" t="str">
        <f>IFERROR(VLOOKUP(J167, DADOS_RM_EVENTOS_original!E:J, 2, FALSE), "Código não encontrado/Não digitado")</f>
        <v>Código não encontrado/Não digitado</v>
      </c>
      <c r="L167" s="12" t="s">
        <v>68</v>
      </c>
      <c r="M167" s="12" t="str">
        <f>IFERROR(VLOOKUP(L167, DADOS_RM_EVENTOS_original!K:L, 2, FALSE), "Código não encontrado/Não digitado")</f>
        <v>Código não encontrado/Não digitado</v>
      </c>
    </row>
    <row r="168" ht="15.75" hidden="1" customHeight="1">
      <c r="A168" s="11" t="s">
        <v>38</v>
      </c>
      <c r="B168" s="11" t="s">
        <v>523</v>
      </c>
      <c r="C168" s="11" t="s">
        <v>2395</v>
      </c>
      <c r="D168" s="11" t="s">
        <v>96</v>
      </c>
      <c r="E168" s="11" t="s">
        <v>47</v>
      </c>
      <c r="F168" s="11" t="s">
        <v>99</v>
      </c>
      <c r="G168" s="12" t="str">
        <f>IFERROR(VLOOKUP(F168, DADOS_RM_EVENTOS_original!A:B, 2, FALSE), "Código não encontrado/Não digitado")</f>
        <v>Código não encontrado/Não digitado</v>
      </c>
      <c r="H168" s="12" t="s">
        <v>68</v>
      </c>
      <c r="I168" s="12" t="str">
        <f>IFERROR(VLOOKUP(H168, DADOS_RM_EVENTOS_original!C:D, 2, FALSE), "Código não encontrado/Não digitado")</f>
        <v>Código não encontrado/Não digitado</v>
      </c>
      <c r="J168" s="12" t="s">
        <v>68</v>
      </c>
      <c r="K168" s="12" t="str">
        <f>IFERROR(VLOOKUP(J168, DADOS_RM_EVENTOS_original!E:J, 2, FALSE), "Código não encontrado/Não digitado")</f>
        <v>Código não encontrado/Não digitado</v>
      </c>
      <c r="L168" s="12" t="s">
        <v>68</v>
      </c>
      <c r="M168" s="12" t="str">
        <f>IFERROR(VLOOKUP(L168, DADOS_RM_EVENTOS_original!K:L, 2, FALSE), "Código não encontrado/Não digitado")</f>
        <v>Código não encontrado/Não digitado</v>
      </c>
    </row>
    <row r="169" ht="15.75" hidden="1" customHeight="1">
      <c r="A169" s="11" t="s">
        <v>97</v>
      </c>
      <c r="B169" s="11" t="s">
        <v>2409</v>
      </c>
      <c r="C169" s="11" t="s">
        <v>2395</v>
      </c>
      <c r="D169" s="11" t="s">
        <v>96</v>
      </c>
      <c r="E169" s="11" t="s">
        <v>972</v>
      </c>
      <c r="F169" s="11" t="s">
        <v>99</v>
      </c>
      <c r="G169" s="12" t="str">
        <f>IFERROR(VLOOKUP(F169, DADOS_RM_EVENTOS_original!A:B, 2, FALSE), "Código não encontrado/Não digitado")</f>
        <v>Código não encontrado/Não digitado</v>
      </c>
      <c r="H169" s="12" t="s">
        <v>68</v>
      </c>
      <c r="I169" s="12" t="str">
        <f>IFERROR(VLOOKUP(H169, DADOS_RM_EVENTOS_original!C:D, 2, FALSE), "Código não encontrado/Não digitado")</f>
        <v>Código não encontrado/Não digitado</v>
      </c>
      <c r="J169" s="12" t="s">
        <v>68</v>
      </c>
      <c r="K169" s="12" t="str">
        <f>IFERROR(VLOOKUP(J169, DADOS_RM_EVENTOS_original!E:J, 2, FALSE), "Código não encontrado/Não digitado")</f>
        <v>Código não encontrado/Não digitado</v>
      </c>
      <c r="L169" s="12" t="s">
        <v>68</v>
      </c>
      <c r="M169" s="12" t="str">
        <f>IFERROR(VLOOKUP(L169, DADOS_RM_EVENTOS_original!K:L, 2, FALSE), "Código não encontrado/Não digitado")</f>
        <v>Código não encontrado/Não digitado</v>
      </c>
    </row>
    <row r="170" ht="15.75" hidden="1" customHeight="1">
      <c r="A170" s="11" t="s">
        <v>142</v>
      </c>
      <c r="B170" s="11" t="s">
        <v>1299</v>
      </c>
      <c r="C170" s="11" t="s">
        <v>2395</v>
      </c>
      <c r="D170" s="11" t="s">
        <v>96</v>
      </c>
      <c r="E170" s="11" t="s">
        <v>985</v>
      </c>
      <c r="F170" s="11" t="s">
        <v>99</v>
      </c>
      <c r="G170" s="12" t="str">
        <f>IFERROR(VLOOKUP(F170, DADOS_RM_EVENTOS_original!A:B, 2, FALSE), "Código não encontrado/Não digitado")</f>
        <v>Código não encontrado/Não digitado</v>
      </c>
      <c r="H170" s="12" t="s">
        <v>68</v>
      </c>
      <c r="I170" s="12" t="str">
        <f>IFERROR(VLOOKUP(H170, DADOS_RM_EVENTOS_original!C:D, 2, FALSE), "Código não encontrado/Não digitado")</f>
        <v>Código não encontrado/Não digitado</v>
      </c>
      <c r="J170" s="12" t="s">
        <v>68</v>
      </c>
      <c r="K170" s="12" t="str">
        <f>IFERROR(VLOOKUP(J170, DADOS_RM_EVENTOS_original!E:J, 2, FALSE), "Código não encontrado/Não digitado")</f>
        <v>Código não encontrado/Não digitado</v>
      </c>
      <c r="L170" s="12" t="s">
        <v>68</v>
      </c>
      <c r="M170" s="12" t="str">
        <f>IFERROR(VLOOKUP(L170, DADOS_RM_EVENTOS_original!K:L, 2, FALSE), "Código não encontrado/Não digitado")</f>
        <v>Código não encontrado/Não digitado</v>
      </c>
    </row>
    <row r="171" ht="15.75" hidden="1" customHeight="1">
      <c r="A171" s="11" t="s">
        <v>199</v>
      </c>
      <c r="B171" s="11" t="s">
        <v>2440</v>
      </c>
      <c r="C171" s="11" t="s">
        <v>2395</v>
      </c>
      <c r="D171" s="11" t="s">
        <v>96</v>
      </c>
      <c r="E171" s="11" t="s">
        <v>1074</v>
      </c>
      <c r="F171" s="11" t="s">
        <v>99</v>
      </c>
      <c r="G171" s="12" t="str">
        <f>IFERROR(VLOOKUP(F171, DADOS_RM_EVENTOS_original!A:B, 2, FALSE), "Código não encontrado/Não digitado")</f>
        <v>Código não encontrado/Não digitado</v>
      </c>
      <c r="H171" s="12" t="s">
        <v>68</v>
      </c>
      <c r="I171" s="12" t="str">
        <f>IFERROR(VLOOKUP(H171, DADOS_RM_EVENTOS_original!C:D, 2, FALSE), "Código não encontrado/Não digitado")</f>
        <v>Código não encontrado/Não digitado</v>
      </c>
      <c r="J171" s="12" t="s">
        <v>68</v>
      </c>
      <c r="K171" s="12" t="str">
        <f>IFERROR(VLOOKUP(J171, DADOS_RM_EVENTOS_original!E:J, 2, FALSE), "Código não encontrado/Não digitado")</f>
        <v>Código não encontrado/Não digitado</v>
      </c>
      <c r="L171" s="12" t="s">
        <v>68</v>
      </c>
      <c r="M171" s="12" t="str">
        <f>IFERROR(VLOOKUP(L171, DADOS_RM_EVENTOS_original!K:L, 2, FALSE), "Código não encontrado/Não digitado")</f>
        <v>Código não encontrado/Não digitado</v>
      </c>
    </row>
    <row r="172" ht="15.75" hidden="1" customHeight="1">
      <c r="A172" s="11" t="s">
        <v>38</v>
      </c>
      <c r="B172" s="11" t="s">
        <v>526</v>
      </c>
      <c r="C172" s="11" t="s">
        <v>2453</v>
      </c>
      <c r="D172" s="11" t="s">
        <v>96</v>
      </c>
      <c r="E172" s="11" t="s">
        <v>47</v>
      </c>
      <c r="F172" s="11" t="s">
        <v>99</v>
      </c>
      <c r="G172" s="12" t="str">
        <f>IFERROR(VLOOKUP(F172, DADOS_RM_EVENTOS_original!A:B, 2, FALSE), "Código não encontrado/Não digitado")</f>
        <v>Código não encontrado/Não digitado</v>
      </c>
      <c r="H172" s="12" t="s">
        <v>68</v>
      </c>
      <c r="I172" s="12" t="str">
        <f>IFERROR(VLOOKUP(H172, DADOS_RM_EVENTOS_original!C:D, 2, FALSE), "Código não encontrado/Não digitado")</f>
        <v>Código não encontrado/Não digitado</v>
      </c>
      <c r="J172" s="12" t="s">
        <v>68</v>
      </c>
      <c r="K172" s="12" t="str">
        <f>IFERROR(VLOOKUP(J172, DADOS_RM_EVENTOS_original!E:J, 2, FALSE), "Código não encontrado/Não digitado")</f>
        <v>Código não encontrado/Não digitado</v>
      </c>
      <c r="L172" s="12" t="s">
        <v>68</v>
      </c>
      <c r="M172" s="12" t="str">
        <f>IFERROR(VLOOKUP(L172, DADOS_RM_EVENTOS_original!K:L, 2, FALSE), "Código não encontrado/Não digitado")</f>
        <v>Código não encontrado/Não digitado</v>
      </c>
    </row>
    <row r="173" ht="15.75" hidden="1" customHeight="1">
      <c r="A173" s="11" t="s">
        <v>115</v>
      </c>
      <c r="B173" s="11" t="s">
        <v>412</v>
      </c>
      <c r="C173" s="11" t="s">
        <v>2453</v>
      </c>
      <c r="D173" s="11" t="s">
        <v>96</v>
      </c>
      <c r="E173" s="11" t="s">
        <v>121</v>
      </c>
      <c r="F173" s="11" t="s">
        <v>99</v>
      </c>
      <c r="G173" s="12" t="str">
        <f>IFERROR(VLOOKUP(F173, DADOS_RM_EVENTOS_original!A:B, 2, FALSE), "Código não encontrado/Não digitado")</f>
        <v>Código não encontrado/Não digitado</v>
      </c>
      <c r="H173" s="12" t="s">
        <v>68</v>
      </c>
      <c r="I173" s="12" t="str">
        <f>IFERROR(VLOOKUP(H173, DADOS_RM_EVENTOS_original!C:D, 2, FALSE), "Código não encontrado/Não digitado")</f>
        <v>Código não encontrado/Não digitado</v>
      </c>
      <c r="J173" s="12" t="s">
        <v>68</v>
      </c>
      <c r="K173" s="12" t="str">
        <f>IFERROR(VLOOKUP(J173, DADOS_RM_EVENTOS_original!E:J, 2, FALSE), "Código não encontrado/Não digitado")</f>
        <v>Código não encontrado/Não digitado</v>
      </c>
      <c r="L173" s="12" t="s">
        <v>68</v>
      </c>
      <c r="M173" s="12" t="str">
        <f>IFERROR(VLOOKUP(L173, DADOS_RM_EVENTOS_original!K:L, 2, FALSE), "Código não encontrado/Não digitado")</f>
        <v>Código não encontrado/Não digitado</v>
      </c>
    </row>
    <row r="174" ht="15.75" hidden="1" customHeight="1">
      <c r="A174" s="11" t="s">
        <v>38</v>
      </c>
      <c r="B174" s="11" t="s">
        <v>1193</v>
      </c>
      <c r="C174" s="11" t="s">
        <v>2473</v>
      </c>
      <c r="D174" s="11" t="s">
        <v>44</v>
      </c>
      <c r="E174" s="11" t="s">
        <v>47</v>
      </c>
      <c r="F174" s="11" t="s">
        <v>838</v>
      </c>
      <c r="G174" s="12" t="str">
        <f>IFERROR(VLOOKUP(F174, DADOS_RM_EVENTOS_original!A:B, 2, FALSE), "Código não encontrado/Não digitado")</f>
        <v>Desc. Contribuicao Confederativa</v>
      </c>
      <c r="H174" s="12" t="s">
        <v>68</v>
      </c>
      <c r="I174" s="12" t="str">
        <f>IFERROR(VLOOKUP(H174, DADOS_RM_EVENTOS_original!C:D, 2, FALSE), "Código não encontrado/Não digitado")</f>
        <v>Código não encontrado/Não digitado</v>
      </c>
      <c r="J174" s="12" t="s">
        <v>68</v>
      </c>
      <c r="K174" s="12" t="str">
        <f>IFERROR(VLOOKUP(J174, DADOS_RM_EVENTOS_original!E:J, 2, FALSE), "Código não encontrado/Não digitado")</f>
        <v>Código não encontrado/Não digitado</v>
      </c>
      <c r="L174" s="12" t="s">
        <v>68</v>
      </c>
      <c r="M174" s="12" t="str">
        <f>IFERROR(VLOOKUP(L174, DADOS_RM_EVENTOS_original!K:L, 2, FALSE), "Código não encontrado/Não digitado")</f>
        <v>Código não encontrado/Não digitado</v>
      </c>
    </row>
    <row r="175" ht="15.75" customHeight="1">
      <c r="A175" s="11" t="s">
        <v>38</v>
      </c>
      <c r="B175" s="11" t="s">
        <v>274</v>
      </c>
      <c r="C175" s="11" t="s">
        <v>2485</v>
      </c>
      <c r="D175" s="11" t="s">
        <v>44</v>
      </c>
      <c r="E175" s="11" t="s">
        <v>47</v>
      </c>
      <c r="F175" s="11" t="s">
        <v>49</v>
      </c>
      <c r="G175" s="12" t="str">
        <f>IFERROR(VLOOKUP(F175, DADOS_RM_EVENTOS_original!A:B, 2, FALSE), "Código não encontrado/Não digitado")</f>
        <v>Código não encontrado/Não digitado</v>
      </c>
      <c r="H175" s="12" t="s">
        <v>68</v>
      </c>
      <c r="I175" s="12" t="str">
        <f>IFERROR(VLOOKUP(H175, DADOS_RM_EVENTOS_original!C:D, 2, FALSE), "Código não encontrado/Não digitado")</f>
        <v>Código não encontrado/Não digitado</v>
      </c>
      <c r="J175" s="12" t="s">
        <v>68</v>
      </c>
      <c r="K175" s="12" t="str">
        <f>IFERROR(VLOOKUP(J175, DADOS_RM_EVENTOS_original!E:J, 2, FALSE), "Código não encontrado/Não digitado")</f>
        <v>Código não encontrado/Não digitado</v>
      </c>
      <c r="L175" s="12" t="s">
        <v>68</v>
      </c>
      <c r="M175" s="12" t="str">
        <f>IFERROR(VLOOKUP(L175, DADOS_RM_EVENTOS_original!K:L, 2, FALSE), "Código não encontrado/Não digitado")</f>
        <v>Código não encontrado/Não digitado</v>
      </c>
    </row>
    <row r="176" ht="15.75" hidden="1" customHeight="1">
      <c r="A176" s="11" t="s">
        <v>38</v>
      </c>
      <c r="B176" s="11" t="s">
        <v>2498</v>
      </c>
      <c r="C176" s="11" t="s">
        <v>2499</v>
      </c>
      <c r="D176" s="11" t="s">
        <v>44</v>
      </c>
      <c r="E176" s="11" t="s">
        <v>47</v>
      </c>
      <c r="F176" s="11" t="s">
        <v>1162</v>
      </c>
      <c r="G176" s="12" t="str">
        <f>IFERROR(VLOOKUP(F176, DADOS_RM_EVENTOS_original!A:B, 2, FALSE), "Código não encontrado/Não digitado")</f>
        <v>Desc. Horas de Atrasos</v>
      </c>
      <c r="H176" s="12" t="s">
        <v>68</v>
      </c>
      <c r="I176" s="12" t="str">
        <f>IFERROR(VLOOKUP(H176, DADOS_RM_EVENTOS_original!C:D, 2, FALSE), "Código não encontrado/Não digitado")</f>
        <v>Código não encontrado/Não digitado</v>
      </c>
      <c r="J176" s="12" t="s">
        <v>68</v>
      </c>
      <c r="K176" s="12" t="str">
        <f>IFERROR(VLOOKUP(J176, DADOS_RM_EVENTOS_original!E:J, 2, FALSE), "Código não encontrado/Não digitado")</f>
        <v>Código não encontrado/Não digitado</v>
      </c>
      <c r="L176" s="12" t="s">
        <v>68</v>
      </c>
      <c r="M176" s="12" t="str">
        <f>IFERROR(VLOOKUP(L176, DADOS_RM_EVENTOS_original!K:L, 2, FALSE), "Código não encontrado/Não digitado")</f>
        <v>Código não encontrado/Não digitado</v>
      </c>
    </row>
    <row r="177" ht="15.75" hidden="1" customHeight="1">
      <c r="A177" s="11" t="s">
        <v>115</v>
      </c>
      <c r="B177" s="11" t="s">
        <v>2498</v>
      </c>
      <c r="C177" s="11" t="s">
        <v>2499</v>
      </c>
      <c r="D177" s="11" t="s">
        <v>44</v>
      </c>
      <c r="E177" s="11" t="s">
        <v>121</v>
      </c>
      <c r="F177" s="11" t="s">
        <v>1162</v>
      </c>
      <c r="G177" s="12" t="str">
        <f>IFERROR(VLOOKUP(F177, DADOS_RM_EVENTOS_original!A:B, 2, FALSE), "Código não encontrado/Não digitado")</f>
        <v>Desc. Horas de Atrasos</v>
      </c>
      <c r="H177" s="12" t="s">
        <v>68</v>
      </c>
      <c r="I177" s="12" t="str">
        <f>IFERROR(VLOOKUP(H177, DADOS_RM_EVENTOS_original!C:D, 2, FALSE), "Código não encontrado/Não digitado")</f>
        <v>Código não encontrado/Não digitado</v>
      </c>
      <c r="J177" s="12" t="s">
        <v>68</v>
      </c>
      <c r="K177" s="12" t="str">
        <f>IFERROR(VLOOKUP(J177, DADOS_RM_EVENTOS_original!E:J, 2, FALSE), "Código não encontrado/Não digitado")</f>
        <v>Código não encontrado/Não digitado</v>
      </c>
      <c r="L177" s="12" t="s">
        <v>68</v>
      </c>
      <c r="M177" s="12" t="str">
        <f>IFERROR(VLOOKUP(L177, DADOS_RM_EVENTOS_original!K:L, 2, FALSE), "Código não encontrado/Não digitado")</f>
        <v>Código não encontrado/Não digitado</v>
      </c>
    </row>
    <row r="178" ht="15.75" hidden="1" customHeight="1">
      <c r="A178" s="11" t="s">
        <v>172</v>
      </c>
      <c r="B178" s="11" t="s">
        <v>2498</v>
      </c>
      <c r="C178" s="11" t="s">
        <v>2519</v>
      </c>
      <c r="D178" s="11" t="s">
        <v>44</v>
      </c>
      <c r="E178" s="11" t="s">
        <v>1029</v>
      </c>
      <c r="F178" s="11" t="s">
        <v>1162</v>
      </c>
      <c r="G178" s="12" t="str">
        <f>IFERROR(VLOOKUP(F178, DADOS_RM_EVENTOS_original!A:B, 2, FALSE), "Código não encontrado/Não digitado")</f>
        <v>Desc. Horas de Atrasos</v>
      </c>
      <c r="H178" s="12" t="s">
        <v>68</v>
      </c>
      <c r="I178" s="12" t="str">
        <f>IFERROR(VLOOKUP(H178, DADOS_RM_EVENTOS_original!C:D, 2, FALSE), "Código não encontrado/Não digitado")</f>
        <v>Código não encontrado/Não digitado</v>
      </c>
      <c r="J178" s="12" t="s">
        <v>68</v>
      </c>
      <c r="K178" s="12" t="str">
        <f>IFERROR(VLOOKUP(J178, DADOS_RM_EVENTOS_original!E:J, 2, FALSE), "Código não encontrado/Não digitado")</f>
        <v>Código não encontrado/Não digitado</v>
      </c>
      <c r="L178" s="12" t="s">
        <v>68</v>
      </c>
      <c r="M178" s="12" t="str">
        <f>IFERROR(VLOOKUP(L178, DADOS_RM_EVENTOS_original!K:L, 2, FALSE), "Código não encontrado/Não digitado")</f>
        <v>Código não encontrado/Não digitado</v>
      </c>
    </row>
    <row r="179" ht="15.75" hidden="1" customHeight="1">
      <c r="A179" s="11" t="s">
        <v>142</v>
      </c>
      <c r="B179" s="11" t="s">
        <v>2498</v>
      </c>
      <c r="C179" s="11" t="s">
        <v>2519</v>
      </c>
      <c r="D179" s="11" t="s">
        <v>44</v>
      </c>
      <c r="E179" s="11" t="s">
        <v>985</v>
      </c>
      <c r="F179" s="11" t="s">
        <v>1162</v>
      </c>
      <c r="G179" s="12" t="str">
        <f>IFERROR(VLOOKUP(F179, DADOS_RM_EVENTOS_original!A:B, 2, FALSE), "Código não encontrado/Não digitado")</f>
        <v>Desc. Horas de Atrasos</v>
      </c>
      <c r="H179" s="12" t="s">
        <v>68</v>
      </c>
      <c r="I179" s="12" t="str">
        <f>IFERROR(VLOOKUP(H179, DADOS_RM_EVENTOS_original!C:D, 2, FALSE), "Código não encontrado/Não digitado")</f>
        <v>Código não encontrado/Não digitado</v>
      </c>
      <c r="J179" s="12" t="s">
        <v>68</v>
      </c>
      <c r="K179" s="12" t="str">
        <f>IFERROR(VLOOKUP(J179, DADOS_RM_EVENTOS_original!E:J, 2, FALSE), "Código não encontrado/Não digitado")</f>
        <v>Código não encontrado/Não digitado</v>
      </c>
      <c r="L179" s="12" t="s">
        <v>68</v>
      </c>
      <c r="M179" s="12" t="str">
        <f>IFERROR(VLOOKUP(L179, DADOS_RM_EVENTOS_original!K:L, 2, FALSE), "Código não encontrado/Não digitado")</f>
        <v>Código não encontrado/Não digitado</v>
      </c>
    </row>
    <row r="180" ht="15.75" hidden="1" customHeight="1">
      <c r="A180" s="11" t="s">
        <v>172</v>
      </c>
      <c r="B180" s="11" t="s">
        <v>2541</v>
      </c>
      <c r="C180" s="11" t="s">
        <v>2543</v>
      </c>
      <c r="D180" s="11" t="s">
        <v>120</v>
      </c>
      <c r="E180" s="11" t="s">
        <v>1029</v>
      </c>
      <c r="F180" s="11" t="s">
        <v>1486</v>
      </c>
      <c r="G180" s="12" t="str">
        <f>IFERROR(VLOOKUP(F180, DADOS_RM_EVENTOS_original!A:B, 2, FALSE), "Código não encontrado/Não digitado")</f>
        <v>Auxilio Alimentacao</v>
      </c>
      <c r="H180" s="12" t="s">
        <v>68</v>
      </c>
      <c r="I180" s="12" t="str">
        <f>IFERROR(VLOOKUP(H180, DADOS_RM_EVENTOS_original!C:D, 2, FALSE), "Código não encontrado/Não digitado")</f>
        <v>Código não encontrado/Não digitado</v>
      </c>
      <c r="J180" s="12" t="s">
        <v>68</v>
      </c>
      <c r="K180" s="12" t="str">
        <f>IFERROR(VLOOKUP(J180, DADOS_RM_EVENTOS_original!E:J, 2, FALSE), "Código não encontrado/Não digitado")</f>
        <v>Código não encontrado/Não digitado</v>
      </c>
      <c r="L180" s="12" t="s">
        <v>68</v>
      </c>
      <c r="M180" s="12" t="str">
        <f>IFERROR(VLOOKUP(L180, DADOS_RM_EVENTOS_original!K:L, 2, FALSE), "Código não encontrado/Não digitado")</f>
        <v>Código não encontrado/Não digitado</v>
      </c>
    </row>
    <row r="181" ht="15.75" hidden="1" customHeight="1">
      <c r="A181" s="11" t="s">
        <v>38</v>
      </c>
      <c r="B181" s="11" t="s">
        <v>652</v>
      </c>
      <c r="C181" s="11" t="s">
        <v>2556</v>
      </c>
      <c r="D181" s="11" t="s">
        <v>120</v>
      </c>
      <c r="E181" s="11" t="s">
        <v>47</v>
      </c>
      <c r="F181" s="11" t="s">
        <v>1603</v>
      </c>
      <c r="G181" s="12" t="str">
        <f>IFERROR(VLOOKUP(F181, DADOS_RM_EVENTOS_original!A:B, 2, FALSE), "Código não encontrado/Não digitado")</f>
        <v>Auxilio Funeral</v>
      </c>
      <c r="H181" s="12" t="s">
        <v>68</v>
      </c>
      <c r="I181" s="12" t="str">
        <f>IFERROR(VLOOKUP(H181, DADOS_RM_EVENTOS_original!C:D, 2, FALSE), "Código não encontrado/Não digitado")</f>
        <v>Código não encontrado/Não digitado</v>
      </c>
      <c r="J181" s="12" t="s">
        <v>68</v>
      </c>
      <c r="K181" s="12" t="str">
        <f>IFERROR(VLOOKUP(J181, DADOS_RM_EVENTOS_original!E:J, 2, FALSE), "Código não encontrado/Não digitado")</f>
        <v>Código não encontrado/Não digitado</v>
      </c>
      <c r="L181" s="12" t="s">
        <v>68</v>
      </c>
      <c r="M181" s="12" t="str">
        <f>IFERROR(VLOOKUP(L181, DADOS_RM_EVENTOS_original!K:L, 2, FALSE), "Código não encontrado/Não digitado")</f>
        <v>Código não encontrado/Não digitado</v>
      </c>
    </row>
    <row r="182" ht="15.75" hidden="1" customHeight="1">
      <c r="A182" s="11" t="s">
        <v>38</v>
      </c>
      <c r="B182" s="11" t="s">
        <v>2567</v>
      </c>
      <c r="C182" s="11" t="s">
        <v>2568</v>
      </c>
      <c r="D182" s="11" t="s">
        <v>120</v>
      </c>
      <c r="E182" s="11" t="s">
        <v>47</v>
      </c>
      <c r="F182" s="11" t="s">
        <v>1603</v>
      </c>
      <c r="G182" s="12" t="str">
        <f>IFERROR(VLOOKUP(F182, DADOS_RM_EVENTOS_original!A:B, 2, FALSE), "Código não encontrado/Não digitado")</f>
        <v>Auxilio Funeral</v>
      </c>
      <c r="H182" s="12" t="s">
        <v>68</v>
      </c>
      <c r="I182" s="12" t="str">
        <f>IFERROR(VLOOKUP(H182, DADOS_RM_EVENTOS_original!C:D, 2, FALSE), "Código não encontrado/Não digitado")</f>
        <v>Código não encontrado/Não digitado</v>
      </c>
      <c r="J182" s="12" t="s">
        <v>68</v>
      </c>
      <c r="K182" s="12" t="str">
        <f>IFERROR(VLOOKUP(J182, DADOS_RM_EVENTOS_original!E:J, 2, FALSE), "Código não encontrado/Não digitado")</f>
        <v>Código não encontrado/Não digitado</v>
      </c>
      <c r="L182" s="12" t="s">
        <v>68</v>
      </c>
      <c r="M182" s="12" t="str">
        <f>IFERROR(VLOOKUP(L182, DADOS_RM_EVENTOS_original!K:L, 2, FALSE), "Código não encontrado/Não digitado")</f>
        <v>Código não encontrado/Não digitado</v>
      </c>
    </row>
    <row r="183" ht="15.75" hidden="1" customHeight="1">
      <c r="A183" s="11" t="s">
        <v>38</v>
      </c>
      <c r="B183" s="11" t="s">
        <v>775</v>
      </c>
      <c r="C183" s="11" t="s">
        <v>2584</v>
      </c>
      <c r="D183" s="11" t="s">
        <v>120</v>
      </c>
      <c r="E183" s="11" t="s">
        <v>47</v>
      </c>
      <c r="F183" s="11" t="s">
        <v>115</v>
      </c>
      <c r="G183" s="12" t="str">
        <f>IFERROR(VLOOKUP(F183, DADOS_RM_EVENTOS_original!A:B, 2, FALSE), "Código não encontrado/Não digitado")</f>
        <v>Ajuda de Custo s/Incidencia</v>
      </c>
      <c r="H183" s="12" t="s">
        <v>68</v>
      </c>
      <c r="I183" s="12" t="str">
        <f>IFERROR(VLOOKUP(H183, DADOS_RM_EVENTOS_original!C:D, 2, FALSE), "Código não encontrado/Não digitado")</f>
        <v>Código não encontrado/Não digitado</v>
      </c>
      <c r="J183" s="12" t="s">
        <v>68</v>
      </c>
      <c r="K183" s="12" t="str">
        <f>IFERROR(VLOOKUP(J183, DADOS_RM_EVENTOS_original!E:J, 2, FALSE), "Código não encontrado/Não digitado")</f>
        <v>Código não encontrado/Não digitado</v>
      </c>
      <c r="L183" s="12" t="s">
        <v>68</v>
      </c>
      <c r="M183" s="12" t="str">
        <f>IFERROR(VLOOKUP(L183, DADOS_RM_EVENTOS_original!K:L, 2, FALSE), "Código não encontrado/Não digitado")</f>
        <v>Código não encontrado/Não digitado</v>
      </c>
    </row>
    <row r="184" ht="15.75" hidden="1" customHeight="1">
      <c r="A184" s="11" t="s">
        <v>38</v>
      </c>
      <c r="B184" s="11" t="s">
        <v>124</v>
      </c>
      <c r="C184" s="11" t="s">
        <v>2595</v>
      </c>
      <c r="D184" s="11" t="s">
        <v>120</v>
      </c>
      <c r="E184" s="11" t="s">
        <v>47</v>
      </c>
      <c r="F184" s="11" t="s">
        <v>1365</v>
      </c>
      <c r="G184" s="12" t="str">
        <f>IFERROR(VLOOKUP(F184, DADOS_RM_EVENTOS_original!A:B, 2, FALSE), "Código não encontrado/Não digitado")</f>
        <v>Auxilio Creche</v>
      </c>
      <c r="H184" s="12" t="s">
        <v>68</v>
      </c>
      <c r="I184" s="12" t="str">
        <f>IFERROR(VLOOKUP(H184, DADOS_RM_EVENTOS_original!C:D, 2, FALSE), "Código não encontrado/Não digitado")</f>
        <v>Código não encontrado/Não digitado</v>
      </c>
      <c r="J184" s="12" t="s">
        <v>68</v>
      </c>
      <c r="K184" s="12" t="str">
        <f>IFERROR(VLOOKUP(J184, DADOS_RM_EVENTOS_original!E:J, 2, FALSE), "Código não encontrado/Não digitado")</f>
        <v>Código não encontrado/Não digitado</v>
      </c>
      <c r="L184" s="12" t="s">
        <v>68</v>
      </c>
      <c r="M184" s="12" t="str">
        <f>IFERROR(VLOOKUP(L184, DADOS_RM_EVENTOS_original!K:L, 2, FALSE), "Código não encontrado/Não digitado")</f>
        <v>Código não encontrado/Não digitado</v>
      </c>
    </row>
    <row r="185" ht="15.75" hidden="1" customHeight="1">
      <c r="A185" s="11" t="s">
        <v>97</v>
      </c>
      <c r="B185" s="11" t="s">
        <v>124</v>
      </c>
      <c r="C185" s="11" t="s">
        <v>2607</v>
      </c>
      <c r="D185" s="11" t="s">
        <v>120</v>
      </c>
      <c r="E185" s="11" t="s">
        <v>972</v>
      </c>
      <c r="F185" s="11" t="s">
        <v>1365</v>
      </c>
      <c r="G185" s="12" t="str">
        <f>IFERROR(VLOOKUP(F185, DADOS_RM_EVENTOS_original!A:B, 2, FALSE), "Código não encontrado/Não digitado")</f>
        <v>Auxilio Creche</v>
      </c>
      <c r="H185" s="12" t="s">
        <v>68</v>
      </c>
      <c r="I185" s="12" t="str">
        <f>IFERROR(VLOOKUP(H185, DADOS_RM_EVENTOS_original!C:D, 2, FALSE), "Código não encontrado/Não digitado")</f>
        <v>Código não encontrado/Não digitado</v>
      </c>
      <c r="J185" s="12" t="s">
        <v>68</v>
      </c>
      <c r="K185" s="12" t="str">
        <f>IFERROR(VLOOKUP(J185, DADOS_RM_EVENTOS_original!E:J, 2, FALSE), "Código não encontrado/Não digitado")</f>
        <v>Código não encontrado/Não digitado</v>
      </c>
      <c r="L185" s="12" t="s">
        <v>68</v>
      </c>
      <c r="M185" s="12" t="str">
        <f>IFERROR(VLOOKUP(L185, DADOS_RM_EVENTOS_original!K:L, 2, FALSE), "Código não encontrado/Não digitado")</f>
        <v>Código não encontrado/Não digitado</v>
      </c>
    </row>
    <row r="186" ht="15.75" hidden="1" customHeight="1">
      <c r="A186" s="11" t="s">
        <v>38</v>
      </c>
      <c r="B186" s="11" t="s">
        <v>2337</v>
      </c>
      <c r="C186" s="11" t="s">
        <v>2619</v>
      </c>
      <c r="D186" s="11" t="s">
        <v>44</v>
      </c>
      <c r="E186" s="11" t="s">
        <v>47</v>
      </c>
      <c r="F186" s="11" t="s">
        <v>860</v>
      </c>
      <c r="G186" s="12" t="str">
        <f>IFERROR(VLOOKUP(F186, DADOS_RM_EVENTOS_original!A:B, 2, FALSE), "Código não encontrado/Não digitado")</f>
        <v>Desc. Aviso Previo (API)</v>
      </c>
      <c r="H186" s="12" t="s">
        <v>68</v>
      </c>
      <c r="I186" s="12" t="str">
        <f>IFERROR(VLOOKUP(H186, DADOS_RM_EVENTOS_original!C:D, 2, FALSE), "Código não encontrado/Não digitado")</f>
        <v>Código não encontrado/Não digitado</v>
      </c>
      <c r="J186" s="12" t="s">
        <v>68</v>
      </c>
      <c r="K186" s="12" t="str">
        <f>IFERROR(VLOOKUP(J186, DADOS_RM_EVENTOS_original!E:J, 2, FALSE), "Código não encontrado/Não digitado")</f>
        <v>Código não encontrado/Não digitado</v>
      </c>
      <c r="L186" s="12" t="s">
        <v>68</v>
      </c>
      <c r="M186" s="12" t="str">
        <f>IFERROR(VLOOKUP(L186, DADOS_RM_EVENTOS_original!K:L, 2, FALSE), "Código não encontrado/Não digitado")</f>
        <v>Código não encontrado/Não digitado</v>
      </c>
    </row>
    <row r="187" ht="15.75" hidden="1" customHeight="1">
      <c r="A187" s="11" t="s">
        <v>172</v>
      </c>
      <c r="B187" s="11" t="s">
        <v>2337</v>
      </c>
      <c r="C187" s="11" t="s">
        <v>2628</v>
      </c>
      <c r="D187" s="11" t="s">
        <v>44</v>
      </c>
      <c r="E187" s="11" t="s">
        <v>1029</v>
      </c>
      <c r="F187" s="11" t="s">
        <v>860</v>
      </c>
      <c r="G187" s="12" t="str">
        <f>IFERROR(VLOOKUP(F187, DADOS_RM_EVENTOS_original!A:B, 2, FALSE), "Código não encontrado/Não digitado")</f>
        <v>Desc. Aviso Previo (API)</v>
      </c>
      <c r="H187" s="12" t="s">
        <v>68</v>
      </c>
      <c r="I187" s="12" t="str">
        <f>IFERROR(VLOOKUP(H187, DADOS_RM_EVENTOS_original!C:D, 2, FALSE), "Código não encontrado/Não digitado")</f>
        <v>Código não encontrado/Não digitado</v>
      </c>
      <c r="J187" s="12" t="s">
        <v>68</v>
      </c>
      <c r="K187" s="12" t="str">
        <f>IFERROR(VLOOKUP(J187, DADOS_RM_EVENTOS_original!E:J, 2, FALSE), "Código não encontrado/Não digitado")</f>
        <v>Código não encontrado/Não digitado</v>
      </c>
      <c r="L187" s="12" t="s">
        <v>68</v>
      </c>
      <c r="M187" s="12" t="str">
        <f>IFERROR(VLOOKUP(L187, DADOS_RM_EVENTOS_original!K:L, 2, FALSE), "Código não encontrado/Não digitado")</f>
        <v>Código não encontrado/Não digitado</v>
      </c>
    </row>
    <row r="188" ht="15.75" hidden="1" customHeight="1">
      <c r="A188" s="11" t="s">
        <v>97</v>
      </c>
      <c r="B188" s="11" t="s">
        <v>2337</v>
      </c>
      <c r="C188" s="11" t="s">
        <v>2628</v>
      </c>
      <c r="D188" s="11" t="s">
        <v>44</v>
      </c>
      <c r="E188" s="11" t="s">
        <v>972</v>
      </c>
      <c r="F188" s="11" t="s">
        <v>860</v>
      </c>
      <c r="G188" s="12" t="str">
        <f>IFERROR(VLOOKUP(F188, DADOS_RM_EVENTOS_original!A:B, 2, FALSE), "Código não encontrado/Não digitado")</f>
        <v>Desc. Aviso Previo (API)</v>
      </c>
      <c r="H188" s="12" t="s">
        <v>68</v>
      </c>
      <c r="I188" s="12" t="str">
        <f>IFERROR(VLOOKUP(H188, DADOS_RM_EVENTOS_original!C:D, 2, FALSE), "Código não encontrado/Não digitado")</f>
        <v>Código não encontrado/Não digitado</v>
      </c>
      <c r="J188" s="12" t="s">
        <v>68</v>
      </c>
      <c r="K188" s="12" t="str">
        <f>IFERROR(VLOOKUP(J188, DADOS_RM_EVENTOS_original!E:J, 2, FALSE), "Código não encontrado/Não digitado")</f>
        <v>Código não encontrado/Não digitado</v>
      </c>
      <c r="L188" s="12" t="s">
        <v>68</v>
      </c>
      <c r="M188" s="12" t="str">
        <f>IFERROR(VLOOKUP(L188, DADOS_RM_EVENTOS_original!K:L, 2, FALSE), "Código não encontrado/Não digitado")</f>
        <v>Código não encontrado/Não digitado</v>
      </c>
    </row>
    <row r="189" ht="15.75" hidden="1" customHeight="1">
      <c r="A189" s="11" t="s">
        <v>142</v>
      </c>
      <c r="B189" s="11" t="s">
        <v>2337</v>
      </c>
      <c r="C189" s="11" t="s">
        <v>2628</v>
      </c>
      <c r="D189" s="11" t="s">
        <v>44</v>
      </c>
      <c r="E189" s="11" t="s">
        <v>985</v>
      </c>
      <c r="F189" s="11" t="s">
        <v>860</v>
      </c>
      <c r="G189" s="12" t="str">
        <f>IFERROR(VLOOKUP(F189, DADOS_RM_EVENTOS_original!A:B, 2, FALSE), "Código não encontrado/Não digitado")</f>
        <v>Desc. Aviso Previo (API)</v>
      </c>
      <c r="H189" s="12" t="s">
        <v>68</v>
      </c>
      <c r="I189" s="12" t="str">
        <f>IFERROR(VLOOKUP(H189, DADOS_RM_EVENTOS_original!C:D, 2, FALSE), "Código não encontrado/Não digitado")</f>
        <v>Código não encontrado/Não digitado</v>
      </c>
      <c r="J189" s="12" t="s">
        <v>68</v>
      </c>
      <c r="K189" s="12" t="str">
        <f>IFERROR(VLOOKUP(J189, DADOS_RM_EVENTOS_original!E:J, 2, FALSE), "Código não encontrado/Não digitado")</f>
        <v>Código não encontrado/Não digitado</v>
      </c>
      <c r="L189" s="12" t="s">
        <v>68</v>
      </c>
      <c r="M189" s="12" t="str">
        <f>IFERROR(VLOOKUP(L189, DADOS_RM_EVENTOS_original!K:L, 2, FALSE), "Código não encontrado/Não digitado")</f>
        <v>Código não encontrado/Não digitado</v>
      </c>
    </row>
    <row r="190" ht="15.75" hidden="1" customHeight="1">
      <c r="A190" s="11" t="s">
        <v>38</v>
      </c>
      <c r="B190" s="11" t="s">
        <v>838</v>
      </c>
      <c r="C190" s="11" t="s">
        <v>2661</v>
      </c>
      <c r="D190" s="11" t="s">
        <v>120</v>
      </c>
      <c r="E190" s="11" t="s">
        <v>47</v>
      </c>
      <c r="F190" s="11" t="s">
        <v>390</v>
      </c>
      <c r="G190" s="12" t="str">
        <f>IFERROR(VLOOKUP(F190, DADOS_RM_EVENTOS_original!A:B, 2, FALSE), "Código não encontrado/Não digitado")</f>
        <v>Aviso Previo Indenizado / API</v>
      </c>
      <c r="H190" s="12" t="s">
        <v>68</v>
      </c>
      <c r="I190" s="12" t="str">
        <f>IFERROR(VLOOKUP(H190, DADOS_RM_EVENTOS_original!C:D, 2, FALSE), "Código não encontrado/Não digitado")</f>
        <v>Código não encontrado/Não digitado</v>
      </c>
      <c r="J190" s="12" t="s">
        <v>68</v>
      </c>
      <c r="K190" s="12" t="str">
        <f>IFERROR(VLOOKUP(J190, DADOS_RM_EVENTOS_original!E:J, 2, FALSE), "Código não encontrado/Não digitado")</f>
        <v>Código não encontrado/Não digitado</v>
      </c>
      <c r="L190" s="12" t="s">
        <v>68</v>
      </c>
      <c r="M190" s="12" t="str">
        <f>IFERROR(VLOOKUP(L190, DADOS_RM_EVENTOS_original!K:L, 2, FALSE), "Código não encontrado/Não digitado")</f>
        <v>Código não encontrado/Não digitado</v>
      </c>
    </row>
    <row r="191" ht="15.75" hidden="1" customHeight="1">
      <c r="A191" s="11" t="s">
        <v>115</v>
      </c>
      <c r="B191" s="11" t="s">
        <v>838</v>
      </c>
      <c r="C191" s="11" t="s">
        <v>2661</v>
      </c>
      <c r="D191" s="11" t="s">
        <v>120</v>
      </c>
      <c r="E191" s="11" t="s">
        <v>121</v>
      </c>
      <c r="F191" s="11" t="s">
        <v>390</v>
      </c>
      <c r="G191" s="12" t="str">
        <f>IFERROR(VLOOKUP(F191, DADOS_RM_EVENTOS_original!A:B, 2, FALSE), "Código não encontrado/Não digitado")</f>
        <v>Aviso Previo Indenizado / API</v>
      </c>
      <c r="H191" s="12" t="s">
        <v>68</v>
      </c>
      <c r="I191" s="12" t="str">
        <f>IFERROR(VLOOKUP(H191, DADOS_RM_EVENTOS_original!C:D, 2, FALSE), "Código não encontrado/Não digitado")</f>
        <v>Código não encontrado/Não digitado</v>
      </c>
      <c r="J191" s="12" t="s">
        <v>68</v>
      </c>
      <c r="K191" s="12" t="str">
        <f>IFERROR(VLOOKUP(J191, DADOS_RM_EVENTOS_original!E:J, 2, FALSE), "Código não encontrado/Não digitado")</f>
        <v>Código não encontrado/Não digitado</v>
      </c>
      <c r="L191" s="12" t="s">
        <v>68</v>
      </c>
      <c r="M191" s="12" t="str">
        <f>IFERROR(VLOOKUP(L191, DADOS_RM_EVENTOS_original!K:L, 2, FALSE), "Código não encontrado/Não digitado")</f>
        <v>Código não encontrado/Não digitado</v>
      </c>
    </row>
    <row r="192" ht="15.75" hidden="1" customHeight="1">
      <c r="A192" s="11" t="s">
        <v>172</v>
      </c>
      <c r="B192" s="11" t="s">
        <v>838</v>
      </c>
      <c r="C192" s="11" t="s">
        <v>2682</v>
      </c>
      <c r="D192" s="11" t="s">
        <v>120</v>
      </c>
      <c r="E192" s="11" t="s">
        <v>1029</v>
      </c>
      <c r="F192" s="11" t="s">
        <v>390</v>
      </c>
      <c r="G192" s="12" t="str">
        <f>IFERROR(VLOOKUP(F192, DADOS_RM_EVENTOS_original!A:B, 2, FALSE), "Código não encontrado/Não digitado")</f>
        <v>Aviso Previo Indenizado / API</v>
      </c>
      <c r="H192" s="12" t="s">
        <v>68</v>
      </c>
      <c r="I192" s="12" t="str">
        <f>IFERROR(VLOOKUP(H192, DADOS_RM_EVENTOS_original!C:D, 2, FALSE), "Código não encontrado/Não digitado")</f>
        <v>Código não encontrado/Não digitado</v>
      </c>
      <c r="J192" s="12" t="s">
        <v>68</v>
      </c>
      <c r="K192" s="12" t="str">
        <f>IFERROR(VLOOKUP(J192, DADOS_RM_EVENTOS_original!E:J, 2, FALSE), "Código não encontrado/Não digitado")</f>
        <v>Código não encontrado/Não digitado</v>
      </c>
      <c r="L192" s="12" t="s">
        <v>68</v>
      </c>
      <c r="M192" s="12" t="str">
        <f>IFERROR(VLOOKUP(L192, DADOS_RM_EVENTOS_original!K:L, 2, FALSE), "Código não encontrado/Não digitado")</f>
        <v>Código não encontrado/Não digitado</v>
      </c>
    </row>
    <row r="193" ht="15.75" hidden="1" customHeight="1">
      <c r="A193" s="11" t="s">
        <v>97</v>
      </c>
      <c r="B193" s="11" t="s">
        <v>838</v>
      </c>
      <c r="C193" s="11" t="s">
        <v>2682</v>
      </c>
      <c r="D193" s="11" t="s">
        <v>120</v>
      </c>
      <c r="E193" s="11" t="s">
        <v>972</v>
      </c>
      <c r="F193" s="11" t="s">
        <v>390</v>
      </c>
      <c r="G193" s="12" t="str">
        <f>IFERROR(VLOOKUP(F193, DADOS_RM_EVENTOS_original!A:B, 2, FALSE), "Código não encontrado/Não digitado")</f>
        <v>Aviso Previo Indenizado / API</v>
      </c>
      <c r="H193" s="12" t="s">
        <v>68</v>
      </c>
      <c r="I193" s="12" t="str">
        <f>IFERROR(VLOOKUP(H193, DADOS_RM_EVENTOS_original!C:D, 2, FALSE), "Código não encontrado/Não digitado")</f>
        <v>Código não encontrado/Não digitado</v>
      </c>
      <c r="J193" s="12" t="s">
        <v>68</v>
      </c>
      <c r="K193" s="12" t="str">
        <f>IFERROR(VLOOKUP(J193, DADOS_RM_EVENTOS_original!E:J, 2, FALSE), "Código não encontrado/Não digitado")</f>
        <v>Código não encontrado/Não digitado</v>
      </c>
      <c r="L193" s="12" t="s">
        <v>68</v>
      </c>
      <c r="M193" s="12" t="str">
        <f>IFERROR(VLOOKUP(L193, DADOS_RM_EVENTOS_original!K:L, 2, FALSE), "Código não encontrado/Não digitado")</f>
        <v>Código não encontrado/Não digitado</v>
      </c>
    </row>
    <row r="194" ht="15.75" hidden="1" customHeight="1">
      <c r="A194" s="11" t="s">
        <v>142</v>
      </c>
      <c r="B194" s="11" t="s">
        <v>838</v>
      </c>
      <c r="C194" s="11" t="s">
        <v>2682</v>
      </c>
      <c r="D194" s="11" t="s">
        <v>120</v>
      </c>
      <c r="E194" s="11" t="s">
        <v>985</v>
      </c>
      <c r="F194" s="11" t="s">
        <v>390</v>
      </c>
      <c r="G194" s="12" t="str">
        <f>IFERROR(VLOOKUP(F194, DADOS_RM_EVENTOS_original!A:B, 2, FALSE), "Código não encontrado/Não digitado")</f>
        <v>Aviso Previo Indenizado / API</v>
      </c>
      <c r="H194" s="12" t="s">
        <v>68</v>
      </c>
      <c r="I194" s="12" t="str">
        <f>IFERROR(VLOOKUP(H194, DADOS_RM_EVENTOS_original!C:D, 2, FALSE), "Código não encontrado/Não digitado")</f>
        <v>Código não encontrado/Não digitado</v>
      </c>
      <c r="J194" s="12" t="s">
        <v>68</v>
      </c>
      <c r="K194" s="12" t="str">
        <f>IFERROR(VLOOKUP(J194, DADOS_RM_EVENTOS_original!E:J, 2, FALSE), "Código não encontrado/Não digitado")</f>
        <v>Código não encontrado/Não digitado</v>
      </c>
      <c r="L194" s="12" t="s">
        <v>68</v>
      </c>
      <c r="M194" s="12" t="str">
        <f>IFERROR(VLOOKUP(L194, DADOS_RM_EVENTOS_original!K:L, 2, FALSE), "Código não encontrado/Não digitado")</f>
        <v>Código não encontrado/Não digitado</v>
      </c>
    </row>
    <row r="195" ht="15.75" hidden="1" customHeight="1">
      <c r="A195" s="11" t="s">
        <v>38</v>
      </c>
      <c r="B195" s="11" t="s">
        <v>258</v>
      </c>
      <c r="C195" s="11" t="s">
        <v>2713</v>
      </c>
      <c r="D195" s="11" t="s">
        <v>44</v>
      </c>
      <c r="E195" s="11" t="s">
        <v>47</v>
      </c>
      <c r="F195" s="11" t="s">
        <v>1829</v>
      </c>
      <c r="G195" s="12" t="str">
        <f>IFERROR(VLOOKUP(F195, DADOS_RM_EVENTOS_original!A:B, 2, FALSE), "Código não encontrado/Não digitado")</f>
        <v>( - ) Desc. Saldo Banco de Horas</v>
      </c>
      <c r="H195" s="12" t="s">
        <v>68</v>
      </c>
      <c r="I195" s="12" t="str">
        <f>IFERROR(VLOOKUP(H195, DADOS_RM_EVENTOS_original!C:D, 2, FALSE), "Código não encontrado/Não digitado")</f>
        <v>Código não encontrado/Não digitado</v>
      </c>
      <c r="J195" s="12" t="s">
        <v>68</v>
      </c>
      <c r="K195" s="12" t="str">
        <f>IFERROR(VLOOKUP(J195, DADOS_RM_EVENTOS_original!E:J, 2, FALSE), "Código não encontrado/Não digitado")</f>
        <v>Código não encontrado/Não digitado</v>
      </c>
      <c r="L195" s="12" t="s">
        <v>68</v>
      </c>
      <c r="M195" s="12" t="str">
        <f>IFERROR(VLOOKUP(L195, DADOS_RM_EVENTOS_original!K:L, 2, FALSE), "Código não encontrado/Não digitado")</f>
        <v>Código não encontrado/Não digitado</v>
      </c>
    </row>
    <row r="196" ht="15.75" hidden="1" customHeight="1">
      <c r="A196" s="11" t="s">
        <v>97</v>
      </c>
      <c r="B196" s="11" t="s">
        <v>41</v>
      </c>
      <c r="C196" s="11" t="s">
        <v>2725</v>
      </c>
      <c r="D196" s="11" t="s">
        <v>120</v>
      </c>
      <c r="E196" s="11" t="s">
        <v>972</v>
      </c>
      <c r="F196" s="11" t="s">
        <v>1304</v>
      </c>
      <c r="G196" s="12" t="str">
        <f>IFERROR(VLOOKUP(F196, DADOS_RM_EVENTOS_original!A:B, 2, FALSE), "Código não encontrado/Não digitado")</f>
        <v>Dias Recesso Estagio</v>
      </c>
      <c r="H196" s="12" t="s">
        <v>68</v>
      </c>
      <c r="I196" s="12" t="str">
        <f>IFERROR(VLOOKUP(H196, DADOS_RM_EVENTOS_original!C:D, 2, FALSE), "Código não encontrado/Não digitado")</f>
        <v>Código não encontrado/Não digitado</v>
      </c>
      <c r="J196" s="12" t="s">
        <v>68</v>
      </c>
      <c r="K196" s="12" t="str">
        <f>IFERROR(VLOOKUP(J196, DADOS_RM_EVENTOS_original!E:J, 2, FALSE), "Código não encontrado/Não digitado")</f>
        <v>Código não encontrado/Não digitado</v>
      </c>
      <c r="L196" s="12" t="s">
        <v>68</v>
      </c>
      <c r="M196" s="12" t="str">
        <f>IFERROR(VLOOKUP(L196, DADOS_RM_EVENTOS_original!K:L, 2, FALSE), "Código não encontrado/Não digitado")</f>
        <v>Código não encontrado/Não digitado</v>
      </c>
    </row>
    <row r="197" ht="15.75" hidden="1" customHeight="1">
      <c r="A197" s="11" t="s">
        <v>38</v>
      </c>
      <c r="B197" s="11" t="s">
        <v>64</v>
      </c>
      <c r="C197" s="11" t="s">
        <v>2735</v>
      </c>
      <c r="D197" s="11" t="s">
        <v>120</v>
      </c>
      <c r="E197" s="11" t="s">
        <v>47</v>
      </c>
      <c r="F197" s="11" t="s">
        <v>2670</v>
      </c>
      <c r="G197" s="12" t="str">
        <f>IFERROR(VLOOKUP(F197, DADOS_RM_EVENTOS_original!A:B, 2, FALSE), "Código não encontrado/Não digitado")</f>
        <v>Estagiario - Dias de Bolsa</v>
      </c>
      <c r="H197" s="12" t="s">
        <v>68</v>
      </c>
      <c r="I197" s="12" t="str">
        <f>IFERROR(VLOOKUP(H197, DADOS_RM_EVENTOS_original!C:D, 2, FALSE), "Código não encontrado/Não digitado")</f>
        <v>Código não encontrado/Não digitado</v>
      </c>
      <c r="J197" s="12" t="s">
        <v>68</v>
      </c>
      <c r="K197" s="12" t="str">
        <f>IFERROR(VLOOKUP(J197, DADOS_RM_EVENTOS_original!E:J, 2, FALSE), "Código não encontrado/Não digitado")</f>
        <v>Código não encontrado/Não digitado</v>
      </c>
      <c r="L197" s="12" t="s">
        <v>68</v>
      </c>
      <c r="M197" s="12" t="str">
        <f>IFERROR(VLOOKUP(L197, DADOS_RM_EVENTOS_original!K:L, 2, FALSE), "Código não encontrado/Não digitado")</f>
        <v>Código não encontrado/Não digitado</v>
      </c>
    </row>
    <row r="198" ht="15.75" hidden="1" customHeight="1">
      <c r="A198" s="11" t="s">
        <v>97</v>
      </c>
      <c r="B198" s="11" t="s">
        <v>2747</v>
      </c>
      <c r="C198" s="11" t="s">
        <v>2748</v>
      </c>
      <c r="D198" s="11" t="s">
        <v>120</v>
      </c>
      <c r="E198" s="11" t="s">
        <v>972</v>
      </c>
      <c r="F198" s="11" t="s">
        <v>2670</v>
      </c>
      <c r="G198" s="12" t="str">
        <f>IFERROR(VLOOKUP(F198, DADOS_RM_EVENTOS_original!A:B, 2, FALSE), "Código não encontrado/Não digitado")</f>
        <v>Estagiario - Dias de Bolsa</v>
      </c>
      <c r="H198" s="12" t="s">
        <v>68</v>
      </c>
      <c r="I198" s="12" t="str">
        <f>IFERROR(VLOOKUP(H198, DADOS_RM_EVENTOS_original!C:D, 2, FALSE), "Código não encontrado/Não digitado")</f>
        <v>Código não encontrado/Não digitado</v>
      </c>
      <c r="J198" s="12" t="s">
        <v>68</v>
      </c>
      <c r="K198" s="12" t="str">
        <f>IFERROR(VLOOKUP(J198, DADOS_RM_EVENTOS_original!E:J, 2, FALSE), "Código não encontrado/Não digitado")</f>
        <v>Código não encontrado/Não digitado</v>
      </c>
      <c r="L198" s="12" t="s">
        <v>68</v>
      </c>
      <c r="M198" s="12" t="str">
        <f>IFERROR(VLOOKUP(L198, DADOS_RM_EVENTOS_original!K:L, 2, FALSE), "Código não encontrado/Não digitado")</f>
        <v>Código não encontrado/Não digitado</v>
      </c>
    </row>
    <row r="199" ht="15.75" hidden="1" customHeight="1">
      <c r="A199" s="11" t="s">
        <v>97</v>
      </c>
      <c r="B199" s="11" t="s">
        <v>64</v>
      </c>
      <c r="C199" s="11" t="s">
        <v>2758</v>
      </c>
      <c r="D199" s="11" t="s">
        <v>120</v>
      </c>
      <c r="E199" s="11" t="s">
        <v>972</v>
      </c>
      <c r="F199" s="11" t="s">
        <v>2670</v>
      </c>
      <c r="G199" s="12" t="str">
        <f>IFERROR(VLOOKUP(F199, DADOS_RM_EVENTOS_original!A:B, 2, FALSE), "Código não encontrado/Não digitado")</f>
        <v>Estagiario - Dias de Bolsa</v>
      </c>
      <c r="H199" s="12" t="s">
        <v>68</v>
      </c>
      <c r="I199" s="12" t="str">
        <f>IFERROR(VLOOKUP(H199, DADOS_RM_EVENTOS_original!C:D, 2, FALSE), "Código não encontrado/Não digitado")</f>
        <v>Código não encontrado/Não digitado</v>
      </c>
      <c r="J199" s="12" t="s">
        <v>68</v>
      </c>
      <c r="K199" s="12" t="str">
        <f>IFERROR(VLOOKUP(J199, DADOS_RM_EVENTOS_original!E:J, 2, FALSE), "Código não encontrado/Não digitado")</f>
        <v>Código não encontrado/Não digitado</v>
      </c>
      <c r="L199" s="12" t="s">
        <v>68</v>
      </c>
      <c r="M199" s="12" t="str">
        <f>IFERROR(VLOOKUP(L199, DADOS_RM_EVENTOS_original!K:L, 2, FALSE), "Código não encontrado/Não digitado")</f>
        <v>Código não encontrado/Não digitado</v>
      </c>
    </row>
    <row r="200" ht="15.75" hidden="1" customHeight="1">
      <c r="A200" s="11" t="s">
        <v>172</v>
      </c>
      <c r="B200" s="11" t="s">
        <v>1665</v>
      </c>
      <c r="C200" s="11" t="s">
        <v>2771</v>
      </c>
      <c r="D200" s="11" t="s">
        <v>44</v>
      </c>
      <c r="E200" s="11" t="s">
        <v>1029</v>
      </c>
      <c r="F200" s="11" t="s">
        <v>718</v>
      </c>
      <c r="G200" s="12" t="str">
        <f>IFERROR(VLOOKUP(F200, DADOS_RM_EVENTOS_original!A:B, 2, FALSE), "Código não encontrado/Não digitado")</f>
        <v>Desc. Cafe da Manha</v>
      </c>
      <c r="H200" s="12" t="s">
        <v>68</v>
      </c>
      <c r="I200" s="12" t="str">
        <f>IFERROR(VLOOKUP(H200, DADOS_RM_EVENTOS_original!C:D, 2, FALSE), "Código não encontrado/Não digitado")</f>
        <v>Código não encontrado/Não digitado</v>
      </c>
      <c r="J200" s="12" t="s">
        <v>68</v>
      </c>
      <c r="K200" s="12" t="str">
        <f>IFERROR(VLOOKUP(J200, DADOS_RM_EVENTOS_original!E:J, 2, FALSE), "Código não encontrado/Não digitado")</f>
        <v>Código não encontrado/Não digitado</v>
      </c>
      <c r="L200" s="12" t="s">
        <v>68</v>
      </c>
      <c r="M200" s="12" t="str">
        <f>IFERROR(VLOOKUP(L200, DADOS_RM_EVENTOS_original!K:L, 2, FALSE), "Código não encontrado/Não digitado")</f>
        <v>Código não encontrado/Não digitado</v>
      </c>
    </row>
    <row r="201" ht="15.75" hidden="1" customHeight="1">
      <c r="A201" s="11" t="s">
        <v>97</v>
      </c>
      <c r="B201" s="11" t="s">
        <v>1665</v>
      </c>
      <c r="C201" s="11" t="s">
        <v>2771</v>
      </c>
      <c r="D201" s="11" t="s">
        <v>44</v>
      </c>
      <c r="E201" s="11" t="s">
        <v>972</v>
      </c>
      <c r="F201" s="11" t="s">
        <v>718</v>
      </c>
      <c r="G201" s="12" t="str">
        <f>IFERROR(VLOOKUP(F201, DADOS_RM_EVENTOS_original!A:B, 2, FALSE), "Código não encontrado/Não digitado")</f>
        <v>Desc. Cafe da Manha</v>
      </c>
      <c r="H201" s="12" t="s">
        <v>68</v>
      </c>
      <c r="I201" s="12" t="str">
        <f>IFERROR(VLOOKUP(H201, DADOS_RM_EVENTOS_original!C:D, 2, FALSE), "Código não encontrado/Não digitado")</f>
        <v>Código não encontrado/Não digitado</v>
      </c>
      <c r="J201" s="12" t="s">
        <v>68</v>
      </c>
      <c r="K201" s="12" t="str">
        <f>IFERROR(VLOOKUP(J201, DADOS_RM_EVENTOS_original!E:J, 2, FALSE), "Código não encontrado/Não digitado")</f>
        <v>Código não encontrado/Não digitado</v>
      </c>
      <c r="L201" s="12" t="s">
        <v>68</v>
      </c>
      <c r="M201" s="12" t="str">
        <f>IFERROR(VLOOKUP(L201, DADOS_RM_EVENTOS_original!K:L, 2, FALSE), "Código não encontrado/Não digitado")</f>
        <v>Código não encontrado/Não digitado</v>
      </c>
    </row>
    <row r="202" ht="15.75" hidden="1" customHeight="1">
      <c r="A202" s="11" t="s">
        <v>38</v>
      </c>
      <c r="B202" s="11" t="s">
        <v>898</v>
      </c>
      <c r="C202" s="11" t="s">
        <v>2795</v>
      </c>
      <c r="D202" s="11" t="s">
        <v>44</v>
      </c>
      <c r="E202" s="11" t="s">
        <v>47</v>
      </c>
      <c r="F202" s="11" t="s">
        <v>521</v>
      </c>
      <c r="G202" s="12" t="str">
        <f>IFERROR(VLOOKUP(F202, DADOS_RM_EVENTOS_original!A:B, 2, FALSE), "Código não encontrado/Não digitado")</f>
        <v>Desc. Cesta Basica</v>
      </c>
      <c r="H202" s="12" t="s">
        <v>68</v>
      </c>
      <c r="I202" s="12" t="str">
        <f>IFERROR(VLOOKUP(H202, DADOS_RM_EVENTOS_original!C:D, 2, FALSE), "Código não encontrado/Não digitado")</f>
        <v>Código não encontrado/Não digitado</v>
      </c>
      <c r="J202" s="12" t="s">
        <v>68</v>
      </c>
      <c r="K202" s="12" t="str">
        <f>IFERROR(VLOOKUP(J202, DADOS_RM_EVENTOS_original!E:J, 2, FALSE), "Código não encontrado/Não digitado")</f>
        <v>Código não encontrado/Não digitado</v>
      </c>
      <c r="L202" s="12" t="s">
        <v>68</v>
      </c>
      <c r="M202" s="12" t="str">
        <f>IFERROR(VLOOKUP(L202, DADOS_RM_EVENTOS_original!K:L, 2, FALSE), "Código não encontrado/Não digitado")</f>
        <v>Código não encontrado/Não digitado</v>
      </c>
    </row>
    <row r="203" ht="15.75" hidden="1" customHeight="1">
      <c r="A203" s="11" t="s">
        <v>115</v>
      </c>
      <c r="B203" s="11" t="s">
        <v>898</v>
      </c>
      <c r="C203" s="11" t="s">
        <v>2795</v>
      </c>
      <c r="D203" s="11" t="s">
        <v>44</v>
      </c>
      <c r="E203" s="11" t="s">
        <v>121</v>
      </c>
      <c r="F203" s="11" t="s">
        <v>521</v>
      </c>
      <c r="G203" s="12" t="str">
        <f>IFERROR(VLOOKUP(F203, DADOS_RM_EVENTOS_original!A:B, 2, FALSE), "Código não encontrado/Não digitado")</f>
        <v>Desc. Cesta Basica</v>
      </c>
      <c r="H203" s="12" t="s">
        <v>68</v>
      </c>
      <c r="I203" s="12" t="str">
        <f>IFERROR(VLOOKUP(H203, DADOS_RM_EVENTOS_original!C:D, 2, FALSE), "Código não encontrado/Não digitado")</f>
        <v>Código não encontrado/Não digitado</v>
      </c>
      <c r="J203" s="12" t="s">
        <v>68</v>
      </c>
      <c r="K203" s="12" t="str">
        <f>IFERROR(VLOOKUP(J203, DADOS_RM_EVENTOS_original!E:J, 2, FALSE), "Código não encontrado/Não digitado")</f>
        <v>Código não encontrado/Não digitado</v>
      </c>
      <c r="L203" s="12" t="s">
        <v>68</v>
      </c>
      <c r="M203" s="12" t="str">
        <f>IFERROR(VLOOKUP(L203, DADOS_RM_EVENTOS_original!K:L, 2, FALSE), "Código não encontrado/Não digitado")</f>
        <v>Código não encontrado/Não digitado</v>
      </c>
    </row>
    <row r="204" ht="15.75" hidden="1" customHeight="1">
      <c r="A204" s="11" t="s">
        <v>142</v>
      </c>
      <c r="B204" s="11" t="s">
        <v>898</v>
      </c>
      <c r="C204" s="11" t="s">
        <v>2795</v>
      </c>
      <c r="D204" s="11" t="s">
        <v>44</v>
      </c>
      <c r="E204" s="11" t="s">
        <v>985</v>
      </c>
      <c r="F204" s="11" t="s">
        <v>521</v>
      </c>
      <c r="G204" s="12" t="str">
        <f>IFERROR(VLOOKUP(F204, DADOS_RM_EVENTOS_original!A:B, 2, FALSE), "Código não encontrado/Não digitado")</f>
        <v>Desc. Cesta Basica</v>
      </c>
      <c r="H204" s="12" t="s">
        <v>68</v>
      </c>
      <c r="I204" s="12" t="str">
        <f>IFERROR(VLOOKUP(H204, DADOS_RM_EVENTOS_original!C:D, 2, FALSE), "Código não encontrado/Não digitado")</f>
        <v>Código não encontrado/Não digitado</v>
      </c>
      <c r="J204" s="12" t="s">
        <v>68</v>
      </c>
      <c r="K204" s="12" t="str">
        <f>IFERROR(VLOOKUP(J204, DADOS_RM_EVENTOS_original!E:J, 2, FALSE), "Código não encontrado/Não digitado")</f>
        <v>Código não encontrado/Não digitado</v>
      </c>
      <c r="L204" s="12" t="s">
        <v>68</v>
      </c>
      <c r="M204" s="12" t="str">
        <f>IFERROR(VLOOKUP(L204, DADOS_RM_EVENTOS_original!K:L, 2, FALSE), "Código não encontrado/Não digitado")</f>
        <v>Código não encontrado/Não digitado</v>
      </c>
    </row>
    <row r="205" ht="15.75" customHeight="1">
      <c r="A205" s="11" t="s">
        <v>142</v>
      </c>
      <c r="B205" s="11" t="s">
        <v>2821</v>
      </c>
      <c r="C205" s="11" t="s">
        <v>2823</v>
      </c>
      <c r="D205" s="11" t="s">
        <v>120</v>
      </c>
      <c r="E205" s="11" t="s">
        <v>985</v>
      </c>
      <c r="F205" s="11" t="s">
        <v>49</v>
      </c>
      <c r="G205" s="12" t="str">
        <f>IFERROR(VLOOKUP(F205, DADOS_RM_EVENTOS_original!A:B, 2, FALSE), "Código não encontrado/Não digitado")</f>
        <v>Código não encontrado/Não digitado</v>
      </c>
      <c r="H205" s="12" t="s">
        <v>68</v>
      </c>
      <c r="I205" s="12" t="str">
        <f>IFERROR(VLOOKUP(H205, DADOS_RM_EVENTOS_original!C:D, 2, FALSE), "Código não encontrado/Não digitado")</f>
        <v>Código não encontrado/Não digitado</v>
      </c>
      <c r="J205" s="12" t="s">
        <v>68</v>
      </c>
      <c r="K205" s="12" t="str">
        <f>IFERROR(VLOOKUP(J205, DADOS_RM_EVENTOS_original!E:J, 2, FALSE), "Código não encontrado/Não digitado")</f>
        <v>Código não encontrado/Não digitado</v>
      </c>
      <c r="L205" s="12" t="s">
        <v>68</v>
      </c>
      <c r="M205" s="12" t="str">
        <f>IFERROR(VLOOKUP(L205, DADOS_RM_EVENTOS_original!K:L, 2, FALSE), "Código não encontrado/Não digitado")</f>
        <v>Código não encontrado/Não digitado</v>
      </c>
    </row>
    <row r="206" ht="15.75" customHeight="1">
      <c r="A206" s="11" t="s">
        <v>38</v>
      </c>
      <c r="B206" s="11" t="s">
        <v>102</v>
      </c>
      <c r="C206" s="11" t="s">
        <v>2834</v>
      </c>
      <c r="D206" s="11" t="s">
        <v>120</v>
      </c>
      <c r="E206" s="11" t="s">
        <v>47</v>
      </c>
      <c r="F206" s="11" t="s">
        <v>49</v>
      </c>
      <c r="G206" s="12" t="str">
        <f>IFERROR(VLOOKUP(F206, DADOS_RM_EVENTOS_original!A:B, 2, FALSE), "Código não encontrado/Não digitado")</f>
        <v>Código não encontrado/Não digitado</v>
      </c>
      <c r="H206" s="12" t="s">
        <v>68</v>
      </c>
      <c r="I206" s="12" t="str">
        <f>IFERROR(VLOOKUP(H206, DADOS_RM_EVENTOS_original!C:D, 2, FALSE), "Código não encontrado/Não digitado")</f>
        <v>Código não encontrado/Não digitado</v>
      </c>
      <c r="J206" s="12" t="s">
        <v>68</v>
      </c>
      <c r="K206" s="12" t="str">
        <f>IFERROR(VLOOKUP(J206, DADOS_RM_EVENTOS_original!E:J, 2, FALSE), "Código não encontrado/Não digitado")</f>
        <v>Código não encontrado/Não digitado</v>
      </c>
      <c r="L206" s="12" t="s">
        <v>68</v>
      </c>
      <c r="M206" s="12" t="str">
        <f>IFERROR(VLOOKUP(L206, DADOS_RM_EVENTOS_original!K:L, 2, FALSE), "Código não encontrado/Não digitado")</f>
        <v>Código não encontrado/Não digitado</v>
      </c>
    </row>
    <row r="207" ht="15.75" customHeight="1">
      <c r="A207" s="11" t="s">
        <v>115</v>
      </c>
      <c r="B207" s="11" t="s">
        <v>443</v>
      </c>
      <c r="C207" s="11" t="s">
        <v>2844</v>
      </c>
      <c r="D207" s="11" t="s">
        <v>120</v>
      </c>
      <c r="E207" s="11" t="s">
        <v>121</v>
      </c>
      <c r="F207" s="11" t="s">
        <v>49</v>
      </c>
      <c r="G207" s="12" t="str">
        <f>IFERROR(VLOOKUP(F207, DADOS_RM_EVENTOS_original!A:B, 2, FALSE), "Código não encontrado/Não digitado")</f>
        <v>Código não encontrado/Não digitado</v>
      </c>
      <c r="H207" s="12" t="s">
        <v>68</v>
      </c>
      <c r="I207" s="12" t="str">
        <f>IFERROR(VLOOKUP(H207, DADOS_RM_EVENTOS_original!C:D, 2, FALSE), "Código não encontrado/Não digitado")</f>
        <v>Código não encontrado/Não digitado</v>
      </c>
      <c r="J207" s="12" t="s">
        <v>68</v>
      </c>
      <c r="K207" s="12" t="str">
        <f>IFERROR(VLOOKUP(J207, DADOS_RM_EVENTOS_original!E:J, 2, FALSE), "Código não encontrado/Não digitado")</f>
        <v>Código não encontrado/Não digitado</v>
      </c>
      <c r="L207" s="12" t="s">
        <v>68</v>
      </c>
      <c r="M207" s="12" t="str">
        <f>IFERROR(VLOOKUP(L207, DADOS_RM_EVENTOS_original!K:L, 2, FALSE), "Código não encontrado/Não digitado")</f>
        <v>Código não encontrado/Não digitado</v>
      </c>
    </row>
    <row r="208" ht="15.75" hidden="1" customHeight="1">
      <c r="A208" s="11" t="s">
        <v>38</v>
      </c>
      <c r="B208" s="11" t="s">
        <v>2853</v>
      </c>
      <c r="C208" s="11" t="s">
        <v>2854</v>
      </c>
      <c r="D208" s="11" t="s">
        <v>44</v>
      </c>
      <c r="E208" s="11" t="s">
        <v>47</v>
      </c>
      <c r="F208" s="11" t="s">
        <v>889</v>
      </c>
      <c r="G208" s="12" t="str">
        <f>IFERROR(VLOOKUP(F208, DADOS_RM_EVENTOS_original!A:B, 2, FALSE), "Código não encontrado/Não digitado")</f>
        <v>Desc. Pl Saude UNIMED Dep</v>
      </c>
      <c r="H208" s="12" t="s">
        <v>68</v>
      </c>
      <c r="I208" s="12" t="str">
        <f>IFERROR(VLOOKUP(H208, DADOS_RM_EVENTOS_original!C:D, 2, FALSE), "Código não encontrado/Não digitado")</f>
        <v>Código não encontrado/Não digitado</v>
      </c>
      <c r="J208" s="12" t="s">
        <v>68</v>
      </c>
      <c r="K208" s="12" t="str">
        <f>IFERROR(VLOOKUP(J208, DADOS_RM_EVENTOS_original!E:J, 2, FALSE), "Código não encontrado/Não digitado")</f>
        <v>Código não encontrado/Não digitado</v>
      </c>
      <c r="L208" s="12" t="s">
        <v>68</v>
      </c>
      <c r="M208" s="12" t="str">
        <f>IFERROR(VLOOKUP(L208, DADOS_RM_EVENTOS_original!K:L, 2, FALSE), "Código não encontrado/Não digitado")</f>
        <v>Código não encontrado/Não digitado</v>
      </c>
    </row>
    <row r="209" ht="15.75" hidden="1" customHeight="1">
      <c r="A209" s="11" t="s">
        <v>97</v>
      </c>
      <c r="B209" s="11" t="s">
        <v>2853</v>
      </c>
      <c r="C209" s="11" t="s">
        <v>2864</v>
      </c>
      <c r="D209" s="11" t="s">
        <v>44</v>
      </c>
      <c r="E209" s="11" t="s">
        <v>972</v>
      </c>
      <c r="F209" s="11" t="s">
        <v>889</v>
      </c>
      <c r="G209" s="12" t="str">
        <f>IFERROR(VLOOKUP(F209, DADOS_RM_EVENTOS_original!A:B, 2, FALSE), "Código não encontrado/Não digitado")</f>
        <v>Desc. Pl Saude UNIMED Dep</v>
      </c>
      <c r="H209" s="12" t="s">
        <v>68</v>
      </c>
      <c r="I209" s="12" t="str">
        <f>IFERROR(VLOOKUP(H209, DADOS_RM_EVENTOS_original!C:D, 2, FALSE), "Código não encontrado/Não digitado")</f>
        <v>Código não encontrado/Não digitado</v>
      </c>
      <c r="J209" s="12" t="s">
        <v>68</v>
      </c>
      <c r="K209" s="12" t="str">
        <f>IFERROR(VLOOKUP(J209, DADOS_RM_EVENTOS_original!E:J, 2, FALSE), "Código não encontrado/Não digitado")</f>
        <v>Código não encontrado/Não digitado</v>
      </c>
      <c r="L209" s="12" t="s">
        <v>68</v>
      </c>
      <c r="M209" s="12" t="str">
        <f>IFERROR(VLOOKUP(L209, DADOS_RM_EVENTOS_original!K:L, 2, FALSE), "Código não encontrado/Não digitado")</f>
        <v>Código não encontrado/Não digitado</v>
      </c>
    </row>
    <row r="210" ht="15.75" hidden="1" customHeight="1">
      <c r="A210" s="11" t="s">
        <v>38</v>
      </c>
      <c r="B210" s="11" t="s">
        <v>2874</v>
      </c>
      <c r="C210" s="11" t="s">
        <v>2875</v>
      </c>
      <c r="D210" s="11" t="s">
        <v>44</v>
      </c>
      <c r="E210" s="11" t="s">
        <v>47</v>
      </c>
      <c r="F210" s="11" t="s">
        <v>2033</v>
      </c>
      <c r="G210" s="12" t="str">
        <f>IFERROR(VLOOKUP(F210, DADOS_RM_EVENTOS_original!A:B, 2, FALSE), "Código não encontrado/Não digitado")</f>
        <v>Desc. Co-participacao Pl Saude UNIMED Ti</v>
      </c>
      <c r="H210" s="12" t="s">
        <v>68</v>
      </c>
      <c r="I210" s="12" t="str">
        <f>IFERROR(VLOOKUP(H210, DADOS_RM_EVENTOS_original!C:D, 2, FALSE), "Código não encontrado/Não digitado")</f>
        <v>Código não encontrado/Não digitado</v>
      </c>
      <c r="J210" s="12" t="s">
        <v>68</v>
      </c>
      <c r="K210" s="12" t="str">
        <f>IFERROR(VLOOKUP(J210, DADOS_RM_EVENTOS_original!E:J, 2, FALSE), "Código não encontrado/Não digitado")</f>
        <v>Código não encontrado/Não digitado</v>
      </c>
      <c r="L210" s="12" t="s">
        <v>68</v>
      </c>
      <c r="M210" s="12" t="str">
        <f>IFERROR(VLOOKUP(L210, DADOS_RM_EVENTOS_original!K:L, 2, FALSE), "Código não encontrado/Não digitado")</f>
        <v>Código não encontrado/Não digitado</v>
      </c>
    </row>
    <row r="211" ht="15.75" hidden="1" customHeight="1">
      <c r="A211" s="11" t="s">
        <v>97</v>
      </c>
      <c r="B211" s="11" t="s">
        <v>2874</v>
      </c>
      <c r="C211" s="11" t="s">
        <v>2889</v>
      </c>
      <c r="D211" s="11" t="s">
        <v>44</v>
      </c>
      <c r="E211" s="11" t="s">
        <v>972</v>
      </c>
      <c r="F211" s="11" t="s">
        <v>2033</v>
      </c>
      <c r="G211" s="12" t="str">
        <f>IFERROR(VLOOKUP(F211, DADOS_RM_EVENTOS_original!A:B, 2, FALSE), "Código não encontrado/Não digitado")</f>
        <v>Desc. Co-participacao Pl Saude UNIMED Ti</v>
      </c>
      <c r="H211" s="12" t="s">
        <v>68</v>
      </c>
      <c r="I211" s="12" t="str">
        <f>IFERROR(VLOOKUP(H211, DADOS_RM_EVENTOS_original!C:D, 2, FALSE), "Código não encontrado/Não digitado")</f>
        <v>Código não encontrado/Não digitado</v>
      </c>
      <c r="J211" s="12" t="s">
        <v>68</v>
      </c>
      <c r="K211" s="12" t="str">
        <f>IFERROR(VLOOKUP(J211, DADOS_RM_EVENTOS_original!E:J, 2, FALSE), "Código não encontrado/Não digitado")</f>
        <v>Código não encontrado/Não digitado</v>
      </c>
      <c r="L211" s="12" t="s">
        <v>68</v>
      </c>
      <c r="M211" s="12" t="str">
        <f>IFERROR(VLOOKUP(L211, DADOS_RM_EVENTOS_original!K:L, 2, FALSE), "Código não encontrado/Não digitado")</f>
        <v>Código não encontrado/Não digitado</v>
      </c>
    </row>
    <row r="212" ht="15.75" hidden="1" customHeight="1">
      <c r="A212" s="11" t="s">
        <v>38</v>
      </c>
      <c r="B212" s="11" t="s">
        <v>566</v>
      </c>
      <c r="C212" s="11" t="s">
        <v>2898</v>
      </c>
      <c r="D212" s="11" t="s">
        <v>120</v>
      </c>
      <c r="E212" s="11" t="s">
        <v>47</v>
      </c>
      <c r="F212" s="11" t="s">
        <v>376</v>
      </c>
      <c r="G212" s="12" t="str">
        <f>IFERROR(VLOOKUP(F212, DADOS_RM_EVENTOS_original!A:B, 2, FALSE), "Código não encontrado/Não digitado")</f>
        <v>Dif. Abono Pec de Ferias</v>
      </c>
      <c r="H212" s="12" t="s">
        <v>68</v>
      </c>
      <c r="I212" s="12" t="str">
        <f>IFERROR(VLOOKUP(H212, DADOS_RM_EVENTOS_original!C:D, 2, FALSE), "Código não encontrado/Não digitado")</f>
        <v>Código não encontrado/Não digitado</v>
      </c>
      <c r="J212" s="12" t="s">
        <v>68</v>
      </c>
      <c r="K212" s="12" t="str">
        <f>IFERROR(VLOOKUP(J212, DADOS_RM_EVENTOS_original!E:J, 2, FALSE), "Código não encontrado/Não digitado")</f>
        <v>Código não encontrado/Não digitado</v>
      </c>
      <c r="L212" s="12" t="s">
        <v>68</v>
      </c>
      <c r="M212" s="12" t="str">
        <f>IFERROR(VLOOKUP(L212, DADOS_RM_EVENTOS_original!K:L, 2, FALSE), "Código não encontrado/Não digitado")</f>
        <v>Código não encontrado/Não digitado</v>
      </c>
    </row>
    <row r="213" ht="15.75" hidden="1" customHeight="1">
      <c r="A213" s="11" t="s">
        <v>38</v>
      </c>
      <c r="B213" s="11" t="s">
        <v>562</v>
      </c>
      <c r="C213" s="11" t="s">
        <v>2899</v>
      </c>
      <c r="D213" s="11" t="s">
        <v>120</v>
      </c>
      <c r="E213" s="11" t="s">
        <v>47</v>
      </c>
      <c r="F213" s="11" t="s">
        <v>537</v>
      </c>
      <c r="G213" s="12" t="str">
        <f>IFERROR(VLOOKUP(F213, DADOS_RM_EVENTOS_original!A:B, 2, FALSE), "Código não encontrado/Não digitado")</f>
        <v>Dif. Ferias Mes Anterior</v>
      </c>
      <c r="H213" s="12" t="s">
        <v>68</v>
      </c>
      <c r="I213" s="12" t="str">
        <f>IFERROR(VLOOKUP(H213, DADOS_RM_EVENTOS_original!C:D, 2, FALSE), "Código não encontrado/Não digitado")</f>
        <v>Código não encontrado/Não digitado</v>
      </c>
      <c r="J213" s="12" t="s">
        <v>68</v>
      </c>
      <c r="K213" s="12" t="str">
        <f>IFERROR(VLOOKUP(J213, DADOS_RM_EVENTOS_original!E:J, 2, FALSE), "Código não encontrado/Não digitado")</f>
        <v>Código não encontrado/Não digitado</v>
      </c>
      <c r="L213" s="12" t="s">
        <v>68</v>
      </c>
      <c r="M213" s="12" t="str">
        <f>IFERROR(VLOOKUP(L213, DADOS_RM_EVENTOS_original!K:L, 2, FALSE), "Código não encontrado/Não digitado")</f>
        <v>Código não encontrado/Não digitado</v>
      </c>
    </row>
    <row r="214" ht="15.75" hidden="1" customHeight="1">
      <c r="A214" s="11" t="s">
        <v>97</v>
      </c>
      <c r="B214" s="11" t="s">
        <v>562</v>
      </c>
      <c r="C214" s="11" t="s">
        <v>2900</v>
      </c>
      <c r="D214" s="11" t="s">
        <v>120</v>
      </c>
      <c r="E214" s="11" t="s">
        <v>972</v>
      </c>
      <c r="F214" s="11" t="s">
        <v>537</v>
      </c>
      <c r="G214" s="12" t="str">
        <f>IFERROR(VLOOKUP(F214, DADOS_RM_EVENTOS_original!A:B, 2, FALSE), "Código não encontrado/Não digitado")</f>
        <v>Dif. Ferias Mes Anterior</v>
      </c>
      <c r="H214" s="12" t="s">
        <v>68</v>
      </c>
      <c r="I214" s="12" t="str">
        <f>IFERROR(VLOOKUP(H214, DADOS_RM_EVENTOS_original!C:D, 2, FALSE), "Código não encontrado/Não digitado")</f>
        <v>Código não encontrado/Não digitado</v>
      </c>
      <c r="J214" s="12" t="s">
        <v>68</v>
      </c>
      <c r="K214" s="12" t="str">
        <f>IFERROR(VLOOKUP(J214, DADOS_RM_EVENTOS_original!E:J, 2, FALSE), "Código não encontrado/Não digitado")</f>
        <v>Código não encontrado/Não digitado</v>
      </c>
      <c r="L214" s="12" t="s">
        <v>68</v>
      </c>
      <c r="M214" s="12" t="str">
        <f>IFERROR(VLOOKUP(L214, DADOS_RM_EVENTOS_original!K:L, 2, FALSE), "Código não encontrado/Não digitado")</f>
        <v>Código não encontrado/Não digitado</v>
      </c>
    </row>
    <row r="215" ht="15.75" hidden="1" customHeight="1">
      <c r="A215" s="11" t="s">
        <v>38</v>
      </c>
      <c r="B215" s="11" t="s">
        <v>518</v>
      </c>
      <c r="C215" s="11" t="s">
        <v>2901</v>
      </c>
      <c r="D215" s="11" t="s">
        <v>120</v>
      </c>
      <c r="E215" s="11" t="s">
        <v>47</v>
      </c>
      <c r="F215" s="11" t="s">
        <v>281</v>
      </c>
      <c r="G215" s="12" t="str">
        <f>IFERROR(VLOOKUP(F215, DADOS_RM_EVENTOS_original!A:B, 2, FALSE), "Código não encontrado/Não digitado")</f>
        <v>Dif. Salarial</v>
      </c>
      <c r="H215" s="12" t="s">
        <v>68</v>
      </c>
      <c r="I215" s="12" t="str">
        <f>IFERROR(VLOOKUP(H215, DADOS_RM_EVENTOS_original!C:D, 2, FALSE), "Código não encontrado/Não digitado")</f>
        <v>Código não encontrado/Não digitado</v>
      </c>
      <c r="J215" s="12" t="s">
        <v>68</v>
      </c>
      <c r="K215" s="12" t="str">
        <f>IFERROR(VLOOKUP(J215, DADOS_RM_EVENTOS_original!E:J, 2, FALSE), "Código não encontrado/Não digitado")</f>
        <v>Código não encontrado/Não digitado</v>
      </c>
      <c r="L215" s="12" t="s">
        <v>68</v>
      </c>
      <c r="M215" s="12" t="str">
        <f>IFERROR(VLOOKUP(L215, DADOS_RM_EVENTOS_original!K:L, 2, FALSE), "Código não encontrado/Não digitado")</f>
        <v>Código não encontrado/Não digitado</v>
      </c>
    </row>
    <row r="216" ht="15.75" hidden="1" customHeight="1">
      <c r="A216" s="11" t="s">
        <v>97</v>
      </c>
      <c r="B216" s="11" t="s">
        <v>518</v>
      </c>
      <c r="C216" s="11" t="s">
        <v>2906</v>
      </c>
      <c r="D216" s="11" t="s">
        <v>120</v>
      </c>
      <c r="E216" s="11" t="s">
        <v>972</v>
      </c>
      <c r="F216" s="11" t="s">
        <v>281</v>
      </c>
      <c r="G216" s="12" t="str">
        <f>IFERROR(VLOOKUP(F216, DADOS_RM_EVENTOS_original!A:B, 2, FALSE), "Código não encontrado/Não digitado")</f>
        <v>Dif. Salarial</v>
      </c>
      <c r="H216" s="12" t="s">
        <v>68</v>
      </c>
      <c r="I216" s="12" t="str">
        <f>IFERROR(VLOOKUP(H216, DADOS_RM_EVENTOS_original!C:D, 2, FALSE), "Código não encontrado/Não digitado")</f>
        <v>Código não encontrado/Não digitado</v>
      </c>
      <c r="J216" s="12" t="s">
        <v>68</v>
      </c>
      <c r="K216" s="12" t="str">
        <f>IFERROR(VLOOKUP(J216, DADOS_RM_EVENTOS_original!E:J, 2, FALSE), "Código não encontrado/Não digitado")</f>
        <v>Código não encontrado/Não digitado</v>
      </c>
      <c r="L216" s="12" t="s">
        <v>68</v>
      </c>
      <c r="M216" s="12" t="str">
        <f>IFERROR(VLOOKUP(L216, DADOS_RM_EVENTOS_original!K:L, 2, FALSE), "Código não encontrado/Não digitado")</f>
        <v>Código não encontrado/Não digitado</v>
      </c>
    </row>
    <row r="217" ht="15.75" hidden="1" customHeight="1">
      <c r="A217" s="11" t="s">
        <v>38</v>
      </c>
      <c r="B217" s="11" t="s">
        <v>888</v>
      </c>
      <c r="C217" s="11" t="s">
        <v>2910</v>
      </c>
      <c r="D217" s="11" t="s">
        <v>44</v>
      </c>
      <c r="E217" s="11" t="s">
        <v>47</v>
      </c>
      <c r="F217" s="11" t="s">
        <v>1624</v>
      </c>
      <c r="G217" s="12" t="str">
        <f>IFERROR(VLOOKUP(F217, DADOS_RM_EVENTOS_original!A:B, 2, FALSE), "Código não encontrado/Não digitado")</f>
        <v>Desc Emprestimo Credito Trabalhador I</v>
      </c>
      <c r="H217" s="12" t="s">
        <v>68</v>
      </c>
      <c r="I217" s="12" t="str">
        <f>IFERROR(VLOOKUP(H217, DADOS_RM_EVENTOS_original!C:D, 2, FALSE), "Código não encontrado/Não digitado")</f>
        <v>Código não encontrado/Não digitado</v>
      </c>
      <c r="J217" s="12" t="s">
        <v>68</v>
      </c>
      <c r="K217" s="12" t="str">
        <f>IFERROR(VLOOKUP(J217, DADOS_RM_EVENTOS_original!E:J, 2, FALSE), "Código não encontrado/Não digitado")</f>
        <v>Código não encontrado/Não digitado</v>
      </c>
      <c r="L217" s="12" t="s">
        <v>68</v>
      </c>
      <c r="M217" s="12" t="str">
        <f>IFERROR(VLOOKUP(L217, DADOS_RM_EVENTOS_original!K:L, 2, FALSE), "Código não encontrado/Não digitado")</f>
        <v>Código não encontrado/Não digitado</v>
      </c>
    </row>
    <row r="218" ht="15.75" hidden="1" customHeight="1">
      <c r="A218" s="11" t="s">
        <v>172</v>
      </c>
      <c r="B218" s="11" t="s">
        <v>2914</v>
      </c>
      <c r="C218" s="11" t="s">
        <v>2910</v>
      </c>
      <c r="D218" s="11" t="s">
        <v>44</v>
      </c>
      <c r="E218" s="11" t="s">
        <v>1029</v>
      </c>
      <c r="F218" s="11" t="s">
        <v>1624</v>
      </c>
      <c r="G218" s="12" t="str">
        <f>IFERROR(VLOOKUP(F218, DADOS_RM_EVENTOS_original!A:B, 2, FALSE), "Código não encontrado/Não digitado")</f>
        <v>Desc Emprestimo Credito Trabalhador I</v>
      </c>
      <c r="H218" s="12" t="s">
        <v>68</v>
      </c>
      <c r="I218" s="12" t="str">
        <f>IFERROR(VLOOKUP(H218, DADOS_RM_EVENTOS_original!C:D, 2, FALSE), "Código não encontrado/Não digitado")</f>
        <v>Código não encontrado/Não digitado</v>
      </c>
      <c r="J218" s="12" t="s">
        <v>68</v>
      </c>
      <c r="K218" s="12" t="str">
        <f>IFERROR(VLOOKUP(J218, DADOS_RM_EVENTOS_original!E:J, 2, FALSE), "Código não encontrado/Não digitado")</f>
        <v>Código não encontrado/Não digitado</v>
      </c>
      <c r="L218" s="12" t="s">
        <v>68</v>
      </c>
      <c r="M218" s="12" t="str">
        <f>IFERROR(VLOOKUP(L218, DADOS_RM_EVENTOS_original!K:L, 2, FALSE), "Código não encontrado/Não digitado")</f>
        <v>Código não encontrado/Não digitado</v>
      </c>
    </row>
    <row r="219" ht="15.75" hidden="1" customHeight="1">
      <c r="A219" s="11" t="s">
        <v>38</v>
      </c>
      <c r="B219" s="11" t="s">
        <v>1014</v>
      </c>
      <c r="C219" s="11" t="s">
        <v>2918</v>
      </c>
      <c r="D219" s="11" t="s">
        <v>44</v>
      </c>
      <c r="E219" s="11" t="s">
        <v>47</v>
      </c>
      <c r="F219" s="11" t="s">
        <v>1624</v>
      </c>
      <c r="G219" s="12" t="str">
        <f>IFERROR(VLOOKUP(F219, DADOS_RM_EVENTOS_original!A:B, 2, FALSE), "Código não encontrado/Não digitado")</f>
        <v>Desc Emprestimo Credito Trabalhador I</v>
      </c>
      <c r="H219" s="12" t="s">
        <v>68</v>
      </c>
      <c r="I219" s="12" t="str">
        <f>IFERROR(VLOOKUP(H219, DADOS_RM_EVENTOS_original!C:D, 2, FALSE), "Código não encontrado/Não digitado")</f>
        <v>Código não encontrado/Não digitado</v>
      </c>
      <c r="J219" s="12" t="s">
        <v>68</v>
      </c>
      <c r="K219" s="12" t="str">
        <f>IFERROR(VLOOKUP(J219, DADOS_RM_EVENTOS_original!E:J, 2, FALSE), "Código não encontrado/Não digitado")</f>
        <v>Código não encontrado/Não digitado</v>
      </c>
      <c r="L219" s="12" t="s">
        <v>68</v>
      </c>
      <c r="M219" s="12" t="str">
        <f>IFERROR(VLOOKUP(L219, DADOS_RM_EVENTOS_original!K:L, 2, FALSE), "Código não encontrado/Não digitado")</f>
        <v>Código não encontrado/Não digitado</v>
      </c>
    </row>
    <row r="220" ht="15.75" hidden="1" customHeight="1">
      <c r="A220" s="11" t="s">
        <v>172</v>
      </c>
      <c r="B220" s="11" t="s">
        <v>2922</v>
      </c>
      <c r="C220" s="11" t="s">
        <v>2918</v>
      </c>
      <c r="D220" s="11" t="s">
        <v>44</v>
      </c>
      <c r="E220" s="11" t="s">
        <v>1029</v>
      </c>
      <c r="F220" s="11" t="s">
        <v>1624</v>
      </c>
      <c r="G220" s="12" t="str">
        <f>IFERROR(VLOOKUP(F220, DADOS_RM_EVENTOS_original!A:B, 2, FALSE), "Código não encontrado/Não digitado")</f>
        <v>Desc Emprestimo Credito Trabalhador I</v>
      </c>
      <c r="H220" s="12" t="s">
        <v>68</v>
      </c>
      <c r="I220" s="12" t="str">
        <f>IFERROR(VLOOKUP(H220, DADOS_RM_EVENTOS_original!C:D, 2, FALSE), "Código não encontrado/Não digitado")</f>
        <v>Código não encontrado/Não digitado</v>
      </c>
      <c r="J220" s="12" t="s">
        <v>68</v>
      </c>
      <c r="K220" s="12" t="str">
        <f>IFERROR(VLOOKUP(J220, DADOS_RM_EVENTOS_original!E:J, 2, FALSE), "Código não encontrado/Não digitado")</f>
        <v>Código não encontrado/Não digitado</v>
      </c>
      <c r="L220" s="12" t="s">
        <v>68</v>
      </c>
      <c r="M220" s="12" t="str">
        <f>IFERROR(VLOOKUP(L220, DADOS_RM_EVENTOS_original!K:L, 2, FALSE), "Código não encontrado/Não digitado")</f>
        <v>Código não encontrado/Não digitado</v>
      </c>
    </row>
    <row r="221" ht="15.75" hidden="1" customHeight="1">
      <c r="A221" s="11" t="s">
        <v>38</v>
      </c>
      <c r="B221" s="11" t="s">
        <v>2278</v>
      </c>
      <c r="C221" s="11" t="s">
        <v>2927</v>
      </c>
      <c r="D221" s="11" t="s">
        <v>44</v>
      </c>
      <c r="E221" s="11" t="s">
        <v>47</v>
      </c>
      <c r="F221" s="11" t="s">
        <v>2087</v>
      </c>
      <c r="G221" s="12" t="str">
        <f>IFERROR(VLOOKUP(F221, DADOS_RM_EVENTOS_original!A:B, 2, FALSE), "Código não encontrado/Não digitado")</f>
        <v>Desc Emprestimo Credito Trabalhador II</v>
      </c>
      <c r="H221" s="12" t="s">
        <v>68</v>
      </c>
      <c r="I221" s="12" t="str">
        <f>IFERROR(VLOOKUP(H221, DADOS_RM_EVENTOS_original!C:D, 2, FALSE), "Código não encontrado/Não digitado")</f>
        <v>Código não encontrado/Não digitado</v>
      </c>
      <c r="J221" s="12" t="s">
        <v>68</v>
      </c>
      <c r="K221" s="12" t="str">
        <f>IFERROR(VLOOKUP(J221, DADOS_RM_EVENTOS_original!E:J, 2, FALSE), "Código não encontrado/Não digitado")</f>
        <v>Código não encontrado/Não digitado</v>
      </c>
      <c r="L221" s="12" t="s">
        <v>68</v>
      </c>
      <c r="M221" s="12" t="str">
        <f>IFERROR(VLOOKUP(L221, DADOS_RM_EVENTOS_original!K:L, 2, FALSE), "Código não encontrado/Não digitado")</f>
        <v>Código não encontrado/Não digitado</v>
      </c>
    </row>
    <row r="222" ht="15.75" hidden="1" customHeight="1">
      <c r="A222" s="11" t="s">
        <v>172</v>
      </c>
      <c r="B222" s="11" t="s">
        <v>2933</v>
      </c>
      <c r="C222" s="11" t="s">
        <v>2927</v>
      </c>
      <c r="D222" s="11" t="s">
        <v>44</v>
      </c>
      <c r="E222" s="11" t="s">
        <v>1029</v>
      </c>
      <c r="F222" s="11" t="s">
        <v>2087</v>
      </c>
      <c r="G222" s="12" t="str">
        <f>IFERROR(VLOOKUP(F222, DADOS_RM_EVENTOS_original!A:B, 2, FALSE), "Código não encontrado/Não digitado")</f>
        <v>Desc Emprestimo Credito Trabalhador II</v>
      </c>
      <c r="H222" s="12" t="s">
        <v>68</v>
      </c>
      <c r="I222" s="12" t="str">
        <f>IFERROR(VLOOKUP(H222, DADOS_RM_EVENTOS_original!C:D, 2, FALSE), "Código não encontrado/Não digitado")</f>
        <v>Código não encontrado/Não digitado</v>
      </c>
      <c r="J222" s="12" t="s">
        <v>68</v>
      </c>
      <c r="K222" s="12" t="str">
        <f>IFERROR(VLOOKUP(J222, DADOS_RM_EVENTOS_original!E:J, 2, FALSE), "Código não encontrado/Não digitado")</f>
        <v>Código não encontrado/Não digitado</v>
      </c>
      <c r="L222" s="12" t="s">
        <v>68</v>
      </c>
      <c r="M222" s="12" t="str">
        <f>IFERROR(VLOOKUP(L222, DADOS_RM_EVENTOS_original!K:L, 2, FALSE), "Código não encontrado/Não digitado")</f>
        <v>Código não encontrado/Não digitado</v>
      </c>
    </row>
    <row r="223" ht="15.75" hidden="1" customHeight="1">
      <c r="A223" s="11" t="s">
        <v>38</v>
      </c>
      <c r="B223" s="11" t="s">
        <v>1635</v>
      </c>
      <c r="C223" s="11" t="s">
        <v>2937</v>
      </c>
      <c r="D223" s="11" t="s">
        <v>44</v>
      </c>
      <c r="E223" s="11" t="s">
        <v>47</v>
      </c>
      <c r="F223" s="11" t="s">
        <v>2090</v>
      </c>
      <c r="G223" s="12" t="str">
        <f>IFERROR(VLOOKUP(F223, DADOS_RM_EVENTOS_original!A:B, 2, FALSE), "Código não encontrado/Não digitado")</f>
        <v>Desc Emprestimo Credito Trabalhador III</v>
      </c>
      <c r="H223" s="12" t="s">
        <v>68</v>
      </c>
      <c r="I223" s="12" t="str">
        <f>IFERROR(VLOOKUP(H223, DADOS_RM_EVENTOS_original!C:D, 2, FALSE), "Código não encontrado/Não digitado")</f>
        <v>Código não encontrado/Não digitado</v>
      </c>
      <c r="J223" s="12" t="s">
        <v>68</v>
      </c>
      <c r="K223" s="12" t="str">
        <f>IFERROR(VLOOKUP(J223, DADOS_RM_EVENTOS_original!E:J, 2, FALSE), "Código não encontrado/Não digitado")</f>
        <v>Código não encontrado/Não digitado</v>
      </c>
      <c r="L223" s="12" t="s">
        <v>68</v>
      </c>
      <c r="M223" s="12" t="str">
        <f>IFERROR(VLOOKUP(L223, DADOS_RM_EVENTOS_original!K:L, 2, FALSE), "Código não encontrado/Não digitado")</f>
        <v>Código não encontrado/Não digitado</v>
      </c>
    </row>
    <row r="224" ht="15.75" hidden="1" customHeight="1">
      <c r="A224" s="11" t="s">
        <v>172</v>
      </c>
      <c r="B224" s="11" t="s">
        <v>2942</v>
      </c>
      <c r="C224" s="11" t="s">
        <v>2937</v>
      </c>
      <c r="D224" s="11" t="s">
        <v>44</v>
      </c>
      <c r="E224" s="11" t="s">
        <v>1029</v>
      </c>
      <c r="F224" s="11" t="s">
        <v>2090</v>
      </c>
      <c r="G224" s="12" t="str">
        <f>IFERROR(VLOOKUP(F224, DADOS_RM_EVENTOS_original!A:B, 2, FALSE), "Código não encontrado/Não digitado")</f>
        <v>Desc Emprestimo Credito Trabalhador III</v>
      </c>
      <c r="H224" s="12" t="s">
        <v>68</v>
      </c>
      <c r="I224" s="12" t="str">
        <f>IFERROR(VLOOKUP(H224, DADOS_RM_EVENTOS_original!C:D, 2, FALSE), "Código não encontrado/Não digitado")</f>
        <v>Código não encontrado/Não digitado</v>
      </c>
      <c r="J224" s="12" t="s">
        <v>68</v>
      </c>
      <c r="K224" s="12" t="str">
        <f>IFERROR(VLOOKUP(J224, DADOS_RM_EVENTOS_original!E:J, 2, FALSE), "Código não encontrado/Não digitado")</f>
        <v>Código não encontrado/Não digitado</v>
      </c>
      <c r="L224" s="12" t="s">
        <v>68</v>
      </c>
      <c r="M224" s="12" t="str">
        <f>IFERROR(VLOOKUP(L224, DADOS_RM_EVENTOS_original!K:L, 2, FALSE), "Código não encontrado/Não digitado")</f>
        <v>Código não encontrado/Não digitado</v>
      </c>
    </row>
    <row r="225" ht="15.75" hidden="1" customHeight="1">
      <c r="A225" s="11" t="s">
        <v>38</v>
      </c>
      <c r="B225" s="11" t="s">
        <v>1648</v>
      </c>
      <c r="C225" s="11" t="s">
        <v>2947</v>
      </c>
      <c r="D225" s="11" t="s">
        <v>44</v>
      </c>
      <c r="E225" s="11" t="s">
        <v>47</v>
      </c>
      <c r="F225" s="11" t="s">
        <v>2092</v>
      </c>
      <c r="G225" s="12" t="str">
        <f>IFERROR(VLOOKUP(F225, DADOS_RM_EVENTOS_original!A:B, 2, FALSE), "Código não encontrado/Não digitado")</f>
        <v>Desc Emprestimo Credito Trabalhador IV</v>
      </c>
      <c r="H225" s="12" t="s">
        <v>68</v>
      </c>
      <c r="I225" s="12" t="str">
        <f>IFERROR(VLOOKUP(H225, DADOS_RM_EVENTOS_original!C:D, 2, FALSE), "Código não encontrado/Não digitado")</f>
        <v>Código não encontrado/Não digitado</v>
      </c>
      <c r="J225" s="12" t="s">
        <v>68</v>
      </c>
      <c r="K225" s="12" t="str">
        <f>IFERROR(VLOOKUP(J225, DADOS_RM_EVENTOS_original!E:J, 2, FALSE), "Código não encontrado/Não digitado")</f>
        <v>Código não encontrado/Não digitado</v>
      </c>
      <c r="L225" s="12" t="s">
        <v>68</v>
      </c>
      <c r="M225" s="12" t="str">
        <f>IFERROR(VLOOKUP(L225, DADOS_RM_EVENTOS_original!K:L, 2, FALSE), "Código não encontrado/Não digitado")</f>
        <v>Código não encontrado/Não digitado</v>
      </c>
    </row>
    <row r="226" ht="15.75" hidden="1" customHeight="1">
      <c r="A226" s="11" t="s">
        <v>38</v>
      </c>
      <c r="B226" s="11" t="s">
        <v>1650</v>
      </c>
      <c r="C226" s="11" t="s">
        <v>2951</v>
      </c>
      <c r="D226" s="11" t="s">
        <v>44</v>
      </c>
      <c r="E226" s="11" t="s">
        <v>47</v>
      </c>
      <c r="F226" s="11" t="s">
        <v>2095</v>
      </c>
      <c r="G226" s="12" t="str">
        <f>IFERROR(VLOOKUP(F226, DADOS_RM_EVENTOS_original!A:B, 2, FALSE), "Código não encontrado/Não digitado")</f>
        <v>Desc Emprestimo Credito Trabalhador V</v>
      </c>
      <c r="H226" s="12" t="s">
        <v>68</v>
      </c>
      <c r="I226" s="12" t="str">
        <f>IFERROR(VLOOKUP(H226, DADOS_RM_EVENTOS_original!C:D, 2, FALSE), "Código não encontrado/Não digitado")</f>
        <v>Código não encontrado/Não digitado</v>
      </c>
      <c r="J226" s="12" t="s">
        <v>68</v>
      </c>
      <c r="K226" s="12" t="str">
        <f>IFERROR(VLOOKUP(J226, DADOS_RM_EVENTOS_original!E:J, 2, FALSE), "Código não encontrado/Não digitado")</f>
        <v>Código não encontrado/Não digitado</v>
      </c>
      <c r="L226" s="12" t="s">
        <v>68</v>
      </c>
      <c r="M226" s="12" t="str">
        <f>IFERROR(VLOOKUP(L226, DADOS_RM_EVENTOS_original!K:L, 2, FALSE), "Código não encontrado/Não digitado")</f>
        <v>Código não encontrado/Não digitado</v>
      </c>
    </row>
    <row r="227" ht="15.75" hidden="1" customHeight="1">
      <c r="A227" s="11" t="s">
        <v>38</v>
      </c>
      <c r="B227" s="11" t="s">
        <v>1653</v>
      </c>
      <c r="C227" s="11" t="s">
        <v>2956</v>
      </c>
      <c r="D227" s="11" t="s">
        <v>44</v>
      </c>
      <c r="E227" s="11" t="s">
        <v>47</v>
      </c>
      <c r="F227" s="11" t="s">
        <v>2099</v>
      </c>
      <c r="G227" s="12" t="str">
        <f>IFERROR(VLOOKUP(F227, DADOS_RM_EVENTOS_original!A:B, 2, FALSE), "Código não encontrado/Não digitado")</f>
        <v>Desc Emprestimo Credito Trabalhador VI</v>
      </c>
      <c r="H227" s="12" t="s">
        <v>68</v>
      </c>
      <c r="I227" s="12" t="str">
        <f>IFERROR(VLOOKUP(H227, DADOS_RM_EVENTOS_original!C:D, 2, FALSE), "Código não encontrado/Não digitado")</f>
        <v>Código não encontrado/Não digitado</v>
      </c>
      <c r="J227" s="12" t="s">
        <v>68</v>
      </c>
      <c r="K227" s="12" t="str">
        <f>IFERROR(VLOOKUP(J227, DADOS_RM_EVENTOS_original!E:J, 2, FALSE), "Código não encontrado/Não digitado")</f>
        <v>Código não encontrado/Não digitado</v>
      </c>
      <c r="L227" s="12" t="s">
        <v>68</v>
      </c>
      <c r="M227" s="12" t="str">
        <f>IFERROR(VLOOKUP(L227, DADOS_RM_EVENTOS_original!K:L, 2, FALSE), "Código não encontrado/Não digitado")</f>
        <v>Código não encontrado/Não digitado</v>
      </c>
    </row>
    <row r="228" ht="15.75" hidden="1" customHeight="1">
      <c r="A228" s="11" t="s">
        <v>38</v>
      </c>
      <c r="B228" s="11" t="s">
        <v>1656</v>
      </c>
      <c r="C228" s="11" t="s">
        <v>2961</v>
      </c>
      <c r="D228" s="11" t="s">
        <v>44</v>
      </c>
      <c r="E228" s="11" t="s">
        <v>47</v>
      </c>
      <c r="F228" s="11" t="s">
        <v>2103</v>
      </c>
      <c r="G228" s="12" t="str">
        <f>IFERROR(VLOOKUP(F228, DADOS_RM_EVENTOS_original!A:B, 2, FALSE), "Código não encontrado/Não digitado")</f>
        <v>Desc Emprestimo Credito Trabalhador VII</v>
      </c>
      <c r="H228" s="12" t="s">
        <v>68</v>
      </c>
      <c r="I228" s="12" t="str">
        <f>IFERROR(VLOOKUP(H228, DADOS_RM_EVENTOS_original!C:D, 2, FALSE), "Código não encontrado/Não digitado")</f>
        <v>Código não encontrado/Não digitado</v>
      </c>
      <c r="J228" s="12" t="s">
        <v>68</v>
      </c>
      <c r="K228" s="12" t="str">
        <f>IFERROR(VLOOKUP(J228, DADOS_RM_EVENTOS_original!E:J, 2, FALSE), "Código não encontrado/Não digitado")</f>
        <v>Código não encontrado/Não digitado</v>
      </c>
      <c r="L228" s="12" t="s">
        <v>68</v>
      </c>
      <c r="M228" s="12" t="str">
        <f>IFERROR(VLOOKUP(L228, DADOS_RM_EVENTOS_original!K:L, 2, FALSE), "Código não encontrado/Não digitado")</f>
        <v>Código não encontrado/Não digitado</v>
      </c>
    </row>
    <row r="229" ht="15.75" hidden="1" customHeight="1">
      <c r="A229" s="11" t="s">
        <v>199</v>
      </c>
      <c r="B229" s="11" t="s">
        <v>2966</v>
      </c>
      <c r="C229" s="11" t="s">
        <v>2967</v>
      </c>
      <c r="D229" s="11" t="s">
        <v>44</v>
      </c>
      <c r="E229" s="11" t="s">
        <v>1074</v>
      </c>
      <c r="F229" s="11" t="s">
        <v>930</v>
      </c>
      <c r="G229" s="12" t="str">
        <f>IFERROR(VLOOKUP(F229, DADOS_RM_EVENTOS_original!A:B, 2, FALSE), "Código não encontrado/Não digitado")</f>
        <v>Desc. Contribuicao Assistencial</v>
      </c>
      <c r="H229" s="12" t="s">
        <v>68</v>
      </c>
      <c r="I229" s="12" t="str">
        <f>IFERROR(VLOOKUP(H229, DADOS_RM_EVENTOS_original!C:D, 2, FALSE), "Código não encontrado/Não digitado")</f>
        <v>Código não encontrado/Não digitado</v>
      </c>
      <c r="J229" s="12" t="s">
        <v>68</v>
      </c>
      <c r="K229" s="12" t="str">
        <f>IFERROR(VLOOKUP(J229, DADOS_RM_EVENTOS_original!E:J, 2, FALSE), "Código não encontrado/Não digitado")</f>
        <v>Código não encontrado/Não digitado</v>
      </c>
      <c r="L229" s="12" t="s">
        <v>68</v>
      </c>
      <c r="M229" s="12" t="str">
        <f>IFERROR(VLOOKUP(L229, DADOS_RM_EVENTOS_original!K:L, 2, FALSE), "Código não encontrado/Não digitado")</f>
        <v>Código não encontrado/Não digitado</v>
      </c>
    </row>
    <row r="230" ht="15.75" hidden="1" customHeight="1">
      <c r="A230" s="11" t="s">
        <v>199</v>
      </c>
      <c r="B230" s="11" t="s">
        <v>433</v>
      </c>
      <c r="C230" s="11" t="s">
        <v>2971</v>
      </c>
      <c r="D230" s="11" t="s">
        <v>44</v>
      </c>
      <c r="E230" s="11" t="s">
        <v>1074</v>
      </c>
      <c r="F230" s="11" t="s">
        <v>245</v>
      </c>
      <c r="G230" s="12" t="str">
        <f>IFERROR(VLOOKUP(F230, DADOS_RM_EVENTOS_original!A:B, 2, FALSE), "Código não encontrado/Não digitado")</f>
        <v>Desc. Mensalidade Sindical</v>
      </c>
      <c r="H230" s="12" t="s">
        <v>68</v>
      </c>
      <c r="I230" s="12" t="str">
        <f>IFERROR(VLOOKUP(H230, DADOS_RM_EVENTOS_original!C:D, 2, FALSE), "Código não encontrado/Não digitado")</f>
        <v>Código não encontrado/Não digitado</v>
      </c>
      <c r="J230" s="12" t="s">
        <v>68</v>
      </c>
      <c r="K230" s="12" t="str">
        <f>IFERROR(VLOOKUP(J230, DADOS_RM_EVENTOS_original!E:J, 2, FALSE), "Código não encontrado/Não digitado")</f>
        <v>Código não encontrado/Não digitado</v>
      </c>
      <c r="L230" s="12" t="s">
        <v>68</v>
      </c>
      <c r="M230" s="12" t="str">
        <f>IFERROR(VLOOKUP(L230, DADOS_RM_EVENTOS_original!K:L, 2, FALSE), "Código não encontrado/Não digitado")</f>
        <v>Código não encontrado/Não digitado</v>
      </c>
    </row>
    <row r="231" ht="15.75" hidden="1" customHeight="1">
      <c r="A231" s="11" t="s">
        <v>38</v>
      </c>
      <c r="B231" s="11" t="s">
        <v>2914</v>
      </c>
      <c r="C231" s="11" t="s">
        <v>2976</v>
      </c>
      <c r="D231" s="11" t="s">
        <v>44</v>
      </c>
      <c r="E231" s="11" t="s">
        <v>47</v>
      </c>
      <c r="F231" s="11" t="s">
        <v>737</v>
      </c>
      <c r="G231" s="12" t="str">
        <f>IFERROR(VLOOKUP(F231, DADOS_RM_EVENTOS_original!A:B, 2, FALSE), "Código não encontrado/Não digitado")</f>
        <v>Desc. Taxa Negocial</v>
      </c>
      <c r="H231" s="12" t="s">
        <v>68</v>
      </c>
      <c r="I231" s="12" t="str">
        <f>IFERROR(VLOOKUP(H231, DADOS_RM_EVENTOS_original!C:D, 2, FALSE), "Código não encontrado/Não digitado")</f>
        <v>Código não encontrado/Não digitado</v>
      </c>
      <c r="J231" s="12" t="s">
        <v>68</v>
      </c>
      <c r="K231" s="12" t="str">
        <f>IFERROR(VLOOKUP(J231, DADOS_RM_EVENTOS_original!E:J, 2, FALSE), "Código não encontrado/Não digitado")</f>
        <v>Código não encontrado/Não digitado</v>
      </c>
      <c r="L231" s="12" t="s">
        <v>68</v>
      </c>
      <c r="M231" s="12" t="str">
        <f>IFERROR(VLOOKUP(L231, DADOS_RM_EVENTOS_original!K:L, 2, FALSE), "Código não encontrado/Não digitado")</f>
        <v>Código não encontrado/Não digitado</v>
      </c>
    </row>
    <row r="232" ht="15.75" hidden="1" customHeight="1">
      <c r="A232" s="11" t="s">
        <v>38</v>
      </c>
      <c r="B232" s="11" t="s">
        <v>1154</v>
      </c>
      <c r="C232" s="11" t="s">
        <v>2980</v>
      </c>
      <c r="D232" s="11" t="s">
        <v>44</v>
      </c>
      <c r="E232" s="11" t="s">
        <v>47</v>
      </c>
      <c r="F232" s="11" t="s">
        <v>245</v>
      </c>
      <c r="G232" s="12" t="str">
        <f>IFERROR(VLOOKUP(F232, DADOS_RM_EVENTOS_original!A:B, 2, FALSE), "Código não encontrado/Não digitado")</f>
        <v>Desc. Mensalidade Sindical</v>
      </c>
      <c r="H232" s="12" t="s">
        <v>68</v>
      </c>
      <c r="I232" s="12" t="str">
        <f>IFERROR(VLOOKUP(H232, DADOS_RM_EVENTOS_original!C:D, 2, FALSE), "Código não encontrado/Não digitado")</f>
        <v>Código não encontrado/Não digitado</v>
      </c>
      <c r="J232" s="12" t="s">
        <v>68</v>
      </c>
      <c r="K232" s="12" t="str">
        <f>IFERROR(VLOOKUP(J232, DADOS_RM_EVENTOS_original!E:J, 2, FALSE), "Código não encontrado/Não digitado")</f>
        <v>Código não encontrado/Não digitado</v>
      </c>
      <c r="L232" s="12" t="s">
        <v>68</v>
      </c>
      <c r="M232" s="12" t="str">
        <f>IFERROR(VLOOKUP(L232, DADOS_RM_EVENTOS_original!K:L, 2, FALSE), "Código não encontrado/Não digitado")</f>
        <v>Código não encontrado/Não digitado</v>
      </c>
    </row>
    <row r="233" ht="15.75" hidden="1" customHeight="1">
      <c r="A233" s="11" t="s">
        <v>97</v>
      </c>
      <c r="B233" s="11" t="s">
        <v>1154</v>
      </c>
      <c r="C233" s="11" t="s">
        <v>2984</v>
      </c>
      <c r="D233" s="11" t="s">
        <v>44</v>
      </c>
      <c r="E233" s="11" t="s">
        <v>972</v>
      </c>
      <c r="F233" s="11" t="s">
        <v>245</v>
      </c>
      <c r="G233" s="12" t="str">
        <f>IFERROR(VLOOKUP(F233, DADOS_RM_EVENTOS_original!A:B, 2, FALSE), "Código não encontrado/Não digitado")</f>
        <v>Desc. Mensalidade Sindical</v>
      </c>
      <c r="H233" s="12" t="s">
        <v>68</v>
      </c>
      <c r="I233" s="12" t="str">
        <f>IFERROR(VLOOKUP(H233, DADOS_RM_EVENTOS_original!C:D, 2, FALSE), "Código não encontrado/Não digitado")</f>
        <v>Código não encontrado/Não digitado</v>
      </c>
      <c r="J233" s="12" t="s">
        <v>68</v>
      </c>
      <c r="K233" s="12" t="str">
        <f>IFERROR(VLOOKUP(J233, DADOS_RM_EVENTOS_original!E:J, 2, FALSE), "Código não encontrado/Não digitado")</f>
        <v>Código não encontrado/Não digitado</v>
      </c>
      <c r="L233" s="12" t="s">
        <v>68</v>
      </c>
      <c r="M233" s="12" t="str">
        <f>IFERROR(VLOOKUP(L233, DADOS_RM_EVENTOS_original!K:L, 2, FALSE), "Código não encontrado/Não digitado")</f>
        <v>Código não encontrado/Não digitado</v>
      </c>
    </row>
    <row r="234" ht="15.75" hidden="1" customHeight="1">
      <c r="A234" s="11" t="s">
        <v>142</v>
      </c>
      <c r="B234" s="11" t="s">
        <v>1154</v>
      </c>
      <c r="C234" s="11" t="s">
        <v>2984</v>
      </c>
      <c r="D234" s="11" t="s">
        <v>44</v>
      </c>
      <c r="E234" s="11" t="s">
        <v>985</v>
      </c>
      <c r="F234" s="11" t="s">
        <v>245</v>
      </c>
      <c r="G234" s="12" t="str">
        <f>IFERROR(VLOOKUP(F234, DADOS_RM_EVENTOS_original!A:B, 2, FALSE), "Código não encontrado/Não digitado")</f>
        <v>Desc. Mensalidade Sindical</v>
      </c>
      <c r="H234" s="12" t="s">
        <v>68</v>
      </c>
      <c r="I234" s="12" t="str">
        <f>IFERROR(VLOOKUP(H234, DADOS_RM_EVENTOS_original!C:D, 2, FALSE), "Código não encontrado/Não digitado")</f>
        <v>Código não encontrado/Não digitado</v>
      </c>
      <c r="J234" s="12" t="s">
        <v>68</v>
      </c>
      <c r="K234" s="12" t="str">
        <f>IFERROR(VLOOKUP(J234, DADOS_RM_EVENTOS_original!E:J, 2, FALSE), "Código não encontrado/Não digitado")</f>
        <v>Código não encontrado/Não digitado</v>
      </c>
      <c r="L234" s="12" t="s">
        <v>68</v>
      </c>
      <c r="M234" s="12" t="str">
        <f>IFERROR(VLOOKUP(L234, DADOS_RM_EVENTOS_original!K:L, 2, FALSE), "Código não encontrado/Não digitado")</f>
        <v>Código não encontrado/Não digitado</v>
      </c>
    </row>
    <row r="235" ht="15.75" hidden="1" customHeight="1">
      <c r="A235" s="11" t="s">
        <v>97</v>
      </c>
      <c r="B235" s="11" t="s">
        <v>256</v>
      </c>
      <c r="C235" s="11" t="s">
        <v>2992</v>
      </c>
      <c r="D235" s="11" t="s">
        <v>44</v>
      </c>
      <c r="E235" s="11" t="s">
        <v>972</v>
      </c>
      <c r="F235" s="11" t="s">
        <v>259</v>
      </c>
      <c r="G235" s="12" t="str">
        <f>IFERROR(VLOOKUP(F235, DADOS_RM_EVENTOS_original!A:B, 2, FALSE), "Código não encontrado/Não digitado")</f>
        <v>Desc. 2a via PASSCARD</v>
      </c>
      <c r="H235" s="12" t="s">
        <v>68</v>
      </c>
      <c r="I235" s="12" t="str">
        <f>IFERROR(VLOOKUP(H235, DADOS_RM_EVENTOS_original!C:D, 2, FALSE), "Código não encontrado/Não digitado")</f>
        <v>Código não encontrado/Não digitado</v>
      </c>
      <c r="J235" s="12" t="s">
        <v>68</v>
      </c>
      <c r="K235" s="12" t="str">
        <f>IFERROR(VLOOKUP(J235, DADOS_RM_EVENTOS_original!E:J, 2, FALSE), "Código não encontrado/Não digitado")</f>
        <v>Código não encontrado/Não digitado</v>
      </c>
      <c r="L235" s="12" t="s">
        <v>68</v>
      </c>
      <c r="M235" s="12" t="str">
        <f>IFERROR(VLOOKUP(L235, DADOS_RM_EVENTOS_original!K:L, 2, FALSE), "Código não encontrado/Não digitado")</f>
        <v>Código não encontrado/Não digitado</v>
      </c>
    </row>
    <row r="236" ht="15.75" customHeight="1">
      <c r="A236" s="11" t="s">
        <v>97</v>
      </c>
      <c r="B236" s="11" t="s">
        <v>1287</v>
      </c>
      <c r="C236" s="11" t="s">
        <v>2995</v>
      </c>
      <c r="D236" s="11" t="s">
        <v>44</v>
      </c>
      <c r="E236" s="11" t="s">
        <v>972</v>
      </c>
      <c r="F236" s="11" t="s">
        <v>49</v>
      </c>
      <c r="G236" s="12" t="str">
        <f>IFERROR(VLOOKUP(F236, DADOS_RM_EVENTOS_original!A:B, 2, FALSE), "Código não encontrado/Não digitado")</f>
        <v>Código não encontrado/Não digitado</v>
      </c>
      <c r="H236" s="12" t="s">
        <v>68</v>
      </c>
      <c r="I236" s="12" t="str">
        <f>IFERROR(VLOOKUP(H236, DADOS_RM_EVENTOS_original!C:D, 2, FALSE), "Código não encontrado/Não digitado")</f>
        <v>Código não encontrado/Não digitado</v>
      </c>
      <c r="J236" s="12" t="s">
        <v>68</v>
      </c>
      <c r="K236" s="12" t="str">
        <f>IFERROR(VLOOKUP(J236, DADOS_RM_EVENTOS_original!E:J, 2, FALSE), "Código não encontrado/Não digitado")</f>
        <v>Código não encontrado/Não digitado</v>
      </c>
      <c r="L236" s="12" t="s">
        <v>68</v>
      </c>
      <c r="M236" s="12" t="str">
        <f>IFERROR(VLOOKUP(L236, DADOS_RM_EVENTOS_original!K:L, 2, FALSE), "Código não encontrado/Não digitado")</f>
        <v>Código não encontrado/Não digitado</v>
      </c>
    </row>
    <row r="237" ht="15.75" hidden="1" customHeight="1">
      <c r="A237" s="11" t="s">
        <v>38</v>
      </c>
      <c r="B237" s="11" t="s">
        <v>333</v>
      </c>
      <c r="C237" s="11" t="s">
        <v>2998</v>
      </c>
      <c r="D237" s="11" t="s">
        <v>120</v>
      </c>
      <c r="E237" s="11" t="s">
        <v>47</v>
      </c>
      <c r="F237" s="11" t="s">
        <v>2266</v>
      </c>
      <c r="G237" s="12" t="str">
        <f>IFERROR(VLOOKUP(F237, DADOS_RM_EVENTOS_original!A:B, 2, FALSE), "Código não encontrado/Não digitado")</f>
        <v>RSR s/Hora Extra</v>
      </c>
      <c r="H237" s="12" t="s">
        <v>68</v>
      </c>
      <c r="I237" s="12" t="str">
        <f>IFERROR(VLOOKUP(H237, DADOS_RM_EVENTOS_original!C:D, 2, FALSE), "Código não encontrado/Não digitado")</f>
        <v>Código não encontrado/Não digitado</v>
      </c>
      <c r="J237" s="12" t="s">
        <v>68</v>
      </c>
      <c r="K237" s="12" t="str">
        <f>IFERROR(VLOOKUP(J237, DADOS_RM_EVENTOS_original!E:J, 2, FALSE), "Código não encontrado/Não digitado")</f>
        <v>Código não encontrado/Não digitado</v>
      </c>
      <c r="L237" s="12" t="s">
        <v>68</v>
      </c>
      <c r="M237" s="12" t="str">
        <f>IFERROR(VLOOKUP(L237, DADOS_RM_EVENTOS_original!K:L, 2, FALSE), "Código não encontrado/Não digitado")</f>
        <v>Código não encontrado/Não digitado</v>
      </c>
    </row>
    <row r="238" ht="15.75" hidden="1" customHeight="1">
      <c r="A238" s="11" t="s">
        <v>115</v>
      </c>
      <c r="B238" s="11" t="s">
        <v>333</v>
      </c>
      <c r="C238" s="11" t="s">
        <v>2998</v>
      </c>
      <c r="D238" s="11" t="s">
        <v>120</v>
      </c>
      <c r="E238" s="11" t="s">
        <v>121</v>
      </c>
      <c r="F238" s="11" t="s">
        <v>2266</v>
      </c>
      <c r="G238" s="12" t="str">
        <f>IFERROR(VLOOKUP(F238, DADOS_RM_EVENTOS_original!A:B, 2, FALSE), "Código não encontrado/Não digitado")</f>
        <v>RSR s/Hora Extra</v>
      </c>
      <c r="H238" s="12" t="s">
        <v>68</v>
      </c>
      <c r="I238" s="12" t="str">
        <f>IFERROR(VLOOKUP(H238, DADOS_RM_EVENTOS_original!C:D, 2, FALSE), "Código não encontrado/Não digitado")</f>
        <v>Código não encontrado/Não digitado</v>
      </c>
      <c r="J238" s="12" t="s">
        <v>68</v>
      </c>
      <c r="K238" s="12" t="str">
        <f>IFERROR(VLOOKUP(J238, DADOS_RM_EVENTOS_original!E:J, 2, FALSE), "Código não encontrado/Não digitado")</f>
        <v>Código não encontrado/Não digitado</v>
      </c>
      <c r="L238" s="12" t="s">
        <v>68</v>
      </c>
      <c r="M238" s="12" t="str">
        <f>IFERROR(VLOOKUP(L238, DADOS_RM_EVENTOS_original!K:L, 2, FALSE), "Código não encontrado/Não digitado")</f>
        <v>Código não encontrado/Não digitado</v>
      </c>
    </row>
    <row r="239" ht="15.75" hidden="1" customHeight="1">
      <c r="A239" s="11" t="s">
        <v>172</v>
      </c>
      <c r="B239" s="11" t="s">
        <v>333</v>
      </c>
      <c r="C239" s="11" t="s">
        <v>3003</v>
      </c>
      <c r="D239" s="11" t="s">
        <v>120</v>
      </c>
      <c r="E239" s="11" t="s">
        <v>1029</v>
      </c>
      <c r="F239" s="11" t="s">
        <v>2266</v>
      </c>
      <c r="G239" s="12" t="str">
        <f>IFERROR(VLOOKUP(F239, DADOS_RM_EVENTOS_original!A:B, 2, FALSE), "Código não encontrado/Não digitado")</f>
        <v>RSR s/Hora Extra</v>
      </c>
      <c r="H239" s="12" t="s">
        <v>68</v>
      </c>
      <c r="I239" s="12" t="str">
        <f>IFERROR(VLOOKUP(H239, DADOS_RM_EVENTOS_original!C:D, 2, FALSE), "Código não encontrado/Não digitado")</f>
        <v>Código não encontrado/Não digitado</v>
      </c>
      <c r="J239" s="12" t="s">
        <v>68</v>
      </c>
      <c r="K239" s="12" t="str">
        <f>IFERROR(VLOOKUP(J239, DADOS_RM_EVENTOS_original!E:J, 2, FALSE), "Código não encontrado/Não digitado")</f>
        <v>Código não encontrado/Não digitado</v>
      </c>
      <c r="L239" s="12" t="s">
        <v>68</v>
      </c>
      <c r="M239" s="12" t="str">
        <f>IFERROR(VLOOKUP(L239, DADOS_RM_EVENTOS_original!K:L, 2, FALSE), "Código não encontrado/Não digitado")</f>
        <v>Código não encontrado/Não digitado</v>
      </c>
    </row>
    <row r="240" ht="15.75" hidden="1" customHeight="1">
      <c r="A240" s="11" t="s">
        <v>97</v>
      </c>
      <c r="B240" s="11" t="s">
        <v>333</v>
      </c>
      <c r="C240" s="11" t="s">
        <v>3003</v>
      </c>
      <c r="D240" s="11" t="s">
        <v>120</v>
      </c>
      <c r="E240" s="11" t="s">
        <v>972</v>
      </c>
      <c r="F240" s="11" t="s">
        <v>2266</v>
      </c>
      <c r="G240" s="12" t="str">
        <f>IFERROR(VLOOKUP(F240, DADOS_RM_EVENTOS_original!A:B, 2, FALSE), "Código não encontrado/Não digitado")</f>
        <v>RSR s/Hora Extra</v>
      </c>
      <c r="H240" s="12" t="s">
        <v>68</v>
      </c>
      <c r="I240" s="12" t="str">
        <f>IFERROR(VLOOKUP(H240, DADOS_RM_EVENTOS_original!C:D, 2, FALSE), "Código não encontrado/Não digitado")</f>
        <v>Código não encontrado/Não digitado</v>
      </c>
      <c r="J240" s="12" t="s">
        <v>68</v>
      </c>
      <c r="K240" s="12" t="str">
        <f>IFERROR(VLOOKUP(J240, DADOS_RM_EVENTOS_original!E:J, 2, FALSE), "Código não encontrado/Não digitado")</f>
        <v>Código não encontrado/Não digitado</v>
      </c>
      <c r="L240" s="12" t="s">
        <v>68</v>
      </c>
      <c r="M240" s="12" t="str">
        <f>IFERROR(VLOOKUP(L240, DADOS_RM_EVENTOS_original!K:L, 2, FALSE), "Código não encontrado/Não digitado")</f>
        <v>Código não encontrado/Não digitado</v>
      </c>
    </row>
    <row r="241" ht="15.75" hidden="1" customHeight="1">
      <c r="A241" s="11" t="s">
        <v>142</v>
      </c>
      <c r="B241" s="11" t="s">
        <v>333</v>
      </c>
      <c r="C241" s="11" t="s">
        <v>3003</v>
      </c>
      <c r="D241" s="11" t="s">
        <v>120</v>
      </c>
      <c r="E241" s="11" t="s">
        <v>985</v>
      </c>
      <c r="F241" s="11" t="s">
        <v>2266</v>
      </c>
      <c r="G241" s="12" t="str">
        <f>IFERROR(VLOOKUP(F241, DADOS_RM_EVENTOS_original!A:B, 2, FALSE), "Código não encontrado/Não digitado")</f>
        <v>RSR s/Hora Extra</v>
      </c>
      <c r="H241" s="12" t="s">
        <v>68</v>
      </c>
      <c r="I241" s="12" t="str">
        <f>IFERROR(VLOOKUP(H241, DADOS_RM_EVENTOS_original!C:D, 2, FALSE), "Código não encontrado/Não digitado")</f>
        <v>Código não encontrado/Não digitado</v>
      </c>
      <c r="J241" s="12" t="s">
        <v>68</v>
      </c>
      <c r="K241" s="12" t="str">
        <f>IFERROR(VLOOKUP(J241, DADOS_RM_EVENTOS_original!E:J, 2, FALSE), "Código não encontrado/Não digitado")</f>
        <v>Código não encontrado/Não digitado</v>
      </c>
      <c r="L241" s="12" t="s">
        <v>68</v>
      </c>
      <c r="M241" s="12" t="str">
        <f>IFERROR(VLOOKUP(L241, DADOS_RM_EVENTOS_original!K:L, 2, FALSE), "Código não encontrado/Não digitado")</f>
        <v>Código não encontrado/Não digitado</v>
      </c>
    </row>
    <row r="242" ht="15.75" hidden="1" customHeight="1">
      <c r="A242" s="11" t="s">
        <v>97</v>
      </c>
      <c r="B242" s="11" t="s">
        <v>3014</v>
      </c>
      <c r="C242" s="11" t="s">
        <v>3015</v>
      </c>
      <c r="D242" s="11" t="s">
        <v>44</v>
      </c>
      <c r="E242" s="11" t="s">
        <v>972</v>
      </c>
      <c r="F242" s="11" t="s">
        <v>139</v>
      </c>
      <c r="G242" s="12" t="str">
        <f>IFERROR(VLOOKUP(F242, DADOS_RM_EVENTOS_original!A:B, 2, FALSE), "Código não encontrado/Não digitado")</f>
        <v>( - ) Desc. Adiantamento Salarial</v>
      </c>
      <c r="H242" s="12" t="s">
        <v>68</v>
      </c>
      <c r="I242" s="12" t="str">
        <f>IFERROR(VLOOKUP(H242, DADOS_RM_EVENTOS_original!C:D, 2, FALSE), "Código não encontrado/Não digitado")</f>
        <v>Código não encontrado/Não digitado</v>
      </c>
      <c r="J242" s="12" t="s">
        <v>68</v>
      </c>
      <c r="K242" s="12" t="str">
        <f>IFERROR(VLOOKUP(J242, DADOS_RM_EVENTOS_original!E:J, 2, FALSE), "Código não encontrado/Não digitado")</f>
        <v>Código não encontrado/Não digitado</v>
      </c>
      <c r="L242" s="12" t="s">
        <v>68</v>
      </c>
      <c r="M242" s="12" t="str">
        <f>IFERROR(VLOOKUP(L242, DADOS_RM_EVENTOS_original!K:L, 2, FALSE), "Código não encontrado/Não digitado")</f>
        <v>Código não encontrado/Não digitado</v>
      </c>
    </row>
    <row r="243" ht="15.75" hidden="1" customHeight="1">
      <c r="A243" s="11" t="s">
        <v>142</v>
      </c>
      <c r="B243" s="11" t="s">
        <v>3014</v>
      </c>
      <c r="C243" s="11" t="s">
        <v>3015</v>
      </c>
      <c r="D243" s="11" t="s">
        <v>44</v>
      </c>
      <c r="E243" s="11" t="s">
        <v>985</v>
      </c>
      <c r="F243" s="11" t="s">
        <v>139</v>
      </c>
      <c r="G243" s="12" t="str">
        <f>IFERROR(VLOOKUP(F243, DADOS_RM_EVENTOS_original!A:B, 2, FALSE), "Código não encontrado/Não digitado")</f>
        <v>( - ) Desc. Adiantamento Salarial</v>
      </c>
      <c r="H243" s="12" t="s">
        <v>68</v>
      </c>
      <c r="I243" s="12" t="str">
        <f>IFERROR(VLOOKUP(H243, DADOS_RM_EVENTOS_original!C:D, 2, FALSE), "Código não encontrado/Não digitado")</f>
        <v>Código não encontrado/Não digitado</v>
      </c>
      <c r="J243" s="12" t="s">
        <v>68</v>
      </c>
      <c r="K243" s="12" t="str">
        <f>IFERROR(VLOOKUP(J243, DADOS_RM_EVENTOS_original!E:J, 2, FALSE), "Código não encontrado/Não digitado")</f>
        <v>Código não encontrado/Não digitado</v>
      </c>
      <c r="L243" s="12" t="s">
        <v>68</v>
      </c>
      <c r="M243" s="12" t="str">
        <f>IFERROR(VLOOKUP(L243, DADOS_RM_EVENTOS_original!K:L, 2, FALSE), "Código não encontrado/Não digitado")</f>
        <v>Código não encontrado/Não digitado</v>
      </c>
    </row>
    <row r="244" ht="15.75" hidden="1" customHeight="1">
      <c r="A244" s="11" t="s">
        <v>172</v>
      </c>
      <c r="B244" s="11" t="s">
        <v>153</v>
      </c>
      <c r="C244" s="11" t="s">
        <v>3022</v>
      </c>
      <c r="D244" s="11" t="s">
        <v>44</v>
      </c>
      <c r="E244" s="11" t="s">
        <v>1029</v>
      </c>
      <c r="F244" s="11" t="s">
        <v>157</v>
      </c>
      <c r="G244" s="12" t="str">
        <f>IFERROR(VLOOKUP(F244, DADOS_RM_EVENTOS_original!A:B, 2, FALSE), "Código não encontrado/Não digitado")</f>
        <v>Desc. Vale Alimentacao</v>
      </c>
      <c r="H244" s="12" t="s">
        <v>68</v>
      </c>
      <c r="I244" s="12" t="str">
        <f>IFERROR(VLOOKUP(H244, DADOS_RM_EVENTOS_original!C:D, 2, FALSE), "Código não encontrado/Não digitado")</f>
        <v>Código não encontrado/Não digitado</v>
      </c>
      <c r="J244" s="12" t="s">
        <v>68</v>
      </c>
      <c r="K244" s="12" t="str">
        <f>IFERROR(VLOOKUP(J244, DADOS_RM_EVENTOS_original!E:J, 2, FALSE), "Código não encontrado/Não digitado")</f>
        <v>Código não encontrado/Não digitado</v>
      </c>
      <c r="L244" s="12" t="s">
        <v>68</v>
      </c>
      <c r="M244" s="12" t="str">
        <f>IFERROR(VLOOKUP(L244, DADOS_RM_EVENTOS_original!K:L, 2, FALSE), "Código não encontrado/Não digitado")</f>
        <v>Código não encontrado/Não digitado</v>
      </c>
    </row>
    <row r="245" ht="15.75" customHeight="1">
      <c r="A245" s="11" t="s">
        <v>38</v>
      </c>
      <c r="B245" s="11" t="s">
        <v>3014</v>
      </c>
      <c r="C245" s="11" t="s">
        <v>3026</v>
      </c>
      <c r="D245" s="11" t="s">
        <v>44</v>
      </c>
      <c r="E245" s="11" t="s">
        <v>47</v>
      </c>
      <c r="F245" s="11" t="s">
        <v>49</v>
      </c>
      <c r="G245" s="12" t="str">
        <f>IFERROR(VLOOKUP(F245, DADOS_RM_EVENTOS_original!A:B, 2, FALSE), "Código não encontrado/Não digitado")</f>
        <v>Código não encontrado/Não digitado</v>
      </c>
      <c r="H245" s="12" t="s">
        <v>68</v>
      </c>
      <c r="I245" s="12" t="str">
        <f>IFERROR(VLOOKUP(H245, DADOS_RM_EVENTOS_original!C:D, 2, FALSE), "Código não encontrado/Não digitado")</f>
        <v>Código não encontrado/Não digitado</v>
      </c>
      <c r="J245" s="12" t="s">
        <v>68</v>
      </c>
      <c r="K245" s="12" t="str">
        <f>IFERROR(VLOOKUP(J245, DADOS_RM_EVENTOS_original!E:J, 2, FALSE), "Código não encontrado/Não digitado")</f>
        <v>Código não encontrado/Não digitado</v>
      </c>
      <c r="L245" s="12" t="s">
        <v>68</v>
      </c>
      <c r="M245" s="12" t="str">
        <f>IFERROR(VLOOKUP(L245, DADOS_RM_EVENTOS_original!K:L, 2, FALSE), "Código não encontrado/Não digitado")</f>
        <v>Código não encontrado/Não digitado</v>
      </c>
    </row>
    <row r="246" ht="15.75" customHeight="1">
      <c r="A246" s="11" t="s">
        <v>38</v>
      </c>
      <c r="B246" s="11" t="s">
        <v>636</v>
      </c>
      <c r="C246" s="11" t="s">
        <v>3029</v>
      </c>
      <c r="D246" s="11" t="s">
        <v>44</v>
      </c>
      <c r="E246" s="11" t="s">
        <v>47</v>
      </c>
      <c r="F246" s="11" t="s">
        <v>49</v>
      </c>
      <c r="G246" s="12" t="str">
        <f>IFERROR(VLOOKUP(F246, DADOS_RM_EVENTOS_original!A:B, 2, FALSE), "Código não encontrado/Não digitado")</f>
        <v>Código não encontrado/Não digitado</v>
      </c>
      <c r="H246" s="12" t="s">
        <v>68</v>
      </c>
      <c r="I246" s="12" t="str">
        <f>IFERROR(VLOOKUP(H246, DADOS_RM_EVENTOS_original!C:D, 2, FALSE), "Código não encontrado/Não digitado")</f>
        <v>Código não encontrado/Não digitado</v>
      </c>
      <c r="J246" s="12" t="s">
        <v>68</v>
      </c>
      <c r="K246" s="12" t="str">
        <f>IFERROR(VLOOKUP(J246, DADOS_RM_EVENTOS_original!E:J, 2, FALSE), "Código não encontrado/Não digitado")</f>
        <v>Código não encontrado/Não digitado</v>
      </c>
      <c r="L246" s="12" t="s">
        <v>68</v>
      </c>
      <c r="M246" s="12" t="str">
        <f>IFERROR(VLOOKUP(L246, DADOS_RM_EVENTOS_original!K:L, 2, FALSE), "Código não encontrado/Não digitado")</f>
        <v>Código não encontrado/Não digitado</v>
      </c>
    </row>
    <row r="247" ht="15.75" customHeight="1">
      <c r="A247" s="11" t="s">
        <v>115</v>
      </c>
      <c r="B247" s="11" t="s">
        <v>636</v>
      </c>
      <c r="C247" s="11" t="s">
        <v>3029</v>
      </c>
      <c r="D247" s="11" t="s">
        <v>44</v>
      </c>
      <c r="E247" s="11" t="s">
        <v>121</v>
      </c>
      <c r="F247" s="11" t="s">
        <v>49</v>
      </c>
      <c r="G247" s="12" t="str">
        <f>IFERROR(VLOOKUP(F247, DADOS_RM_EVENTOS_original!A:B, 2, FALSE), "Código não encontrado/Não digitado")</f>
        <v>Código não encontrado/Não digitado</v>
      </c>
      <c r="H247" s="12" t="s">
        <v>68</v>
      </c>
      <c r="I247" s="12" t="str">
        <f>IFERROR(VLOOKUP(H247, DADOS_RM_EVENTOS_original!C:D, 2, FALSE), "Código não encontrado/Não digitado")</f>
        <v>Código não encontrado/Não digitado</v>
      </c>
      <c r="J247" s="12" t="s">
        <v>68</v>
      </c>
      <c r="K247" s="12" t="str">
        <f>IFERROR(VLOOKUP(J247, DADOS_RM_EVENTOS_original!E:J, 2, FALSE), "Código não encontrado/Não digitado")</f>
        <v>Código não encontrado/Não digitado</v>
      </c>
      <c r="L247" s="12" t="s">
        <v>68</v>
      </c>
      <c r="M247" s="12" t="str">
        <f>IFERROR(VLOOKUP(L247, DADOS_RM_EVENTOS_original!K:L, 2, FALSE), "Código não encontrado/Não digitado")</f>
        <v>Código não encontrado/Não digitado</v>
      </c>
    </row>
    <row r="248" ht="15.75" customHeight="1">
      <c r="A248" s="11" t="s">
        <v>97</v>
      </c>
      <c r="B248" s="11" t="s">
        <v>1221</v>
      </c>
      <c r="C248" s="11" t="s">
        <v>3037</v>
      </c>
      <c r="D248" s="11" t="s">
        <v>44</v>
      </c>
      <c r="E248" s="11" t="s">
        <v>972</v>
      </c>
      <c r="F248" s="11" t="s">
        <v>49</v>
      </c>
      <c r="G248" s="12" t="str">
        <f>IFERROR(VLOOKUP(F248, DADOS_RM_EVENTOS_original!A:B, 2, FALSE), "Código não encontrado/Não digitado")</f>
        <v>Código não encontrado/Não digitado</v>
      </c>
      <c r="H248" s="12" t="s">
        <v>68</v>
      </c>
      <c r="I248" s="12" t="str">
        <f>IFERROR(VLOOKUP(H248, DADOS_RM_EVENTOS_original!C:D, 2, FALSE), "Código não encontrado/Não digitado")</f>
        <v>Código não encontrado/Não digitado</v>
      </c>
      <c r="J248" s="12" t="s">
        <v>68</v>
      </c>
      <c r="K248" s="12" t="str">
        <f>IFERROR(VLOOKUP(J248, DADOS_RM_EVENTOS_original!E:J, 2, FALSE), "Código não encontrado/Não digitado")</f>
        <v>Código não encontrado/Não digitado</v>
      </c>
      <c r="L248" s="12" t="s">
        <v>68</v>
      </c>
      <c r="M248" s="12" t="str">
        <f>IFERROR(VLOOKUP(L248, DADOS_RM_EVENTOS_original!K:L, 2, FALSE), "Código não encontrado/Não digitado")</f>
        <v>Código não encontrado/Não digitado</v>
      </c>
    </row>
    <row r="249" ht="15.75" customHeight="1">
      <c r="A249" s="11" t="s">
        <v>142</v>
      </c>
      <c r="B249" s="11" t="s">
        <v>1390</v>
      </c>
      <c r="C249" s="11" t="s">
        <v>3029</v>
      </c>
      <c r="D249" s="11" t="s">
        <v>44</v>
      </c>
      <c r="E249" s="11" t="s">
        <v>985</v>
      </c>
      <c r="F249" s="11" t="s">
        <v>49</v>
      </c>
      <c r="G249" s="12" t="str">
        <f>IFERROR(VLOOKUP(F249, DADOS_RM_EVENTOS_original!A:B, 2, FALSE), "Código não encontrado/Não digitado")</f>
        <v>Código não encontrado/Não digitado</v>
      </c>
      <c r="H249" s="12" t="s">
        <v>68</v>
      </c>
      <c r="I249" s="12" t="str">
        <f>IFERROR(VLOOKUP(H249, DADOS_RM_EVENTOS_original!C:D, 2, FALSE), "Código não encontrado/Não digitado")</f>
        <v>Código não encontrado/Não digitado</v>
      </c>
      <c r="J249" s="12" t="s">
        <v>68</v>
      </c>
      <c r="K249" s="12" t="str">
        <f>IFERROR(VLOOKUP(J249, DADOS_RM_EVENTOS_original!E:J, 2, FALSE), "Código não encontrado/Não digitado")</f>
        <v>Código não encontrado/Não digitado</v>
      </c>
      <c r="L249" s="12" t="s">
        <v>68</v>
      </c>
      <c r="M249" s="12" t="str">
        <f>IFERROR(VLOOKUP(L249, DADOS_RM_EVENTOS_original!K:L, 2, FALSE), "Código não encontrado/Não digitado")</f>
        <v>Código não encontrado/Não digitado</v>
      </c>
    </row>
    <row r="250" ht="15.75" customHeight="1">
      <c r="A250" s="11" t="s">
        <v>199</v>
      </c>
      <c r="B250" s="11" t="s">
        <v>2498</v>
      </c>
      <c r="C250" s="11" t="s">
        <v>3029</v>
      </c>
      <c r="D250" s="11" t="s">
        <v>44</v>
      </c>
      <c r="E250" s="11" t="s">
        <v>1074</v>
      </c>
      <c r="F250" s="11" t="s">
        <v>49</v>
      </c>
      <c r="G250" s="12" t="str">
        <f>IFERROR(VLOOKUP(F250, DADOS_RM_EVENTOS_original!A:B, 2, FALSE), "Código não encontrado/Não digitado")</f>
        <v>Código não encontrado/Não digitado</v>
      </c>
      <c r="H250" s="12" t="s">
        <v>68</v>
      </c>
      <c r="I250" s="12" t="str">
        <f>IFERROR(VLOOKUP(H250, DADOS_RM_EVENTOS_original!C:D, 2, FALSE), "Código não encontrado/Não digitado")</f>
        <v>Código não encontrado/Não digitado</v>
      </c>
      <c r="J250" s="12" t="s">
        <v>68</v>
      </c>
      <c r="K250" s="12" t="str">
        <f>IFERROR(VLOOKUP(J250, DADOS_RM_EVENTOS_original!E:J, 2, FALSE), "Código não encontrado/Não digitado")</f>
        <v>Código não encontrado/Não digitado</v>
      </c>
      <c r="L250" s="12" t="s">
        <v>68</v>
      </c>
      <c r="M250" s="12" t="str">
        <f>IFERROR(VLOOKUP(L250, DADOS_RM_EVENTOS_original!K:L, 2, FALSE), "Código não encontrado/Não digitado")</f>
        <v>Código não encontrado/Não digitado</v>
      </c>
    </row>
    <row r="251" ht="15.75" customHeight="1">
      <c r="A251" s="11" t="s">
        <v>38</v>
      </c>
      <c r="B251" s="11" t="s">
        <v>752</v>
      </c>
      <c r="C251" s="11" t="s">
        <v>3048</v>
      </c>
      <c r="D251" s="11" t="s">
        <v>44</v>
      </c>
      <c r="E251" s="11" t="s">
        <v>47</v>
      </c>
      <c r="F251" s="11" t="s">
        <v>49</v>
      </c>
      <c r="G251" s="12" t="str">
        <f>IFERROR(VLOOKUP(F251, DADOS_RM_EVENTOS_original!A:B, 2, FALSE), "Código não encontrado/Não digitado")</f>
        <v>Código não encontrado/Não digitado</v>
      </c>
      <c r="H251" s="12" t="s">
        <v>68</v>
      </c>
      <c r="I251" s="12" t="str">
        <f>IFERROR(VLOOKUP(H251, DADOS_RM_EVENTOS_original!C:D, 2, FALSE), "Código não encontrado/Não digitado")</f>
        <v>Código não encontrado/Não digitado</v>
      </c>
      <c r="J251" s="12" t="s">
        <v>68</v>
      </c>
      <c r="K251" s="12" t="str">
        <f>IFERROR(VLOOKUP(J251, DADOS_RM_EVENTOS_original!E:J, 2, FALSE), "Código não encontrado/Não digitado")</f>
        <v>Código não encontrado/Não digitado</v>
      </c>
      <c r="L251" s="12" t="s">
        <v>68</v>
      </c>
      <c r="M251" s="12" t="str">
        <f>IFERROR(VLOOKUP(L251, DADOS_RM_EVENTOS_original!K:L, 2, FALSE), "Código não encontrado/Não digitado")</f>
        <v>Código não encontrado/Não digitado</v>
      </c>
    </row>
    <row r="252" ht="15.75" customHeight="1">
      <c r="A252" s="11" t="s">
        <v>38</v>
      </c>
      <c r="B252" s="11" t="s">
        <v>3050</v>
      </c>
      <c r="C252" s="11" t="s">
        <v>3051</v>
      </c>
      <c r="D252" s="11" t="s">
        <v>44</v>
      </c>
      <c r="E252" s="11" t="s">
        <v>47</v>
      </c>
      <c r="F252" s="11" t="s">
        <v>49</v>
      </c>
      <c r="G252" s="12" t="str">
        <f>IFERROR(VLOOKUP(F252, DADOS_RM_EVENTOS_original!A:B, 2, FALSE), "Código não encontrado/Não digitado")</f>
        <v>Código não encontrado/Não digitado</v>
      </c>
      <c r="H252" s="12" t="s">
        <v>68</v>
      </c>
      <c r="I252" s="12" t="str">
        <f>IFERROR(VLOOKUP(H252, DADOS_RM_EVENTOS_original!C:D, 2, FALSE), "Código não encontrado/Não digitado")</f>
        <v>Código não encontrado/Não digitado</v>
      </c>
      <c r="J252" s="12" t="s">
        <v>68</v>
      </c>
      <c r="K252" s="12" t="str">
        <f>IFERROR(VLOOKUP(J252, DADOS_RM_EVENTOS_original!E:J, 2, FALSE), "Código não encontrado/Não digitado")</f>
        <v>Código não encontrado/Não digitado</v>
      </c>
      <c r="L252" s="12" t="s">
        <v>68</v>
      </c>
      <c r="M252" s="12" t="str">
        <f>IFERROR(VLOOKUP(L252, DADOS_RM_EVENTOS_original!K:L, 2, FALSE), "Código não encontrado/Não digitado")</f>
        <v>Código não encontrado/Não digitado</v>
      </c>
    </row>
    <row r="253" ht="15.75" customHeight="1">
      <c r="A253" s="11" t="s">
        <v>38</v>
      </c>
      <c r="B253" s="11" t="s">
        <v>286</v>
      </c>
      <c r="C253" s="11" t="s">
        <v>3053</v>
      </c>
      <c r="D253" s="11" t="s">
        <v>44</v>
      </c>
      <c r="E253" s="11" t="s">
        <v>47</v>
      </c>
      <c r="F253" s="11" t="s">
        <v>49</v>
      </c>
      <c r="G253" s="12" t="str">
        <f>IFERROR(VLOOKUP(F253, DADOS_RM_EVENTOS_original!A:B, 2, FALSE), "Código não encontrado/Não digitado")</f>
        <v>Código não encontrado/Não digitado</v>
      </c>
      <c r="H253" s="12" t="s">
        <v>68</v>
      </c>
      <c r="I253" s="12" t="str">
        <f>IFERROR(VLOOKUP(H253, DADOS_RM_EVENTOS_original!C:D, 2, FALSE), "Código não encontrado/Não digitado")</f>
        <v>Código não encontrado/Não digitado</v>
      </c>
      <c r="J253" s="12" t="s">
        <v>68</v>
      </c>
      <c r="K253" s="12" t="str">
        <f>IFERROR(VLOOKUP(J253, DADOS_RM_EVENTOS_original!E:J, 2, FALSE), "Código não encontrado/Não digitado")</f>
        <v>Código não encontrado/Não digitado</v>
      </c>
      <c r="L253" s="12" t="s">
        <v>68</v>
      </c>
      <c r="M253" s="12" t="str">
        <f>IFERROR(VLOOKUP(L253, DADOS_RM_EVENTOS_original!K:L, 2, FALSE), "Código não encontrado/Não digitado")</f>
        <v>Código não encontrado/Não digitado</v>
      </c>
    </row>
    <row r="254" ht="15.75" hidden="1" customHeight="1">
      <c r="A254" s="11" t="s">
        <v>172</v>
      </c>
      <c r="B254" s="11" t="s">
        <v>1208</v>
      </c>
      <c r="C254" s="11" t="s">
        <v>3055</v>
      </c>
      <c r="D254" s="11" t="s">
        <v>44</v>
      </c>
      <c r="E254" s="11" t="s">
        <v>1029</v>
      </c>
      <c r="F254" s="11" t="s">
        <v>1373</v>
      </c>
      <c r="G254" s="12" t="str">
        <f>IFERROR(VLOOKUP(F254, DADOS_RM_EVENTOS_original!A:B, 2, FALSE), "Código não encontrado/Não digitado")</f>
        <v>Auxilio Combustivel</v>
      </c>
      <c r="H254" s="12" t="s">
        <v>68</v>
      </c>
      <c r="I254" s="12" t="str">
        <f>IFERROR(VLOOKUP(H254, DADOS_RM_EVENTOS_original!C:D, 2, FALSE), "Código não encontrado/Não digitado")</f>
        <v>Código não encontrado/Não digitado</v>
      </c>
      <c r="J254" s="12" t="s">
        <v>68</v>
      </c>
      <c r="K254" s="12" t="str">
        <f>IFERROR(VLOOKUP(J254, DADOS_RM_EVENTOS_original!E:J, 2, FALSE), "Código não encontrado/Não digitado")</f>
        <v>Código não encontrado/Não digitado</v>
      </c>
      <c r="L254" s="12" t="s">
        <v>68</v>
      </c>
      <c r="M254" s="12" t="str">
        <f>IFERROR(VLOOKUP(L254, DADOS_RM_EVENTOS_original!K:L, 2, FALSE), "Código não encontrado/Não digitado")</f>
        <v>Código não encontrado/Não digitado</v>
      </c>
    </row>
    <row r="255" ht="15.75" hidden="1" customHeight="1">
      <c r="A255" s="11" t="s">
        <v>38</v>
      </c>
      <c r="B255" s="11" t="s">
        <v>1208</v>
      </c>
      <c r="C255" s="11" t="s">
        <v>3059</v>
      </c>
      <c r="D255" s="11" t="s">
        <v>44</v>
      </c>
      <c r="E255" s="11" t="s">
        <v>47</v>
      </c>
      <c r="F255" s="11" t="s">
        <v>713</v>
      </c>
      <c r="G255" s="12" t="str">
        <f>IFERROR(VLOOKUP(F255, DADOS_RM_EVENTOS_original!A:B, 2, FALSE), "Código não encontrado/Não digitado")</f>
        <v>Desc. Vale Transporte Mes Anterior</v>
      </c>
      <c r="H255" s="12" t="s">
        <v>68</v>
      </c>
      <c r="I255" s="12" t="str">
        <f>IFERROR(VLOOKUP(H255, DADOS_RM_EVENTOS_original!C:D, 2, FALSE), "Código não encontrado/Não digitado")</f>
        <v>Código não encontrado/Não digitado</v>
      </c>
      <c r="J255" s="12" t="s">
        <v>68</v>
      </c>
      <c r="K255" s="12" t="str">
        <f>IFERROR(VLOOKUP(J255, DADOS_RM_EVENTOS_original!E:J, 2, FALSE), "Código não encontrado/Não digitado")</f>
        <v>Código não encontrado/Não digitado</v>
      </c>
      <c r="L255" s="12" t="s">
        <v>68</v>
      </c>
      <c r="M255" s="12" t="str">
        <f>IFERROR(VLOOKUP(L255, DADOS_RM_EVENTOS_original!K:L, 2, FALSE), "Código não encontrado/Não digitado")</f>
        <v>Código não encontrado/Não digitado</v>
      </c>
    </row>
    <row r="256" ht="15.75" customHeight="1">
      <c r="A256" s="11" t="s">
        <v>115</v>
      </c>
      <c r="B256" s="11" t="s">
        <v>630</v>
      </c>
      <c r="C256" s="11" t="s">
        <v>3063</v>
      </c>
      <c r="D256" s="11" t="s">
        <v>44</v>
      </c>
      <c r="E256" s="11" t="s">
        <v>121</v>
      </c>
      <c r="F256" s="11" t="s">
        <v>49</v>
      </c>
      <c r="G256" s="12" t="str">
        <f>IFERROR(VLOOKUP(F256, DADOS_RM_EVENTOS_original!A:B, 2, FALSE), "Código não encontrado/Não digitado")</f>
        <v>Código não encontrado/Não digitado</v>
      </c>
      <c r="H256" s="12" t="s">
        <v>68</v>
      </c>
      <c r="I256" s="12" t="str">
        <f>IFERROR(VLOOKUP(H256, DADOS_RM_EVENTOS_original!C:D, 2, FALSE), "Código não encontrado/Não digitado")</f>
        <v>Código não encontrado/Não digitado</v>
      </c>
      <c r="J256" s="12" t="s">
        <v>68</v>
      </c>
      <c r="K256" s="12" t="str">
        <f>IFERROR(VLOOKUP(J256, DADOS_RM_EVENTOS_original!E:J, 2, FALSE), "Código não encontrado/Não digitado")</f>
        <v>Código não encontrado/Não digitado</v>
      </c>
      <c r="L256" s="12" t="s">
        <v>68</v>
      </c>
      <c r="M256" s="12" t="str">
        <f>IFERROR(VLOOKUP(L256, DADOS_RM_EVENTOS_original!K:L, 2, FALSE), "Código não encontrado/Não digitado")</f>
        <v>Código não encontrado/Não digitado</v>
      </c>
    </row>
    <row r="257" ht="15.75" hidden="1" customHeight="1">
      <c r="A257" s="11" t="s">
        <v>38</v>
      </c>
      <c r="B257" s="11" t="s">
        <v>471</v>
      </c>
      <c r="C257" s="11" t="s">
        <v>3068</v>
      </c>
      <c r="D257" s="11" t="s">
        <v>120</v>
      </c>
      <c r="E257" s="11" t="s">
        <v>47</v>
      </c>
      <c r="F257" s="11" t="s">
        <v>644</v>
      </c>
      <c r="G257" s="12" t="str">
        <f>IFERROR(VLOOKUP(F257, DADOS_RM_EVENTOS_original!A:B, 2, FALSE), "Código não encontrado/Não digitado")</f>
        <v>Reembolso Desc. DSR</v>
      </c>
      <c r="H257" s="12" t="s">
        <v>68</v>
      </c>
      <c r="I257" s="12" t="str">
        <f>IFERROR(VLOOKUP(H257, DADOS_RM_EVENTOS_original!C:D, 2, FALSE), "Código não encontrado/Não digitado")</f>
        <v>Código não encontrado/Não digitado</v>
      </c>
      <c r="J257" s="12" t="s">
        <v>68</v>
      </c>
      <c r="K257" s="12" t="str">
        <f>IFERROR(VLOOKUP(J257, DADOS_RM_EVENTOS_original!E:J, 2, FALSE), "Código não encontrado/Não digitado")</f>
        <v>Código não encontrado/Não digitado</v>
      </c>
      <c r="L257" s="12" t="s">
        <v>68</v>
      </c>
      <c r="M257" s="12" t="str">
        <f>IFERROR(VLOOKUP(L257, DADOS_RM_EVENTOS_original!K:L, 2, FALSE), "Código não encontrado/Não digitado")</f>
        <v>Código não encontrado/Não digitado</v>
      </c>
    </row>
    <row r="258" ht="15.75" hidden="1" customHeight="1">
      <c r="A258" s="11" t="s">
        <v>38</v>
      </c>
      <c r="B258" s="11" t="s">
        <v>3072</v>
      </c>
      <c r="C258" s="11" t="s">
        <v>3073</v>
      </c>
      <c r="D258" s="11" t="s">
        <v>120</v>
      </c>
      <c r="E258" s="11" t="s">
        <v>47</v>
      </c>
      <c r="F258" s="11" t="s">
        <v>294</v>
      </c>
      <c r="G258" s="12" t="str">
        <f>IFERROR(VLOOKUP(F258, DADOS_RM_EVENTOS_original!A:B, 2, FALSE), "Código não encontrado/Não digitado")</f>
        <v>Reembolso Desc. Faltas</v>
      </c>
      <c r="H258" s="12" t="s">
        <v>68</v>
      </c>
      <c r="I258" s="12" t="str">
        <f>IFERROR(VLOOKUP(H258, DADOS_RM_EVENTOS_original!C:D, 2, FALSE), "Código não encontrado/Não digitado")</f>
        <v>Código não encontrado/Não digitado</v>
      </c>
      <c r="J258" s="12" t="s">
        <v>68</v>
      </c>
      <c r="K258" s="12" t="str">
        <f>IFERROR(VLOOKUP(J258, DADOS_RM_EVENTOS_original!E:J, 2, FALSE), "Código não encontrado/Não digitado")</f>
        <v>Código não encontrado/Não digitado</v>
      </c>
      <c r="L258" s="12" t="s">
        <v>68</v>
      </c>
      <c r="M258" s="12" t="str">
        <f>IFERROR(VLOOKUP(L258, DADOS_RM_EVENTOS_original!K:L, 2, FALSE), "Código não encontrado/Não digitado")</f>
        <v>Código não encontrado/Não digitado</v>
      </c>
    </row>
    <row r="259" ht="15.75" customHeight="1">
      <c r="A259" s="11" t="s">
        <v>38</v>
      </c>
      <c r="B259" s="11" t="s">
        <v>1287</v>
      </c>
      <c r="C259" s="11" t="s">
        <v>3077</v>
      </c>
      <c r="D259" s="11" t="s">
        <v>44</v>
      </c>
      <c r="E259" s="11" t="s">
        <v>47</v>
      </c>
      <c r="F259" s="11" t="s">
        <v>49</v>
      </c>
      <c r="G259" s="12" t="str">
        <f>IFERROR(VLOOKUP(F259, DADOS_RM_EVENTOS_original!A:B, 2, FALSE), "Código não encontrado/Não digitado")</f>
        <v>Código não encontrado/Não digitado</v>
      </c>
      <c r="H259" s="12" t="s">
        <v>68</v>
      </c>
      <c r="I259" s="12" t="str">
        <f>IFERROR(VLOOKUP(H259, DADOS_RM_EVENTOS_original!C:D, 2, FALSE), "Código não encontrado/Não digitado")</f>
        <v>Código não encontrado/Não digitado</v>
      </c>
      <c r="J259" s="12" t="s">
        <v>68</v>
      </c>
      <c r="K259" s="12" t="str">
        <f>IFERROR(VLOOKUP(J259, DADOS_RM_EVENTOS_original!E:J, 2, FALSE), "Código não encontrado/Não digitado")</f>
        <v>Código não encontrado/Não digitado</v>
      </c>
      <c r="L259" s="12" t="s">
        <v>68</v>
      </c>
      <c r="M259" s="12" t="str">
        <f>IFERROR(VLOOKUP(L259, DADOS_RM_EVENTOS_original!K:L, 2, FALSE), "Código não encontrado/Não digitado")</f>
        <v>Código não encontrado/Não digitado</v>
      </c>
    </row>
    <row r="260" ht="15.75" hidden="1" customHeight="1">
      <c r="A260" s="11" t="s">
        <v>38</v>
      </c>
      <c r="B260" s="11" t="s">
        <v>1641</v>
      </c>
      <c r="C260" s="11" t="s">
        <v>3083</v>
      </c>
      <c r="D260" s="11" t="s">
        <v>120</v>
      </c>
      <c r="E260" s="11" t="s">
        <v>47</v>
      </c>
      <c r="F260" s="11" t="s">
        <v>1242</v>
      </c>
      <c r="G260" s="12" t="str">
        <f>IFERROR(VLOOKUP(F260, DADOS_RM_EVENTOS_original!A:B, 2, FALSE), "Código não encontrado/Não digitado")</f>
        <v>Reembolso de Emprestimo Consignado</v>
      </c>
      <c r="H260" s="12" t="s">
        <v>68</v>
      </c>
      <c r="I260" s="12" t="str">
        <f>IFERROR(VLOOKUP(H260, DADOS_RM_EVENTOS_original!C:D, 2, FALSE), "Código não encontrado/Não digitado")</f>
        <v>Código não encontrado/Não digitado</v>
      </c>
      <c r="J260" s="12" t="s">
        <v>68</v>
      </c>
      <c r="K260" s="12" t="str">
        <f>IFERROR(VLOOKUP(J260, DADOS_RM_EVENTOS_original!E:J, 2, FALSE), "Código não encontrado/Não digitado")</f>
        <v>Código não encontrado/Não digitado</v>
      </c>
      <c r="L260" s="12" t="s">
        <v>68</v>
      </c>
      <c r="M260" s="12" t="str">
        <f>IFERROR(VLOOKUP(L260, DADOS_RM_EVENTOS_original!K:L, 2, FALSE), "Código não encontrado/Não digitado")</f>
        <v>Código não encontrado/Não digitado</v>
      </c>
    </row>
    <row r="261" ht="15.75" hidden="1" customHeight="1">
      <c r="A261" s="11" t="s">
        <v>38</v>
      </c>
      <c r="B261" s="11" t="s">
        <v>3089</v>
      </c>
      <c r="C261" s="11" t="s">
        <v>3090</v>
      </c>
      <c r="D261" s="11" t="s">
        <v>120</v>
      </c>
      <c r="E261" s="11" t="s">
        <v>47</v>
      </c>
      <c r="F261" s="11" t="s">
        <v>1561</v>
      </c>
      <c r="G261" s="12" t="str">
        <f>IFERROR(VLOOKUP(F261, DADOS_RM_EVENTOS_original!A:B, 2, FALSE), "Código não encontrado/Não digitado")</f>
        <v>Reembolso Desconto Indevido</v>
      </c>
      <c r="H261" s="12" t="s">
        <v>68</v>
      </c>
      <c r="I261" s="12" t="str">
        <f>IFERROR(VLOOKUP(H261, DADOS_RM_EVENTOS_original!C:D, 2, FALSE), "Código não encontrado/Não digitado")</f>
        <v>Código não encontrado/Não digitado</v>
      </c>
      <c r="J261" s="12" t="s">
        <v>68</v>
      </c>
      <c r="K261" s="12" t="str">
        <f>IFERROR(VLOOKUP(J261, DADOS_RM_EVENTOS_original!E:J, 2, FALSE), "Código não encontrado/Não digitado")</f>
        <v>Código não encontrado/Não digitado</v>
      </c>
      <c r="L261" s="12" t="s">
        <v>68</v>
      </c>
      <c r="M261" s="12" t="str">
        <f>IFERROR(VLOOKUP(L261, DADOS_RM_EVENTOS_original!K:L, 2, FALSE), "Código não encontrado/Não digitado")</f>
        <v>Código não encontrado/Não digitado</v>
      </c>
    </row>
    <row r="262" ht="15.75" hidden="1" customHeight="1">
      <c r="A262" s="11" t="s">
        <v>97</v>
      </c>
      <c r="B262" s="11" t="s">
        <v>3096</v>
      </c>
      <c r="C262" s="11" t="s">
        <v>3097</v>
      </c>
      <c r="D262" s="11" t="s">
        <v>120</v>
      </c>
      <c r="E262" s="11" t="s">
        <v>972</v>
      </c>
      <c r="F262" s="11" t="s">
        <v>1561</v>
      </c>
      <c r="G262" s="12" t="str">
        <f>IFERROR(VLOOKUP(F262, DADOS_RM_EVENTOS_original!A:B, 2, FALSE), "Código não encontrado/Não digitado")</f>
        <v>Reembolso Desconto Indevido</v>
      </c>
      <c r="H262" s="12" t="s">
        <v>68</v>
      </c>
      <c r="I262" s="12" t="str">
        <f>IFERROR(VLOOKUP(H262, DADOS_RM_EVENTOS_original!C:D, 2, FALSE), "Código não encontrado/Não digitado")</f>
        <v>Código não encontrado/Não digitado</v>
      </c>
      <c r="J262" s="12" t="s">
        <v>68</v>
      </c>
      <c r="K262" s="12" t="str">
        <f>IFERROR(VLOOKUP(J262, DADOS_RM_EVENTOS_original!E:J, 2, FALSE), "Código não encontrado/Não digitado")</f>
        <v>Código não encontrado/Não digitado</v>
      </c>
      <c r="L262" s="12" t="s">
        <v>68</v>
      </c>
      <c r="M262" s="12" t="str">
        <f>IFERROR(VLOOKUP(L262, DADOS_RM_EVENTOS_original!K:L, 2, FALSE), "Código não encontrado/Não digitado")</f>
        <v>Código não encontrado/Não digitado</v>
      </c>
    </row>
    <row r="263" ht="15.75" hidden="1" customHeight="1">
      <c r="A263" s="11" t="s">
        <v>172</v>
      </c>
      <c r="B263" s="11" t="s">
        <v>601</v>
      </c>
      <c r="C263" s="11" t="s">
        <v>3101</v>
      </c>
      <c r="D263" s="11" t="s">
        <v>120</v>
      </c>
      <c r="E263" s="11" t="s">
        <v>1029</v>
      </c>
      <c r="F263" s="11" t="s">
        <v>1561</v>
      </c>
      <c r="G263" s="12" t="str">
        <f>IFERROR(VLOOKUP(F263, DADOS_RM_EVENTOS_original!A:B, 2, FALSE), "Código não encontrado/Não digitado")</f>
        <v>Reembolso Desconto Indevido</v>
      </c>
      <c r="H263" s="12" t="s">
        <v>68</v>
      </c>
      <c r="I263" s="12" t="str">
        <f>IFERROR(VLOOKUP(H263, DADOS_RM_EVENTOS_original!C:D, 2, FALSE), "Código não encontrado/Não digitado")</f>
        <v>Código não encontrado/Não digitado</v>
      </c>
      <c r="J263" s="12" t="s">
        <v>68</v>
      </c>
      <c r="K263" s="12" t="str">
        <f>IFERROR(VLOOKUP(J263, DADOS_RM_EVENTOS_original!E:J, 2, FALSE), "Código não encontrado/Não digitado")</f>
        <v>Código não encontrado/Não digitado</v>
      </c>
      <c r="L263" s="12" t="s">
        <v>68</v>
      </c>
      <c r="M263" s="12" t="str">
        <f>IFERROR(VLOOKUP(L263, DADOS_RM_EVENTOS_original!K:L, 2, FALSE), "Código não encontrado/Não digitado")</f>
        <v>Código não encontrado/Não digitado</v>
      </c>
    </row>
    <row r="264" ht="15.75" customHeight="1">
      <c r="A264" s="11" t="s">
        <v>38</v>
      </c>
      <c r="B264" s="11" t="s">
        <v>3105</v>
      </c>
      <c r="C264" s="11" t="s">
        <v>3107</v>
      </c>
      <c r="D264" s="11" t="s">
        <v>120</v>
      </c>
      <c r="E264" s="11" t="s">
        <v>47</v>
      </c>
      <c r="F264" s="11" t="s">
        <v>49</v>
      </c>
      <c r="G264" s="12" t="str">
        <f>IFERROR(VLOOKUP(F264, DADOS_RM_EVENTOS_original!A:B, 2, FALSE), "Código não encontrado/Não digitado")</f>
        <v>Código não encontrado/Não digitado</v>
      </c>
      <c r="H264" s="12" t="s">
        <v>68</v>
      </c>
      <c r="I264" s="12" t="str">
        <f>IFERROR(VLOOKUP(H264, DADOS_RM_EVENTOS_original!C:D, 2, FALSE), "Código não encontrado/Não digitado")</f>
        <v>Código não encontrado/Não digitado</v>
      </c>
      <c r="J264" s="12" t="s">
        <v>68</v>
      </c>
      <c r="K264" s="12" t="str">
        <f>IFERROR(VLOOKUP(J264, DADOS_RM_EVENTOS_original!E:J, 2, FALSE), "Código não encontrado/Não digitado")</f>
        <v>Código não encontrado/Não digitado</v>
      </c>
      <c r="L264" s="12" t="s">
        <v>68</v>
      </c>
      <c r="M264" s="12" t="str">
        <f>IFERROR(VLOOKUP(L264, DADOS_RM_EVENTOS_original!K:L, 2, FALSE), "Código não encontrado/Não digitado")</f>
        <v>Código não encontrado/Não digitado</v>
      </c>
    </row>
    <row r="265" ht="15.75" customHeight="1">
      <c r="A265" s="11" t="s">
        <v>97</v>
      </c>
      <c r="B265" s="11" t="s">
        <v>3105</v>
      </c>
      <c r="C265" s="11" t="s">
        <v>3111</v>
      </c>
      <c r="D265" s="11" t="s">
        <v>120</v>
      </c>
      <c r="E265" s="11" t="s">
        <v>972</v>
      </c>
      <c r="F265" s="11" t="s">
        <v>49</v>
      </c>
      <c r="G265" s="12" t="str">
        <f>IFERROR(VLOOKUP(F265, DADOS_RM_EVENTOS_original!A:B, 2, FALSE), "Código não encontrado/Não digitado")</f>
        <v>Código não encontrado/Não digitado</v>
      </c>
      <c r="H265" s="12" t="s">
        <v>68</v>
      </c>
      <c r="I265" s="12" t="str">
        <f>IFERROR(VLOOKUP(H265, DADOS_RM_EVENTOS_original!C:D, 2, FALSE), "Código não encontrado/Não digitado")</f>
        <v>Código não encontrado/Não digitado</v>
      </c>
      <c r="J265" s="12" t="s">
        <v>68</v>
      </c>
      <c r="K265" s="12" t="str">
        <f>IFERROR(VLOOKUP(J265, DADOS_RM_EVENTOS_original!E:J, 2, FALSE), "Código não encontrado/Não digitado")</f>
        <v>Código não encontrado/Não digitado</v>
      </c>
      <c r="L265" s="12" t="s">
        <v>68</v>
      </c>
      <c r="M265" s="12" t="str">
        <f>IFERROR(VLOOKUP(L265, DADOS_RM_EVENTOS_original!K:L, 2, FALSE), "Código não encontrado/Não digitado")</f>
        <v>Código não encontrado/Não digitado</v>
      </c>
    </row>
    <row r="266" ht="15.75" customHeight="1">
      <c r="A266" s="11" t="s">
        <v>38</v>
      </c>
      <c r="B266" s="11" t="s">
        <v>427</v>
      </c>
      <c r="C266" s="11" t="s">
        <v>3115</v>
      </c>
      <c r="D266" s="11" t="s">
        <v>120</v>
      </c>
      <c r="E266" s="11" t="s">
        <v>47</v>
      </c>
      <c r="F266" s="11" t="s">
        <v>49</v>
      </c>
      <c r="G266" s="12" t="str">
        <f>IFERROR(VLOOKUP(F266, DADOS_RM_EVENTOS_original!A:B, 2, FALSE), "Código não encontrado/Não digitado")</f>
        <v>Código não encontrado/Não digitado</v>
      </c>
      <c r="H266" s="12" t="s">
        <v>68</v>
      </c>
      <c r="I266" s="12" t="str">
        <f>IFERROR(VLOOKUP(H266, DADOS_RM_EVENTOS_original!C:D, 2, FALSE), "Código não encontrado/Não digitado")</f>
        <v>Código não encontrado/Não digitado</v>
      </c>
      <c r="J266" s="12" t="s">
        <v>68</v>
      </c>
      <c r="K266" s="12" t="str">
        <f>IFERROR(VLOOKUP(J266, DADOS_RM_EVENTOS_original!E:J, 2, FALSE), "Código não encontrado/Não digitado")</f>
        <v>Código não encontrado/Não digitado</v>
      </c>
      <c r="L266" s="12" t="s">
        <v>68</v>
      </c>
      <c r="M266" s="12" t="str">
        <f>IFERROR(VLOOKUP(L266, DADOS_RM_EVENTOS_original!K:L, 2, FALSE), "Código não encontrado/Não digitado")</f>
        <v>Código não encontrado/Não digitado</v>
      </c>
    </row>
    <row r="267" ht="15.75" customHeight="1">
      <c r="A267" s="11" t="s">
        <v>97</v>
      </c>
      <c r="B267" s="11" t="s">
        <v>427</v>
      </c>
      <c r="C267" s="11" t="s">
        <v>3120</v>
      </c>
      <c r="D267" s="11" t="s">
        <v>120</v>
      </c>
      <c r="E267" s="11" t="s">
        <v>972</v>
      </c>
      <c r="F267" s="11" t="s">
        <v>49</v>
      </c>
      <c r="G267" s="12" t="str">
        <f>IFERROR(VLOOKUP(F267, DADOS_RM_EVENTOS_original!A:B, 2, FALSE), "Código não encontrado/Não digitado")</f>
        <v>Código não encontrado/Não digitado</v>
      </c>
      <c r="H267" s="12" t="s">
        <v>68</v>
      </c>
      <c r="I267" s="12" t="str">
        <f>IFERROR(VLOOKUP(H267, DADOS_RM_EVENTOS_original!C:D, 2, FALSE), "Código não encontrado/Não digitado")</f>
        <v>Código não encontrado/Não digitado</v>
      </c>
      <c r="J267" s="12" t="s">
        <v>68</v>
      </c>
      <c r="K267" s="12" t="str">
        <f>IFERROR(VLOOKUP(J267, DADOS_RM_EVENTOS_original!E:J, 2, FALSE), "Código não encontrado/Não digitado")</f>
        <v>Código não encontrado/Não digitado</v>
      </c>
      <c r="L267" s="12" t="s">
        <v>68</v>
      </c>
      <c r="M267" s="12" t="str">
        <f>IFERROR(VLOOKUP(L267, DADOS_RM_EVENTOS_original!K:L, 2, FALSE), "Código não encontrado/Não digitado")</f>
        <v>Código não encontrado/Não digitado</v>
      </c>
    </row>
    <row r="268" ht="15.75" customHeight="1">
      <c r="A268" s="11" t="s">
        <v>38</v>
      </c>
      <c r="B268" s="11" t="s">
        <v>281</v>
      </c>
      <c r="C268" s="11" t="s">
        <v>3124</v>
      </c>
      <c r="D268" s="11" t="s">
        <v>120</v>
      </c>
      <c r="E268" s="11" t="s">
        <v>47</v>
      </c>
      <c r="F268" s="11" t="s">
        <v>49</v>
      </c>
      <c r="G268" s="12" t="str">
        <f>IFERROR(VLOOKUP(F268, DADOS_RM_EVENTOS_original!A:B, 2, FALSE), "Código não encontrado/Não digitado")</f>
        <v>Código não encontrado/Não digitado</v>
      </c>
      <c r="H268" s="12" t="s">
        <v>68</v>
      </c>
      <c r="I268" s="12" t="str">
        <f>IFERROR(VLOOKUP(H268, DADOS_RM_EVENTOS_original!C:D, 2, FALSE), "Código não encontrado/Não digitado")</f>
        <v>Código não encontrado/Não digitado</v>
      </c>
      <c r="J268" s="12" t="s">
        <v>68</v>
      </c>
      <c r="K268" s="12" t="str">
        <f>IFERROR(VLOOKUP(J268, DADOS_RM_EVENTOS_original!E:J, 2, FALSE), "Código não encontrado/Não digitado")</f>
        <v>Código não encontrado/Não digitado</v>
      </c>
      <c r="L268" s="12" t="s">
        <v>68</v>
      </c>
      <c r="M268" s="12" t="str">
        <f>IFERROR(VLOOKUP(L268, DADOS_RM_EVENTOS_original!K:L, 2, FALSE), "Código não encontrado/Não digitado")</f>
        <v>Código não encontrado/Não digitado</v>
      </c>
    </row>
    <row r="269" ht="15.75" customHeight="1">
      <c r="A269" s="11" t="s">
        <v>38</v>
      </c>
      <c r="B269" s="11" t="s">
        <v>460</v>
      </c>
      <c r="C269" s="11" t="s">
        <v>3128</v>
      </c>
      <c r="D269" s="11" t="s">
        <v>120</v>
      </c>
      <c r="E269" s="11" t="s">
        <v>47</v>
      </c>
      <c r="F269" s="11" t="s">
        <v>49</v>
      </c>
      <c r="G269" s="12" t="str">
        <f>IFERROR(VLOOKUP(F269, DADOS_RM_EVENTOS_original!A:B, 2, FALSE), "Código não encontrado/Não digitado")</f>
        <v>Código não encontrado/Não digitado</v>
      </c>
      <c r="H269" s="12" t="s">
        <v>68</v>
      </c>
      <c r="I269" s="12" t="str">
        <f>IFERROR(VLOOKUP(H269, DADOS_RM_EVENTOS_original!C:D, 2, FALSE), "Código não encontrado/Não digitado")</f>
        <v>Código não encontrado/Não digitado</v>
      </c>
      <c r="J269" s="12" t="s">
        <v>68</v>
      </c>
      <c r="K269" s="12" t="str">
        <f>IFERROR(VLOOKUP(J269, DADOS_RM_EVENTOS_original!E:J, 2, FALSE), "Código não encontrado/Não digitado")</f>
        <v>Código não encontrado/Não digitado</v>
      </c>
      <c r="L269" s="12" t="s">
        <v>68</v>
      </c>
      <c r="M269" s="12" t="str">
        <f>IFERROR(VLOOKUP(L269, DADOS_RM_EVENTOS_original!K:L, 2, FALSE), "Código não encontrado/Não digitado")</f>
        <v>Código não encontrado/Não digitado</v>
      </c>
    </row>
    <row r="270" ht="15.75" customHeight="1">
      <c r="A270" s="11" t="s">
        <v>38</v>
      </c>
      <c r="B270" s="11" t="s">
        <v>304</v>
      </c>
      <c r="C270" s="11" t="s">
        <v>3132</v>
      </c>
      <c r="D270" s="11" t="s">
        <v>120</v>
      </c>
      <c r="E270" s="11" t="s">
        <v>47</v>
      </c>
      <c r="F270" s="11" t="s">
        <v>49</v>
      </c>
      <c r="G270" s="12" t="str">
        <f>IFERROR(VLOOKUP(F270, DADOS_RM_EVENTOS_original!A:B, 2, FALSE), "Código não encontrado/Não digitado")</f>
        <v>Código não encontrado/Não digitado</v>
      </c>
      <c r="H270" s="12" t="s">
        <v>68</v>
      </c>
      <c r="I270" s="12" t="str">
        <f>IFERROR(VLOOKUP(H270, DADOS_RM_EVENTOS_original!C:D, 2, FALSE), "Código não encontrado/Não digitado")</f>
        <v>Código não encontrado/Não digitado</v>
      </c>
      <c r="J270" s="12" t="s">
        <v>68</v>
      </c>
      <c r="K270" s="12" t="str">
        <f>IFERROR(VLOOKUP(J270, DADOS_RM_EVENTOS_original!E:J, 2, FALSE), "Código não encontrado/Não digitado")</f>
        <v>Código não encontrado/Não digitado</v>
      </c>
      <c r="L270" s="12" t="s">
        <v>68</v>
      </c>
      <c r="M270" s="12" t="str">
        <f>IFERROR(VLOOKUP(L270, DADOS_RM_EVENTOS_original!K:L, 2, FALSE), "Código não encontrado/Não digitado")</f>
        <v>Código não encontrado/Não digitado</v>
      </c>
    </row>
    <row r="271" ht="15.75" customHeight="1">
      <c r="A271" s="11" t="s">
        <v>38</v>
      </c>
      <c r="B271" s="11" t="s">
        <v>3137</v>
      </c>
      <c r="C271" s="11" t="s">
        <v>3138</v>
      </c>
      <c r="D271" s="11" t="s">
        <v>120</v>
      </c>
      <c r="E271" s="11" t="s">
        <v>47</v>
      </c>
      <c r="F271" s="11" t="s">
        <v>49</v>
      </c>
      <c r="G271" s="12" t="str">
        <f>IFERROR(VLOOKUP(F271, DADOS_RM_EVENTOS_original!A:B, 2, FALSE), "Código não encontrado/Não digitado")</f>
        <v>Código não encontrado/Não digitado</v>
      </c>
      <c r="H271" s="12" t="s">
        <v>68</v>
      </c>
      <c r="I271" s="12" t="str">
        <f>IFERROR(VLOOKUP(H271, DADOS_RM_EVENTOS_original!C:D, 2, FALSE), "Código não encontrado/Não digitado")</f>
        <v>Código não encontrado/Não digitado</v>
      </c>
      <c r="J271" s="12" t="s">
        <v>68</v>
      </c>
      <c r="K271" s="12" t="str">
        <f>IFERROR(VLOOKUP(J271, DADOS_RM_EVENTOS_original!E:J, 2, FALSE), "Código não encontrado/Não digitado")</f>
        <v>Código não encontrado/Não digitado</v>
      </c>
      <c r="L271" s="12" t="s">
        <v>68</v>
      </c>
      <c r="M271" s="12" t="str">
        <f>IFERROR(VLOOKUP(L271, DADOS_RM_EVENTOS_original!K:L, 2, FALSE), "Código não encontrado/Não digitado")</f>
        <v>Código não encontrado/Não digitado</v>
      </c>
    </row>
    <row r="272" ht="15.75" customHeight="1">
      <c r="A272" s="11" t="s">
        <v>38</v>
      </c>
      <c r="B272" s="11" t="s">
        <v>399</v>
      </c>
      <c r="C272" s="11" t="s">
        <v>3141</v>
      </c>
      <c r="D272" s="11" t="s">
        <v>120</v>
      </c>
      <c r="E272" s="11" t="s">
        <v>47</v>
      </c>
      <c r="F272" s="11" t="s">
        <v>49</v>
      </c>
      <c r="G272" s="12" t="str">
        <f>IFERROR(VLOOKUP(F272, DADOS_RM_EVENTOS_original!A:B, 2, FALSE), "Código não encontrado/Não digitado")</f>
        <v>Código não encontrado/Não digitado</v>
      </c>
      <c r="H272" s="12" t="s">
        <v>68</v>
      </c>
      <c r="I272" s="12" t="str">
        <f>IFERROR(VLOOKUP(H272, DADOS_RM_EVENTOS_original!C:D, 2, FALSE), "Código não encontrado/Não digitado")</f>
        <v>Código não encontrado/Não digitado</v>
      </c>
      <c r="J272" s="12" t="s">
        <v>68</v>
      </c>
      <c r="K272" s="12" t="str">
        <f>IFERROR(VLOOKUP(J272, DADOS_RM_EVENTOS_original!E:J, 2, FALSE), "Código não encontrado/Não digitado")</f>
        <v>Código não encontrado/Não digitado</v>
      </c>
      <c r="L272" s="12" t="s">
        <v>68</v>
      </c>
      <c r="M272" s="12" t="str">
        <f>IFERROR(VLOOKUP(L272, DADOS_RM_EVENTOS_original!K:L, 2, FALSE), "Código não encontrado/Não digitado")</f>
        <v>Código não encontrado/Não digitado</v>
      </c>
    </row>
    <row r="273" ht="15.75" customHeight="1">
      <c r="A273" s="11" t="s">
        <v>172</v>
      </c>
      <c r="B273" s="11" t="s">
        <v>1266</v>
      </c>
      <c r="C273" s="11" t="s">
        <v>3144</v>
      </c>
      <c r="D273" s="11" t="s">
        <v>120</v>
      </c>
      <c r="E273" s="11" t="s">
        <v>1029</v>
      </c>
      <c r="F273" s="11" t="s">
        <v>49</v>
      </c>
      <c r="G273" s="12" t="str">
        <f>IFERROR(VLOOKUP(F273, DADOS_RM_EVENTOS_original!A:B, 2, FALSE), "Código não encontrado/Não digitado")</f>
        <v>Código não encontrado/Não digitado</v>
      </c>
      <c r="H273" s="12" t="s">
        <v>68</v>
      </c>
      <c r="I273" s="12" t="str">
        <f>IFERROR(VLOOKUP(H273, DADOS_RM_EVENTOS_original!C:D, 2, FALSE), "Código não encontrado/Não digitado")</f>
        <v>Código não encontrado/Não digitado</v>
      </c>
      <c r="J273" s="12" t="s">
        <v>68</v>
      </c>
      <c r="K273" s="12" t="str">
        <f>IFERROR(VLOOKUP(J273, DADOS_RM_EVENTOS_original!E:J, 2, FALSE), "Código não encontrado/Não digitado")</f>
        <v>Código não encontrado/Não digitado</v>
      </c>
      <c r="L273" s="12" t="s">
        <v>68</v>
      </c>
      <c r="M273" s="12" t="str">
        <f>IFERROR(VLOOKUP(L273, DADOS_RM_EVENTOS_original!K:L, 2, FALSE), "Código não encontrado/Não digitado")</f>
        <v>Código não encontrado/Não digitado</v>
      </c>
    </row>
    <row r="274" ht="15.75" customHeight="1">
      <c r="A274" s="11" t="s">
        <v>97</v>
      </c>
      <c r="B274" s="11" t="s">
        <v>1266</v>
      </c>
      <c r="C274" s="11" t="s">
        <v>3144</v>
      </c>
      <c r="D274" s="11" t="s">
        <v>120</v>
      </c>
      <c r="E274" s="11" t="s">
        <v>972</v>
      </c>
      <c r="F274" s="11" t="s">
        <v>49</v>
      </c>
      <c r="G274" s="12" t="str">
        <f>IFERROR(VLOOKUP(F274, DADOS_RM_EVENTOS_original!A:B, 2, FALSE), "Código não encontrado/Não digitado")</f>
        <v>Código não encontrado/Não digitado</v>
      </c>
      <c r="H274" s="12" t="s">
        <v>68</v>
      </c>
      <c r="I274" s="12" t="str">
        <f>IFERROR(VLOOKUP(H274, DADOS_RM_EVENTOS_original!C:D, 2, FALSE), "Código não encontrado/Não digitado")</f>
        <v>Código não encontrado/Não digitado</v>
      </c>
      <c r="J274" s="12" t="s">
        <v>68</v>
      </c>
      <c r="K274" s="12" t="str">
        <f>IFERROR(VLOOKUP(J274, DADOS_RM_EVENTOS_original!E:J, 2, FALSE), "Código não encontrado/Não digitado")</f>
        <v>Código não encontrado/Não digitado</v>
      </c>
      <c r="L274" s="12" t="s">
        <v>68</v>
      </c>
      <c r="M274" s="12" t="str">
        <f>IFERROR(VLOOKUP(L274, DADOS_RM_EVENTOS_original!K:L, 2, FALSE), "Código não encontrado/Não digitado")</f>
        <v>Código não encontrado/Não digitado</v>
      </c>
    </row>
    <row r="275" ht="15.75" customHeight="1">
      <c r="A275" s="11" t="s">
        <v>142</v>
      </c>
      <c r="B275" s="11" t="s">
        <v>1266</v>
      </c>
      <c r="C275" s="11" t="s">
        <v>3144</v>
      </c>
      <c r="D275" s="11" t="s">
        <v>120</v>
      </c>
      <c r="E275" s="11" t="s">
        <v>985</v>
      </c>
      <c r="F275" s="11" t="s">
        <v>49</v>
      </c>
      <c r="G275" s="12" t="str">
        <f>IFERROR(VLOOKUP(F275, DADOS_RM_EVENTOS_original!A:B, 2, FALSE), "Código não encontrado/Não digitado")</f>
        <v>Código não encontrado/Não digitado</v>
      </c>
      <c r="H275" s="12" t="s">
        <v>68</v>
      </c>
      <c r="I275" s="12" t="str">
        <f>IFERROR(VLOOKUP(H275, DADOS_RM_EVENTOS_original!C:D, 2, FALSE), "Código não encontrado/Não digitado")</f>
        <v>Código não encontrado/Não digitado</v>
      </c>
      <c r="J275" s="12" t="s">
        <v>68</v>
      </c>
      <c r="K275" s="12" t="str">
        <f>IFERROR(VLOOKUP(J275, DADOS_RM_EVENTOS_original!E:J, 2, FALSE), "Código não encontrado/Não digitado")</f>
        <v>Código não encontrado/Não digitado</v>
      </c>
      <c r="L275" s="12" t="s">
        <v>68</v>
      </c>
      <c r="M275" s="12" t="str">
        <f>IFERROR(VLOOKUP(L275, DADOS_RM_EVENTOS_original!K:L, 2, FALSE), "Código não encontrado/Não digitado")</f>
        <v>Código não encontrado/Não digitado</v>
      </c>
    </row>
    <row r="276" ht="15.75" customHeight="1">
      <c r="A276" s="11" t="s">
        <v>38</v>
      </c>
      <c r="B276" s="11" t="s">
        <v>1266</v>
      </c>
      <c r="C276" s="11" t="s">
        <v>3155</v>
      </c>
      <c r="D276" s="11" t="s">
        <v>120</v>
      </c>
      <c r="E276" s="11" t="s">
        <v>47</v>
      </c>
      <c r="F276" s="11" t="s">
        <v>49</v>
      </c>
      <c r="G276" s="12" t="str">
        <f>IFERROR(VLOOKUP(F276, DADOS_RM_EVENTOS_original!A:B, 2, FALSE), "Código não encontrado/Não digitado")</f>
        <v>Código não encontrado/Não digitado</v>
      </c>
      <c r="H276" s="12" t="s">
        <v>68</v>
      </c>
      <c r="I276" s="12" t="str">
        <f>IFERROR(VLOOKUP(H276, DADOS_RM_EVENTOS_original!C:D, 2, FALSE), "Código não encontrado/Não digitado")</f>
        <v>Código não encontrado/Não digitado</v>
      </c>
      <c r="J276" s="12" t="s">
        <v>68</v>
      </c>
      <c r="K276" s="12" t="str">
        <f>IFERROR(VLOOKUP(J276, DADOS_RM_EVENTOS_original!E:J, 2, FALSE), "Código não encontrado/Não digitado")</f>
        <v>Código não encontrado/Não digitado</v>
      </c>
      <c r="L276" s="12" t="s">
        <v>68</v>
      </c>
      <c r="M276" s="12" t="str">
        <f>IFERROR(VLOOKUP(L276, DADOS_RM_EVENTOS_original!K:L, 2, FALSE), "Código não encontrado/Não digitado")</f>
        <v>Código não encontrado/Não digitado</v>
      </c>
    </row>
    <row r="277" ht="15.75" customHeight="1">
      <c r="A277" s="11" t="s">
        <v>38</v>
      </c>
      <c r="B277" s="11" t="s">
        <v>259</v>
      </c>
      <c r="C277" s="11" t="s">
        <v>3164</v>
      </c>
      <c r="D277" s="11" t="s">
        <v>120</v>
      </c>
      <c r="E277" s="11" t="s">
        <v>47</v>
      </c>
      <c r="F277" s="11" t="s">
        <v>49</v>
      </c>
      <c r="G277" s="12" t="str">
        <f>IFERROR(VLOOKUP(F277, DADOS_RM_EVENTOS_original!A:B, 2, FALSE), "Código não encontrado/Não digitado")</f>
        <v>Código não encontrado/Não digitado</v>
      </c>
      <c r="H277" s="12" t="s">
        <v>68</v>
      </c>
      <c r="I277" s="12" t="str">
        <f>IFERROR(VLOOKUP(H277, DADOS_RM_EVENTOS_original!C:D, 2, FALSE), "Código não encontrado/Não digitado")</f>
        <v>Código não encontrado/Não digitado</v>
      </c>
      <c r="J277" s="12" t="s">
        <v>68</v>
      </c>
      <c r="K277" s="12" t="str">
        <f>IFERROR(VLOOKUP(J277, DADOS_RM_EVENTOS_original!E:J, 2, FALSE), "Código não encontrado/Não digitado")</f>
        <v>Código não encontrado/Não digitado</v>
      </c>
      <c r="L277" s="12" t="s">
        <v>68</v>
      </c>
      <c r="M277" s="12" t="str">
        <f>IFERROR(VLOOKUP(L277, DADOS_RM_EVENTOS_original!K:L, 2, FALSE), "Código não encontrado/Não digitado")</f>
        <v>Código não encontrado/Não digitado</v>
      </c>
    </row>
    <row r="278" ht="15.75" customHeight="1">
      <c r="A278" s="11" t="s">
        <v>38</v>
      </c>
      <c r="B278" s="11" t="s">
        <v>501</v>
      </c>
      <c r="C278" s="11" t="s">
        <v>3167</v>
      </c>
      <c r="D278" s="11" t="s">
        <v>120</v>
      </c>
      <c r="E278" s="11" t="s">
        <v>47</v>
      </c>
      <c r="F278" s="11" t="s">
        <v>49</v>
      </c>
      <c r="G278" s="12" t="str">
        <f>IFERROR(VLOOKUP(F278, DADOS_RM_EVENTOS_original!A:B, 2, FALSE), "Código não encontrado/Não digitado")</f>
        <v>Código não encontrado/Não digitado</v>
      </c>
      <c r="H278" s="12" t="s">
        <v>68</v>
      </c>
      <c r="I278" s="12" t="str">
        <f>IFERROR(VLOOKUP(H278, DADOS_RM_EVENTOS_original!C:D, 2, FALSE), "Código não encontrado/Não digitado")</f>
        <v>Código não encontrado/Não digitado</v>
      </c>
      <c r="J278" s="12" t="s">
        <v>68</v>
      </c>
      <c r="K278" s="12" t="str">
        <f>IFERROR(VLOOKUP(J278, DADOS_RM_EVENTOS_original!E:J, 2, FALSE), "Código não encontrado/Não digitado")</f>
        <v>Código não encontrado/Não digitado</v>
      </c>
      <c r="L278" s="12" t="s">
        <v>68</v>
      </c>
      <c r="M278" s="12" t="str">
        <f>IFERROR(VLOOKUP(L278, DADOS_RM_EVENTOS_original!K:L, 2, FALSE), "Código não encontrado/Não digitado")</f>
        <v>Código não encontrado/Não digitado</v>
      </c>
    </row>
    <row r="279" ht="15.75" customHeight="1">
      <c r="A279" s="11" t="s">
        <v>38</v>
      </c>
      <c r="B279" s="11" t="s">
        <v>361</v>
      </c>
      <c r="C279" s="11" t="s">
        <v>3170</v>
      </c>
      <c r="D279" s="11" t="s">
        <v>120</v>
      </c>
      <c r="E279" s="11" t="s">
        <v>47</v>
      </c>
      <c r="F279" s="11" t="s">
        <v>49</v>
      </c>
      <c r="G279" s="12" t="str">
        <f>IFERROR(VLOOKUP(F279, DADOS_RM_EVENTOS_original!A:B, 2, FALSE), "Código não encontrado/Não digitado")</f>
        <v>Código não encontrado/Não digitado</v>
      </c>
      <c r="H279" s="12" t="s">
        <v>68</v>
      </c>
      <c r="I279" s="12" t="str">
        <f>IFERROR(VLOOKUP(H279, DADOS_RM_EVENTOS_original!C:D, 2, FALSE), "Código não encontrado/Não digitado")</f>
        <v>Código não encontrado/Não digitado</v>
      </c>
      <c r="J279" s="12" t="s">
        <v>68</v>
      </c>
      <c r="K279" s="12" t="str">
        <f>IFERROR(VLOOKUP(J279, DADOS_RM_EVENTOS_original!E:J, 2, FALSE), "Código não encontrado/Não digitado")</f>
        <v>Código não encontrado/Não digitado</v>
      </c>
      <c r="L279" s="12" t="s">
        <v>68</v>
      </c>
      <c r="M279" s="12" t="str">
        <f>IFERROR(VLOOKUP(L279, DADOS_RM_EVENTOS_original!K:L, 2, FALSE), "Código não encontrado/Não digitado")</f>
        <v>Código não encontrado/Não digitado</v>
      </c>
    </row>
    <row r="280" ht="15.75" customHeight="1">
      <c r="A280" s="11" t="s">
        <v>38</v>
      </c>
      <c r="B280" s="11" t="s">
        <v>757</v>
      </c>
      <c r="C280" s="11" t="s">
        <v>3174</v>
      </c>
      <c r="D280" s="11" t="s">
        <v>120</v>
      </c>
      <c r="E280" s="11" t="s">
        <v>47</v>
      </c>
      <c r="F280" s="11" t="s">
        <v>49</v>
      </c>
      <c r="G280" s="12" t="str">
        <f>IFERROR(VLOOKUP(F280, DADOS_RM_EVENTOS_original!A:B, 2, FALSE), "Código não encontrado/Não digitado")</f>
        <v>Código não encontrado/Não digitado</v>
      </c>
      <c r="H280" s="12" t="s">
        <v>68</v>
      </c>
      <c r="I280" s="12" t="str">
        <f>IFERROR(VLOOKUP(H280, DADOS_RM_EVENTOS_original!C:D, 2, FALSE), "Código não encontrado/Não digitado")</f>
        <v>Código não encontrado/Não digitado</v>
      </c>
      <c r="J280" s="12" t="s">
        <v>68</v>
      </c>
      <c r="K280" s="12" t="str">
        <f>IFERROR(VLOOKUP(J280, DADOS_RM_EVENTOS_original!E:J, 2, FALSE), "Código não encontrado/Não digitado")</f>
        <v>Código não encontrado/Não digitado</v>
      </c>
      <c r="L280" s="12" t="s">
        <v>68</v>
      </c>
      <c r="M280" s="12" t="str">
        <f>IFERROR(VLOOKUP(L280, DADOS_RM_EVENTOS_original!K:L, 2, FALSE), "Código não encontrado/Não digitado")</f>
        <v>Código não encontrado/Não digitado</v>
      </c>
    </row>
    <row r="281" ht="15.75" customHeight="1">
      <c r="A281" s="11" t="s">
        <v>38</v>
      </c>
      <c r="B281" s="11" t="s">
        <v>742</v>
      </c>
      <c r="C281" s="11" t="s">
        <v>3177</v>
      </c>
      <c r="D281" s="11" t="s">
        <v>120</v>
      </c>
      <c r="E281" s="11" t="s">
        <v>47</v>
      </c>
      <c r="F281" s="11" t="s">
        <v>49</v>
      </c>
      <c r="G281" s="12" t="str">
        <f>IFERROR(VLOOKUP(F281, DADOS_RM_EVENTOS_original!A:B, 2, FALSE), "Código não encontrado/Não digitado")</f>
        <v>Código não encontrado/Não digitado</v>
      </c>
      <c r="H281" s="12" t="s">
        <v>68</v>
      </c>
      <c r="I281" s="12" t="str">
        <f>IFERROR(VLOOKUP(H281, DADOS_RM_EVENTOS_original!C:D, 2, FALSE), "Código não encontrado/Não digitado")</f>
        <v>Código não encontrado/Não digitado</v>
      </c>
      <c r="J281" s="12" t="s">
        <v>68</v>
      </c>
      <c r="K281" s="12" t="str">
        <f>IFERROR(VLOOKUP(J281, DADOS_RM_EVENTOS_original!E:J, 2, FALSE), "Código não encontrado/Não digitado")</f>
        <v>Código não encontrado/Não digitado</v>
      </c>
      <c r="L281" s="12" t="s">
        <v>68</v>
      </c>
      <c r="M281" s="12" t="str">
        <f>IFERROR(VLOOKUP(L281, DADOS_RM_EVENTOS_original!K:L, 2, FALSE), "Código não encontrado/Não digitado")</f>
        <v>Código não encontrado/Não digitado</v>
      </c>
    </row>
    <row r="282" ht="15.75" customHeight="1">
      <c r="A282" s="11" t="s">
        <v>38</v>
      </c>
      <c r="B282" s="11" t="s">
        <v>1631</v>
      </c>
      <c r="C282" s="11" t="s">
        <v>3182</v>
      </c>
      <c r="D282" s="11" t="s">
        <v>120</v>
      </c>
      <c r="E282" s="11" t="s">
        <v>47</v>
      </c>
      <c r="F282" s="11" t="s">
        <v>49</v>
      </c>
      <c r="G282" s="12" t="str">
        <f>IFERROR(VLOOKUP(F282, DADOS_RM_EVENTOS_original!A:B, 2, FALSE), "Código não encontrado/Não digitado")</f>
        <v>Código não encontrado/Não digitado</v>
      </c>
      <c r="H282" s="12" t="s">
        <v>68</v>
      </c>
      <c r="I282" s="12" t="str">
        <f>IFERROR(VLOOKUP(H282, DADOS_RM_EVENTOS_original!C:D, 2, FALSE), "Código não encontrado/Não digitado")</f>
        <v>Código não encontrado/Não digitado</v>
      </c>
      <c r="J282" s="12" t="s">
        <v>68</v>
      </c>
      <c r="K282" s="12" t="str">
        <f>IFERROR(VLOOKUP(J282, DADOS_RM_EVENTOS_original!E:J, 2, FALSE), "Código não encontrado/Não digitado")</f>
        <v>Código não encontrado/Não digitado</v>
      </c>
      <c r="L282" s="12" t="s">
        <v>68</v>
      </c>
      <c r="M282" s="12" t="str">
        <f>IFERROR(VLOOKUP(L282, DADOS_RM_EVENTOS_original!K:L, 2, FALSE), "Código não encontrado/Não digitado")</f>
        <v>Código não encontrado/Não digitado</v>
      </c>
    </row>
    <row r="283" ht="15.75" customHeight="1">
      <c r="A283" s="11" t="s">
        <v>38</v>
      </c>
      <c r="B283" s="11" t="s">
        <v>3186</v>
      </c>
      <c r="C283" s="11" t="s">
        <v>3187</v>
      </c>
      <c r="D283" s="11" t="s">
        <v>120</v>
      </c>
      <c r="E283" s="11" t="s">
        <v>47</v>
      </c>
      <c r="F283" s="11" t="s">
        <v>49</v>
      </c>
      <c r="G283" s="12" t="str">
        <f>IFERROR(VLOOKUP(F283, DADOS_RM_EVENTOS_original!A:B, 2, FALSE), "Código não encontrado/Não digitado")</f>
        <v>Código não encontrado/Não digitado</v>
      </c>
      <c r="H283" s="12" t="s">
        <v>68</v>
      </c>
      <c r="I283" s="12" t="str">
        <f>IFERROR(VLOOKUP(H283, DADOS_RM_EVENTOS_original!C:D, 2, FALSE), "Código não encontrado/Não digitado")</f>
        <v>Código não encontrado/Não digitado</v>
      </c>
      <c r="J283" s="12" t="s">
        <v>68</v>
      </c>
      <c r="K283" s="12" t="str">
        <f>IFERROR(VLOOKUP(J283, DADOS_RM_EVENTOS_original!E:J, 2, FALSE), "Código não encontrado/Não digitado")</f>
        <v>Código não encontrado/Não digitado</v>
      </c>
      <c r="L283" s="12" t="s">
        <v>68</v>
      </c>
      <c r="M283" s="12" t="str">
        <f>IFERROR(VLOOKUP(L283, DADOS_RM_EVENTOS_original!K:L, 2, FALSE), "Código não encontrado/Não digitado")</f>
        <v>Código não encontrado/Não digitado</v>
      </c>
    </row>
    <row r="284" ht="15.75" customHeight="1">
      <c r="A284" s="11" t="s">
        <v>38</v>
      </c>
      <c r="B284" s="11" t="s">
        <v>3191</v>
      </c>
      <c r="C284" s="11" t="s">
        <v>3192</v>
      </c>
      <c r="D284" s="11" t="s">
        <v>120</v>
      </c>
      <c r="E284" s="11" t="s">
        <v>47</v>
      </c>
      <c r="F284" s="11" t="s">
        <v>49</v>
      </c>
      <c r="G284" s="12" t="str">
        <f>IFERROR(VLOOKUP(F284, DADOS_RM_EVENTOS_original!A:B, 2, FALSE), "Código não encontrado/Não digitado")</f>
        <v>Código não encontrado/Não digitado</v>
      </c>
      <c r="H284" s="12" t="s">
        <v>68</v>
      </c>
      <c r="I284" s="12" t="str">
        <f>IFERROR(VLOOKUP(H284, DADOS_RM_EVENTOS_original!C:D, 2, FALSE), "Código não encontrado/Não digitado")</f>
        <v>Código não encontrado/Não digitado</v>
      </c>
      <c r="J284" s="12" t="s">
        <v>68</v>
      </c>
      <c r="K284" s="12" t="str">
        <f>IFERROR(VLOOKUP(J284, DADOS_RM_EVENTOS_original!E:J, 2, FALSE), "Código não encontrado/Não digitado")</f>
        <v>Código não encontrado/Não digitado</v>
      </c>
      <c r="L284" s="12" t="s">
        <v>68</v>
      </c>
      <c r="M284" s="12" t="str">
        <f>IFERROR(VLOOKUP(L284, DADOS_RM_EVENTOS_original!K:L, 2, FALSE), "Código não encontrado/Não digitado")</f>
        <v>Código não encontrado/Não digitado</v>
      </c>
    </row>
    <row r="285" ht="15.75" customHeight="1">
      <c r="A285" s="11" t="s">
        <v>38</v>
      </c>
      <c r="B285" s="11" t="s">
        <v>289</v>
      </c>
      <c r="C285" s="11" t="s">
        <v>3203</v>
      </c>
      <c r="D285" s="11" t="s">
        <v>120</v>
      </c>
      <c r="E285" s="11" t="s">
        <v>47</v>
      </c>
      <c r="F285" s="11" t="s">
        <v>49</v>
      </c>
      <c r="G285" s="12" t="str">
        <f>IFERROR(VLOOKUP(F285, DADOS_RM_EVENTOS_original!A:B, 2, FALSE), "Código não encontrado/Não digitado")</f>
        <v>Código não encontrado/Não digitado</v>
      </c>
      <c r="H285" s="12" t="s">
        <v>68</v>
      </c>
      <c r="I285" s="12" t="str">
        <f>IFERROR(VLOOKUP(H285, DADOS_RM_EVENTOS_original!C:D, 2, FALSE), "Código não encontrado/Não digitado")</f>
        <v>Código não encontrado/Não digitado</v>
      </c>
      <c r="J285" s="12" t="s">
        <v>68</v>
      </c>
      <c r="K285" s="12" t="str">
        <f>IFERROR(VLOOKUP(J285, DADOS_RM_EVENTOS_original!E:J, 2, FALSE), "Código não encontrado/Não digitado")</f>
        <v>Código não encontrado/Não digitado</v>
      </c>
      <c r="L285" s="12" t="s">
        <v>68</v>
      </c>
      <c r="M285" s="12" t="str">
        <f>IFERROR(VLOOKUP(L285, DADOS_RM_EVENTOS_original!K:L, 2, FALSE), "Código não encontrado/Não digitado")</f>
        <v>Código não encontrado/Não digitado</v>
      </c>
    </row>
    <row r="286" ht="15.75" customHeight="1">
      <c r="A286" s="11" t="s">
        <v>38</v>
      </c>
      <c r="B286" s="11" t="s">
        <v>457</v>
      </c>
      <c r="C286" s="11" t="s">
        <v>3210</v>
      </c>
      <c r="D286" s="11" t="s">
        <v>120</v>
      </c>
      <c r="E286" s="11" t="s">
        <v>47</v>
      </c>
      <c r="F286" s="11" t="s">
        <v>49</v>
      </c>
      <c r="G286" s="12" t="str">
        <f>IFERROR(VLOOKUP(F286, DADOS_RM_EVENTOS_original!A:B, 2, FALSE), "Código não encontrado/Não digitado")</f>
        <v>Código não encontrado/Não digitado</v>
      </c>
      <c r="H286" s="12" t="s">
        <v>68</v>
      </c>
      <c r="I286" s="12" t="str">
        <f>IFERROR(VLOOKUP(H286, DADOS_RM_EVENTOS_original!C:D, 2, FALSE), "Código não encontrado/Não digitado")</f>
        <v>Código não encontrado/Não digitado</v>
      </c>
      <c r="J286" s="12" t="s">
        <v>68</v>
      </c>
      <c r="K286" s="12" t="str">
        <f>IFERROR(VLOOKUP(J286, DADOS_RM_EVENTOS_original!E:J, 2, FALSE), "Código não encontrado/Não digitado")</f>
        <v>Código não encontrado/Não digitado</v>
      </c>
      <c r="L286" s="12" t="s">
        <v>68</v>
      </c>
      <c r="M286" s="12" t="str">
        <f>IFERROR(VLOOKUP(L286, DADOS_RM_EVENTOS_original!K:L, 2, FALSE), "Código não encontrado/Não digitado")</f>
        <v>Código não encontrado/Não digitado</v>
      </c>
    </row>
    <row r="287" ht="15.75" customHeight="1">
      <c r="A287" s="11" t="s">
        <v>172</v>
      </c>
      <c r="B287" s="11" t="s">
        <v>3217</v>
      </c>
      <c r="C287" s="11" t="s">
        <v>3218</v>
      </c>
      <c r="D287" s="11" t="s">
        <v>120</v>
      </c>
      <c r="E287" s="11" t="s">
        <v>1029</v>
      </c>
      <c r="F287" s="11" t="s">
        <v>49</v>
      </c>
      <c r="G287" s="12" t="str">
        <f>IFERROR(VLOOKUP(F287, DADOS_RM_EVENTOS_original!A:B, 2, FALSE), "Código não encontrado/Não digitado")</f>
        <v>Código não encontrado/Não digitado</v>
      </c>
      <c r="H287" s="12" t="s">
        <v>68</v>
      </c>
      <c r="I287" s="12" t="str">
        <f>IFERROR(VLOOKUP(H287, DADOS_RM_EVENTOS_original!C:D, 2, FALSE), "Código não encontrado/Não digitado")</f>
        <v>Código não encontrado/Não digitado</v>
      </c>
      <c r="J287" s="12" t="s">
        <v>68</v>
      </c>
      <c r="K287" s="12" t="str">
        <f>IFERROR(VLOOKUP(J287, DADOS_RM_EVENTOS_original!E:J, 2, FALSE), "Código não encontrado/Não digitado")</f>
        <v>Código não encontrado/Não digitado</v>
      </c>
      <c r="L287" s="12" t="s">
        <v>68</v>
      </c>
      <c r="M287" s="12" t="str">
        <f>IFERROR(VLOOKUP(L287, DADOS_RM_EVENTOS_original!K:L, 2, FALSE), "Código não encontrado/Não digitado")</f>
        <v>Código não encontrado/Não digitado</v>
      </c>
    </row>
    <row r="288" ht="15.75" customHeight="1">
      <c r="A288" s="11" t="s">
        <v>38</v>
      </c>
      <c r="B288" s="11" t="s">
        <v>1530</v>
      </c>
      <c r="C288" s="11" t="s">
        <v>3226</v>
      </c>
      <c r="D288" s="11" t="s">
        <v>120</v>
      </c>
      <c r="E288" s="11" t="s">
        <v>47</v>
      </c>
      <c r="F288" s="11" t="s">
        <v>49</v>
      </c>
      <c r="G288" s="12" t="str">
        <f>IFERROR(VLOOKUP(F288, DADOS_RM_EVENTOS_original!A:B, 2, FALSE), "Código não encontrado/Não digitado")</f>
        <v>Código não encontrado/Não digitado</v>
      </c>
      <c r="H288" s="12" t="s">
        <v>68</v>
      </c>
      <c r="I288" s="12" t="str">
        <f>IFERROR(VLOOKUP(H288, DADOS_RM_EVENTOS_original!C:D, 2, FALSE), "Código não encontrado/Não digitado")</f>
        <v>Código não encontrado/Não digitado</v>
      </c>
      <c r="J288" s="12" t="s">
        <v>68</v>
      </c>
      <c r="K288" s="12" t="str">
        <f>IFERROR(VLOOKUP(J288, DADOS_RM_EVENTOS_original!E:J, 2, FALSE), "Código não encontrado/Não digitado")</f>
        <v>Código não encontrado/Não digitado</v>
      </c>
      <c r="L288" s="12" t="s">
        <v>68</v>
      </c>
      <c r="M288" s="12" t="str">
        <f>IFERROR(VLOOKUP(L288, DADOS_RM_EVENTOS_original!K:L, 2, FALSE), "Código não encontrado/Não digitado")</f>
        <v>Código não encontrado/Não digitado</v>
      </c>
    </row>
    <row r="289" ht="15.75" customHeight="1">
      <c r="A289" s="11" t="s">
        <v>38</v>
      </c>
      <c r="B289" s="11" t="s">
        <v>596</v>
      </c>
      <c r="C289" s="11" t="s">
        <v>3233</v>
      </c>
      <c r="D289" s="11" t="s">
        <v>120</v>
      </c>
      <c r="E289" s="11" t="s">
        <v>47</v>
      </c>
      <c r="F289" s="11" t="s">
        <v>49</v>
      </c>
      <c r="G289" s="12" t="str">
        <f>IFERROR(VLOOKUP(F289, DADOS_RM_EVENTOS_original!A:B, 2, FALSE), "Código não encontrado/Não digitado")</f>
        <v>Código não encontrado/Não digitado</v>
      </c>
      <c r="H289" s="12" t="s">
        <v>68</v>
      </c>
      <c r="I289" s="12" t="str">
        <f>IFERROR(VLOOKUP(H289, DADOS_RM_EVENTOS_original!C:D, 2, FALSE), "Código não encontrado/Não digitado")</f>
        <v>Código não encontrado/Não digitado</v>
      </c>
      <c r="J289" s="12" t="s">
        <v>68</v>
      </c>
      <c r="K289" s="12" t="str">
        <f>IFERROR(VLOOKUP(J289, DADOS_RM_EVENTOS_original!E:J, 2, FALSE), "Código não encontrado/Não digitado")</f>
        <v>Código não encontrado/Não digitado</v>
      </c>
      <c r="L289" s="12" t="s">
        <v>68</v>
      </c>
      <c r="M289" s="12" t="str">
        <f>IFERROR(VLOOKUP(L289, DADOS_RM_EVENTOS_original!K:L, 2, FALSE), "Código não encontrado/Não digitado")</f>
        <v>Código não encontrado/Não digitado</v>
      </c>
    </row>
    <row r="290" ht="15.75" customHeight="1">
      <c r="A290" s="11" t="s">
        <v>38</v>
      </c>
      <c r="B290" s="11" t="s">
        <v>572</v>
      </c>
      <c r="C290" s="11" t="s">
        <v>3244</v>
      </c>
      <c r="D290" s="11" t="s">
        <v>120</v>
      </c>
      <c r="E290" s="11" t="s">
        <v>47</v>
      </c>
      <c r="F290" s="11" t="s">
        <v>49</v>
      </c>
      <c r="G290" s="12" t="str">
        <f>IFERROR(VLOOKUP(F290, DADOS_RM_EVENTOS_original!A:B, 2, FALSE), "Código não encontrado/Não digitado")</f>
        <v>Código não encontrado/Não digitado</v>
      </c>
      <c r="H290" s="12" t="s">
        <v>68</v>
      </c>
      <c r="I290" s="12" t="str">
        <f>IFERROR(VLOOKUP(H290, DADOS_RM_EVENTOS_original!C:D, 2, FALSE), "Código não encontrado/Não digitado")</f>
        <v>Código não encontrado/Não digitado</v>
      </c>
      <c r="J290" s="12" t="s">
        <v>68</v>
      </c>
      <c r="K290" s="12" t="str">
        <f>IFERROR(VLOOKUP(J290, DADOS_RM_EVENTOS_original!E:J, 2, FALSE), "Código não encontrado/Não digitado")</f>
        <v>Código não encontrado/Não digitado</v>
      </c>
      <c r="L290" s="12" t="s">
        <v>68</v>
      </c>
      <c r="M290" s="12" t="str">
        <f>IFERROR(VLOOKUP(L290, DADOS_RM_EVENTOS_original!K:L, 2, FALSE), "Código não encontrado/Não digitado")</f>
        <v>Código não encontrado/Não digitado</v>
      </c>
    </row>
    <row r="291" ht="15.75" customHeight="1">
      <c r="A291" s="11" t="s">
        <v>38</v>
      </c>
      <c r="B291" s="11" t="s">
        <v>296</v>
      </c>
      <c r="C291" s="11" t="s">
        <v>3254</v>
      </c>
      <c r="D291" s="11" t="s">
        <v>120</v>
      </c>
      <c r="E291" s="11" t="s">
        <v>47</v>
      </c>
      <c r="F291" s="11" t="s">
        <v>49</v>
      </c>
      <c r="G291" s="12" t="str">
        <f>IFERROR(VLOOKUP(F291, DADOS_RM_EVENTOS_original!A:B, 2, FALSE), "Código não encontrado/Não digitado")</f>
        <v>Código não encontrado/Não digitado</v>
      </c>
      <c r="H291" s="12" t="s">
        <v>68</v>
      </c>
      <c r="I291" s="12" t="str">
        <f>IFERROR(VLOOKUP(H291, DADOS_RM_EVENTOS_original!C:D, 2, FALSE), "Código não encontrado/Não digitado")</f>
        <v>Código não encontrado/Não digitado</v>
      </c>
      <c r="J291" s="12" t="s">
        <v>68</v>
      </c>
      <c r="K291" s="12" t="str">
        <f>IFERROR(VLOOKUP(J291, DADOS_RM_EVENTOS_original!E:J, 2, FALSE), "Código não encontrado/Não digitado")</f>
        <v>Código não encontrado/Não digitado</v>
      </c>
      <c r="L291" s="12" t="s">
        <v>68</v>
      </c>
      <c r="M291" s="12" t="str">
        <f>IFERROR(VLOOKUP(L291, DADOS_RM_EVENTOS_original!K:L, 2, FALSE), "Código não encontrado/Não digitado")</f>
        <v>Código não encontrado/Não digitado</v>
      </c>
    </row>
    <row r="292" ht="15.75" customHeight="1">
      <c r="A292" s="11" t="s">
        <v>38</v>
      </c>
      <c r="B292" s="11" t="s">
        <v>454</v>
      </c>
      <c r="C292" s="11" t="s">
        <v>3256</v>
      </c>
      <c r="D292" s="11" t="s">
        <v>120</v>
      </c>
      <c r="E292" s="11" t="s">
        <v>47</v>
      </c>
      <c r="F292" s="11" t="s">
        <v>49</v>
      </c>
      <c r="G292" s="12" t="str">
        <f>IFERROR(VLOOKUP(F292, DADOS_RM_EVENTOS_original!A:B, 2, FALSE), "Código não encontrado/Não digitado")</f>
        <v>Código não encontrado/Não digitado</v>
      </c>
      <c r="H292" s="12" t="s">
        <v>68</v>
      </c>
      <c r="I292" s="12" t="str">
        <f>IFERROR(VLOOKUP(H292, DADOS_RM_EVENTOS_original!C:D, 2, FALSE), "Código não encontrado/Não digitado")</f>
        <v>Código não encontrado/Não digitado</v>
      </c>
      <c r="J292" s="12" t="s">
        <v>68</v>
      </c>
      <c r="K292" s="12" t="str">
        <f>IFERROR(VLOOKUP(J292, DADOS_RM_EVENTOS_original!E:J, 2, FALSE), "Código não encontrado/Não digitado")</f>
        <v>Código não encontrado/Não digitado</v>
      </c>
      <c r="L292" s="12" t="s">
        <v>68</v>
      </c>
      <c r="M292" s="12" t="str">
        <f>IFERROR(VLOOKUP(L292, DADOS_RM_EVENTOS_original!K:L, 2, FALSE), "Código não encontrado/Não digitado")</f>
        <v>Código não encontrado/Não digitado</v>
      </c>
    </row>
    <row r="293" ht="15.75" customHeight="1">
      <c r="A293" s="11" t="s">
        <v>38</v>
      </c>
      <c r="B293" s="11" t="s">
        <v>2259</v>
      </c>
      <c r="C293" s="11" t="s">
        <v>3258</v>
      </c>
      <c r="D293" s="11" t="s">
        <v>120</v>
      </c>
      <c r="E293" s="11" t="s">
        <v>47</v>
      </c>
      <c r="F293" s="11" t="s">
        <v>49</v>
      </c>
      <c r="G293" s="12" t="str">
        <f>IFERROR(VLOOKUP(F293, DADOS_RM_EVENTOS_original!A:B, 2, FALSE), "Código não encontrado/Não digitado")</f>
        <v>Código não encontrado/Não digitado</v>
      </c>
      <c r="H293" s="12" t="s">
        <v>68</v>
      </c>
      <c r="I293" s="12" t="str">
        <f>IFERROR(VLOOKUP(H293, DADOS_RM_EVENTOS_original!C:D, 2, FALSE), "Código não encontrado/Não digitado")</f>
        <v>Código não encontrado/Não digitado</v>
      </c>
      <c r="J293" s="12" t="s">
        <v>68</v>
      </c>
      <c r="K293" s="12" t="str">
        <f>IFERROR(VLOOKUP(J293, DADOS_RM_EVENTOS_original!E:J, 2, FALSE), "Código não encontrado/Não digitado")</f>
        <v>Código não encontrado/Não digitado</v>
      </c>
      <c r="L293" s="12" t="s">
        <v>68</v>
      </c>
      <c r="M293" s="12" t="str">
        <f>IFERROR(VLOOKUP(L293, DADOS_RM_EVENTOS_original!K:L, 2, FALSE), "Código não encontrado/Não digitado")</f>
        <v>Código não encontrado/Não digitado</v>
      </c>
    </row>
    <row r="294" ht="15.75" customHeight="1">
      <c r="A294" s="11" t="s">
        <v>38</v>
      </c>
      <c r="B294" s="11" t="s">
        <v>638</v>
      </c>
      <c r="C294" s="11" t="s">
        <v>3293</v>
      </c>
      <c r="D294" s="11" t="s">
        <v>120</v>
      </c>
      <c r="E294" s="11" t="s">
        <v>47</v>
      </c>
      <c r="F294" s="11" t="s">
        <v>49</v>
      </c>
      <c r="G294" s="12" t="str">
        <f>IFERROR(VLOOKUP(F294, DADOS_RM_EVENTOS_original!A:B, 2, FALSE), "Código não encontrado/Não digitado")</f>
        <v>Código não encontrado/Não digitado</v>
      </c>
      <c r="H294" s="12" t="s">
        <v>68</v>
      </c>
      <c r="I294" s="12" t="str">
        <f>IFERROR(VLOOKUP(H294, DADOS_RM_EVENTOS_original!C:D, 2, FALSE), "Código não encontrado/Não digitado")</f>
        <v>Código não encontrado/Não digitado</v>
      </c>
      <c r="J294" s="12" t="s">
        <v>68</v>
      </c>
      <c r="K294" s="12" t="str">
        <f>IFERROR(VLOOKUP(J294, DADOS_RM_EVENTOS_original!E:J, 2, FALSE), "Código não encontrado/Não digitado")</f>
        <v>Código não encontrado/Não digitado</v>
      </c>
      <c r="L294" s="12" t="s">
        <v>68</v>
      </c>
      <c r="M294" s="12" t="str">
        <f>IFERROR(VLOOKUP(L294, DADOS_RM_EVENTOS_original!K:L, 2, FALSE), "Código não encontrado/Não digitado")</f>
        <v>Código não encontrado/Não digitado</v>
      </c>
    </row>
    <row r="295" ht="15.75" customHeight="1">
      <c r="A295" s="11" t="s">
        <v>38</v>
      </c>
      <c r="B295" s="11" t="s">
        <v>577</v>
      </c>
      <c r="C295" s="11" t="s">
        <v>3307</v>
      </c>
      <c r="D295" s="11" t="s">
        <v>120</v>
      </c>
      <c r="E295" s="11" t="s">
        <v>47</v>
      </c>
      <c r="F295" s="11" t="s">
        <v>49</v>
      </c>
      <c r="G295" s="12" t="str">
        <f>IFERROR(VLOOKUP(F295, DADOS_RM_EVENTOS_original!A:B, 2, FALSE), "Código não encontrado/Não digitado")</f>
        <v>Código não encontrado/Não digitado</v>
      </c>
      <c r="H295" s="12" t="s">
        <v>68</v>
      </c>
      <c r="I295" s="12" t="str">
        <f>IFERROR(VLOOKUP(H295, DADOS_RM_EVENTOS_original!C:D, 2, FALSE), "Código não encontrado/Não digitado")</f>
        <v>Código não encontrado/Não digitado</v>
      </c>
      <c r="J295" s="12" t="s">
        <v>68</v>
      </c>
      <c r="K295" s="12" t="str">
        <f>IFERROR(VLOOKUP(J295, DADOS_RM_EVENTOS_original!E:J, 2, FALSE), "Código não encontrado/Não digitado")</f>
        <v>Código não encontrado/Não digitado</v>
      </c>
      <c r="L295" s="12" t="s">
        <v>68</v>
      </c>
      <c r="M295" s="12" t="str">
        <f>IFERROR(VLOOKUP(L295, DADOS_RM_EVENTOS_original!K:L, 2, FALSE), "Código não encontrado/Não digitado")</f>
        <v>Código não encontrado/Não digitado</v>
      </c>
    </row>
    <row r="296" ht="15.75" customHeight="1">
      <c r="A296" s="11" t="s">
        <v>38</v>
      </c>
      <c r="B296" s="11" t="s">
        <v>606</v>
      </c>
      <c r="C296" s="11" t="s">
        <v>3317</v>
      </c>
      <c r="D296" s="11" t="s">
        <v>120</v>
      </c>
      <c r="E296" s="11" t="s">
        <v>47</v>
      </c>
      <c r="F296" s="11" t="s">
        <v>49</v>
      </c>
      <c r="G296" s="12" t="str">
        <f>IFERROR(VLOOKUP(F296, DADOS_RM_EVENTOS_original!A:B, 2, FALSE), "Código não encontrado/Não digitado")</f>
        <v>Código não encontrado/Não digitado</v>
      </c>
      <c r="H296" s="12" t="s">
        <v>68</v>
      </c>
      <c r="I296" s="12" t="str">
        <f>IFERROR(VLOOKUP(H296, DADOS_RM_EVENTOS_original!C:D, 2, FALSE), "Código não encontrado/Não digitado")</f>
        <v>Código não encontrado/Não digitado</v>
      </c>
      <c r="J296" s="12" t="s">
        <v>68</v>
      </c>
      <c r="K296" s="12" t="str">
        <f>IFERROR(VLOOKUP(J296, DADOS_RM_EVENTOS_original!E:J, 2, FALSE), "Código não encontrado/Não digitado")</f>
        <v>Código não encontrado/Não digitado</v>
      </c>
      <c r="L296" s="12" t="s">
        <v>68</v>
      </c>
      <c r="M296" s="12" t="str">
        <f>IFERROR(VLOOKUP(L296, DADOS_RM_EVENTOS_original!K:L, 2, FALSE), "Código não encontrado/Não digitado")</f>
        <v>Código não encontrado/Não digitado</v>
      </c>
    </row>
    <row r="297" ht="15.75" customHeight="1">
      <c r="A297" s="11" t="s">
        <v>38</v>
      </c>
      <c r="B297" s="11" t="s">
        <v>641</v>
      </c>
      <c r="C297" s="11" t="s">
        <v>3320</v>
      </c>
      <c r="D297" s="11" t="s">
        <v>120</v>
      </c>
      <c r="E297" s="11" t="s">
        <v>47</v>
      </c>
      <c r="F297" s="11" t="s">
        <v>49</v>
      </c>
      <c r="G297" s="12" t="str">
        <f>IFERROR(VLOOKUP(F297, DADOS_RM_EVENTOS_original!A:B, 2, FALSE), "Código não encontrado/Não digitado")</f>
        <v>Código não encontrado/Não digitado</v>
      </c>
      <c r="H297" s="12" t="s">
        <v>68</v>
      </c>
      <c r="I297" s="12" t="str">
        <f>IFERROR(VLOOKUP(H297, DADOS_RM_EVENTOS_original!C:D, 2, FALSE), "Código não encontrado/Não digitado")</f>
        <v>Código não encontrado/Não digitado</v>
      </c>
      <c r="J297" s="12" t="s">
        <v>68</v>
      </c>
      <c r="K297" s="12" t="str">
        <f>IFERROR(VLOOKUP(J297, DADOS_RM_EVENTOS_original!E:J, 2, FALSE), "Código não encontrado/Não digitado")</f>
        <v>Código não encontrado/Não digitado</v>
      </c>
      <c r="L297" s="12" t="s">
        <v>68</v>
      </c>
      <c r="M297" s="12" t="str">
        <f>IFERROR(VLOOKUP(L297, DADOS_RM_EVENTOS_original!K:L, 2, FALSE), "Código não encontrado/Não digitado")</f>
        <v>Código não encontrado/Não digitado</v>
      </c>
    </row>
    <row r="298" ht="15.75" customHeight="1">
      <c r="A298" s="11" t="s">
        <v>38</v>
      </c>
      <c r="B298" s="11" t="s">
        <v>767</v>
      </c>
      <c r="C298" s="11" t="s">
        <v>3322</v>
      </c>
      <c r="D298" s="11" t="s">
        <v>120</v>
      </c>
      <c r="E298" s="11" t="s">
        <v>47</v>
      </c>
      <c r="F298" s="11" t="s">
        <v>49</v>
      </c>
      <c r="G298" s="12" t="str">
        <f>IFERROR(VLOOKUP(F298, DADOS_RM_EVENTOS_original!A:B, 2, FALSE), "Código não encontrado/Não digitado")</f>
        <v>Código não encontrado/Não digitado</v>
      </c>
      <c r="H298" s="12" t="s">
        <v>68</v>
      </c>
      <c r="I298" s="12" t="str">
        <f>IFERROR(VLOOKUP(H298, DADOS_RM_EVENTOS_original!C:D, 2, FALSE), "Código não encontrado/Não digitado")</f>
        <v>Código não encontrado/Não digitado</v>
      </c>
      <c r="J298" s="12" t="s">
        <v>68</v>
      </c>
      <c r="K298" s="12" t="str">
        <f>IFERROR(VLOOKUP(J298, DADOS_RM_EVENTOS_original!E:J, 2, FALSE), "Código não encontrado/Não digitado")</f>
        <v>Código não encontrado/Não digitado</v>
      </c>
      <c r="L298" s="12" t="s">
        <v>68</v>
      </c>
      <c r="M298" s="12" t="str">
        <f>IFERROR(VLOOKUP(L298, DADOS_RM_EVENTOS_original!K:L, 2, FALSE), "Código não encontrado/Não digitado")</f>
        <v>Código não encontrado/Não digitado</v>
      </c>
    </row>
    <row r="299" ht="15.75" customHeight="1">
      <c r="A299" s="11" t="s">
        <v>38</v>
      </c>
      <c r="B299" s="11" t="s">
        <v>3324</v>
      </c>
      <c r="C299" s="11" t="s">
        <v>3267</v>
      </c>
      <c r="D299" s="11" t="s">
        <v>120</v>
      </c>
      <c r="E299" s="11" t="s">
        <v>47</v>
      </c>
      <c r="F299" s="11" t="s">
        <v>49</v>
      </c>
      <c r="G299" s="12" t="str">
        <f>IFERROR(VLOOKUP(F299, DADOS_RM_EVENTOS_original!A:B, 2, FALSE), "Código não encontrado/Não digitado")</f>
        <v>Código não encontrado/Não digitado</v>
      </c>
      <c r="H299" s="12" t="s">
        <v>68</v>
      </c>
      <c r="I299" s="12" t="str">
        <f>IFERROR(VLOOKUP(H299, DADOS_RM_EVENTOS_original!C:D, 2, FALSE), "Código não encontrado/Não digitado")</f>
        <v>Código não encontrado/Não digitado</v>
      </c>
      <c r="J299" s="12" t="s">
        <v>68</v>
      </c>
      <c r="K299" s="12" t="str">
        <f>IFERROR(VLOOKUP(J299, DADOS_RM_EVENTOS_original!E:J, 2, FALSE), "Código não encontrado/Não digitado")</f>
        <v>Código não encontrado/Não digitado</v>
      </c>
      <c r="L299" s="12" t="s">
        <v>68</v>
      </c>
      <c r="M299" s="12" t="str">
        <f>IFERROR(VLOOKUP(L299, DADOS_RM_EVENTOS_original!K:L, 2, FALSE), "Código não encontrado/Não digitado")</f>
        <v>Código não encontrado/Não digitado</v>
      </c>
    </row>
    <row r="300" ht="15.75" customHeight="1">
      <c r="A300" s="11" t="s">
        <v>38</v>
      </c>
      <c r="B300" s="11" t="s">
        <v>869</v>
      </c>
      <c r="C300" s="11" t="s">
        <v>3269</v>
      </c>
      <c r="D300" s="11" t="s">
        <v>120</v>
      </c>
      <c r="E300" s="11" t="s">
        <v>47</v>
      </c>
      <c r="F300" s="11" t="s">
        <v>49</v>
      </c>
      <c r="G300" s="12" t="str">
        <f>IFERROR(VLOOKUP(F300, DADOS_RM_EVENTOS_original!A:B, 2, FALSE), "Código não encontrado/Não digitado")</f>
        <v>Código não encontrado/Não digitado</v>
      </c>
      <c r="H300" s="12" t="s">
        <v>68</v>
      </c>
      <c r="I300" s="12" t="str">
        <f>IFERROR(VLOOKUP(H300, DADOS_RM_EVENTOS_original!C:D, 2, FALSE), "Código não encontrado/Não digitado")</f>
        <v>Código não encontrado/Não digitado</v>
      </c>
      <c r="J300" s="12" t="s">
        <v>68</v>
      </c>
      <c r="K300" s="12" t="str">
        <f>IFERROR(VLOOKUP(J300, DADOS_RM_EVENTOS_original!E:J, 2, FALSE), "Código não encontrado/Não digitado")</f>
        <v>Código não encontrado/Não digitado</v>
      </c>
      <c r="L300" s="12" t="s">
        <v>68</v>
      </c>
      <c r="M300" s="12" t="str">
        <f>IFERROR(VLOOKUP(L300, DADOS_RM_EVENTOS_original!K:L, 2, FALSE), "Código não encontrado/Não digitado")</f>
        <v>Código não encontrado/Não digitado</v>
      </c>
    </row>
    <row r="301" ht="15.75" customHeight="1">
      <c r="A301" s="11" t="s">
        <v>38</v>
      </c>
      <c r="B301" s="11" t="s">
        <v>590</v>
      </c>
      <c r="C301" s="11" t="s">
        <v>3270</v>
      </c>
      <c r="D301" s="11" t="s">
        <v>120</v>
      </c>
      <c r="E301" s="11" t="s">
        <v>47</v>
      </c>
      <c r="F301" s="11" t="s">
        <v>49</v>
      </c>
      <c r="G301" s="12" t="str">
        <f>IFERROR(VLOOKUP(F301, DADOS_RM_EVENTOS_original!A:B, 2, FALSE), "Código não encontrado/Não digitado")</f>
        <v>Código não encontrado/Não digitado</v>
      </c>
      <c r="H301" s="12" t="s">
        <v>68</v>
      </c>
      <c r="I301" s="12" t="str">
        <f>IFERROR(VLOOKUP(H301, DADOS_RM_EVENTOS_original!C:D, 2, FALSE), "Código não encontrado/Não digitado")</f>
        <v>Código não encontrado/Não digitado</v>
      </c>
      <c r="J301" s="12" t="s">
        <v>68</v>
      </c>
      <c r="K301" s="12" t="str">
        <f>IFERROR(VLOOKUP(J301, DADOS_RM_EVENTOS_original!E:J, 2, FALSE), "Código não encontrado/Não digitado")</f>
        <v>Código não encontrado/Não digitado</v>
      </c>
      <c r="L301" s="12" t="s">
        <v>68</v>
      </c>
      <c r="M301" s="12" t="str">
        <f>IFERROR(VLOOKUP(L301, DADOS_RM_EVENTOS_original!K:L, 2, FALSE), "Código não encontrado/Não digitado")</f>
        <v>Código não encontrado/Não digitado</v>
      </c>
    </row>
    <row r="302" ht="15.75" customHeight="1">
      <c r="A302" s="11" t="s">
        <v>38</v>
      </c>
      <c r="B302" s="11" t="s">
        <v>737</v>
      </c>
      <c r="C302" s="11" t="s">
        <v>3272</v>
      </c>
      <c r="D302" s="11" t="s">
        <v>120</v>
      </c>
      <c r="E302" s="11" t="s">
        <v>47</v>
      </c>
      <c r="F302" s="11" t="s">
        <v>49</v>
      </c>
      <c r="G302" s="12" t="str">
        <f>IFERROR(VLOOKUP(F302, DADOS_RM_EVENTOS_original!A:B, 2, FALSE), "Código não encontrado/Não digitado")</f>
        <v>Código não encontrado/Não digitado</v>
      </c>
      <c r="H302" s="12" t="s">
        <v>68</v>
      </c>
      <c r="I302" s="12" t="str">
        <f>IFERROR(VLOOKUP(H302, DADOS_RM_EVENTOS_original!C:D, 2, FALSE), "Código não encontrado/Não digitado")</f>
        <v>Código não encontrado/Não digitado</v>
      </c>
      <c r="J302" s="12" t="s">
        <v>68</v>
      </c>
      <c r="K302" s="12" t="str">
        <f>IFERROR(VLOOKUP(J302, DADOS_RM_EVENTOS_original!E:J, 2, FALSE), "Código não encontrado/Não digitado")</f>
        <v>Código não encontrado/Não digitado</v>
      </c>
      <c r="L302" s="12" t="s">
        <v>68</v>
      </c>
      <c r="M302" s="12" t="str">
        <f>IFERROR(VLOOKUP(L302, DADOS_RM_EVENTOS_original!K:L, 2, FALSE), "Código não encontrado/Não digitado")</f>
        <v>Código não encontrado/Não digitado</v>
      </c>
    </row>
    <row r="303" ht="15.75" customHeight="1">
      <c r="A303" s="11" t="s">
        <v>115</v>
      </c>
      <c r="B303" s="11" t="s">
        <v>430</v>
      </c>
      <c r="C303" s="11" t="s">
        <v>3272</v>
      </c>
      <c r="D303" s="11" t="s">
        <v>120</v>
      </c>
      <c r="E303" s="11" t="s">
        <v>121</v>
      </c>
      <c r="F303" s="11" t="s">
        <v>49</v>
      </c>
      <c r="G303" s="12" t="str">
        <f>IFERROR(VLOOKUP(F303, DADOS_RM_EVENTOS_original!A:B, 2, FALSE), "Código não encontrado/Não digitado")</f>
        <v>Código não encontrado/Não digitado</v>
      </c>
      <c r="H303" s="12" t="s">
        <v>68</v>
      </c>
      <c r="I303" s="12" t="str">
        <f>IFERROR(VLOOKUP(H303, DADOS_RM_EVENTOS_original!C:D, 2, FALSE), "Código não encontrado/Não digitado")</f>
        <v>Código não encontrado/Não digitado</v>
      </c>
      <c r="J303" s="12" t="s">
        <v>68</v>
      </c>
      <c r="K303" s="12" t="str">
        <f>IFERROR(VLOOKUP(J303, DADOS_RM_EVENTOS_original!E:J, 2, FALSE), "Código não encontrado/Não digitado")</f>
        <v>Código não encontrado/Não digitado</v>
      </c>
      <c r="L303" s="12" t="s">
        <v>68</v>
      </c>
      <c r="M303" s="12" t="str">
        <f>IFERROR(VLOOKUP(L303, DADOS_RM_EVENTOS_original!K:L, 2, FALSE), "Código não encontrado/Não digitado")</f>
        <v>Código não encontrado/Não digitado</v>
      </c>
    </row>
    <row r="304" ht="15.75" customHeight="1">
      <c r="A304" s="11" t="s">
        <v>172</v>
      </c>
      <c r="B304" s="11" t="s">
        <v>3386</v>
      </c>
      <c r="C304" s="11" t="s">
        <v>3272</v>
      </c>
      <c r="D304" s="11" t="s">
        <v>120</v>
      </c>
      <c r="E304" s="11" t="s">
        <v>1029</v>
      </c>
      <c r="F304" s="11" t="s">
        <v>49</v>
      </c>
      <c r="G304" s="12" t="str">
        <f>IFERROR(VLOOKUP(F304, DADOS_RM_EVENTOS_original!A:B, 2, FALSE), "Código não encontrado/Não digitado")</f>
        <v>Código não encontrado/Não digitado</v>
      </c>
      <c r="H304" s="12" t="s">
        <v>68</v>
      </c>
      <c r="I304" s="12" t="str">
        <f>IFERROR(VLOOKUP(H304, DADOS_RM_EVENTOS_original!C:D, 2, FALSE), "Código não encontrado/Não digitado")</f>
        <v>Código não encontrado/Não digitado</v>
      </c>
      <c r="J304" s="12" t="s">
        <v>68</v>
      </c>
      <c r="K304" s="12" t="str">
        <f>IFERROR(VLOOKUP(J304, DADOS_RM_EVENTOS_original!E:J, 2, FALSE), "Código não encontrado/Não digitado")</f>
        <v>Código não encontrado/Não digitado</v>
      </c>
      <c r="L304" s="12" t="s">
        <v>68</v>
      </c>
      <c r="M304" s="12" t="str">
        <f>IFERROR(VLOOKUP(L304, DADOS_RM_EVENTOS_original!K:L, 2, FALSE), "Código não encontrado/Não digitado")</f>
        <v>Código não encontrado/Não digitado</v>
      </c>
    </row>
    <row r="305" ht="15.75" customHeight="1">
      <c r="A305" s="11" t="s">
        <v>38</v>
      </c>
      <c r="B305" s="11" t="s">
        <v>866</v>
      </c>
      <c r="C305" s="11" t="s">
        <v>3273</v>
      </c>
      <c r="D305" s="11" t="s">
        <v>120</v>
      </c>
      <c r="E305" s="11" t="s">
        <v>47</v>
      </c>
      <c r="F305" s="11" t="s">
        <v>49</v>
      </c>
      <c r="G305" s="12" t="str">
        <f>IFERROR(VLOOKUP(F305, DADOS_RM_EVENTOS_original!A:B, 2, FALSE), "Código não encontrado/Não digitado")</f>
        <v>Código não encontrado/Não digitado</v>
      </c>
      <c r="H305" s="12" t="s">
        <v>68</v>
      </c>
      <c r="I305" s="12" t="str">
        <f>IFERROR(VLOOKUP(H305, DADOS_RM_EVENTOS_original!C:D, 2, FALSE), "Código não encontrado/Não digitado")</f>
        <v>Código não encontrado/Não digitado</v>
      </c>
      <c r="J305" s="12" t="s">
        <v>68</v>
      </c>
      <c r="K305" s="12" t="str">
        <f>IFERROR(VLOOKUP(J305, DADOS_RM_EVENTOS_original!E:J, 2, FALSE), "Código não encontrado/Não digitado")</f>
        <v>Código não encontrado/Não digitado</v>
      </c>
      <c r="L305" s="12" t="s">
        <v>68</v>
      </c>
      <c r="M305" s="12" t="str">
        <f>IFERROR(VLOOKUP(L305, DADOS_RM_EVENTOS_original!K:L, 2, FALSE), "Código não encontrado/Não digitado")</f>
        <v>Código não encontrado/Não digitado</v>
      </c>
    </row>
    <row r="306" ht="15.75" customHeight="1">
      <c r="A306" s="11" t="s">
        <v>172</v>
      </c>
      <c r="B306" s="11" t="s">
        <v>2246</v>
      </c>
      <c r="C306" s="11" t="s">
        <v>3273</v>
      </c>
      <c r="D306" s="11" t="s">
        <v>120</v>
      </c>
      <c r="E306" s="11" t="s">
        <v>1029</v>
      </c>
      <c r="F306" s="11" t="s">
        <v>49</v>
      </c>
      <c r="G306" s="12" t="str">
        <f>IFERROR(VLOOKUP(F306, DADOS_RM_EVENTOS_original!A:B, 2, FALSE), "Código não encontrado/Não digitado")</f>
        <v>Código não encontrado/Não digitado</v>
      </c>
      <c r="H306" s="12" t="s">
        <v>68</v>
      </c>
      <c r="I306" s="12" t="str">
        <f>IFERROR(VLOOKUP(H306, DADOS_RM_EVENTOS_original!C:D, 2, FALSE), "Código não encontrado/Não digitado")</f>
        <v>Código não encontrado/Não digitado</v>
      </c>
      <c r="J306" s="12" t="s">
        <v>68</v>
      </c>
      <c r="K306" s="12" t="str">
        <f>IFERROR(VLOOKUP(J306, DADOS_RM_EVENTOS_original!E:J, 2, FALSE), "Código não encontrado/Não digitado")</f>
        <v>Código não encontrado/Não digitado</v>
      </c>
      <c r="L306" s="12" t="s">
        <v>68</v>
      </c>
      <c r="M306" s="12" t="str">
        <f>IFERROR(VLOOKUP(L306, DADOS_RM_EVENTOS_original!K:L, 2, FALSE), "Código não encontrado/Não digitado")</f>
        <v>Código não encontrado/Não digitado</v>
      </c>
    </row>
    <row r="307" ht="15.75" customHeight="1">
      <c r="A307" s="11" t="s">
        <v>142</v>
      </c>
      <c r="B307" s="11" t="s">
        <v>2747</v>
      </c>
      <c r="C307" s="11" t="s">
        <v>3273</v>
      </c>
      <c r="D307" s="11" t="s">
        <v>120</v>
      </c>
      <c r="E307" s="11" t="s">
        <v>985</v>
      </c>
      <c r="F307" s="11" t="s">
        <v>49</v>
      </c>
      <c r="G307" s="12" t="str">
        <f>IFERROR(VLOOKUP(F307, DADOS_RM_EVENTOS_original!A:B, 2, FALSE), "Código não encontrado/Não digitado")</f>
        <v>Código não encontrado/Não digitado</v>
      </c>
      <c r="H307" s="12" t="s">
        <v>68</v>
      </c>
      <c r="I307" s="12" t="str">
        <f>IFERROR(VLOOKUP(H307, DADOS_RM_EVENTOS_original!C:D, 2, FALSE), "Código não encontrado/Não digitado")</f>
        <v>Código não encontrado/Não digitado</v>
      </c>
      <c r="J307" s="12" t="s">
        <v>68</v>
      </c>
      <c r="K307" s="12" t="str">
        <f>IFERROR(VLOOKUP(J307, DADOS_RM_EVENTOS_original!E:J, 2, FALSE), "Código não encontrado/Não digitado")</f>
        <v>Código não encontrado/Não digitado</v>
      </c>
      <c r="L307" s="12" t="s">
        <v>68</v>
      </c>
      <c r="M307" s="12" t="str">
        <f>IFERROR(VLOOKUP(L307, DADOS_RM_EVENTOS_original!K:L, 2, FALSE), "Código não encontrado/Não digitado")</f>
        <v>Código não encontrado/Não digitado</v>
      </c>
    </row>
    <row r="308" ht="15.75" customHeight="1">
      <c r="A308" s="11" t="s">
        <v>38</v>
      </c>
      <c r="B308" s="11" t="s">
        <v>1674</v>
      </c>
      <c r="C308" s="11" t="s">
        <v>3275</v>
      </c>
      <c r="D308" s="11" t="s">
        <v>120</v>
      </c>
      <c r="E308" s="11" t="s">
        <v>47</v>
      </c>
      <c r="F308" s="11" t="s">
        <v>49</v>
      </c>
      <c r="G308" s="12" t="str">
        <f>IFERROR(VLOOKUP(F308, DADOS_RM_EVENTOS_original!A:B, 2, FALSE), "Código não encontrado/Não digitado")</f>
        <v>Código não encontrado/Não digitado</v>
      </c>
      <c r="H308" s="12" t="s">
        <v>68</v>
      </c>
      <c r="I308" s="12" t="str">
        <f>IFERROR(VLOOKUP(H308, DADOS_RM_EVENTOS_original!C:D, 2, FALSE), "Código não encontrado/Não digitado")</f>
        <v>Código não encontrado/Não digitado</v>
      </c>
      <c r="J308" s="12" t="s">
        <v>68</v>
      </c>
      <c r="K308" s="12" t="str">
        <f>IFERROR(VLOOKUP(J308, DADOS_RM_EVENTOS_original!E:J, 2, FALSE), "Código não encontrado/Não digitado")</f>
        <v>Código não encontrado/Não digitado</v>
      </c>
      <c r="L308" s="12" t="s">
        <v>68</v>
      </c>
      <c r="M308" s="12" t="str">
        <f>IFERROR(VLOOKUP(L308, DADOS_RM_EVENTOS_original!K:L, 2, FALSE), "Código não encontrado/Não digitado")</f>
        <v>Código não encontrado/Não digitado</v>
      </c>
    </row>
    <row r="309" ht="15.75" customHeight="1">
      <c r="A309" s="11" t="s">
        <v>115</v>
      </c>
      <c r="B309" s="11" t="s">
        <v>460</v>
      </c>
      <c r="C309" s="11" t="s">
        <v>3275</v>
      </c>
      <c r="D309" s="11" t="s">
        <v>120</v>
      </c>
      <c r="E309" s="11" t="s">
        <v>121</v>
      </c>
      <c r="F309" s="11" t="s">
        <v>49</v>
      </c>
      <c r="G309" s="12" t="str">
        <f>IFERROR(VLOOKUP(F309, DADOS_RM_EVENTOS_original!A:B, 2, FALSE), "Código não encontrado/Não digitado")</f>
        <v>Código não encontrado/Não digitado</v>
      </c>
      <c r="H309" s="12" t="s">
        <v>68</v>
      </c>
      <c r="I309" s="12" t="str">
        <f>IFERROR(VLOOKUP(H309, DADOS_RM_EVENTOS_original!C:D, 2, FALSE), "Código não encontrado/Não digitado")</f>
        <v>Código não encontrado/Não digitado</v>
      </c>
      <c r="J309" s="12" t="s">
        <v>68</v>
      </c>
      <c r="K309" s="12" t="str">
        <f>IFERROR(VLOOKUP(J309, DADOS_RM_EVENTOS_original!E:J, 2, FALSE), "Código não encontrado/Não digitado")</f>
        <v>Código não encontrado/Não digitado</v>
      </c>
      <c r="L309" s="12" t="s">
        <v>68</v>
      </c>
      <c r="M309" s="12" t="str">
        <f>IFERROR(VLOOKUP(L309, DADOS_RM_EVENTOS_original!K:L, 2, FALSE), "Código não encontrado/Não digitado")</f>
        <v>Código não encontrado/Não digitado</v>
      </c>
    </row>
    <row r="310" ht="15.75" customHeight="1">
      <c r="A310" s="11" t="s">
        <v>142</v>
      </c>
      <c r="B310" s="11" t="s">
        <v>2922</v>
      </c>
      <c r="C310" s="11" t="s">
        <v>3275</v>
      </c>
      <c r="D310" s="11" t="s">
        <v>120</v>
      </c>
      <c r="E310" s="11" t="s">
        <v>985</v>
      </c>
      <c r="F310" s="11" t="s">
        <v>49</v>
      </c>
      <c r="G310" s="12" t="str">
        <f>IFERROR(VLOOKUP(F310, DADOS_RM_EVENTOS_original!A:B, 2, FALSE), "Código não encontrado/Não digitado")</f>
        <v>Código não encontrado/Não digitado</v>
      </c>
      <c r="H310" s="12" t="s">
        <v>68</v>
      </c>
      <c r="I310" s="12" t="str">
        <f>IFERROR(VLOOKUP(H310, DADOS_RM_EVENTOS_original!C:D, 2, FALSE), "Código não encontrado/Não digitado")</f>
        <v>Código não encontrado/Não digitado</v>
      </c>
      <c r="J310" s="12" t="s">
        <v>68</v>
      </c>
      <c r="K310" s="12" t="str">
        <f>IFERROR(VLOOKUP(J310, DADOS_RM_EVENTOS_original!E:J, 2, FALSE), "Código não encontrado/Não digitado")</f>
        <v>Código não encontrado/Não digitado</v>
      </c>
      <c r="L310" s="12" t="s">
        <v>68</v>
      </c>
      <c r="M310" s="12" t="str">
        <f>IFERROR(VLOOKUP(L310, DADOS_RM_EVENTOS_original!K:L, 2, FALSE), "Código não encontrado/Não digitado")</f>
        <v>Código não encontrado/Não digitado</v>
      </c>
    </row>
    <row r="311" ht="15.75" customHeight="1">
      <c r="A311" s="11" t="s">
        <v>199</v>
      </c>
      <c r="B311" s="11" t="s">
        <v>710</v>
      </c>
      <c r="C311" s="11" t="s">
        <v>3499</v>
      </c>
      <c r="D311" s="11" t="s">
        <v>120</v>
      </c>
      <c r="E311" s="11" t="s">
        <v>1074</v>
      </c>
      <c r="F311" s="11" t="s">
        <v>49</v>
      </c>
      <c r="G311" s="12" t="str">
        <f>IFERROR(VLOOKUP(F311, DADOS_RM_EVENTOS_original!A:B, 2, FALSE), "Código não encontrado/Não digitado")</f>
        <v>Código não encontrado/Não digitado</v>
      </c>
      <c r="H311" s="12" t="s">
        <v>68</v>
      </c>
      <c r="I311" s="12" t="str">
        <f>IFERROR(VLOOKUP(H311, DADOS_RM_EVENTOS_original!C:D, 2, FALSE), "Código não encontrado/Não digitado")</f>
        <v>Código não encontrado/Não digitado</v>
      </c>
      <c r="J311" s="12" t="s">
        <v>68</v>
      </c>
      <c r="K311" s="12" t="str">
        <f>IFERROR(VLOOKUP(J311, DADOS_RM_EVENTOS_original!E:J, 2, FALSE), "Código não encontrado/Não digitado")</f>
        <v>Código não encontrado/Não digitado</v>
      </c>
      <c r="L311" s="12" t="s">
        <v>68</v>
      </c>
      <c r="M311" s="12" t="str">
        <f>IFERROR(VLOOKUP(L311, DADOS_RM_EVENTOS_original!K:L, 2, FALSE), "Código não encontrado/Não digitado")</f>
        <v>Código não encontrado/Não digitado</v>
      </c>
    </row>
    <row r="312" ht="15.75" customHeight="1">
      <c r="A312" s="11" t="s">
        <v>142</v>
      </c>
      <c r="B312" s="11" t="s">
        <v>737</v>
      </c>
      <c r="C312" s="11" t="s">
        <v>3278</v>
      </c>
      <c r="D312" s="11" t="s">
        <v>120</v>
      </c>
      <c r="E312" s="11" t="s">
        <v>985</v>
      </c>
      <c r="F312" s="11" t="s">
        <v>49</v>
      </c>
      <c r="G312" s="12" t="str">
        <f>IFERROR(VLOOKUP(F312, DADOS_RM_EVENTOS_original!A:B, 2, FALSE), "Código não encontrado/Não digitado")</f>
        <v>Código não encontrado/Não digitado</v>
      </c>
      <c r="H312" s="12" t="s">
        <v>68</v>
      </c>
      <c r="I312" s="12" t="str">
        <f>IFERROR(VLOOKUP(H312, DADOS_RM_EVENTOS_original!C:D, 2, FALSE), "Código não encontrado/Não digitado")</f>
        <v>Código não encontrado/Não digitado</v>
      </c>
      <c r="J312" s="12" t="s">
        <v>68</v>
      </c>
      <c r="K312" s="12" t="str">
        <f>IFERROR(VLOOKUP(J312, DADOS_RM_EVENTOS_original!E:J, 2, FALSE), "Código não encontrado/Não digitado")</f>
        <v>Código não encontrado/Não digitado</v>
      </c>
      <c r="L312" s="12" t="s">
        <v>68</v>
      </c>
      <c r="M312" s="12" t="str">
        <f>IFERROR(VLOOKUP(L312, DADOS_RM_EVENTOS_original!K:L, 2, FALSE), "Código não encontrado/Não digitado")</f>
        <v>Código não encontrado/Não digitado</v>
      </c>
    </row>
    <row r="313" ht="15.75" customHeight="1">
      <c r="A313" s="11" t="s">
        <v>38</v>
      </c>
      <c r="B313" s="11" t="s">
        <v>533</v>
      </c>
      <c r="C313" s="11" t="s">
        <v>3510</v>
      </c>
      <c r="D313" s="11" t="s">
        <v>120</v>
      </c>
      <c r="E313" s="11" t="s">
        <v>47</v>
      </c>
      <c r="F313" s="11" t="s">
        <v>49</v>
      </c>
      <c r="G313" s="12" t="str">
        <f>IFERROR(VLOOKUP(F313, DADOS_RM_EVENTOS_original!A:B, 2, FALSE), "Código não encontrado/Não digitado")</f>
        <v>Código não encontrado/Não digitado</v>
      </c>
      <c r="H313" s="12" t="s">
        <v>68</v>
      </c>
      <c r="I313" s="12" t="str">
        <f>IFERROR(VLOOKUP(H313, DADOS_RM_EVENTOS_original!C:D, 2, FALSE), "Código não encontrado/Não digitado")</f>
        <v>Código não encontrado/Não digitado</v>
      </c>
      <c r="J313" s="12" t="s">
        <v>68</v>
      </c>
      <c r="K313" s="12" t="str">
        <f>IFERROR(VLOOKUP(J313, DADOS_RM_EVENTOS_original!E:J, 2, FALSE), "Código não encontrado/Não digitado")</f>
        <v>Código não encontrado/Não digitado</v>
      </c>
      <c r="L313" s="12" t="s">
        <v>68</v>
      </c>
      <c r="M313" s="12" t="str">
        <f>IFERROR(VLOOKUP(L313, DADOS_RM_EVENTOS_original!K:L, 2, FALSE), "Código não encontrado/Não digitado")</f>
        <v>Código não encontrado/Não digitado</v>
      </c>
    </row>
    <row r="314" ht="15.75" customHeight="1">
      <c r="A314" s="11" t="s">
        <v>38</v>
      </c>
      <c r="B314" s="11" t="s">
        <v>593</v>
      </c>
      <c r="C314" s="11" t="s">
        <v>3519</v>
      </c>
      <c r="D314" s="11" t="s">
        <v>120</v>
      </c>
      <c r="E314" s="11" t="s">
        <v>47</v>
      </c>
      <c r="F314" s="11" t="s">
        <v>49</v>
      </c>
      <c r="G314" s="12" t="str">
        <f>IFERROR(VLOOKUP(F314, DADOS_RM_EVENTOS_original!A:B, 2, FALSE), "Código não encontrado/Não digitado")</f>
        <v>Código não encontrado/Não digitado</v>
      </c>
      <c r="H314" s="12" t="s">
        <v>68</v>
      </c>
      <c r="I314" s="12" t="str">
        <f>IFERROR(VLOOKUP(H314, DADOS_RM_EVENTOS_original!C:D, 2, FALSE), "Código não encontrado/Não digitado")</f>
        <v>Código não encontrado/Não digitado</v>
      </c>
      <c r="J314" s="12" t="s">
        <v>68</v>
      </c>
      <c r="K314" s="12" t="str">
        <f>IFERROR(VLOOKUP(J314, DADOS_RM_EVENTOS_original!E:J, 2, FALSE), "Código não encontrado/Não digitado")</f>
        <v>Código não encontrado/Não digitado</v>
      </c>
      <c r="L314" s="12" t="s">
        <v>68</v>
      </c>
      <c r="M314" s="12" t="str">
        <f>IFERROR(VLOOKUP(L314, DADOS_RM_EVENTOS_original!K:L, 2, FALSE), "Código não encontrado/Não digitado")</f>
        <v>Código não encontrado/Não digitado</v>
      </c>
    </row>
    <row r="315" ht="15.75" customHeight="1">
      <c r="A315" s="11" t="s">
        <v>38</v>
      </c>
      <c r="B315" s="11" t="s">
        <v>608</v>
      </c>
      <c r="C315" s="11" t="s">
        <v>3528</v>
      </c>
      <c r="D315" s="11" t="s">
        <v>120</v>
      </c>
      <c r="E315" s="11" t="s">
        <v>47</v>
      </c>
      <c r="F315" s="11" t="s">
        <v>49</v>
      </c>
      <c r="G315" s="12" t="str">
        <f>IFERROR(VLOOKUP(F315, DADOS_RM_EVENTOS_original!A:B, 2, FALSE), "Código não encontrado/Não digitado")</f>
        <v>Código não encontrado/Não digitado</v>
      </c>
      <c r="H315" s="12" t="s">
        <v>68</v>
      </c>
      <c r="I315" s="12" t="str">
        <f>IFERROR(VLOOKUP(H315, DADOS_RM_EVENTOS_original!C:D, 2, FALSE), "Código não encontrado/Não digitado")</f>
        <v>Código não encontrado/Não digitado</v>
      </c>
      <c r="J315" s="12" t="s">
        <v>68</v>
      </c>
      <c r="K315" s="12" t="str">
        <f>IFERROR(VLOOKUP(J315, DADOS_RM_EVENTOS_original!E:J, 2, FALSE), "Código não encontrado/Não digitado")</f>
        <v>Código não encontrado/Não digitado</v>
      </c>
      <c r="L315" s="12" t="s">
        <v>68</v>
      </c>
      <c r="M315" s="12" t="str">
        <f>IFERROR(VLOOKUP(L315, DADOS_RM_EVENTOS_original!K:L, 2, FALSE), "Código não encontrado/Não digitado")</f>
        <v>Código não encontrado/Não digitado</v>
      </c>
    </row>
    <row r="316" ht="15.75" customHeight="1">
      <c r="A316" s="11" t="s">
        <v>38</v>
      </c>
      <c r="B316" s="11" t="s">
        <v>294</v>
      </c>
      <c r="C316" s="11" t="s">
        <v>3535</v>
      </c>
      <c r="D316" s="11" t="s">
        <v>120</v>
      </c>
      <c r="E316" s="11" t="s">
        <v>47</v>
      </c>
      <c r="F316" s="11" t="s">
        <v>49</v>
      </c>
      <c r="G316" s="12" t="str">
        <f>IFERROR(VLOOKUP(F316, DADOS_RM_EVENTOS_original!A:B, 2, FALSE), "Código não encontrado/Não digitado")</f>
        <v>Código não encontrado/Não digitado</v>
      </c>
      <c r="H316" s="12" t="s">
        <v>68</v>
      </c>
      <c r="I316" s="12" t="str">
        <f>IFERROR(VLOOKUP(H316, DADOS_RM_EVENTOS_original!C:D, 2, FALSE), "Código não encontrado/Não digitado")</f>
        <v>Código não encontrado/Não digitado</v>
      </c>
      <c r="J316" s="12" t="s">
        <v>68</v>
      </c>
      <c r="K316" s="12" t="str">
        <f>IFERROR(VLOOKUP(J316, DADOS_RM_EVENTOS_original!E:J, 2, FALSE), "Código não encontrado/Não digitado")</f>
        <v>Código não encontrado/Não digitado</v>
      </c>
      <c r="L316" s="12" t="s">
        <v>68</v>
      </c>
      <c r="M316" s="12" t="str">
        <f>IFERROR(VLOOKUP(L316, DADOS_RM_EVENTOS_original!K:L, 2, FALSE), "Código não encontrado/Não digitado")</f>
        <v>Código não encontrado/Não digitado</v>
      </c>
    </row>
    <row r="317" ht="15.75" hidden="1" customHeight="1">
      <c r="A317" s="11" t="s">
        <v>38</v>
      </c>
      <c r="B317" s="11" t="s">
        <v>2200</v>
      </c>
      <c r="C317" s="11" t="s">
        <v>3544</v>
      </c>
      <c r="D317" s="11" t="s">
        <v>44</v>
      </c>
      <c r="E317" s="11" t="s">
        <v>47</v>
      </c>
      <c r="F317" s="11" t="s">
        <v>418</v>
      </c>
      <c r="G317" s="12" t="str">
        <f>IFERROR(VLOOKUP(F317, DADOS_RM_EVENTOS_original!A:B, 2, FALSE), "Código não encontrado/Não digitado")</f>
        <v>Desc. DSR Perdido</v>
      </c>
      <c r="H317" s="12" t="s">
        <v>68</v>
      </c>
      <c r="I317" s="12" t="str">
        <f>IFERROR(VLOOKUP(H317, DADOS_RM_EVENTOS_original!C:D, 2, FALSE), "Código não encontrado/Não digitado")</f>
        <v>Código não encontrado/Não digitado</v>
      </c>
      <c r="J317" s="12" t="s">
        <v>68</v>
      </c>
      <c r="K317" s="12" t="str">
        <f>IFERROR(VLOOKUP(J317, DADOS_RM_EVENTOS_original!E:J, 2, FALSE), "Código não encontrado/Não digitado")</f>
        <v>Código não encontrado/Não digitado</v>
      </c>
      <c r="L317" s="12" t="s">
        <v>68</v>
      </c>
      <c r="M317" s="12" t="str">
        <f>IFERROR(VLOOKUP(L317, DADOS_RM_EVENTOS_original!K:L, 2, FALSE), "Código não encontrado/Não digitado")</f>
        <v>Código não encontrado/Não digitado</v>
      </c>
    </row>
    <row r="318" ht="15.75" hidden="1" customHeight="1">
      <c r="A318" s="11" t="s">
        <v>38</v>
      </c>
      <c r="B318" s="11" t="s">
        <v>3553</v>
      </c>
      <c r="C318" s="11" t="s">
        <v>3554</v>
      </c>
      <c r="D318" s="11" t="s">
        <v>44</v>
      </c>
      <c r="E318" s="11" t="s">
        <v>47</v>
      </c>
      <c r="F318" s="11" t="s">
        <v>418</v>
      </c>
      <c r="G318" s="12" t="str">
        <f>IFERROR(VLOOKUP(F318, DADOS_RM_EVENTOS_original!A:B, 2, FALSE), "Código não encontrado/Não digitado")</f>
        <v>Desc. DSR Perdido</v>
      </c>
      <c r="H318" s="12" t="s">
        <v>68</v>
      </c>
      <c r="I318" s="12" t="str">
        <f>IFERROR(VLOOKUP(H318, DADOS_RM_EVENTOS_original!C:D, 2, FALSE), "Código não encontrado/Não digitado")</f>
        <v>Código não encontrado/Não digitado</v>
      </c>
      <c r="J318" s="12" t="s">
        <v>68</v>
      </c>
      <c r="K318" s="12" t="str">
        <f>IFERROR(VLOOKUP(J318, DADOS_RM_EVENTOS_original!E:J, 2, FALSE), "Código não encontrado/Não digitado")</f>
        <v>Código não encontrado/Não digitado</v>
      </c>
      <c r="L318" s="12" t="s">
        <v>68</v>
      </c>
      <c r="M318" s="12" t="str">
        <f>IFERROR(VLOOKUP(L318, DADOS_RM_EVENTOS_original!K:L, 2, FALSE), "Código não encontrado/Não digitado")</f>
        <v>Código não encontrado/Não digitado</v>
      </c>
    </row>
    <row r="319" ht="15.75" hidden="1" customHeight="1">
      <c r="A319" s="11" t="s">
        <v>115</v>
      </c>
      <c r="B319" s="11" t="s">
        <v>3553</v>
      </c>
      <c r="C319" s="11" t="s">
        <v>3554</v>
      </c>
      <c r="D319" s="11" t="s">
        <v>44</v>
      </c>
      <c r="E319" s="11" t="s">
        <v>121</v>
      </c>
      <c r="F319" s="11" t="s">
        <v>418</v>
      </c>
      <c r="G319" s="12" t="str">
        <f>IFERROR(VLOOKUP(F319, DADOS_RM_EVENTOS_original!A:B, 2, FALSE), "Código não encontrado/Não digitado")</f>
        <v>Desc. DSR Perdido</v>
      </c>
      <c r="H319" s="12" t="s">
        <v>68</v>
      </c>
      <c r="I319" s="12" t="str">
        <f>IFERROR(VLOOKUP(H319, DADOS_RM_EVENTOS_original!C:D, 2, FALSE), "Código não encontrado/Não digitado")</f>
        <v>Código não encontrado/Não digitado</v>
      </c>
      <c r="J319" s="12" t="s">
        <v>68</v>
      </c>
      <c r="K319" s="12" t="str">
        <f>IFERROR(VLOOKUP(J319, DADOS_RM_EVENTOS_original!E:J, 2, FALSE), "Código não encontrado/Não digitado")</f>
        <v>Código não encontrado/Não digitado</v>
      </c>
      <c r="L319" s="12" t="s">
        <v>68</v>
      </c>
      <c r="M319" s="12" t="str">
        <f>IFERROR(VLOOKUP(L319, DADOS_RM_EVENTOS_original!K:L, 2, FALSE), "Código não encontrado/Não digitado")</f>
        <v>Código não encontrado/Não digitado</v>
      </c>
    </row>
    <row r="320" ht="15.75" hidden="1" customHeight="1">
      <c r="A320" s="11" t="s">
        <v>172</v>
      </c>
      <c r="B320" s="11" t="s">
        <v>3553</v>
      </c>
      <c r="C320" s="11" t="s">
        <v>3569</v>
      </c>
      <c r="D320" s="11" t="s">
        <v>44</v>
      </c>
      <c r="E320" s="11" t="s">
        <v>1029</v>
      </c>
      <c r="F320" s="11" t="s">
        <v>418</v>
      </c>
      <c r="G320" s="12" t="str">
        <f>IFERROR(VLOOKUP(F320, DADOS_RM_EVENTOS_original!A:B, 2, FALSE), "Código não encontrado/Não digitado")</f>
        <v>Desc. DSR Perdido</v>
      </c>
      <c r="H320" s="12" t="s">
        <v>68</v>
      </c>
      <c r="I320" s="12" t="str">
        <f>IFERROR(VLOOKUP(H320, DADOS_RM_EVENTOS_original!C:D, 2, FALSE), "Código não encontrado/Não digitado")</f>
        <v>Código não encontrado/Não digitado</v>
      </c>
      <c r="J320" s="12" t="s">
        <v>68</v>
      </c>
      <c r="K320" s="12" t="str">
        <f>IFERROR(VLOOKUP(J320, DADOS_RM_EVENTOS_original!E:J, 2, FALSE), "Código não encontrado/Não digitado")</f>
        <v>Código não encontrado/Não digitado</v>
      </c>
      <c r="L320" s="12" t="s">
        <v>68</v>
      </c>
      <c r="M320" s="12" t="str">
        <f>IFERROR(VLOOKUP(L320, DADOS_RM_EVENTOS_original!K:L, 2, FALSE), "Código não encontrado/Não digitado")</f>
        <v>Código não encontrado/Não digitado</v>
      </c>
    </row>
    <row r="321" ht="15.75" hidden="1" customHeight="1">
      <c r="A321" s="11" t="s">
        <v>97</v>
      </c>
      <c r="B321" s="11" t="s">
        <v>3553</v>
      </c>
      <c r="C321" s="11" t="s">
        <v>3569</v>
      </c>
      <c r="D321" s="11" t="s">
        <v>44</v>
      </c>
      <c r="E321" s="11" t="s">
        <v>972</v>
      </c>
      <c r="F321" s="11" t="s">
        <v>418</v>
      </c>
      <c r="G321" s="12" t="str">
        <f>IFERROR(VLOOKUP(F321, DADOS_RM_EVENTOS_original!A:B, 2, FALSE), "Código não encontrado/Não digitado")</f>
        <v>Desc. DSR Perdido</v>
      </c>
      <c r="H321" s="12" t="s">
        <v>68</v>
      </c>
      <c r="I321" s="12" t="str">
        <f>IFERROR(VLOOKUP(H321, DADOS_RM_EVENTOS_original!C:D, 2, FALSE), "Código não encontrado/Não digitado")</f>
        <v>Código não encontrado/Não digitado</v>
      </c>
      <c r="J321" s="12" t="s">
        <v>68</v>
      </c>
      <c r="K321" s="12" t="str">
        <f>IFERROR(VLOOKUP(J321, DADOS_RM_EVENTOS_original!E:J, 2, FALSE), "Código não encontrado/Não digitado")</f>
        <v>Código não encontrado/Não digitado</v>
      </c>
      <c r="L321" s="12" t="s">
        <v>68</v>
      </c>
      <c r="M321" s="12" t="str">
        <f>IFERROR(VLOOKUP(L321, DADOS_RM_EVENTOS_original!K:L, 2, FALSE), "Código não encontrado/Não digitado")</f>
        <v>Código não encontrado/Não digitado</v>
      </c>
    </row>
    <row r="322" ht="15.75" hidden="1" customHeight="1">
      <c r="A322" s="11" t="s">
        <v>142</v>
      </c>
      <c r="B322" s="11" t="s">
        <v>3553</v>
      </c>
      <c r="C322" s="11" t="s">
        <v>3569</v>
      </c>
      <c r="D322" s="11" t="s">
        <v>44</v>
      </c>
      <c r="E322" s="11" t="s">
        <v>985</v>
      </c>
      <c r="F322" s="11" t="s">
        <v>418</v>
      </c>
      <c r="G322" s="12" t="str">
        <f>IFERROR(VLOOKUP(F322, DADOS_RM_EVENTOS_original!A:B, 2, FALSE), "Código não encontrado/Não digitado")</f>
        <v>Desc. DSR Perdido</v>
      </c>
      <c r="H322" s="12" t="s">
        <v>68</v>
      </c>
      <c r="I322" s="12" t="str">
        <f>IFERROR(VLOOKUP(H322, DADOS_RM_EVENTOS_original!C:D, 2, FALSE), "Código não encontrado/Não digitado")</f>
        <v>Código não encontrado/Não digitado</v>
      </c>
      <c r="J322" s="12" t="s">
        <v>68</v>
      </c>
      <c r="K322" s="12" t="str">
        <f>IFERROR(VLOOKUP(J322, DADOS_RM_EVENTOS_original!E:J, 2, FALSE), "Código não encontrado/Não digitado")</f>
        <v>Código não encontrado/Não digitado</v>
      </c>
      <c r="L322" s="12" t="s">
        <v>68</v>
      </c>
      <c r="M322" s="12" t="str">
        <f>IFERROR(VLOOKUP(L322, DADOS_RM_EVENTOS_original!K:L, 2, FALSE), "Código não encontrado/Não digitado")</f>
        <v>Código não encontrado/Não digitado</v>
      </c>
    </row>
    <row r="323" ht="15.75" customHeight="1">
      <c r="A323" s="11" t="s">
        <v>38</v>
      </c>
      <c r="B323" s="11" t="s">
        <v>3594</v>
      </c>
      <c r="C323" s="11" t="s">
        <v>3289</v>
      </c>
      <c r="D323" s="11" t="s">
        <v>120</v>
      </c>
      <c r="E323" s="11" t="s">
        <v>47</v>
      </c>
      <c r="F323" s="11" t="s">
        <v>49</v>
      </c>
      <c r="G323" s="12" t="str">
        <f>IFERROR(VLOOKUP(F323, DADOS_RM_EVENTOS_original!A:B, 2, FALSE), "Código não encontrado/Não digitado")</f>
        <v>Código não encontrado/Não digitado</v>
      </c>
      <c r="H323" s="12" t="s">
        <v>68</v>
      </c>
      <c r="I323" s="12" t="str">
        <f>IFERROR(VLOOKUP(H323, DADOS_RM_EVENTOS_original!C:D, 2, FALSE), "Código não encontrado/Não digitado")</f>
        <v>Código não encontrado/Não digitado</v>
      </c>
      <c r="J323" s="12" t="s">
        <v>68</v>
      </c>
      <c r="K323" s="12" t="str">
        <f>IFERROR(VLOOKUP(J323, DADOS_RM_EVENTOS_original!E:J, 2, FALSE), "Código não encontrado/Não digitado")</f>
        <v>Código não encontrado/Não digitado</v>
      </c>
      <c r="L323" s="12" t="s">
        <v>68</v>
      </c>
      <c r="M323" s="12" t="str">
        <f>IFERROR(VLOOKUP(L323, DADOS_RM_EVENTOS_original!K:L, 2, FALSE), "Código não encontrado/Não digitado")</f>
        <v>Código não encontrado/Não digitado</v>
      </c>
    </row>
    <row r="324" ht="15.75" hidden="1" customHeight="1">
      <c r="A324" s="11" t="s">
        <v>38</v>
      </c>
      <c r="B324" s="11" t="s">
        <v>1182</v>
      </c>
      <c r="C324" s="11" t="s">
        <v>3595</v>
      </c>
      <c r="D324" s="11" t="s">
        <v>44</v>
      </c>
      <c r="E324" s="11" t="s">
        <v>47</v>
      </c>
      <c r="F324" s="11" t="s">
        <v>112</v>
      </c>
      <c r="G324" s="12" t="str">
        <f>IFERROR(VLOOKUP(F324, DADOS_RM_EVENTOS_original!A:B, 2, FALSE), "Código não encontrado/Não digitado")</f>
        <v>Desc. Faltas (em Dias)</v>
      </c>
      <c r="H324" s="12" t="s">
        <v>68</v>
      </c>
      <c r="I324" s="12" t="str">
        <f>IFERROR(VLOOKUP(H324, DADOS_RM_EVENTOS_original!C:D, 2, FALSE), "Código não encontrado/Não digitado")</f>
        <v>Código não encontrado/Não digitado</v>
      </c>
      <c r="J324" s="12" t="s">
        <v>68</v>
      </c>
      <c r="K324" s="12" t="str">
        <f>IFERROR(VLOOKUP(J324, DADOS_RM_EVENTOS_original!E:J, 2, FALSE), "Código não encontrado/Não digitado")</f>
        <v>Código não encontrado/Não digitado</v>
      </c>
      <c r="L324" s="12" t="s">
        <v>68</v>
      </c>
      <c r="M324" s="12" t="str">
        <f>IFERROR(VLOOKUP(L324, DADOS_RM_EVENTOS_original!K:L, 2, FALSE), "Código não encontrado/Não digitado")</f>
        <v>Código não encontrado/Não digitado</v>
      </c>
    </row>
    <row r="325" ht="15.75" hidden="1" customHeight="1">
      <c r="A325" s="11" t="s">
        <v>115</v>
      </c>
      <c r="B325" s="11" t="s">
        <v>1182</v>
      </c>
      <c r="C325" s="11" t="s">
        <v>3595</v>
      </c>
      <c r="D325" s="11" t="s">
        <v>44</v>
      </c>
      <c r="E325" s="11" t="s">
        <v>121</v>
      </c>
      <c r="F325" s="11" t="s">
        <v>112</v>
      </c>
      <c r="G325" s="12" t="str">
        <f>IFERROR(VLOOKUP(F325, DADOS_RM_EVENTOS_original!A:B, 2, FALSE), "Código não encontrado/Não digitado")</f>
        <v>Desc. Faltas (em Dias)</v>
      </c>
      <c r="H325" s="12" t="s">
        <v>68</v>
      </c>
      <c r="I325" s="12" t="str">
        <f>IFERROR(VLOOKUP(H325, DADOS_RM_EVENTOS_original!C:D, 2, FALSE), "Código não encontrado/Não digitado")</f>
        <v>Código não encontrado/Não digitado</v>
      </c>
      <c r="J325" s="12" t="s">
        <v>68</v>
      </c>
      <c r="K325" s="12" t="str">
        <f>IFERROR(VLOOKUP(J325, DADOS_RM_EVENTOS_original!E:J, 2, FALSE), "Código não encontrado/Não digitado")</f>
        <v>Código não encontrado/Não digitado</v>
      </c>
      <c r="L325" s="12" t="s">
        <v>68</v>
      </c>
      <c r="M325" s="12" t="str">
        <f>IFERROR(VLOOKUP(L325, DADOS_RM_EVENTOS_original!K:L, 2, FALSE), "Código não encontrado/Não digitado")</f>
        <v>Código não encontrado/Não digitado</v>
      </c>
    </row>
    <row r="326" ht="15.75" hidden="1" customHeight="1">
      <c r="A326" s="11" t="s">
        <v>172</v>
      </c>
      <c r="B326" s="11" t="s">
        <v>1182</v>
      </c>
      <c r="C326" s="11" t="s">
        <v>3596</v>
      </c>
      <c r="D326" s="11" t="s">
        <v>44</v>
      </c>
      <c r="E326" s="11" t="s">
        <v>1029</v>
      </c>
      <c r="F326" s="11" t="s">
        <v>112</v>
      </c>
      <c r="G326" s="12" t="str">
        <f>IFERROR(VLOOKUP(F326, DADOS_RM_EVENTOS_original!A:B, 2, FALSE), "Código não encontrado/Não digitado")</f>
        <v>Desc. Faltas (em Dias)</v>
      </c>
      <c r="H326" s="12" t="s">
        <v>68</v>
      </c>
      <c r="I326" s="12" t="str">
        <f>IFERROR(VLOOKUP(H326, DADOS_RM_EVENTOS_original!C:D, 2, FALSE), "Código não encontrado/Não digitado")</f>
        <v>Código não encontrado/Não digitado</v>
      </c>
      <c r="J326" s="12" t="s">
        <v>68</v>
      </c>
      <c r="K326" s="12" t="str">
        <f>IFERROR(VLOOKUP(J326, DADOS_RM_EVENTOS_original!E:J, 2, FALSE), "Código não encontrado/Não digitado")</f>
        <v>Código não encontrado/Não digitado</v>
      </c>
      <c r="L326" s="12" t="s">
        <v>68</v>
      </c>
      <c r="M326" s="12" t="str">
        <f>IFERROR(VLOOKUP(L326, DADOS_RM_EVENTOS_original!K:L, 2, FALSE), "Código não encontrado/Não digitado")</f>
        <v>Código não encontrado/Não digitado</v>
      </c>
    </row>
    <row r="327" ht="15.75" hidden="1" customHeight="1">
      <c r="A327" s="11" t="s">
        <v>97</v>
      </c>
      <c r="B327" s="11" t="s">
        <v>1182</v>
      </c>
      <c r="C327" s="11" t="s">
        <v>3596</v>
      </c>
      <c r="D327" s="11" t="s">
        <v>44</v>
      </c>
      <c r="E327" s="11" t="s">
        <v>972</v>
      </c>
      <c r="F327" s="11" t="s">
        <v>112</v>
      </c>
      <c r="G327" s="12" t="str">
        <f>IFERROR(VLOOKUP(F327, DADOS_RM_EVENTOS_original!A:B, 2, FALSE), "Código não encontrado/Não digitado")</f>
        <v>Desc. Faltas (em Dias)</v>
      </c>
      <c r="H327" s="12" t="s">
        <v>68</v>
      </c>
      <c r="I327" s="12" t="str">
        <f>IFERROR(VLOOKUP(H327, DADOS_RM_EVENTOS_original!C:D, 2, FALSE), "Código não encontrado/Não digitado")</f>
        <v>Código não encontrado/Não digitado</v>
      </c>
      <c r="J327" s="12" t="s">
        <v>68</v>
      </c>
      <c r="K327" s="12" t="str">
        <f>IFERROR(VLOOKUP(J327, DADOS_RM_EVENTOS_original!E:J, 2, FALSE), "Código não encontrado/Não digitado")</f>
        <v>Código não encontrado/Não digitado</v>
      </c>
      <c r="L327" s="12" t="s">
        <v>68</v>
      </c>
      <c r="M327" s="12" t="str">
        <f>IFERROR(VLOOKUP(L327, DADOS_RM_EVENTOS_original!K:L, 2, FALSE), "Código não encontrado/Não digitado")</f>
        <v>Código não encontrado/Não digitado</v>
      </c>
    </row>
    <row r="328" ht="15.75" hidden="1" customHeight="1">
      <c r="A328" s="11" t="s">
        <v>142</v>
      </c>
      <c r="B328" s="11" t="s">
        <v>1182</v>
      </c>
      <c r="C328" s="11" t="s">
        <v>3596</v>
      </c>
      <c r="D328" s="11" t="s">
        <v>44</v>
      </c>
      <c r="E328" s="11" t="s">
        <v>985</v>
      </c>
      <c r="F328" s="11" t="s">
        <v>112</v>
      </c>
      <c r="G328" s="12" t="str">
        <f>IFERROR(VLOOKUP(F328, DADOS_RM_EVENTOS_original!A:B, 2, FALSE), "Código não encontrado/Não digitado")</f>
        <v>Desc. Faltas (em Dias)</v>
      </c>
      <c r="H328" s="12" t="s">
        <v>68</v>
      </c>
      <c r="I328" s="12" t="str">
        <f>IFERROR(VLOOKUP(H328, DADOS_RM_EVENTOS_original!C:D, 2, FALSE), "Código não encontrado/Não digitado")</f>
        <v>Código não encontrado/Não digitado</v>
      </c>
      <c r="J328" s="12" t="s">
        <v>68</v>
      </c>
      <c r="K328" s="12" t="str">
        <f>IFERROR(VLOOKUP(J328, DADOS_RM_EVENTOS_original!E:J, 2, FALSE), "Código não encontrado/Não digitado")</f>
        <v>Código não encontrado/Não digitado</v>
      </c>
      <c r="L328" s="12" t="s">
        <v>68</v>
      </c>
      <c r="M328" s="12" t="str">
        <f>IFERROR(VLOOKUP(L328, DADOS_RM_EVENTOS_original!K:L, 2, FALSE), "Código não encontrado/Não digitado")</f>
        <v>Código não encontrado/Não digitado</v>
      </c>
    </row>
    <row r="329" ht="15.75" hidden="1" customHeight="1">
      <c r="A329" s="11" t="s">
        <v>38</v>
      </c>
      <c r="B329" s="11" t="s">
        <v>3597</v>
      </c>
      <c r="C329" s="11" t="s">
        <v>3598</v>
      </c>
      <c r="D329" s="11" t="s">
        <v>44</v>
      </c>
      <c r="E329" s="11" t="s">
        <v>47</v>
      </c>
      <c r="F329" s="11" t="s">
        <v>781</v>
      </c>
      <c r="G329" s="12" t="str">
        <f>IFERROR(VLOOKUP(F329, DADOS_RM_EVENTOS_original!A:B, 2, FALSE), "Código não encontrado/Não digitado")</f>
        <v>Desc. Faltas (em Horas)</v>
      </c>
      <c r="H329" s="12" t="s">
        <v>68</v>
      </c>
      <c r="I329" s="12" t="str">
        <f>IFERROR(VLOOKUP(H329, DADOS_RM_EVENTOS_original!C:D, 2, FALSE), "Código não encontrado/Não digitado")</f>
        <v>Código não encontrado/Não digitado</v>
      </c>
      <c r="J329" s="12" t="s">
        <v>68</v>
      </c>
      <c r="K329" s="12" t="str">
        <f>IFERROR(VLOOKUP(J329, DADOS_RM_EVENTOS_original!E:J, 2, FALSE), "Código não encontrado/Não digitado")</f>
        <v>Código não encontrado/Não digitado</v>
      </c>
      <c r="L329" s="12" t="s">
        <v>68</v>
      </c>
      <c r="M329" s="12" t="str">
        <f>IFERROR(VLOOKUP(L329, DADOS_RM_EVENTOS_original!K:L, 2, FALSE), "Código não encontrado/Não digitado")</f>
        <v>Código não encontrado/Não digitado</v>
      </c>
    </row>
    <row r="330" ht="15.75" hidden="1" customHeight="1">
      <c r="A330" s="11" t="s">
        <v>115</v>
      </c>
      <c r="B330" s="11" t="s">
        <v>3597</v>
      </c>
      <c r="C330" s="11" t="s">
        <v>3598</v>
      </c>
      <c r="D330" s="11" t="s">
        <v>44</v>
      </c>
      <c r="E330" s="11" t="s">
        <v>121</v>
      </c>
      <c r="F330" s="11" t="s">
        <v>781</v>
      </c>
      <c r="G330" s="12" t="str">
        <f>IFERROR(VLOOKUP(F330, DADOS_RM_EVENTOS_original!A:B, 2, FALSE), "Código não encontrado/Não digitado")</f>
        <v>Desc. Faltas (em Horas)</v>
      </c>
      <c r="H330" s="12" t="s">
        <v>68</v>
      </c>
      <c r="I330" s="12" t="str">
        <f>IFERROR(VLOOKUP(H330, DADOS_RM_EVENTOS_original!C:D, 2, FALSE), "Código não encontrado/Não digitado")</f>
        <v>Código não encontrado/Não digitado</v>
      </c>
      <c r="J330" s="12" t="s">
        <v>68</v>
      </c>
      <c r="K330" s="12" t="str">
        <f>IFERROR(VLOOKUP(J330, DADOS_RM_EVENTOS_original!E:J, 2, FALSE), "Código não encontrado/Não digitado")</f>
        <v>Código não encontrado/Não digitado</v>
      </c>
      <c r="L330" s="12" t="s">
        <v>68</v>
      </c>
      <c r="M330" s="12" t="str">
        <f>IFERROR(VLOOKUP(L330, DADOS_RM_EVENTOS_original!K:L, 2, FALSE), "Código não encontrado/Não digitado")</f>
        <v>Código não encontrado/Não digitado</v>
      </c>
    </row>
    <row r="331" ht="15.75" hidden="1" customHeight="1">
      <c r="A331" s="11" t="s">
        <v>172</v>
      </c>
      <c r="B331" s="11" t="s">
        <v>3599</v>
      </c>
      <c r="C331" s="11" t="s">
        <v>3600</v>
      </c>
      <c r="D331" s="11" t="s">
        <v>44</v>
      </c>
      <c r="E331" s="11" t="s">
        <v>1029</v>
      </c>
      <c r="F331" s="11" t="s">
        <v>781</v>
      </c>
      <c r="G331" s="12" t="str">
        <f>IFERROR(VLOOKUP(F331, DADOS_RM_EVENTOS_original!A:B, 2, FALSE), "Código não encontrado/Não digitado")</f>
        <v>Desc. Faltas (em Horas)</v>
      </c>
      <c r="H331" s="12" t="s">
        <v>68</v>
      </c>
      <c r="I331" s="12" t="str">
        <f>IFERROR(VLOOKUP(H331, DADOS_RM_EVENTOS_original!C:D, 2, FALSE), "Código não encontrado/Não digitado")</f>
        <v>Código não encontrado/Não digitado</v>
      </c>
      <c r="J331" s="12" t="s">
        <v>68</v>
      </c>
      <c r="K331" s="12" t="str">
        <f>IFERROR(VLOOKUP(J331, DADOS_RM_EVENTOS_original!E:J, 2, FALSE), "Código não encontrado/Não digitado")</f>
        <v>Código não encontrado/Não digitado</v>
      </c>
      <c r="L331" s="12" t="s">
        <v>68</v>
      </c>
      <c r="M331" s="12" t="str">
        <f>IFERROR(VLOOKUP(L331, DADOS_RM_EVENTOS_original!K:L, 2, FALSE), "Código não encontrado/Não digitado")</f>
        <v>Código não encontrado/Não digitado</v>
      </c>
    </row>
    <row r="332" ht="15.75" hidden="1" customHeight="1">
      <c r="A332" s="11" t="s">
        <v>38</v>
      </c>
      <c r="B332" s="11" t="s">
        <v>373</v>
      </c>
      <c r="C332" s="11" t="s">
        <v>3601</v>
      </c>
      <c r="D332" s="11" t="s">
        <v>44</v>
      </c>
      <c r="E332" s="11" t="s">
        <v>47</v>
      </c>
      <c r="F332" s="11" t="s">
        <v>941</v>
      </c>
      <c r="G332" s="12" t="str">
        <f>IFERROR(VLOOKUP(F332, DADOS_RM_EVENTOS_original!A:B, 2, FALSE), "Código não encontrado/Não digitado")</f>
        <v>Estagiario - Desc. Falta/Atrasos (Dias)</v>
      </c>
      <c r="H332" s="12" t="s">
        <v>68</v>
      </c>
      <c r="I332" s="12" t="str">
        <f>IFERROR(VLOOKUP(H332, DADOS_RM_EVENTOS_original!C:D, 2, FALSE), "Código não encontrado/Não digitado")</f>
        <v>Código não encontrado/Não digitado</v>
      </c>
      <c r="J332" s="12" t="s">
        <v>68</v>
      </c>
      <c r="K332" s="12" t="str">
        <f>IFERROR(VLOOKUP(J332, DADOS_RM_EVENTOS_original!E:J, 2, FALSE), "Código não encontrado/Não digitado")</f>
        <v>Código não encontrado/Não digitado</v>
      </c>
      <c r="L332" s="12" t="s">
        <v>68</v>
      </c>
      <c r="M332" s="12" t="str">
        <f>IFERROR(VLOOKUP(L332, DADOS_RM_EVENTOS_original!K:L, 2, FALSE), "Código não encontrado/Não digitado")</f>
        <v>Código não encontrado/Não digitado</v>
      </c>
    </row>
    <row r="333" ht="15.75" hidden="1" customHeight="1">
      <c r="A333" s="11" t="s">
        <v>38</v>
      </c>
      <c r="B333" s="11" t="s">
        <v>3602</v>
      </c>
      <c r="C333" s="11" t="s">
        <v>3603</v>
      </c>
      <c r="D333" s="11" t="s">
        <v>44</v>
      </c>
      <c r="E333" s="11" t="s">
        <v>47</v>
      </c>
      <c r="F333" s="11" t="s">
        <v>724</v>
      </c>
      <c r="G333" s="12" t="str">
        <f>IFERROR(VLOOKUP(F333, DADOS_RM_EVENTOS_original!A:B, 2, FALSE), "Código não encontrado/Não digitado")</f>
        <v>Dif. Desc. Faltas (em dias)</v>
      </c>
      <c r="H333" s="12" t="s">
        <v>68</v>
      </c>
      <c r="I333" s="12" t="str">
        <f>IFERROR(VLOOKUP(H333, DADOS_RM_EVENTOS_original!C:D, 2, FALSE), "Código não encontrado/Não digitado")</f>
        <v>Código não encontrado/Não digitado</v>
      </c>
      <c r="J333" s="12" t="s">
        <v>68</v>
      </c>
      <c r="K333" s="12" t="str">
        <f>IFERROR(VLOOKUP(J333, DADOS_RM_EVENTOS_original!E:J, 2, FALSE), "Código não encontrado/Não digitado")</f>
        <v>Código não encontrado/Não digitado</v>
      </c>
      <c r="L333" s="12" t="s">
        <v>68</v>
      </c>
      <c r="M333" s="12" t="str">
        <f>IFERROR(VLOOKUP(L333, DADOS_RM_EVENTOS_original!K:L, 2, FALSE), "Código não encontrado/Não digitado")</f>
        <v>Código não encontrado/Não digitado</v>
      </c>
    </row>
    <row r="334" ht="15.75" hidden="1" customHeight="1">
      <c r="A334" s="11" t="s">
        <v>97</v>
      </c>
      <c r="B334" s="11" t="s">
        <v>3089</v>
      </c>
      <c r="C334" s="11" t="s">
        <v>3604</v>
      </c>
      <c r="D334" s="11" t="s">
        <v>44</v>
      </c>
      <c r="E334" s="11" t="s">
        <v>972</v>
      </c>
      <c r="F334" s="11" t="s">
        <v>724</v>
      </c>
      <c r="G334" s="12" t="str">
        <f>IFERROR(VLOOKUP(F334, DADOS_RM_EVENTOS_original!A:B, 2, FALSE), "Código não encontrado/Não digitado")</f>
        <v>Dif. Desc. Faltas (em dias)</v>
      </c>
      <c r="H334" s="12" t="s">
        <v>68</v>
      </c>
      <c r="I334" s="12" t="str">
        <f>IFERROR(VLOOKUP(H334, DADOS_RM_EVENTOS_original!C:D, 2, FALSE), "Código não encontrado/Não digitado")</f>
        <v>Código não encontrado/Não digitado</v>
      </c>
      <c r="J334" s="12" t="s">
        <v>68</v>
      </c>
      <c r="K334" s="12" t="str">
        <f>IFERROR(VLOOKUP(J334, DADOS_RM_EVENTOS_original!E:J, 2, FALSE), "Código não encontrado/Não digitado")</f>
        <v>Código não encontrado/Não digitado</v>
      </c>
      <c r="L334" s="12" t="s">
        <v>68</v>
      </c>
      <c r="M334" s="12" t="str">
        <f>IFERROR(VLOOKUP(L334, DADOS_RM_EVENTOS_original!K:L, 2, FALSE), "Código não encontrado/Não digitado")</f>
        <v>Código não encontrado/Não digitado</v>
      </c>
    </row>
    <row r="335" ht="15.75" hidden="1" customHeight="1">
      <c r="A335" s="11" t="s">
        <v>38</v>
      </c>
      <c r="B335" s="11" t="s">
        <v>852</v>
      </c>
      <c r="C335" s="11" t="s">
        <v>3605</v>
      </c>
      <c r="D335" s="11" t="s">
        <v>120</v>
      </c>
      <c r="E335" s="11" t="s">
        <v>47</v>
      </c>
      <c r="F335" s="11" t="s">
        <v>211</v>
      </c>
      <c r="G335" s="12" t="str">
        <f>IFERROR(VLOOKUP(F335, DADOS_RM_EVENTOS_original!A:B, 2, FALSE), "Código não encontrado/Não digitado")</f>
        <v>Ferias Indenizadas Rescisao</v>
      </c>
      <c r="H335" s="12" t="s">
        <v>68</v>
      </c>
      <c r="I335" s="12" t="str">
        <f>IFERROR(VLOOKUP(H335, DADOS_RM_EVENTOS_original!C:D, 2, FALSE), "Código não encontrado/Não digitado")</f>
        <v>Código não encontrado/Não digitado</v>
      </c>
      <c r="J335" s="12" t="s">
        <v>68</v>
      </c>
      <c r="K335" s="12" t="str">
        <f>IFERROR(VLOOKUP(J335, DADOS_RM_EVENTOS_original!E:J, 2, FALSE), "Código não encontrado/Não digitado")</f>
        <v>Código não encontrado/Não digitado</v>
      </c>
      <c r="L335" s="12" t="s">
        <v>68</v>
      </c>
      <c r="M335" s="12" t="str">
        <f>IFERROR(VLOOKUP(L335, DADOS_RM_EVENTOS_original!K:L, 2, FALSE), "Código não encontrado/Não digitado")</f>
        <v>Código não encontrado/Não digitado</v>
      </c>
    </row>
    <row r="336" ht="15.75" hidden="1" customHeight="1">
      <c r="A336" s="11" t="s">
        <v>115</v>
      </c>
      <c r="B336" s="11" t="s">
        <v>852</v>
      </c>
      <c r="C336" s="11" t="s">
        <v>3605</v>
      </c>
      <c r="D336" s="11" t="s">
        <v>120</v>
      </c>
      <c r="E336" s="11" t="s">
        <v>121</v>
      </c>
      <c r="F336" s="11" t="s">
        <v>211</v>
      </c>
      <c r="G336" s="12" t="str">
        <f>IFERROR(VLOOKUP(F336, DADOS_RM_EVENTOS_original!A:B, 2, FALSE), "Código não encontrado/Não digitado")</f>
        <v>Ferias Indenizadas Rescisao</v>
      </c>
      <c r="H336" s="12" t="s">
        <v>68</v>
      </c>
      <c r="I336" s="12" t="str">
        <f>IFERROR(VLOOKUP(H336, DADOS_RM_EVENTOS_original!C:D, 2, FALSE), "Código não encontrado/Não digitado")</f>
        <v>Código não encontrado/Não digitado</v>
      </c>
      <c r="J336" s="12" t="s">
        <v>68</v>
      </c>
      <c r="K336" s="12" t="str">
        <f>IFERROR(VLOOKUP(J336, DADOS_RM_EVENTOS_original!E:J, 2, FALSE), "Código não encontrado/Não digitado")</f>
        <v>Código não encontrado/Não digitado</v>
      </c>
      <c r="L336" s="12" t="s">
        <v>68</v>
      </c>
      <c r="M336" s="12" t="str">
        <f>IFERROR(VLOOKUP(L336, DADOS_RM_EVENTOS_original!K:L, 2, FALSE), "Código não encontrado/Não digitado")</f>
        <v>Código não encontrado/Não digitado</v>
      </c>
    </row>
    <row r="337" ht="15.75" hidden="1" customHeight="1">
      <c r="A337" s="11" t="s">
        <v>172</v>
      </c>
      <c r="B337" s="11" t="s">
        <v>852</v>
      </c>
      <c r="C337" s="11" t="s">
        <v>3606</v>
      </c>
      <c r="D337" s="11" t="s">
        <v>120</v>
      </c>
      <c r="E337" s="11" t="s">
        <v>1029</v>
      </c>
      <c r="F337" s="11" t="s">
        <v>211</v>
      </c>
      <c r="G337" s="12" t="str">
        <f>IFERROR(VLOOKUP(F337, DADOS_RM_EVENTOS_original!A:B, 2, FALSE), "Código não encontrado/Não digitado")</f>
        <v>Ferias Indenizadas Rescisao</v>
      </c>
      <c r="H337" s="12" t="s">
        <v>68</v>
      </c>
      <c r="I337" s="12" t="str">
        <f>IFERROR(VLOOKUP(H337, DADOS_RM_EVENTOS_original!C:D, 2, FALSE), "Código não encontrado/Não digitado")</f>
        <v>Código não encontrado/Não digitado</v>
      </c>
      <c r="J337" s="12" t="s">
        <v>68</v>
      </c>
      <c r="K337" s="12" t="str">
        <f>IFERROR(VLOOKUP(J337, DADOS_RM_EVENTOS_original!E:J, 2, FALSE), "Código não encontrado/Não digitado")</f>
        <v>Código não encontrado/Não digitado</v>
      </c>
      <c r="L337" s="12" t="s">
        <v>68</v>
      </c>
      <c r="M337" s="12" t="str">
        <f>IFERROR(VLOOKUP(L337, DADOS_RM_EVENTOS_original!K:L, 2, FALSE), "Código não encontrado/Não digitado")</f>
        <v>Código não encontrado/Não digitado</v>
      </c>
    </row>
    <row r="338" ht="15.75" hidden="1" customHeight="1">
      <c r="A338" s="11" t="s">
        <v>97</v>
      </c>
      <c r="B338" s="11" t="s">
        <v>852</v>
      </c>
      <c r="C338" s="11" t="s">
        <v>3606</v>
      </c>
      <c r="D338" s="11" t="s">
        <v>120</v>
      </c>
      <c r="E338" s="11" t="s">
        <v>972</v>
      </c>
      <c r="F338" s="11" t="s">
        <v>211</v>
      </c>
      <c r="G338" s="12" t="str">
        <f>IFERROR(VLOOKUP(F338, DADOS_RM_EVENTOS_original!A:B, 2, FALSE), "Código não encontrado/Não digitado")</f>
        <v>Ferias Indenizadas Rescisao</v>
      </c>
      <c r="H338" s="12" t="s">
        <v>68</v>
      </c>
      <c r="I338" s="12" t="str">
        <f>IFERROR(VLOOKUP(H338, DADOS_RM_EVENTOS_original!C:D, 2, FALSE), "Código não encontrado/Não digitado")</f>
        <v>Código não encontrado/Não digitado</v>
      </c>
      <c r="J338" s="12" t="s">
        <v>68</v>
      </c>
      <c r="K338" s="12" t="str">
        <f>IFERROR(VLOOKUP(J338, DADOS_RM_EVENTOS_original!E:J, 2, FALSE), "Código não encontrado/Não digitado")</f>
        <v>Código não encontrado/Não digitado</v>
      </c>
      <c r="L338" s="12" t="s">
        <v>68</v>
      </c>
      <c r="M338" s="12" t="str">
        <f>IFERROR(VLOOKUP(L338, DADOS_RM_EVENTOS_original!K:L, 2, FALSE), "Código não encontrado/Não digitado")</f>
        <v>Código não encontrado/Não digitado</v>
      </c>
    </row>
    <row r="339" ht="15.75" hidden="1" customHeight="1">
      <c r="A339" s="11" t="s">
        <v>142</v>
      </c>
      <c r="B339" s="11" t="s">
        <v>852</v>
      </c>
      <c r="C339" s="11" t="s">
        <v>3606</v>
      </c>
      <c r="D339" s="11" t="s">
        <v>120</v>
      </c>
      <c r="E339" s="11" t="s">
        <v>985</v>
      </c>
      <c r="F339" s="11" t="s">
        <v>211</v>
      </c>
      <c r="G339" s="12" t="str">
        <f>IFERROR(VLOOKUP(F339, DADOS_RM_EVENTOS_original!A:B, 2, FALSE), "Código não encontrado/Não digitado")</f>
        <v>Ferias Indenizadas Rescisao</v>
      </c>
      <c r="H339" s="12" t="s">
        <v>68</v>
      </c>
      <c r="I339" s="12" t="str">
        <f>IFERROR(VLOOKUP(H339, DADOS_RM_EVENTOS_original!C:D, 2, FALSE), "Código não encontrado/Não digitado")</f>
        <v>Código não encontrado/Não digitado</v>
      </c>
      <c r="J339" s="12" t="s">
        <v>68</v>
      </c>
      <c r="K339" s="12" t="str">
        <f>IFERROR(VLOOKUP(J339, DADOS_RM_EVENTOS_original!E:J, 2, FALSE), "Código não encontrado/Não digitado")</f>
        <v>Código não encontrado/Não digitado</v>
      </c>
      <c r="L339" s="12" t="s">
        <v>68</v>
      </c>
      <c r="M339" s="12" t="str">
        <f>IFERROR(VLOOKUP(L339, DADOS_RM_EVENTOS_original!K:L, 2, FALSE), "Código não encontrado/Não digitado")</f>
        <v>Código não encontrado/Não digitado</v>
      </c>
    </row>
    <row r="340" ht="15.75" hidden="1" customHeight="1">
      <c r="A340" s="11" t="s">
        <v>38</v>
      </c>
      <c r="B340" s="11" t="s">
        <v>850</v>
      </c>
      <c r="C340" s="11" t="s">
        <v>3607</v>
      </c>
      <c r="D340" s="11" t="s">
        <v>120</v>
      </c>
      <c r="E340" s="11" t="s">
        <v>47</v>
      </c>
      <c r="F340" s="11" t="s">
        <v>216</v>
      </c>
      <c r="G340" s="12" t="str">
        <f>IFERROR(VLOOKUP(F340, DADOS_RM_EVENTOS_original!A:B, 2, FALSE), "Código não encontrado/Não digitado")</f>
        <v>Ferias Proporcionais</v>
      </c>
      <c r="H340" s="12" t="s">
        <v>68</v>
      </c>
      <c r="I340" s="12" t="str">
        <f>IFERROR(VLOOKUP(H340, DADOS_RM_EVENTOS_original!C:D, 2, FALSE), "Código não encontrado/Não digitado")</f>
        <v>Código não encontrado/Não digitado</v>
      </c>
      <c r="J340" s="12" t="s">
        <v>68</v>
      </c>
      <c r="K340" s="12" t="str">
        <f>IFERROR(VLOOKUP(J340, DADOS_RM_EVENTOS_original!E:J, 2, FALSE), "Código não encontrado/Não digitado")</f>
        <v>Código não encontrado/Não digitado</v>
      </c>
      <c r="L340" s="12" t="s">
        <v>68</v>
      </c>
      <c r="M340" s="12" t="str">
        <f>IFERROR(VLOOKUP(L340, DADOS_RM_EVENTOS_original!K:L, 2, FALSE), "Código não encontrado/Não digitado")</f>
        <v>Código não encontrado/Não digitado</v>
      </c>
    </row>
    <row r="341" ht="15.75" hidden="1" customHeight="1">
      <c r="A341" s="11" t="s">
        <v>115</v>
      </c>
      <c r="B341" s="11" t="s">
        <v>850</v>
      </c>
      <c r="C341" s="11" t="s">
        <v>3607</v>
      </c>
      <c r="D341" s="11" t="s">
        <v>120</v>
      </c>
      <c r="E341" s="11" t="s">
        <v>121</v>
      </c>
      <c r="F341" s="11" t="s">
        <v>216</v>
      </c>
      <c r="G341" s="12" t="str">
        <f>IFERROR(VLOOKUP(F341, DADOS_RM_EVENTOS_original!A:B, 2, FALSE), "Código não encontrado/Não digitado")</f>
        <v>Ferias Proporcionais</v>
      </c>
      <c r="H341" s="12" t="s">
        <v>68</v>
      </c>
      <c r="I341" s="12" t="str">
        <f>IFERROR(VLOOKUP(H341, DADOS_RM_EVENTOS_original!C:D, 2, FALSE), "Código não encontrado/Não digitado")</f>
        <v>Código não encontrado/Não digitado</v>
      </c>
      <c r="J341" s="12" t="s">
        <v>68</v>
      </c>
      <c r="K341" s="12" t="str">
        <f>IFERROR(VLOOKUP(J341, DADOS_RM_EVENTOS_original!E:J, 2, FALSE), "Código não encontrado/Não digitado")</f>
        <v>Código não encontrado/Não digitado</v>
      </c>
      <c r="L341" s="12" t="s">
        <v>68</v>
      </c>
      <c r="M341" s="12" t="str">
        <f>IFERROR(VLOOKUP(L341, DADOS_RM_EVENTOS_original!K:L, 2, FALSE), "Código não encontrado/Não digitado")</f>
        <v>Código não encontrado/Não digitado</v>
      </c>
    </row>
    <row r="342" ht="15.75" hidden="1" customHeight="1">
      <c r="A342" s="11" t="s">
        <v>172</v>
      </c>
      <c r="B342" s="11" t="s">
        <v>850</v>
      </c>
      <c r="C342" s="11" t="s">
        <v>3608</v>
      </c>
      <c r="D342" s="11" t="s">
        <v>120</v>
      </c>
      <c r="E342" s="11" t="s">
        <v>1029</v>
      </c>
      <c r="F342" s="11" t="s">
        <v>216</v>
      </c>
      <c r="G342" s="12" t="str">
        <f>IFERROR(VLOOKUP(F342, DADOS_RM_EVENTOS_original!A:B, 2, FALSE), "Código não encontrado/Não digitado")</f>
        <v>Ferias Proporcionais</v>
      </c>
      <c r="H342" s="12" t="s">
        <v>68</v>
      </c>
      <c r="I342" s="12" t="str">
        <f>IFERROR(VLOOKUP(H342, DADOS_RM_EVENTOS_original!C:D, 2, FALSE), "Código não encontrado/Não digitado")</f>
        <v>Código não encontrado/Não digitado</v>
      </c>
      <c r="J342" s="12" t="s">
        <v>68</v>
      </c>
      <c r="K342" s="12" t="str">
        <f>IFERROR(VLOOKUP(J342, DADOS_RM_EVENTOS_original!E:J, 2, FALSE), "Código não encontrado/Não digitado")</f>
        <v>Código não encontrado/Não digitado</v>
      </c>
      <c r="L342" s="12" t="s">
        <v>68</v>
      </c>
      <c r="M342" s="12" t="str">
        <f>IFERROR(VLOOKUP(L342, DADOS_RM_EVENTOS_original!K:L, 2, FALSE), "Código não encontrado/Não digitado")</f>
        <v>Código não encontrado/Não digitado</v>
      </c>
    </row>
    <row r="343" ht="15.75" hidden="1" customHeight="1">
      <c r="A343" s="11" t="s">
        <v>97</v>
      </c>
      <c r="B343" s="11" t="s">
        <v>850</v>
      </c>
      <c r="C343" s="11" t="s">
        <v>3608</v>
      </c>
      <c r="D343" s="11" t="s">
        <v>120</v>
      </c>
      <c r="E343" s="11" t="s">
        <v>972</v>
      </c>
      <c r="F343" s="11" t="s">
        <v>216</v>
      </c>
      <c r="G343" s="12" t="str">
        <f>IFERROR(VLOOKUP(F343, DADOS_RM_EVENTOS_original!A:B, 2, FALSE), "Código não encontrado/Não digitado")</f>
        <v>Ferias Proporcionais</v>
      </c>
      <c r="H343" s="12" t="s">
        <v>68</v>
      </c>
      <c r="I343" s="12" t="str">
        <f>IFERROR(VLOOKUP(H343, DADOS_RM_EVENTOS_original!C:D, 2, FALSE), "Código não encontrado/Não digitado")</f>
        <v>Código não encontrado/Não digitado</v>
      </c>
      <c r="J343" s="12" t="s">
        <v>68</v>
      </c>
      <c r="K343" s="12" t="str">
        <f>IFERROR(VLOOKUP(J343, DADOS_RM_EVENTOS_original!E:J, 2, FALSE), "Código não encontrado/Não digitado")</f>
        <v>Código não encontrado/Não digitado</v>
      </c>
      <c r="L343" s="12" t="s">
        <v>68</v>
      </c>
      <c r="M343" s="12" t="str">
        <f>IFERROR(VLOOKUP(L343, DADOS_RM_EVENTOS_original!K:L, 2, FALSE), "Código não encontrado/Não digitado")</f>
        <v>Código não encontrado/Não digitado</v>
      </c>
    </row>
    <row r="344" ht="15.75" hidden="1" customHeight="1">
      <c r="A344" s="11" t="s">
        <v>142</v>
      </c>
      <c r="B344" s="11" t="s">
        <v>850</v>
      </c>
      <c r="C344" s="11" t="s">
        <v>3608</v>
      </c>
      <c r="D344" s="11" t="s">
        <v>120</v>
      </c>
      <c r="E344" s="11" t="s">
        <v>985</v>
      </c>
      <c r="F344" s="11" t="s">
        <v>216</v>
      </c>
      <c r="G344" s="12" t="str">
        <f>IFERROR(VLOOKUP(F344, DADOS_RM_EVENTOS_original!A:B, 2, FALSE), "Código não encontrado/Não digitado")</f>
        <v>Ferias Proporcionais</v>
      </c>
      <c r="H344" s="12" t="s">
        <v>68</v>
      </c>
      <c r="I344" s="12" t="str">
        <f>IFERROR(VLOOKUP(H344, DADOS_RM_EVENTOS_original!C:D, 2, FALSE), "Código não encontrado/Não digitado")</f>
        <v>Código não encontrado/Não digitado</v>
      </c>
      <c r="J344" s="12" t="s">
        <v>68</v>
      </c>
      <c r="K344" s="12" t="str">
        <f>IFERROR(VLOOKUP(J344, DADOS_RM_EVENTOS_original!E:J, 2, FALSE), "Código não encontrado/Não digitado")</f>
        <v>Código não encontrado/Não digitado</v>
      </c>
      <c r="L344" s="12" t="s">
        <v>68</v>
      </c>
      <c r="M344" s="12" t="str">
        <f>IFERROR(VLOOKUP(L344, DADOS_RM_EVENTOS_original!K:L, 2, FALSE), "Código não encontrado/Não digitado")</f>
        <v>Código não encontrado/Não digitado</v>
      </c>
    </row>
    <row r="345" ht="15.75" hidden="1" customHeight="1">
      <c r="A345" s="11" t="s">
        <v>199</v>
      </c>
      <c r="B345" s="11" t="s">
        <v>850</v>
      </c>
      <c r="C345" s="11" t="s">
        <v>3608</v>
      </c>
      <c r="D345" s="11" t="s">
        <v>120</v>
      </c>
      <c r="E345" s="11" t="s">
        <v>1074</v>
      </c>
      <c r="F345" s="11" t="s">
        <v>216</v>
      </c>
      <c r="G345" s="12" t="str">
        <f>IFERROR(VLOOKUP(F345, DADOS_RM_EVENTOS_original!A:B, 2, FALSE), "Código não encontrado/Não digitado")</f>
        <v>Ferias Proporcionais</v>
      </c>
      <c r="H345" s="12" t="s">
        <v>68</v>
      </c>
      <c r="I345" s="12" t="str">
        <f>IFERROR(VLOOKUP(H345, DADOS_RM_EVENTOS_original!C:D, 2, FALSE), "Código não encontrado/Não digitado")</f>
        <v>Código não encontrado/Não digitado</v>
      </c>
      <c r="J345" s="12" t="s">
        <v>68</v>
      </c>
      <c r="K345" s="12" t="str">
        <f>IFERROR(VLOOKUP(J345, DADOS_RM_EVENTOS_original!E:J, 2, FALSE), "Código não encontrado/Não digitado")</f>
        <v>Código não encontrado/Não digitado</v>
      </c>
      <c r="L345" s="12" t="s">
        <v>68</v>
      </c>
      <c r="M345" s="12" t="str">
        <f>IFERROR(VLOOKUP(L345, DADOS_RM_EVENTOS_original!K:L, 2, FALSE), "Código não encontrado/Não digitado")</f>
        <v>Código não encontrado/Não digitado</v>
      </c>
    </row>
    <row r="346" ht="15.75" hidden="1" customHeight="1">
      <c r="A346" s="11" t="s">
        <v>38</v>
      </c>
      <c r="B346" s="11" t="s">
        <v>2821</v>
      </c>
      <c r="C346" s="11" t="s">
        <v>3609</v>
      </c>
      <c r="D346" s="11" t="s">
        <v>120</v>
      </c>
      <c r="E346" s="11" t="s">
        <v>47</v>
      </c>
      <c r="F346" s="11" t="s">
        <v>216</v>
      </c>
      <c r="G346" s="12" t="str">
        <f>IFERROR(VLOOKUP(F346, DADOS_RM_EVENTOS_original!A:B, 2, FALSE), "Código não encontrado/Não digitado")</f>
        <v>Ferias Proporcionais</v>
      </c>
      <c r="H346" s="12" t="s">
        <v>68</v>
      </c>
      <c r="I346" s="12" t="str">
        <f>IFERROR(VLOOKUP(H346, DADOS_RM_EVENTOS_original!C:D, 2, FALSE), "Código não encontrado/Não digitado")</f>
        <v>Código não encontrado/Não digitado</v>
      </c>
      <c r="J346" s="12" t="s">
        <v>68</v>
      </c>
      <c r="K346" s="12" t="str">
        <f>IFERROR(VLOOKUP(J346, DADOS_RM_EVENTOS_original!E:J, 2, FALSE), "Código não encontrado/Não digitado")</f>
        <v>Código não encontrado/Não digitado</v>
      </c>
      <c r="L346" s="12" t="s">
        <v>68</v>
      </c>
      <c r="M346" s="12" t="str">
        <f>IFERROR(VLOOKUP(L346, DADOS_RM_EVENTOS_original!K:L, 2, FALSE), "Código não encontrado/Não digitado")</f>
        <v>Código não encontrado/Não digitado</v>
      </c>
    </row>
    <row r="347" ht="15.75" hidden="1" customHeight="1">
      <c r="A347" s="11" t="s">
        <v>38</v>
      </c>
      <c r="B347" s="11" t="s">
        <v>845</v>
      </c>
      <c r="C347" s="11" t="s">
        <v>3610</v>
      </c>
      <c r="D347" s="11" t="s">
        <v>120</v>
      </c>
      <c r="E347" s="11" t="s">
        <v>47</v>
      </c>
      <c r="F347" s="11" t="s">
        <v>211</v>
      </c>
      <c r="G347" s="12" t="str">
        <f>IFERROR(VLOOKUP(F347, DADOS_RM_EVENTOS_original!A:B, 2, FALSE), "Código não encontrado/Não digitado")</f>
        <v>Ferias Indenizadas Rescisao</v>
      </c>
      <c r="H347" s="12" t="s">
        <v>68</v>
      </c>
      <c r="I347" s="12" t="str">
        <f>IFERROR(VLOOKUP(H347, DADOS_RM_EVENTOS_original!C:D, 2, FALSE), "Código não encontrado/Não digitado")</f>
        <v>Código não encontrado/Não digitado</v>
      </c>
      <c r="J347" s="12" t="s">
        <v>68</v>
      </c>
      <c r="K347" s="12" t="str">
        <f>IFERROR(VLOOKUP(J347, DADOS_RM_EVENTOS_original!E:J, 2, FALSE), "Código não encontrado/Não digitado")</f>
        <v>Código não encontrado/Não digitado</v>
      </c>
      <c r="L347" s="12" t="s">
        <v>68</v>
      </c>
      <c r="M347" s="12" t="str">
        <f>IFERROR(VLOOKUP(L347, DADOS_RM_EVENTOS_original!K:L, 2, FALSE), "Código não encontrado/Não digitado")</f>
        <v>Código não encontrado/Não digitado</v>
      </c>
    </row>
    <row r="348" ht="15.75" hidden="1" customHeight="1">
      <c r="A348" s="11" t="s">
        <v>115</v>
      </c>
      <c r="B348" s="11" t="s">
        <v>845</v>
      </c>
      <c r="C348" s="11" t="s">
        <v>3610</v>
      </c>
      <c r="D348" s="11" t="s">
        <v>120</v>
      </c>
      <c r="E348" s="11" t="s">
        <v>121</v>
      </c>
      <c r="F348" s="11" t="s">
        <v>211</v>
      </c>
      <c r="G348" s="12" t="str">
        <f>IFERROR(VLOOKUP(F348, DADOS_RM_EVENTOS_original!A:B, 2, FALSE), "Código não encontrado/Não digitado")</f>
        <v>Ferias Indenizadas Rescisao</v>
      </c>
      <c r="H348" s="12" t="s">
        <v>68</v>
      </c>
      <c r="I348" s="12" t="str">
        <f>IFERROR(VLOOKUP(H348, DADOS_RM_EVENTOS_original!C:D, 2, FALSE), "Código não encontrado/Não digitado")</f>
        <v>Código não encontrado/Não digitado</v>
      </c>
      <c r="J348" s="12" t="s">
        <v>68</v>
      </c>
      <c r="K348" s="12" t="str">
        <f>IFERROR(VLOOKUP(J348, DADOS_RM_EVENTOS_original!E:J, 2, FALSE), "Código não encontrado/Não digitado")</f>
        <v>Código não encontrado/Não digitado</v>
      </c>
      <c r="L348" s="12" t="s">
        <v>68</v>
      </c>
      <c r="M348" s="12" t="str">
        <f>IFERROR(VLOOKUP(L348, DADOS_RM_EVENTOS_original!K:L, 2, FALSE), "Código não encontrado/Não digitado")</f>
        <v>Código não encontrado/Não digitado</v>
      </c>
    </row>
    <row r="349" ht="15.75" hidden="1" customHeight="1">
      <c r="A349" s="11" t="s">
        <v>172</v>
      </c>
      <c r="B349" s="11" t="s">
        <v>845</v>
      </c>
      <c r="C349" s="11" t="s">
        <v>3611</v>
      </c>
      <c r="D349" s="11" t="s">
        <v>120</v>
      </c>
      <c r="E349" s="11" t="s">
        <v>1029</v>
      </c>
      <c r="F349" s="11" t="s">
        <v>211</v>
      </c>
      <c r="G349" s="12" t="str">
        <f>IFERROR(VLOOKUP(F349, DADOS_RM_EVENTOS_original!A:B, 2, FALSE), "Código não encontrado/Não digitado")</f>
        <v>Ferias Indenizadas Rescisao</v>
      </c>
      <c r="H349" s="12" t="s">
        <v>68</v>
      </c>
      <c r="I349" s="12" t="str">
        <f>IFERROR(VLOOKUP(H349, DADOS_RM_EVENTOS_original!C:D, 2, FALSE), "Código não encontrado/Não digitado")</f>
        <v>Código não encontrado/Não digitado</v>
      </c>
      <c r="J349" s="12" t="s">
        <v>68</v>
      </c>
      <c r="K349" s="12" t="str">
        <f>IFERROR(VLOOKUP(J349, DADOS_RM_EVENTOS_original!E:J, 2, FALSE), "Código não encontrado/Não digitado")</f>
        <v>Código não encontrado/Não digitado</v>
      </c>
      <c r="L349" s="12" t="s">
        <v>68</v>
      </c>
      <c r="M349" s="12" t="str">
        <f>IFERROR(VLOOKUP(L349, DADOS_RM_EVENTOS_original!K:L, 2, FALSE), "Código não encontrado/Não digitado")</f>
        <v>Código não encontrado/Não digitado</v>
      </c>
    </row>
    <row r="350" ht="15.75" hidden="1" customHeight="1">
      <c r="A350" s="11" t="s">
        <v>97</v>
      </c>
      <c r="B350" s="11" t="s">
        <v>845</v>
      </c>
      <c r="C350" s="11" t="s">
        <v>3611</v>
      </c>
      <c r="D350" s="11" t="s">
        <v>120</v>
      </c>
      <c r="E350" s="11" t="s">
        <v>972</v>
      </c>
      <c r="F350" s="11" t="s">
        <v>211</v>
      </c>
      <c r="G350" s="12" t="str">
        <f>IFERROR(VLOOKUP(F350, DADOS_RM_EVENTOS_original!A:B, 2, FALSE), "Código não encontrado/Não digitado")</f>
        <v>Ferias Indenizadas Rescisao</v>
      </c>
      <c r="H350" s="12" t="s">
        <v>68</v>
      </c>
      <c r="I350" s="12" t="str">
        <f>IFERROR(VLOOKUP(H350, DADOS_RM_EVENTOS_original!C:D, 2, FALSE), "Código não encontrado/Não digitado")</f>
        <v>Código não encontrado/Não digitado</v>
      </c>
      <c r="J350" s="12" t="s">
        <v>68</v>
      </c>
      <c r="K350" s="12" t="str">
        <f>IFERROR(VLOOKUP(J350, DADOS_RM_EVENTOS_original!E:J, 2, FALSE), "Código não encontrado/Não digitado")</f>
        <v>Código não encontrado/Não digitado</v>
      </c>
      <c r="L350" s="12" t="s">
        <v>68</v>
      </c>
      <c r="M350" s="12" t="str">
        <f>IFERROR(VLOOKUP(L350, DADOS_RM_EVENTOS_original!K:L, 2, FALSE), "Código não encontrado/Não digitado")</f>
        <v>Código não encontrado/Não digitado</v>
      </c>
    </row>
    <row r="351" ht="15.75" hidden="1" customHeight="1">
      <c r="A351" s="11" t="s">
        <v>142</v>
      </c>
      <c r="B351" s="11" t="s">
        <v>845</v>
      </c>
      <c r="C351" s="11" t="s">
        <v>3611</v>
      </c>
      <c r="D351" s="11" t="s">
        <v>120</v>
      </c>
      <c r="E351" s="11" t="s">
        <v>985</v>
      </c>
      <c r="F351" s="11" t="s">
        <v>211</v>
      </c>
      <c r="G351" s="12" t="str">
        <f>IFERROR(VLOOKUP(F351, DADOS_RM_EVENTOS_original!A:B, 2, FALSE), "Código não encontrado/Não digitado")</f>
        <v>Ferias Indenizadas Rescisao</v>
      </c>
      <c r="H351" s="12" t="s">
        <v>68</v>
      </c>
      <c r="I351" s="12" t="str">
        <f>IFERROR(VLOOKUP(H351, DADOS_RM_EVENTOS_original!C:D, 2, FALSE), "Código não encontrado/Não digitado")</f>
        <v>Código não encontrado/Não digitado</v>
      </c>
      <c r="J351" s="12" t="s">
        <v>68</v>
      </c>
      <c r="K351" s="12" t="str">
        <f>IFERROR(VLOOKUP(J351, DADOS_RM_EVENTOS_original!E:J, 2, FALSE), "Código não encontrado/Não digitado")</f>
        <v>Código não encontrado/Não digitado</v>
      </c>
      <c r="L351" s="12" t="s">
        <v>68</v>
      </c>
      <c r="M351" s="12" t="str">
        <f>IFERROR(VLOOKUP(L351, DADOS_RM_EVENTOS_original!K:L, 2, FALSE), "Código não encontrado/Não digitado")</f>
        <v>Código não encontrado/Não digitado</v>
      </c>
    </row>
    <row r="352" ht="15.75" hidden="1" customHeight="1">
      <c r="A352" s="11" t="s">
        <v>172</v>
      </c>
      <c r="B352" s="11" t="s">
        <v>354</v>
      </c>
      <c r="C352" s="11" t="s">
        <v>3612</v>
      </c>
      <c r="D352" s="11" t="s">
        <v>96</v>
      </c>
      <c r="E352" s="11" t="s">
        <v>1029</v>
      </c>
      <c r="F352" s="11" t="s">
        <v>99</v>
      </c>
      <c r="G352" s="12" t="str">
        <f>IFERROR(VLOOKUP(F352, DADOS_RM_EVENTOS_original!A:B, 2, FALSE), "Código não encontrado/Não digitado")</f>
        <v>Código não encontrado/Não digitado</v>
      </c>
      <c r="H352" s="12" t="s">
        <v>68</v>
      </c>
      <c r="I352" s="12" t="str">
        <f>IFERROR(VLOOKUP(H352, DADOS_RM_EVENTOS_original!C:D, 2, FALSE), "Código não encontrado/Não digitado")</f>
        <v>Código não encontrado/Não digitado</v>
      </c>
      <c r="J352" s="12" t="s">
        <v>68</v>
      </c>
      <c r="K352" s="12" t="str">
        <f>IFERROR(VLOOKUP(J352, DADOS_RM_EVENTOS_original!E:J, 2, FALSE), "Código não encontrado/Não digitado")</f>
        <v>Código não encontrado/Não digitado</v>
      </c>
      <c r="L352" s="12" t="s">
        <v>68</v>
      </c>
      <c r="M352" s="12" t="str">
        <f>IFERROR(VLOOKUP(L352, DADOS_RM_EVENTOS_original!K:L, 2, FALSE), "Código não encontrado/Não digitado")</f>
        <v>Código não encontrado/Não digitado</v>
      </c>
    </row>
    <row r="353" ht="15.75" hidden="1" customHeight="1">
      <c r="A353" s="11" t="s">
        <v>97</v>
      </c>
      <c r="B353" s="11" t="s">
        <v>354</v>
      </c>
      <c r="C353" s="11" t="s">
        <v>3612</v>
      </c>
      <c r="D353" s="11" t="s">
        <v>96</v>
      </c>
      <c r="E353" s="11" t="s">
        <v>972</v>
      </c>
      <c r="F353" s="11" t="s">
        <v>99</v>
      </c>
      <c r="G353" s="12" t="str">
        <f>IFERROR(VLOOKUP(F353, DADOS_RM_EVENTOS_original!A:B, 2, FALSE), "Código não encontrado/Não digitado")</f>
        <v>Código não encontrado/Não digitado</v>
      </c>
      <c r="H353" s="12" t="s">
        <v>68</v>
      </c>
      <c r="I353" s="12" t="str">
        <f>IFERROR(VLOOKUP(H353, DADOS_RM_EVENTOS_original!C:D, 2, FALSE), "Código não encontrado/Não digitado")</f>
        <v>Código não encontrado/Não digitado</v>
      </c>
      <c r="J353" s="12" t="s">
        <v>68</v>
      </c>
      <c r="K353" s="12" t="str">
        <f>IFERROR(VLOOKUP(J353, DADOS_RM_EVENTOS_original!E:J, 2, FALSE), "Código não encontrado/Não digitado")</f>
        <v>Código não encontrado/Não digitado</v>
      </c>
      <c r="L353" s="12" t="s">
        <v>68</v>
      </c>
      <c r="M353" s="12" t="str">
        <f>IFERROR(VLOOKUP(L353, DADOS_RM_EVENTOS_original!K:L, 2, FALSE), "Código não encontrado/Não digitado")</f>
        <v>Código não encontrado/Não digitado</v>
      </c>
    </row>
    <row r="354" ht="15.75" hidden="1" customHeight="1">
      <c r="A354" s="11" t="s">
        <v>142</v>
      </c>
      <c r="B354" s="11" t="s">
        <v>354</v>
      </c>
      <c r="C354" s="11" t="s">
        <v>3612</v>
      </c>
      <c r="D354" s="11" t="s">
        <v>96</v>
      </c>
      <c r="E354" s="11" t="s">
        <v>985</v>
      </c>
      <c r="F354" s="11" t="s">
        <v>99</v>
      </c>
      <c r="G354" s="12" t="str">
        <f>IFERROR(VLOOKUP(F354, DADOS_RM_EVENTOS_original!A:B, 2, FALSE), "Código não encontrado/Não digitado")</f>
        <v>Código não encontrado/Não digitado</v>
      </c>
      <c r="H354" s="12" t="s">
        <v>68</v>
      </c>
      <c r="I354" s="12" t="str">
        <f>IFERROR(VLOOKUP(H354, DADOS_RM_EVENTOS_original!C:D, 2, FALSE), "Código não encontrado/Não digitado")</f>
        <v>Código não encontrado/Não digitado</v>
      </c>
      <c r="J354" s="12" t="s">
        <v>68</v>
      </c>
      <c r="K354" s="12" t="str">
        <f>IFERROR(VLOOKUP(J354, DADOS_RM_EVENTOS_original!E:J, 2, FALSE), "Código não encontrado/Não digitado")</f>
        <v>Código não encontrado/Não digitado</v>
      </c>
      <c r="L354" s="12" t="s">
        <v>68</v>
      </c>
      <c r="M354" s="12" t="str">
        <f>IFERROR(VLOOKUP(L354, DADOS_RM_EVENTOS_original!K:L, 2, FALSE), "Código não encontrado/Não digitado")</f>
        <v>Código não encontrado/Não digitado</v>
      </c>
    </row>
    <row r="355" ht="15.75" hidden="1" customHeight="1">
      <c r="A355" s="11" t="s">
        <v>199</v>
      </c>
      <c r="B355" s="11" t="s">
        <v>354</v>
      </c>
      <c r="C355" s="11" t="s">
        <v>3612</v>
      </c>
      <c r="D355" s="11" t="s">
        <v>96</v>
      </c>
      <c r="E355" s="11" t="s">
        <v>1074</v>
      </c>
      <c r="F355" s="11" t="s">
        <v>99</v>
      </c>
      <c r="G355" s="12" t="str">
        <f>IFERROR(VLOOKUP(F355, DADOS_RM_EVENTOS_original!A:B, 2, FALSE), "Código não encontrado/Não digitado")</f>
        <v>Código não encontrado/Não digitado</v>
      </c>
      <c r="H355" s="12" t="s">
        <v>68</v>
      </c>
      <c r="I355" s="12" t="str">
        <f>IFERROR(VLOOKUP(H355, DADOS_RM_EVENTOS_original!C:D, 2, FALSE), "Código não encontrado/Não digitado")</f>
        <v>Código não encontrado/Não digitado</v>
      </c>
      <c r="J355" s="12" t="s">
        <v>68</v>
      </c>
      <c r="K355" s="12" t="str">
        <f>IFERROR(VLOOKUP(J355, DADOS_RM_EVENTOS_original!E:J, 2, FALSE), "Código não encontrado/Não digitado")</f>
        <v>Código não encontrado/Não digitado</v>
      </c>
      <c r="L355" s="12" t="s">
        <v>68</v>
      </c>
      <c r="M355" s="12" t="str">
        <f>IFERROR(VLOOKUP(L355, DADOS_RM_EVENTOS_original!K:L, 2, FALSE), "Código não encontrado/Não digitado")</f>
        <v>Código não encontrado/Não digitado</v>
      </c>
    </row>
    <row r="356" ht="15.75" hidden="1" customHeight="1">
      <c r="A356" s="11" t="s">
        <v>38</v>
      </c>
      <c r="B356" s="11" t="s">
        <v>3613</v>
      </c>
      <c r="C356" s="11" t="s">
        <v>3614</v>
      </c>
      <c r="D356" s="11" t="s">
        <v>96</v>
      </c>
      <c r="E356" s="11" t="s">
        <v>47</v>
      </c>
      <c r="F356" s="11" t="s">
        <v>99</v>
      </c>
      <c r="G356" s="12" t="str">
        <f>IFERROR(VLOOKUP(F356, DADOS_RM_EVENTOS_original!A:B, 2, FALSE), "Código não encontrado/Não digitado")</f>
        <v>Código não encontrado/Não digitado</v>
      </c>
      <c r="H356" s="12" t="s">
        <v>68</v>
      </c>
      <c r="I356" s="12" t="str">
        <f>IFERROR(VLOOKUP(H356, DADOS_RM_EVENTOS_original!C:D, 2, FALSE), "Código não encontrado/Não digitado")</f>
        <v>Código não encontrado/Não digitado</v>
      </c>
      <c r="J356" s="12" t="s">
        <v>68</v>
      </c>
      <c r="K356" s="12" t="str">
        <f>IFERROR(VLOOKUP(J356, DADOS_RM_EVENTOS_original!E:J, 2, FALSE), "Código não encontrado/Não digitado")</f>
        <v>Código não encontrado/Não digitado</v>
      </c>
      <c r="L356" s="12" t="s">
        <v>68</v>
      </c>
      <c r="M356" s="12" t="str">
        <f>IFERROR(VLOOKUP(L356, DADOS_RM_EVENTOS_original!K:L, 2, FALSE), "Código não encontrado/Não digitado")</f>
        <v>Código não encontrado/Não digitado</v>
      </c>
    </row>
    <row r="357" ht="15.75" hidden="1" customHeight="1">
      <c r="A357" s="11" t="s">
        <v>38</v>
      </c>
      <c r="B357" s="11" t="s">
        <v>3386</v>
      </c>
      <c r="C357" s="11" t="s">
        <v>3615</v>
      </c>
      <c r="D357" s="11" t="s">
        <v>96</v>
      </c>
      <c r="E357" s="11" t="s">
        <v>47</v>
      </c>
      <c r="F357" s="11" t="s">
        <v>99</v>
      </c>
      <c r="G357" s="12" t="str">
        <f>IFERROR(VLOOKUP(F357, DADOS_RM_EVENTOS_original!A:B, 2, FALSE), "Código não encontrado/Não digitado")</f>
        <v>Código não encontrado/Não digitado</v>
      </c>
      <c r="H357" s="12" t="s">
        <v>68</v>
      </c>
      <c r="I357" s="12" t="str">
        <f>IFERROR(VLOOKUP(H357, DADOS_RM_EVENTOS_original!C:D, 2, FALSE), "Código não encontrado/Não digitado")</f>
        <v>Código não encontrado/Não digitado</v>
      </c>
      <c r="J357" s="12" t="s">
        <v>68</v>
      </c>
      <c r="K357" s="12" t="str">
        <f>IFERROR(VLOOKUP(J357, DADOS_RM_EVENTOS_original!E:J, 2, FALSE), "Código não encontrado/Não digitado")</f>
        <v>Código não encontrado/Não digitado</v>
      </c>
      <c r="L357" s="12" t="s">
        <v>68</v>
      </c>
      <c r="M357" s="12" t="str">
        <f>IFERROR(VLOOKUP(L357, DADOS_RM_EVENTOS_original!K:L, 2, FALSE), "Código não encontrado/Não digitado")</f>
        <v>Código não encontrado/Não digitado</v>
      </c>
    </row>
    <row r="358" ht="15.75" hidden="1" customHeight="1">
      <c r="A358" s="11" t="s">
        <v>115</v>
      </c>
      <c r="B358" s="11" t="s">
        <v>3386</v>
      </c>
      <c r="C358" s="11" t="s">
        <v>3615</v>
      </c>
      <c r="D358" s="11" t="s">
        <v>96</v>
      </c>
      <c r="E358" s="11" t="s">
        <v>121</v>
      </c>
      <c r="F358" s="11" t="s">
        <v>99</v>
      </c>
      <c r="G358" s="12" t="str">
        <f>IFERROR(VLOOKUP(F358, DADOS_RM_EVENTOS_original!A:B, 2, FALSE), "Código não encontrado/Não digitado")</f>
        <v>Código não encontrado/Não digitado</v>
      </c>
      <c r="H358" s="12" t="s">
        <v>68</v>
      </c>
      <c r="I358" s="12" t="str">
        <f>IFERROR(VLOOKUP(H358, DADOS_RM_EVENTOS_original!C:D, 2, FALSE), "Código não encontrado/Não digitado")</f>
        <v>Código não encontrado/Não digitado</v>
      </c>
      <c r="J358" s="12" t="s">
        <v>68</v>
      </c>
      <c r="K358" s="12" t="str">
        <f>IFERROR(VLOOKUP(J358, DADOS_RM_EVENTOS_original!E:J, 2, FALSE), "Código não encontrado/Não digitado")</f>
        <v>Código não encontrado/Não digitado</v>
      </c>
      <c r="L358" s="12" t="s">
        <v>68</v>
      </c>
      <c r="M358" s="12" t="str">
        <f>IFERROR(VLOOKUP(L358, DADOS_RM_EVENTOS_original!K:L, 2, FALSE), "Código não encontrado/Não digitado")</f>
        <v>Código não encontrado/Não digitado</v>
      </c>
    </row>
    <row r="359" ht="15.75" hidden="1" customHeight="1">
      <c r="A359" s="11" t="s">
        <v>172</v>
      </c>
      <c r="B359" s="11" t="s">
        <v>970</v>
      </c>
      <c r="C359" s="11" t="s">
        <v>3615</v>
      </c>
      <c r="D359" s="11" t="s">
        <v>96</v>
      </c>
      <c r="E359" s="11" t="s">
        <v>1029</v>
      </c>
      <c r="F359" s="11" t="s">
        <v>99</v>
      </c>
      <c r="G359" s="12" t="str">
        <f>IFERROR(VLOOKUP(F359, DADOS_RM_EVENTOS_original!A:B, 2, FALSE), "Código não encontrado/Não digitado")</f>
        <v>Código não encontrado/Não digitado</v>
      </c>
      <c r="H359" s="12" t="s">
        <v>68</v>
      </c>
      <c r="I359" s="12" t="str">
        <f>IFERROR(VLOOKUP(H359, DADOS_RM_EVENTOS_original!C:D, 2, FALSE), "Código não encontrado/Não digitado")</f>
        <v>Código não encontrado/Não digitado</v>
      </c>
      <c r="J359" s="12" t="s">
        <v>68</v>
      </c>
      <c r="K359" s="12" t="str">
        <f>IFERROR(VLOOKUP(J359, DADOS_RM_EVENTOS_original!E:J, 2, FALSE), "Código não encontrado/Não digitado")</f>
        <v>Código não encontrado/Não digitado</v>
      </c>
      <c r="L359" s="12" t="s">
        <v>68</v>
      </c>
      <c r="M359" s="12" t="str">
        <f>IFERROR(VLOOKUP(L359, DADOS_RM_EVENTOS_original!K:L, 2, FALSE), "Código não encontrado/Não digitado")</f>
        <v>Código não encontrado/Não digitado</v>
      </c>
    </row>
    <row r="360" ht="15.75" hidden="1" customHeight="1">
      <c r="A360" s="11" t="s">
        <v>97</v>
      </c>
      <c r="B360" s="11" t="s">
        <v>3616</v>
      </c>
      <c r="C360" s="11" t="s">
        <v>3615</v>
      </c>
      <c r="D360" s="11" t="s">
        <v>96</v>
      </c>
      <c r="E360" s="11" t="s">
        <v>972</v>
      </c>
      <c r="F360" s="11" t="s">
        <v>99</v>
      </c>
      <c r="G360" s="12" t="str">
        <f>IFERROR(VLOOKUP(F360, DADOS_RM_EVENTOS_original!A:B, 2, FALSE), "Código não encontrado/Não digitado")</f>
        <v>Código não encontrado/Não digitado</v>
      </c>
      <c r="H360" s="12" t="s">
        <v>68</v>
      </c>
      <c r="I360" s="12" t="str">
        <f>IFERROR(VLOOKUP(H360, DADOS_RM_EVENTOS_original!C:D, 2, FALSE), "Código não encontrado/Não digitado")</f>
        <v>Código não encontrado/Não digitado</v>
      </c>
      <c r="J360" s="12" t="s">
        <v>68</v>
      </c>
      <c r="K360" s="12" t="str">
        <f>IFERROR(VLOOKUP(J360, DADOS_RM_EVENTOS_original!E:J, 2, FALSE), "Código não encontrado/Não digitado")</f>
        <v>Código não encontrado/Não digitado</v>
      </c>
      <c r="L360" s="12" t="s">
        <v>68</v>
      </c>
      <c r="M360" s="12" t="str">
        <f>IFERROR(VLOOKUP(L360, DADOS_RM_EVENTOS_original!K:L, 2, FALSE), "Código não encontrado/Não digitado")</f>
        <v>Código não encontrado/Não digitado</v>
      </c>
    </row>
    <row r="361" ht="15.75" hidden="1" customHeight="1">
      <c r="A361" s="11" t="s">
        <v>142</v>
      </c>
      <c r="B361" s="11" t="s">
        <v>1159</v>
      </c>
      <c r="C361" s="11" t="s">
        <v>3615</v>
      </c>
      <c r="D361" s="11" t="s">
        <v>96</v>
      </c>
      <c r="E361" s="11" t="s">
        <v>985</v>
      </c>
      <c r="F361" s="11" t="s">
        <v>99</v>
      </c>
      <c r="G361" s="12" t="str">
        <f>IFERROR(VLOOKUP(F361, DADOS_RM_EVENTOS_original!A:B, 2, FALSE), "Código não encontrado/Não digitado")</f>
        <v>Código não encontrado/Não digitado</v>
      </c>
      <c r="H361" s="12" t="s">
        <v>68</v>
      </c>
      <c r="I361" s="12" t="str">
        <f>IFERROR(VLOOKUP(H361, DADOS_RM_EVENTOS_original!C:D, 2, FALSE), "Código não encontrado/Não digitado")</f>
        <v>Código não encontrado/Não digitado</v>
      </c>
      <c r="J361" s="12" t="s">
        <v>68</v>
      </c>
      <c r="K361" s="12" t="str">
        <f>IFERROR(VLOOKUP(J361, DADOS_RM_EVENTOS_original!E:J, 2, FALSE), "Código não encontrado/Não digitado")</f>
        <v>Código não encontrado/Não digitado</v>
      </c>
      <c r="L361" s="12" t="s">
        <v>68</v>
      </c>
      <c r="M361" s="12" t="str">
        <f>IFERROR(VLOOKUP(L361, DADOS_RM_EVENTOS_original!K:L, 2, FALSE), "Código não encontrado/Não digitado")</f>
        <v>Código não encontrado/Não digitado</v>
      </c>
    </row>
    <row r="362" ht="15.75" hidden="1" customHeight="1">
      <c r="A362" s="11" t="s">
        <v>172</v>
      </c>
      <c r="B362" s="11" t="s">
        <v>383</v>
      </c>
      <c r="C362" s="11" t="s">
        <v>3617</v>
      </c>
      <c r="D362" s="11" t="s">
        <v>96</v>
      </c>
      <c r="E362" s="11" t="s">
        <v>1029</v>
      </c>
      <c r="F362" s="11" t="s">
        <v>99</v>
      </c>
      <c r="G362" s="12" t="str">
        <f>IFERROR(VLOOKUP(F362, DADOS_RM_EVENTOS_original!A:B, 2, FALSE), "Código não encontrado/Não digitado")</f>
        <v>Código não encontrado/Não digitado</v>
      </c>
      <c r="H362" s="12" t="s">
        <v>68</v>
      </c>
      <c r="I362" s="12" t="str">
        <f>IFERROR(VLOOKUP(H362, DADOS_RM_EVENTOS_original!C:D, 2, FALSE), "Código não encontrado/Não digitado")</f>
        <v>Código não encontrado/Não digitado</v>
      </c>
      <c r="J362" s="12" t="s">
        <v>68</v>
      </c>
      <c r="K362" s="12" t="str">
        <f>IFERROR(VLOOKUP(J362, DADOS_RM_EVENTOS_original!E:J, 2, FALSE), "Código não encontrado/Não digitado")</f>
        <v>Código não encontrado/Não digitado</v>
      </c>
      <c r="L362" s="12" t="s">
        <v>68</v>
      </c>
      <c r="M362" s="12" t="str">
        <f>IFERROR(VLOOKUP(L362, DADOS_RM_EVENTOS_original!K:L, 2, FALSE), "Código não encontrado/Não digitado")</f>
        <v>Código não encontrado/Não digitado</v>
      </c>
    </row>
    <row r="363" ht="15.75" hidden="1" customHeight="1">
      <c r="A363" s="11" t="s">
        <v>97</v>
      </c>
      <c r="B363" s="11" t="s">
        <v>383</v>
      </c>
      <c r="C363" s="11" t="s">
        <v>3617</v>
      </c>
      <c r="D363" s="11" t="s">
        <v>96</v>
      </c>
      <c r="E363" s="11" t="s">
        <v>972</v>
      </c>
      <c r="F363" s="11" t="s">
        <v>99</v>
      </c>
      <c r="G363" s="12" t="str">
        <f>IFERROR(VLOOKUP(F363, DADOS_RM_EVENTOS_original!A:B, 2, FALSE), "Código não encontrado/Não digitado")</f>
        <v>Código não encontrado/Não digitado</v>
      </c>
      <c r="H363" s="12" t="s">
        <v>68</v>
      </c>
      <c r="I363" s="12" t="str">
        <f>IFERROR(VLOOKUP(H363, DADOS_RM_EVENTOS_original!C:D, 2, FALSE), "Código não encontrado/Não digitado")</f>
        <v>Código não encontrado/Não digitado</v>
      </c>
      <c r="J363" s="12" t="s">
        <v>68</v>
      </c>
      <c r="K363" s="12" t="str">
        <f>IFERROR(VLOOKUP(J363, DADOS_RM_EVENTOS_original!E:J, 2, FALSE), "Código não encontrado/Não digitado")</f>
        <v>Código não encontrado/Não digitado</v>
      </c>
      <c r="L363" s="12" t="s">
        <v>68</v>
      </c>
      <c r="M363" s="12" t="str">
        <f>IFERROR(VLOOKUP(L363, DADOS_RM_EVENTOS_original!K:L, 2, FALSE), "Código não encontrado/Não digitado")</f>
        <v>Código não encontrado/Não digitado</v>
      </c>
    </row>
    <row r="364" ht="15.75" hidden="1" customHeight="1">
      <c r="A364" s="11" t="s">
        <v>142</v>
      </c>
      <c r="B364" s="11" t="s">
        <v>383</v>
      </c>
      <c r="C364" s="11" t="s">
        <v>3617</v>
      </c>
      <c r="D364" s="11" t="s">
        <v>96</v>
      </c>
      <c r="E364" s="11" t="s">
        <v>985</v>
      </c>
      <c r="F364" s="11" t="s">
        <v>99</v>
      </c>
      <c r="G364" s="12" t="str">
        <f>IFERROR(VLOOKUP(F364, DADOS_RM_EVENTOS_original!A:B, 2, FALSE), "Código não encontrado/Não digitado")</f>
        <v>Código não encontrado/Não digitado</v>
      </c>
      <c r="H364" s="12" t="s">
        <v>68</v>
      </c>
      <c r="I364" s="12" t="str">
        <f>IFERROR(VLOOKUP(H364, DADOS_RM_EVENTOS_original!C:D, 2, FALSE), "Código não encontrado/Não digitado")</f>
        <v>Código não encontrado/Não digitado</v>
      </c>
      <c r="J364" s="12" t="s">
        <v>68</v>
      </c>
      <c r="K364" s="12" t="str">
        <f>IFERROR(VLOOKUP(J364, DADOS_RM_EVENTOS_original!E:J, 2, FALSE), "Código não encontrado/Não digitado")</f>
        <v>Código não encontrado/Não digitado</v>
      </c>
      <c r="L364" s="12" t="s">
        <v>68</v>
      </c>
      <c r="M364" s="12" t="str">
        <f>IFERROR(VLOOKUP(L364, DADOS_RM_EVENTOS_original!K:L, 2, FALSE), "Código não encontrado/Não digitado")</f>
        <v>Código não encontrado/Não digitado</v>
      </c>
    </row>
    <row r="365" ht="15.75" hidden="1" customHeight="1">
      <c r="A365" s="11" t="s">
        <v>199</v>
      </c>
      <c r="B365" s="11" t="s">
        <v>383</v>
      </c>
      <c r="C365" s="11" t="s">
        <v>3617</v>
      </c>
      <c r="D365" s="11" t="s">
        <v>96</v>
      </c>
      <c r="E365" s="11" t="s">
        <v>1074</v>
      </c>
      <c r="F365" s="11" t="s">
        <v>99</v>
      </c>
      <c r="G365" s="12" t="str">
        <f>IFERROR(VLOOKUP(F365, DADOS_RM_EVENTOS_original!A:B, 2, FALSE), "Código não encontrado/Não digitado")</f>
        <v>Código não encontrado/Não digitado</v>
      </c>
      <c r="H365" s="12" t="s">
        <v>68</v>
      </c>
      <c r="I365" s="12" t="str">
        <f>IFERROR(VLOOKUP(H365, DADOS_RM_EVENTOS_original!C:D, 2, FALSE), "Código não encontrado/Não digitado")</f>
        <v>Código não encontrado/Não digitado</v>
      </c>
      <c r="J365" s="12" t="s">
        <v>68</v>
      </c>
      <c r="K365" s="12" t="str">
        <f>IFERROR(VLOOKUP(J365, DADOS_RM_EVENTOS_original!E:J, 2, FALSE), "Código não encontrado/Não digitado")</f>
        <v>Código não encontrado/Não digitado</v>
      </c>
      <c r="L365" s="12" t="s">
        <v>68</v>
      </c>
      <c r="M365" s="12" t="str">
        <f>IFERROR(VLOOKUP(L365, DADOS_RM_EVENTOS_original!K:L, 2, FALSE), "Código não encontrado/Não digitado")</f>
        <v>Código não encontrado/Não digitado</v>
      </c>
    </row>
    <row r="366" ht="15.75" hidden="1" customHeight="1">
      <c r="A366" s="11" t="s">
        <v>199</v>
      </c>
      <c r="B366" s="11" t="s">
        <v>2033</v>
      </c>
      <c r="C366" s="11" t="s">
        <v>3618</v>
      </c>
      <c r="D366" s="11" t="s">
        <v>96</v>
      </c>
      <c r="E366" s="11" t="s">
        <v>1074</v>
      </c>
      <c r="F366" s="11" t="s">
        <v>99</v>
      </c>
      <c r="G366" s="12" t="str">
        <f>IFERROR(VLOOKUP(F366, DADOS_RM_EVENTOS_original!A:B, 2, FALSE), "Código não encontrado/Não digitado")</f>
        <v>Código não encontrado/Não digitado</v>
      </c>
      <c r="H366" s="12" t="s">
        <v>68</v>
      </c>
      <c r="I366" s="12" t="str">
        <f>IFERROR(VLOOKUP(H366, DADOS_RM_EVENTOS_original!C:D, 2, FALSE), "Código não encontrado/Não digitado")</f>
        <v>Código não encontrado/Não digitado</v>
      </c>
      <c r="J366" s="12" t="s">
        <v>68</v>
      </c>
      <c r="K366" s="12" t="str">
        <f>IFERROR(VLOOKUP(J366, DADOS_RM_EVENTOS_original!E:J, 2, FALSE), "Código não encontrado/Não digitado")</f>
        <v>Código não encontrado/Não digitado</v>
      </c>
      <c r="L366" s="12" t="s">
        <v>68</v>
      </c>
      <c r="M366" s="12" t="str">
        <f>IFERROR(VLOOKUP(L366, DADOS_RM_EVENTOS_original!K:L, 2, FALSE), "Código não encontrado/Não digitado")</f>
        <v>Código não encontrado/Não digitado</v>
      </c>
    </row>
    <row r="367" ht="15.75" hidden="1" customHeight="1">
      <c r="A367" s="11" t="s">
        <v>172</v>
      </c>
      <c r="B367" s="11" t="s">
        <v>408</v>
      </c>
      <c r="C367" s="11" t="s">
        <v>3619</v>
      </c>
      <c r="D367" s="11" t="s">
        <v>96</v>
      </c>
      <c r="E367" s="11" t="s">
        <v>1029</v>
      </c>
      <c r="F367" s="11" t="s">
        <v>99</v>
      </c>
      <c r="G367" s="12" t="str">
        <f>IFERROR(VLOOKUP(F367, DADOS_RM_EVENTOS_original!A:B, 2, FALSE), "Código não encontrado/Não digitado")</f>
        <v>Código não encontrado/Não digitado</v>
      </c>
      <c r="H367" s="12" t="s">
        <v>68</v>
      </c>
      <c r="I367" s="12" t="str">
        <f>IFERROR(VLOOKUP(H367, DADOS_RM_EVENTOS_original!C:D, 2, FALSE), "Código não encontrado/Não digitado")</f>
        <v>Código não encontrado/Não digitado</v>
      </c>
      <c r="J367" s="12" t="s">
        <v>68</v>
      </c>
      <c r="K367" s="12" t="str">
        <f>IFERROR(VLOOKUP(J367, DADOS_RM_EVENTOS_original!E:J, 2, FALSE), "Código não encontrado/Não digitado")</f>
        <v>Código não encontrado/Não digitado</v>
      </c>
      <c r="L367" s="12" t="s">
        <v>68</v>
      </c>
      <c r="M367" s="12" t="str">
        <f>IFERROR(VLOOKUP(L367, DADOS_RM_EVENTOS_original!K:L, 2, FALSE), "Código não encontrado/Não digitado")</f>
        <v>Código não encontrado/Não digitado</v>
      </c>
    </row>
    <row r="368" ht="15.75" hidden="1" customHeight="1">
      <c r="A368" s="11" t="s">
        <v>97</v>
      </c>
      <c r="B368" s="11" t="s">
        <v>408</v>
      </c>
      <c r="C368" s="11" t="s">
        <v>3619</v>
      </c>
      <c r="D368" s="11" t="s">
        <v>96</v>
      </c>
      <c r="E368" s="11" t="s">
        <v>972</v>
      </c>
      <c r="F368" s="11" t="s">
        <v>99</v>
      </c>
      <c r="G368" s="12" t="str">
        <f>IFERROR(VLOOKUP(F368, DADOS_RM_EVENTOS_original!A:B, 2, FALSE), "Código não encontrado/Não digitado")</f>
        <v>Código não encontrado/Não digitado</v>
      </c>
      <c r="H368" s="12" t="s">
        <v>68</v>
      </c>
      <c r="I368" s="12" t="str">
        <f>IFERROR(VLOOKUP(H368, DADOS_RM_EVENTOS_original!C:D, 2, FALSE), "Código não encontrado/Não digitado")</f>
        <v>Código não encontrado/Não digitado</v>
      </c>
      <c r="J368" s="12" t="s">
        <v>68</v>
      </c>
      <c r="K368" s="12" t="str">
        <f>IFERROR(VLOOKUP(J368, DADOS_RM_EVENTOS_original!E:J, 2, FALSE), "Código não encontrado/Não digitado")</f>
        <v>Código não encontrado/Não digitado</v>
      </c>
      <c r="L368" s="12" t="s">
        <v>68</v>
      </c>
      <c r="M368" s="12" t="str">
        <f>IFERROR(VLOOKUP(L368, DADOS_RM_EVENTOS_original!K:L, 2, FALSE), "Código não encontrado/Não digitado")</f>
        <v>Código não encontrado/Não digitado</v>
      </c>
    </row>
    <row r="369" ht="15.75" hidden="1" customHeight="1">
      <c r="A369" s="11" t="s">
        <v>142</v>
      </c>
      <c r="B369" s="11" t="s">
        <v>408</v>
      </c>
      <c r="C369" s="11" t="s">
        <v>3619</v>
      </c>
      <c r="D369" s="11" t="s">
        <v>96</v>
      </c>
      <c r="E369" s="11" t="s">
        <v>985</v>
      </c>
      <c r="F369" s="11" t="s">
        <v>99</v>
      </c>
      <c r="G369" s="12" t="str">
        <f>IFERROR(VLOOKUP(F369, DADOS_RM_EVENTOS_original!A:B, 2, FALSE), "Código não encontrado/Não digitado")</f>
        <v>Código não encontrado/Não digitado</v>
      </c>
      <c r="H369" s="12" t="s">
        <v>68</v>
      </c>
      <c r="I369" s="12" t="str">
        <f>IFERROR(VLOOKUP(H369, DADOS_RM_EVENTOS_original!C:D, 2, FALSE), "Código não encontrado/Não digitado")</f>
        <v>Código não encontrado/Não digitado</v>
      </c>
      <c r="J369" s="12" t="s">
        <v>68</v>
      </c>
      <c r="K369" s="12" t="str">
        <f>IFERROR(VLOOKUP(J369, DADOS_RM_EVENTOS_original!E:J, 2, FALSE), "Código não encontrado/Não digitado")</f>
        <v>Código não encontrado/Não digitado</v>
      </c>
      <c r="L369" s="12" t="s">
        <v>68</v>
      </c>
      <c r="M369" s="12" t="str">
        <f>IFERROR(VLOOKUP(L369, DADOS_RM_EVENTOS_original!K:L, 2, FALSE), "Código não encontrado/Não digitado")</f>
        <v>Código não encontrado/Não digitado</v>
      </c>
    </row>
    <row r="370" ht="15.75" hidden="1" customHeight="1">
      <c r="A370" s="11" t="s">
        <v>38</v>
      </c>
      <c r="B370" s="11" t="s">
        <v>670</v>
      </c>
      <c r="C370" s="11" t="s">
        <v>3620</v>
      </c>
      <c r="D370" s="11" t="s">
        <v>120</v>
      </c>
      <c r="E370" s="11" t="s">
        <v>47</v>
      </c>
      <c r="F370" s="11" t="s">
        <v>518</v>
      </c>
      <c r="G370" s="12" t="str">
        <f>IFERROR(VLOOKUP(F370, DADOS_RM_EVENTOS_original!A:B, 2, FALSE), "Código não encontrado/Não digitado")</f>
        <v>Gratificacao Por Funcao</v>
      </c>
      <c r="H370" s="12" t="s">
        <v>68</v>
      </c>
      <c r="I370" s="12" t="str">
        <f>IFERROR(VLOOKUP(H370, DADOS_RM_EVENTOS_original!C:D, 2, FALSE), "Código não encontrado/Não digitado")</f>
        <v>Código não encontrado/Não digitado</v>
      </c>
      <c r="J370" s="12" t="s">
        <v>68</v>
      </c>
      <c r="K370" s="12" t="str">
        <f>IFERROR(VLOOKUP(J370, DADOS_RM_EVENTOS_original!E:J, 2, FALSE), "Código não encontrado/Não digitado")</f>
        <v>Código não encontrado/Não digitado</v>
      </c>
      <c r="L370" s="12" t="s">
        <v>68</v>
      </c>
      <c r="M370" s="12" t="str">
        <f>IFERROR(VLOOKUP(L370, DADOS_RM_EVENTOS_original!K:L, 2, FALSE), "Código não encontrado/Não digitado")</f>
        <v>Código não encontrado/Não digitado</v>
      </c>
    </row>
    <row r="371" ht="15.75" hidden="1" customHeight="1">
      <c r="A371" s="11" t="s">
        <v>172</v>
      </c>
      <c r="B371" s="11" t="s">
        <v>670</v>
      </c>
      <c r="C371" s="11" t="s">
        <v>3620</v>
      </c>
      <c r="D371" s="11" t="s">
        <v>120</v>
      </c>
      <c r="E371" s="11" t="s">
        <v>1029</v>
      </c>
      <c r="F371" s="11" t="s">
        <v>518</v>
      </c>
      <c r="G371" s="12" t="str">
        <f>IFERROR(VLOOKUP(F371, DADOS_RM_EVENTOS_original!A:B, 2, FALSE), "Código não encontrado/Não digitado")</f>
        <v>Gratificacao Por Funcao</v>
      </c>
      <c r="H371" s="12" t="s">
        <v>68</v>
      </c>
      <c r="I371" s="12" t="str">
        <f>IFERROR(VLOOKUP(H371, DADOS_RM_EVENTOS_original!C:D, 2, FALSE), "Código não encontrado/Não digitado")</f>
        <v>Código não encontrado/Não digitado</v>
      </c>
      <c r="J371" s="12" t="s">
        <v>68</v>
      </c>
      <c r="K371" s="12" t="str">
        <f>IFERROR(VLOOKUP(J371, DADOS_RM_EVENTOS_original!E:J, 2, FALSE), "Código não encontrado/Não digitado")</f>
        <v>Código não encontrado/Não digitado</v>
      </c>
      <c r="L371" s="12" t="s">
        <v>68</v>
      </c>
      <c r="M371" s="12" t="str">
        <f>IFERROR(VLOOKUP(L371, DADOS_RM_EVENTOS_original!K:L, 2, FALSE), "Código não encontrado/Não digitado")</f>
        <v>Código não encontrado/Não digitado</v>
      </c>
    </row>
    <row r="372" ht="15.75" hidden="1" customHeight="1">
      <c r="A372" s="11" t="s">
        <v>97</v>
      </c>
      <c r="B372" s="11" t="s">
        <v>670</v>
      </c>
      <c r="C372" s="11" t="s">
        <v>3620</v>
      </c>
      <c r="D372" s="11" t="s">
        <v>120</v>
      </c>
      <c r="E372" s="11" t="s">
        <v>972</v>
      </c>
      <c r="F372" s="11" t="s">
        <v>518</v>
      </c>
      <c r="G372" s="12" t="str">
        <f>IFERROR(VLOOKUP(F372, DADOS_RM_EVENTOS_original!A:B, 2, FALSE), "Código não encontrado/Não digitado")</f>
        <v>Gratificacao Por Funcao</v>
      </c>
      <c r="H372" s="12" t="s">
        <v>68</v>
      </c>
      <c r="I372" s="12" t="str">
        <f>IFERROR(VLOOKUP(H372, DADOS_RM_EVENTOS_original!C:D, 2, FALSE), "Código não encontrado/Não digitado")</f>
        <v>Código não encontrado/Não digitado</v>
      </c>
      <c r="J372" s="12" t="s">
        <v>68</v>
      </c>
      <c r="K372" s="12" t="str">
        <f>IFERROR(VLOOKUP(J372, DADOS_RM_EVENTOS_original!E:J, 2, FALSE), "Código não encontrado/Não digitado")</f>
        <v>Código não encontrado/Não digitado</v>
      </c>
      <c r="L372" s="12" t="s">
        <v>68</v>
      </c>
      <c r="M372" s="12" t="str">
        <f>IFERROR(VLOOKUP(L372, DADOS_RM_EVENTOS_original!K:L, 2, FALSE), "Código não encontrado/Não digitado")</f>
        <v>Código não encontrado/Não digitado</v>
      </c>
    </row>
    <row r="373" ht="15.75" hidden="1" customHeight="1">
      <c r="A373" s="11" t="s">
        <v>142</v>
      </c>
      <c r="B373" s="11" t="s">
        <v>670</v>
      </c>
      <c r="C373" s="11" t="s">
        <v>3620</v>
      </c>
      <c r="D373" s="11" t="s">
        <v>120</v>
      </c>
      <c r="E373" s="11" t="s">
        <v>985</v>
      </c>
      <c r="F373" s="11" t="s">
        <v>518</v>
      </c>
      <c r="G373" s="12" t="str">
        <f>IFERROR(VLOOKUP(F373, DADOS_RM_EVENTOS_original!A:B, 2, FALSE), "Código não encontrado/Não digitado")</f>
        <v>Gratificacao Por Funcao</v>
      </c>
      <c r="H373" s="12" t="s">
        <v>68</v>
      </c>
      <c r="I373" s="12" t="str">
        <f>IFERROR(VLOOKUP(H373, DADOS_RM_EVENTOS_original!C:D, 2, FALSE), "Código não encontrado/Não digitado")</f>
        <v>Código não encontrado/Não digitado</v>
      </c>
      <c r="J373" s="12" t="s">
        <v>68</v>
      </c>
      <c r="K373" s="12" t="str">
        <f>IFERROR(VLOOKUP(J373, DADOS_RM_EVENTOS_original!E:J, 2, FALSE), "Código não encontrado/Não digitado")</f>
        <v>Código não encontrado/Não digitado</v>
      </c>
      <c r="L373" s="12" t="s">
        <v>68</v>
      </c>
      <c r="M373" s="12" t="str">
        <f>IFERROR(VLOOKUP(L373, DADOS_RM_EVENTOS_original!K:L, 2, FALSE), "Código não encontrado/Não digitado")</f>
        <v>Código não encontrado/Não digitado</v>
      </c>
    </row>
    <row r="374" ht="15.75" hidden="1" customHeight="1">
      <c r="A374" s="11" t="s">
        <v>38</v>
      </c>
      <c r="B374" s="11" t="s">
        <v>418</v>
      </c>
      <c r="C374" s="11" t="s">
        <v>3621</v>
      </c>
      <c r="D374" s="11" t="s">
        <v>120</v>
      </c>
      <c r="E374" s="11" t="s">
        <v>47</v>
      </c>
      <c r="F374" s="11" t="s">
        <v>115</v>
      </c>
      <c r="G374" s="12" t="str">
        <f>IFERROR(VLOOKUP(F374, DADOS_RM_EVENTOS_original!A:B, 2, FALSE), "Código não encontrado/Não digitado")</f>
        <v>Ajuda de Custo s/Incidencia</v>
      </c>
      <c r="H374" s="12" t="s">
        <v>68</v>
      </c>
      <c r="I374" s="12" t="str">
        <f>IFERROR(VLOOKUP(H374, DADOS_RM_EVENTOS_original!C:D, 2, FALSE), "Código não encontrado/Não digitado")</f>
        <v>Código não encontrado/Não digitado</v>
      </c>
      <c r="J374" s="12" t="s">
        <v>68</v>
      </c>
      <c r="K374" s="12" t="str">
        <f>IFERROR(VLOOKUP(J374, DADOS_RM_EVENTOS_original!E:J, 2, FALSE), "Código não encontrado/Não digitado")</f>
        <v>Código não encontrado/Não digitado</v>
      </c>
      <c r="L374" s="12" t="s">
        <v>68</v>
      </c>
      <c r="M374" s="12" t="str">
        <f>IFERROR(VLOOKUP(L374, DADOS_RM_EVENTOS_original!K:L, 2, FALSE), "Código não encontrado/Não digitado")</f>
        <v>Código não encontrado/Não digitado</v>
      </c>
    </row>
    <row r="375" ht="15.75" hidden="1" customHeight="1">
      <c r="A375" s="11" t="s">
        <v>97</v>
      </c>
      <c r="B375" s="11" t="s">
        <v>418</v>
      </c>
      <c r="C375" s="11" t="s">
        <v>3622</v>
      </c>
      <c r="D375" s="11" t="s">
        <v>120</v>
      </c>
      <c r="E375" s="11" t="s">
        <v>972</v>
      </c>
      <c r="F375" s="11" t="s">
        <v>115</v>
      </c>
      <c r="G375" s="12" t="str">
        <f>IFERROR(VLOOKUP(F375, DADOS_RM_EVENTOS_original!A:B, 2, FALSE), "Código não encontrado/Não digitado")</f>
        <v>Ajuda de Custo s/Incidencia</v>
      </c>
      <c r="H375" s="12" t="s">
        <v>68</v>
      </c>
      <c r="I375" s="12" t="str">
        <f>IFERROR(VLOOKUP(H375, DADOS_RM_EVENTOS_original!C:D, 2, FALSE), "Código não encontrado/Não digitado")</f>
        <v>Código não encontrado/Não digitado</v>
      </c>
      <c r="J375" s="12" t="s">
        <v>68</v>
      </c>
      <c r="K375" s="12" t="str">
        <f>IFERROR(VLOOKUP(J375, DADOS_RM_EVENTOS_original!E:J, 2, FALSE), "Código não encontrado/Não digitado")</f>
        <v>Código não encontrado/Não digitado</v>
      </c>
      <c r="L375" s="12" t="s">
        <v>68</v>
      </c>
      <c r="M375" s="12" t="str">
        <f>IFERROR(VLOOKUP(L375, DADOS_RM_EVENTOS_original!K:L, 2, FALSE), "Código não encontrado/Não digitado")</f>
        <v>Código não encontrado/Não digitado</v>
      </c>
    </row>
    <row r="376" ht="15.75" hidden="1" customHeight="1">
      <c r="A376" s="11" t="s">
        <v>142</v>
      </c>
      <c r="B376" s="11" t="s">
        <v>3623</v>
      </c>
      <c r="C376" s="11" t="s">
        <v>3624</v>
      </c>
      <c r="D376" s="11" t="s">
        <v>44</v>
      </c>
      <c r="E376" s="11" t="s">
        <v>985</v>
      </c>
      <c r="F376" s="11" t="s">
        <v>452</v>
      </c>
      <c r="G376" s="12" t="str">
        <f>IFERROR(VLOOKUP(F376, DADOS_RM_EVENTOS_original!A:B, 2, FALSE), "Código não encontrado/Não digitado")</f>
        <v>Desc. Pl Saude HAPVIDA Dep</v>
      </c>
      <c r="H376" s="12" t="s">
        <v>68</v>
      </c>
      <c r="I376" s="12" t="str">
        <f>IFERROR(VLOOKUP(H376, DADOS_RM_EVENTOS_original!C:D, 2, FALSE), "Código não encontrado/Não digitado")</f>
        <v>Código não encontrado/Não digitado</v>
      </c>
      <c r="J376" s="12" t="s">
        <v>68</v>
      </c>
      <c r="K376" s="12" t="str">
        <f>IFERROR(VLOOKUP(J376, DADOS_RM_EVENTOS_original!E:J, 2, FALSE), "Código não encontrado/Não digitado")</f>
        <v>Código não encontrado/Não digitado</v>
      </c>
      <c r="L376" s="12" t="s">
        <v>68</v>
      </c>
      <c r="M376" s="12" t="str">
        <f>IFERROR(VLOOKUP(L376, DADOS_RM_EVENTOS_original!K:L, 2, FALSE), "Código não encontrado/Não digitado")</f>
        <v>Código não encontrado/Não digitado</v>
      </c>
    </row>
    <row r="377" ht="15.75" hidden="1" customHeight="1">
      <c r="A377" s="11" t="s">
        <v>38</v>
      </c>
      <c r="B377" s="11" t="s">
        <v>387</v>
      </c>
      <c r="C377" s="11" t="s">
        <v>2207</v>
      </c>
      <c r="D377" s="11" t="s">
        <v>120</v>
      </c>
      <c r="E377" s="11" t="s">
        <v>47</v>
      </c>
      <c r="F377" s="11" t="s">
        <v>2206</v>
      </c>
      <c r="G377" s="12" t="str">
        <f>IFERROR(VLOOKUP(F377, DADOS_RM_EVENTOS_original!A:B, 2, FALSE), "Código não encontrado/Não digitado")</f>
        <v>Hora Extra 100%</v>
      </c>
      <c r="H377" s="12" t="s">
        <v>68</v>
      </c>
      <c r="I377" s="12" t="str">
        <f>IFERROR(VLOOKUP(H377, DADOS_RM_EVENTOS_original!C:D, 2, FALSE), "Código não encontrado/Não digitado")</f>
        <v>Código não encontrado/Não digitado</v>
      </c>
      <c r="J377" s="12" t="s">
        <v>68</v>
      </c>
      <c r="K377" s="12" t="str">
        <f>IFERROR(VLOOKUP(J377, DADOS_RM_EVENTOS_original!E:J, 2, FALSE), "Código não encontrado/Não digitado")</f>
        <v>Código não encontrado/Não digitado</v>
      </c>
      <c r="L377" s="12" t="s">
        <v>68</v>
      </c>
      <c r="M377" s="12" t="str">
        <f>IFERROR(VLOOKUP(L377, DADOS_RM_EVENTOS_original!K:L, 2, FALSE), "Código não encontrado/Não digitado")</f>
        <v>Código não encontrado/Não digitado</v>
      </c>
    </row>
    <row r="378" ht="15.75" hidden="1" customHeight="1">
      <c r="A378" s="11" t="s">
        <v>115</v>
      </c>
      <c r="B378" s="11" t="s">
        <v>387</v>
      </c>
      <c r="C378" s="11" t="s">
        <v>2207</v>
      </c>
      <c r="D378" s="11" t="s">
        <v>120</v>
      </c>
      <c r="E378" s="11" t="s">
        <v>121</v>
      </c>
      <c r="F378" s="11" t="s">
        <v>2206</v>
      </c>
      <c r="G378" s="12" t="str">
        <f>IFERROR(VLOOKUP(F378, DADOS_RM_EVENTOS_original!A:B, 2, FALSE), "Código não encontrado/Não digitado")</f>
        <v>Hora Extra 100%</v>
      </c>
      <c r="H378" s="12" t="s">
        <v>68</v>
      </c>
      <c r="I378" s="12" t="str">
        <f>IFERROR(VLOOKUP(H378, DADOS_RM_EVENTOS_original!C:D, 2, FALSE), "Código não encontrado/Não digitado")</f>
        <v>Código não encontrado/Não digitado</v>
      </c>
      <c r="J378" s="12" t="s">
        <v>68</v>
      </c>
      <c r="K378" s="12" t="str">
        <f>IFERROR(VLOOKUP(J378, DADOS_RM_EVENTOS_original!E:J, 2, FALSE), "Código não encontrado/Não digitado")</f>
        <v>Código não encontrado/Não digitado</v>
      </c>
      <c r="L378" s="12" t="s">
        <v>68</v>
      </c>
      <c r="M378" s="12" t="str">
        <f>IFERROR(VLOOKUP(L378, DADOS_RM_EVENTOS_original!K:L, 2, FALSE), "Código não encontrado/Não digitado")</f>
        <v>Código não encontrado/Não digitado</v>
      </c>
    </row>
    <row r="379" ht="15.75" hidden="1" customHeight="1">
      <c r="A379" s="11" t="s">
        <v>172</v>
      </c>
      <c r="B379" s="11" t="s">
        <v>387</v>
      </c>
      <c r="C379" s="11" t="s">
        <v>2928</v>
      </c>
      <c r="D379" s="11" t="s">
        <v>120</v>
      </c>
      <c r="E379" s="11" t="s">
        <v>1029</v>
      </c>
      <c r="F379" s="11" t="s">
        <v>2206</v>
      </c>
      <c r="G379" s="12" t="str">
        <f>IFERROR(VLOOKUP(F379, DADOS_RM_EVENTOS_original!A:B, 2, FALSE), "Código não encontrado/Não digitado")</f>
        <v>Hora Extra 100%</v>
      </c>
      <c r="H379" s="12" t="s">
        <v>68</v>
      </c>
      <c r="I379" s="12" t="str">
        <f>IFERROR(VLOOKUP(H379, DADOS_RM_EVENTOS_original!C:D, 2, FALSE), "Código não encontrado/Não digitado")</f>
        <v>Código não encontrado/Não digitado</v>
      </c>
      <c r="J379" s="12" t="s">
        <v>68</v>
      </c>
      <c r="K379" s="12" t="str">
        <f>IFERROR(VLOOKUP(J379, DADOS_RM_EVENTOS_original!E:J, 2, FALSE), "Código não encontrado/Não digitado")</f>
        <v>Código não encontrado/Não digitado</v>
      </c>
      <c r="L379" s="12" t="s">
        <v>68</v>
      </c>
      <c r="M379" s="12" t="str">
        <f>IFERROR(VLOOKUP(L379, DADOS_RM_EVENTOS_original!K:L, 2, FALSE), "Código não encontrado/Não digitado")</f>
        <v>Código não encontrado/Não digitado</v>
      </c>
    </row>
    <row r="380" ht="15.75" hidden="1" customHeight="1">
      <c r="A380" s="11" t="s">
        <v>97</v>
      </c>
      <c r="B380" s="11" t="s">
        <v>387</v>
      </c>
      <c r="C380" s="11" t="s">
        <v>2928</v>
      </c>
      <c r="D380" s="11" t="s">
        <v>120</v>
      </c>
      <c r="E380" s="11" t="s">
        <v>972</v>
      </c>
      <c r="F380" s="11" t="s">
        <v>2206</v>
      </c>
      <c r="G380" s="12" t="str">
        <f>IFERROR(VLOOKUP(F380, DADOS_RM_EVENTOS_original!A:B, 2, FALSE), "Código não encontrado/Não digitado")</f>
        <v>Hora Extra 100%</v>
      </c>
      <c r="H380" s="12" t="s">
        <v>68</v>
      </c>
      <c r="I380" s="12" t="str">
        <f>IFERROR(VLOOKUP(H380, DADOS_RM_EVENTOS_original!C:D, 2, FALSE), "Código não encontrado/Não digitado")</f>
        <v>Código não encontrado/Não digitado</v>
      </c>
      <c r="J380" s="12" t="s">
        <v>68</v>
      </c>
      <c r="K380" s="12" t="str">
        <f>IFERROR(VLOOKUP(J380, DADOS_RM_EVENTOS_original!E:J, 2, FALSE), "Código não encontrado/Não digitado")</f>
        <v>Código não encontrado/Não digitado</v>
      </c>
      <c r="L380" s="12" t="s">
        <v>68</v>
      </c>
      <c r="M380" s="12" t="str">
        <f>IFERROR(VLOOKUP(L380, DADOS_RM_EVENTOS_original!K:L, 2, FALSE), "Código não encontrado/Não digitado")</f>
        <v>Código não encontrado/Não digitado</v>
      </c>
    </row>
    <row r="381" ht="15.75" hidden="1" customHeight="1">
      <c r="A381" s="11" t="s">
        <v>142</v>
      </c>
      <c r="B381" s="11" t="s">
        <v>387</v>
      </c>
      <c r="C381" s="11" t="s">
        <v>2928</v>
      </c>
      <c r="D381" s="11" t="s">
        <v>120</v>
      </c>
      <c r="E381" s="11" t="s">
        <v>985</v>
      </c>
      <c r="F381" s="11" t="s">
        <v>2206</v>
      </c>
      <c r="G381" s="12" t="str">
        <f>IFERROR(VLOOKUP(F381, DADOS_RM_EVENTOS_original!A:B, 2, FALSE), "Código não encontrado/Não digitado")</f>
        <v>Hora Extra 100%</v>
      </c>
      <c r="H381" s="12" t="s">
        <v>68</v>
      </c>
      <c r="I381" s="12" t="str">
        <f>IFERROR(VLOOKUP(H381, DADOS_RM_EVENTOS_original!C:D, 2, FALSE), "Código não encontrado/Não digitado")</f>
        <v>Código não encontrado/Não digitado</v>
      </c>
      <c r="J381" s="12" t="s">
        <v>68</v>
      </c>
      <c r="K381" s="12" t="str">
        <f>IFERROR(VLOOKUP(J381, DADOS_RM_EVENTOS_original!E:J, 2, FALSE), "Código não encontrado/Não digitado")</f>
        <v>Código não encontrado/Não digitado</v>
      </c>
      <c r="L381" s="12" t="s">
        <v>68</v>
      </c>
      <c r="M381" s="12" t="str">
        <f>IFERROR(VLOOKUP(L381, DADOS_RM_EVENTOS_original!K:L, 2, FALSE), "Código não encontrado/Não digitado")</f>
        <v>Código não encontrado/Não digitado</v>
      </c>
    </row>
    <row r="382" ht="15.75" customHeight="1">
      <c r="A382" s="11" t="s">
        <v>38</v>
      </c>
      <c r="B382" s="11" t="s">
        <v>907</v>
      </c>
      <c r="C382" s="11" t="s">
        <v>3653</v>
      </c>
      <c r="D382" s="11" t="s">
        <v>120</v>
      </c>
      <c r="E382" s="11" t="s">
        <v>47</v>
      </c>
      <c r="F382" s="11" t="s">
        <v>49</v>
      </c>
      <c r="G382" s="12" t="str">
        <f>IFERROR(VLOOKUP(F382, DADOS_RM_EVENTOS_original!A:B, 2, FALSE), "Código não encontrado/Não digitado")</f>
        <v>Código não encontrado/Não digitado</v>
      </c>
      <c r="H382" s="12" t="s">
        <v>68</v>
      </c>
      <c r="I382" s="12" t="str">
        <f>IFERROR(VLOOKUP(H382, DADOS_RM_EVENTOS_original!C:D, 2, FALSE), "Código não encontrado/Não digitado")</f>
        <v>Código não encontrado/Não digitado</v>
      </c>
      <c r="J382" s="12" t="s">
        <v>68</v>
      </c>
      <c r="K382" s="12" t="str">
        <f>IFERROR(VLOOKUP(J382, DADOS_RM_EVENTOS_original!E:J, 2, FALSE), "Código não encontrado/Não digitado")</f>
        <v>Código não encontrado/Não digitado</v>
      </c>
      <c r="L382" s="12" t="s">
        <v>68</v>
      </c>
      <c r="M382" s="12" t="str">
        <f>IFERROR(VLOOKUP(L382, DADOS_RM_EVENTOS_original!K:L, 2, FALSE), "Código não encontrado/Não digitado")</f>
        <v>Código não encontrado/Não digitado</v>
      </c>
    </row>
    <row r="383" ht="15.75" hidden="1" customHeight="1">
      <c r="A383" s="11" t="s">
        <v>38</v>
      </c>
      <c r="B383" s="11" t="s">
        <v>379</v>
      </c>
      <c r="C383" s="11" t="s">
        <v>2147</v>
      </c>
      <c r="D383" s="11" t="s">
        <v>120</v>
      </c>
      <c r="E383" s="11" t="s">
        <v>47</v>
      </c>
      <c r="F383" s="11" t="s">
        <v>2146</v>
      </c>
      <c r="G383" s="12" t="str">
        <f>IFERROR(VLOOKUP(F383, DADOS_RM_EVENTOS_original!A:B, 2, FALSE), "Código não encontrado/Não digitado")</f>
        <v>Hora Extra 50%</v>
      </c>
      <c r="H383" s="12" t="s">
        <v>68</v>
      </c>
      <c r="I383" s="12" t="str">
        <f>IFERROR(VLOOKUP(H383, DADOS_RM_EVENTOS_original!C:D, 2, FALSE), "Código não encontrado/Não digitado")</f>
        <v>Código não encontrado/Não digitado</v>
      </c>
      <c r="J383" s="12" t="s">
        <v>68</v>
      </c>
      <c r="K383" s="12" t="str">
        <f>IFERROR(VLOOKUP(J383, DADOS_RM_EVENTOS_original!E:J, 2, FALSE), "Código não encontrado/Não digitado")</f>
        <v>Código não encontrado/Não digitado</v>
      </c>
      <c r="L383" s="12" t="s">
        <v>68</v>
      </c>
      <c r="M383" s="12" t="str">
        <f>IFERROR(VLOOKUP(L383, DADOS_RM_EVENTOS_original!K:L, 2, FALSE), "Código não encontrado/Não digitado")</f>
        <v>Código não encontrado/Não digitado</v>
      </c>
    </row>
    <row r="384" ht="15.75" hidden="1" customHeight="1">
      <c r="A384" s="11" t="s">
        <v>115</v>
      </c>
      <c r="B384" s="11" t="s">
        <v>379</v>
      </c>
      <c r="C384" s="11" t="s">
        <v>2147</v>
      </c>
      <c r="D384" s="11" t="s">
        <v>120</v>
      </c>
      <c r="E384" s="11" t="s">
        <v>121</v>
      </c>
      <c r="F384" s="11" t="s">
        <v>2146</v>
      </c>
      <c r="G384" s="12" t="str">
        <f>IFERROR(VLOOKUP(F384, DADOS_RM_EVENTOS_original!A:B, 2, FALSE), "Código não encontrado/Não digitado")</f>
        <v>Hora Extra 50%</v>
      </c>
      <c r="H384" s="12" t="s">
        <v>68</v>
      </c>
      <c r="I384" s="12" t="str">
        <f>IFERROR(VLOOKUP(H384, DADOS_RM_EVENTOS_original!C:D, 2, FALSE), "Código não encontrado/Não digitado")</f>
        <v>Código não encontrado/Não digitado</v>
      </c>
      <c r="J384" s="12" t="s">
        <v>68</v>
      </c>
      <c r="K384" s="12" t="str">
        <f>IFERROR(VLOOKUP(J384, DADOS_RM_EVENTOS_original!E:J, 2, FALSE), "Código não encontrado/Não digitado")</f>
        <v>Código não encontrado/Não digitado</v>
      </c>
      <c r="L384" s="12" t="s">
        <v>68</v>
      </c>
      <c r="M384" s="12" t="str">
        <f>IFERROR(VLOOKUP(L384, DADOS_RM_EVENTOS_original!K:L, 2, FALSE), "Código não encontrado/Não digitado")</f>
        <v>Código não encontrado/Não digitado</v>
      </c>
    </row>
    <row r="385" ht="15.75" hidden="1" customHeight="1">
      <c r="A385" s="11" t="s">
        <v>172</v>
      </c>
      <c r="B385" s="11" t="s">
        <v>379</v>
      </c>
      <c r="C385" s="11" t="s">
        <v>2902</v>
      </c>
      <c r="D385" s="11" t="s">
        <v>120</v>
      </c>
      <c r="E385" s="11" t="s">
        <v>1029</v>
      </c>
      <c r="F385" s="11" t="s">
        <v>2146</v>
      </c>
      <c r="G385" s="12" t="str">
        <f>IFERROR(VLOOKUP(F385, DADOS_RM_EVENTOS_original!A:B, 2, FALSE), "Código não encontrado/Não digitado")</f>
        <v>Hora Extra 50%</v>
      </c>
      <c r="H385" s="12" t="s">
        <v>68</v>
      </c>
      <c r="I385" s="12" t="str">
        <f>IFERROR(VLOOKUP(H385, DADOS_RM_EVENTOS_original!C:D, 2, FALSE), "Código não encontrado/Não digitado")</f>
        <v>Código não encontrado/Não digitado</v>
      </c>
      <c r="J385" s="12" t="s">
        <v>68</v>
      </c>
      <c r="K385" s="12" t="str">
        <f>IFERROR(VLOOKUP(J385, DADOS_RM_EVENTOS_original!E:J, 2, FALSE), "Código não encontrado/Não digitado")</f>
        <v>Código não encontrado/Não digitado</v>
      </c>
      <c r="L385" s="12" t="s">
        <v>68</v>
      </c>
      <c r="M385" s="12" t="str">
        <f>IFERROR(VLOOKUP(L385, DADOS_RM_EVENTOS_original!K:L, 2, FALSE), "Código não encontrado/Não digitado")</f>
        <v>Código não encontrado/Não digitado</v>
      </c>
    </row>
    <row r="386" ht="15.75" hidden="1" customHeight="1">
      <c r="A386" s="11" t="s">
        <v>97</v>
      </c>
      <c r="B386" s="11" t="s">
        <v>379</v>
      </c>
      <c r="C386" s="11" t="s">
        <v>2902</v>
      </c>
      <c r="D386" s="11" t="s">
        <v>120</v>
      </c>
      <c r="E386" s="11" t="s">
        <v>972</v>
      </c>
      <c r="F386" s="11" t="s">
        <v>2146</v>
      </c>
      <c r="G386" s="12" t="str">
        <f>IFERROR(VLOOKUP(F386, DADOS_RM_EVENTOS_original!A:B, 2, FALSE), "Código não encontrado/Não digitado")</f>
        <v>Hora Extra 50%</v>
      </c>
      <c r="H386" s="12" t="s">
        <v>68</v>
      </c>
      <c r="I386" s="12" t="str">
        <f>IFERROR(VLOOKUP(H386, DADOS_RM_EVENTOS_original!C:D, 2, FALSE), "Código não encontrado/Não digitado")</f>
        <v>Código não encontrado/Não digitado</v>
      </c>
      <c r="J386" s="12" t="s">
        <v>68</v>
      </c>
      <c r="K386" s="12" t="str">
        <f>IFERROR(VLOOKUP(J386, DADOS_RM_EVENTOS_original!E:J, 2, FALSE), "Código não encontrado/Não digitado")</f>
        <v>Código não encontrado/Não digitado</v>
      </c>
      <c r="L386" s="12" t="s">
        <v>68</v>
      </c>
      <c r="M386" s="12" t="str">
        <f>IFERROR(VLOOKUP(L386, DADOS_RM_EVENTOS_original!K:L, 2, FALSE), "Código não encontrado/Não digitado")</f>
        <v>Código não encontrado/Não digitado</v>
      </c>
    </row>
    <row r="387" ht="15.75" hidden="1" customHeight="1">
      <c r="A387" s="11" t="s">
        <v>142</v>
      </c>
      <c r="B387" s="11" t="s">
        <v>379</v>
      </c>
      <c r="C387" s="11" t="s">
        <v>2902</v>
      </c>
      <c r="D387" s="11" t="s">
        <v>120</v>
      </c>
      <c r="E387" s="11" t="s">
        <v>985</v>
      </c>
      <c r="F387" s="11" t="s">
        <v>2146</v>
      </c>
      <c r="G387" s="12" t="str">
        <f>IFERROR(VLOOKUP(F387, DADOS_RM_EVENTOS_original!A:B, 2, FALSE), "Código não encontrado/Não digitado")</f>
        <v>Hora Extra 50%</v>
      </c>
      <c r="H387" s="12" t="s">
        <v>68</v>
      </c>
      <c r="I387" s="12" t="str">
        <f>IFERROR(VLOOKUP(H387, DADOS_RM_EVENTOS_original!C:D, 2, FALSE), "Código não encontrado/Não digitado")</f>
        <v>Código não encontrado/Não digitado</v>
      </c>
      <c r="J387" s="12" t="s">
        <v>68</v>
      </c>
      <c r="K387" s="12" t="str">
        <f>IFERROR(VLOOKUP(J387, DADOS_RM_EVENTOS_original!E:J, 2, FALSE), "Código não encontrado/Não digitado")</f>
        <v>Código não encontrado/Não digitado</v>
      </c>
      <c r="L387" s="12" t="s">
        <v>68</v>
      </c>
      <c r="M387" s="12" t="str">
        <f>IFERROR(VLOOKUP(L387, DADOS_RM_EVENTOS_original!K:L, 2, FALSE), "Código não encontrado/Não digitado")</f>
        <v>Código não encontrado/Não digitado</v>
      </c>
    </row>
    <row r="388" ht="15.75" hidden="1" customHeight="1">
      <c r="A388" s="11" t="s">
        <v>38</v>
      </c>
      <c r="B388" s="11" t="s">
        <v>390</v>
      </c>
      <c r="C388" s="11" t="s">
        <v>2159</v>
      </c>
      <c r="D388" s="11" t="s">
        <v>120</v>
      </c>
      <c r="E388" s="11" t="s">
        <v>47</v>
      </c>
      <c r="F388" s="11" t="s">
        <v>2158</v>
      </c>
      <c r="G388" s="12" t="str">
        <f>IFERROR(VLOOKUP(F388, DADOS_RM_EVENTOS_original!A:B, 2, FALSE), "Código não encontrado/Não digitado")</f>
        <v>Hora Extra 60%</v>
      </c>
      <c r="H388" s="12" t="s">
        <v>68</v>
      </c>
      <c r="I388" s="12" t="str">
        <f>IFERROR(VLOOKUP(H388, DADOS_RM_EVENTOS_original!C:D, 2, FALSE), "Código não encontrado/Não digitado")</f>
        <v>Código não encontrado/Não digitado</v>
      </c>
      <c r="J388" s="12" t="s">
        <v>68</v>
      </c>
      <c r="K388" s="12" t="str">
        <f>IFERROR(VLOOKUP(J388, DADOS_RM_EVENTOS_original!E:J, 2, FALSE), "Código não encontrado/Não digitado")</f>
        <v>Código não encontrado/Não digitado</v>
      </c>
      <c r="L388" s="12" t="s">
        <v>68</v>
      </c>
      <c r="M388" s="12" t="str">
        <f>IFERROR(VLOOKUP(L388, DADOS_RM_EVENTOS_original!K:L, 2, FALSE), "Código não encontrado/Não digitado")</f>
        <v>Código não encontrado/Não digitado</v>
      </c>
    </row>
    <row r="389" ht="15.75" hidden="1" customHeight="1">
      <c r="A389" s="11" t="s">
        <v>172</v>
      </c>
      <c r="B389" s="11" t="s">
        <v>390</v>
      </c>
      <c r="C389" s="11" t="s">
        <v>2907</v>
      </c>
      <c r="D389" s="11" t="s">
        <v>120</v>
      </c>
      <c r="E389" s="11" t="s">
        <v>1029</v>
      </c>
      <c r="F389" s="11" t="s">
        <v>2158</v>
      </c>
      <c r="G389" s="12" t="str">
        <f>IFERROR(VLOOKUP(F389, DADOS_RM_EVENTOS_original!A:B, 2, FALSE), "Código não encontrado/Não digitado")</f>
        <v>Hora Extra 60%</v>
      </c>
      <c r="H389" s="12" t="s">
        <v>68</v>
      </c>
      <c r="I389" s="12" t="str">
        <f>IFERROR(VLOOKUP(H389, DADOS_RM_EVENTOS_original!C:D, 2, FALSE), "Código não encontrado/Não digitado")</f>
        <v>Código não encontrado/Não digitado</v>
      </c>
      <c r="J389" s="12" t="s">
        <v>68</v>
      </c>
      <c r="K389" s="12" t="str">
        <f>IFERROR(VLOOKUP(J389, DADOS_RM_EVENTOS_original!E:J, 2, FALSE), "Código não encontrado/Não digitado")</f>
        <v>Código não encontrado/Não digitado</v>
      </c>
      <c r="L389" s="12" t="s">
        <v>68</v>
      </c>
      <c r="M389" s="12" t="str">
        <f>IFERROR(VLOOKUP(L389, DADOS_RM_EVENTOS_original!K:L, 2, FALSE), "Código não encontrado/Não digitado")</f>
        <v>Código não encontrado/Não digitado</v>
      </c>
    </row>
    <row r="390" ht="15.75" hidden="1" customHeight="1">
      <c r="A390" s="11" t="s">
        <v>97</v>
      </c>
      <c r="B390" s="11" t="s">
        <v>390</v>
      </c>
      <c r="C390" s="11" t="s">
        <v>2907</v>
      </c>
      <c r="D390" s="11" t="s">
        <v>120</v>
      </c>
      <c r="E390" s="11" t="s">
        <v>972</v>
      </c>
      <c r="F390" s="11" t="s">
        <v>2158</v>
      </c>
      <c r="G390" s="12" t="str">
        <f>IFERROR(VLOOKUP(F390, DADOS_RM_EVENTOS_original!A:B, 2, FALSE), "Código não encontrado/Não digitado")</f>
        <v>Hora Extra 60%</v>
      </c>
      <c r="H390" s="12" t="s">
        <v>68</v>
      </c>
      <c r="I390" s="12" t="str">
        <f>IFERROR(VLOOKUP(H390, DADOS_RM_EVENTOS_original!C:D, 2, FALSE), "Código não encontrado/Não digitado")</f>
        <v>Código não encontrado/Não digitado</v>
      </c>
      <c r="J390" s="12" t="s">
        <v>68</v>
      </c>
      <c r="K390" s="12" t="str">
        <f>IFERROR(VLOOKUP(J390, DADOS_RM_EVENTOS_original!E:J, 2, FALSE), "Código não encontrado/Não digitado")</f>
        <v>Código não encontrado/Não digitado</v>
      </c>
      <c r="L390" s="12" t="s">
        <v>68</v>
      </c>
      <c r="M390" s="12" t="str">
        <f>IFERROR(VLOOKUP(L390, DADOS_RM_EVENTOS_original!K:L, 2, FALSE), "Código não encontrado/Não digitado")</f>
        <v>Código não encontrado/Não digitado</v>
      </c>
    </row>
    <row r="391" ht="15.75" hidden="1" customHeight="1">
      <c r="A391" s="11" t="s">
        <v>142</v>
      </c>
      <c r="B391" s="11" t="s">
        <v>390</v>
      </c>
      <c r="C391" s="11" t="s">
        <v>2907</v>
      </c>
      <c r="D391" s="11" t="s">
        <v>120</v>
      </c>
      <c r="E391" s="11" t="s">
        <v>985</v>
      </c>
      <c r="F391" s="11" t="s">
        <v>2158</v>
      </c>
      <c r="G391" s="12" t="str">
        <f>IFERROR(VLOOKUP(F391, DADOS_RM_EVENTOS_original!A:B, 2, FALSE), "Código não encontrado/Não digitado")</f>
        <v>Hora Extra 60%</v>
      </c>
      <c r="H391" s="12" t="s">
        <v>68</v>
      </c>
      <c r="I391" s="12" t="str">
        <f>IFERROR(VLOOKUP(H391, DADOS_RM_EVENTOS_original!C:D, 2, FALSE), "Código não encontrado/Não digitado")</f>
        <v>Código não encontrado/Não digitado</v>
      </c>
      <c r="J391" s="12" t="s">
        <v>68</v>
      </c>
      <c r="K391" s="12" t="str">
        <f>IFERROR(VLOOKUP(J391, DADOS_RM_EVENTOS_original!E:J, 2, FALSE), "Código não encontrado/Não digitado")</f>
        <v>Código não encontrado/Não digitado</v>
      </c>
      <c r="L391" s="12" t="s">
        <v>68</v>
      </c>
      <c r="M391" s="12" t="str">
        <f>IFERROR(VLOOKUP(L391, DADOS_RM_EVENTOS_original!K:L, 2, FALSE), "Código não encontrado/Não digitado")</f>
        <v>Código não encontrado/Não digitado</v>
      </c>
    </row>
    <row r="392" ht="15.75" customHeight="1">
      <c r="A392" s="11" t="s">
        <v>38</v>
      </c>
      <c r="B392" s="11" t="s">
        <v>393</v>
      </c>
      <c r="C392" s="11" t="s">
        <v>3292</v>
      </c>
      <c r="D392" s="11" t="s">
        <v>120</v>
      </c>
      <c r="E392" s="11" t="s">
        <v>47</v>
      </c>
      <c r="F392" s="11" t="s">
        <v>49</v>
      </c>
      <c r="G392" s="12" t="str">
        <f>IFERROR(VLOOKUP(F392, DADOS_RM_EVENTOS_original!A:B, 2, FALSE), "Código não encontrado/Não digitado")</f>
        <v>Código não encontrado/Não digitado</v>
      </c>
      <c r="H392" s="12" t="s">
        <v>68</v>
      </c>
      <c r="I392" s="12" t="str">
        <f>IFERROR(VLOOKUP(H392, DADOS_RM_EVENTOS_original!C:D, 2, FALSE), "Código não encontrado/Não digitado")</f>
        <v>Código não encontrado/Não digitado</v>
      </c>
      <c r="J392" s="12" t="s">
        <v>68</v>
      </c>
      <c r="K392" s="12" t="str">
        <f>IFERROR(VLOOKUP(J392, DADOS_RM_EVENTOS_original!E:J, 2, FALSE), "Código não encontrado/Não digitado")</f>
        <v>Código não encontrado/Não digitado</v>
      </c>
      <c r="L392" s="12" t="s">
        <v>68</v>
      </c>
      <c r="M392" s="12" t="str">
        <f>IFERROR(VLOOKUP(L392, DADOS_RM_EVENTOS_original!K:L, 2, FALSE), "Código não encontrado/Não digitado")</f>
        <v>Código não encontrado/Não digitado</v>
      </c>
    </row>
    <row r="393" ht="15.75" customHeight="1">
      <c r="A393" s="11" t="s">
        <v>172</v>
      </c>
      <c r="B393" s="11" t="s">
        <v>393</v>
      </c>
      <c r="C393" s="11" t="s">
        <v>3889</v>
      </c>
      <c r="D393" s="11" t="s">
        <v>120</v>
      </c>
      <c r="E393" s="11" t="s">
        <v>1029</v>
      </c>
      <c r="F393" s="11" t="s">
        <v>49</v>
      </c>
      <c r="G393" s="12" t="str">
        <f>IFERROR(VLOOKUP(F393, DADOS_RM_EVENTOS_original!A:B, 2, FALSE), "Código não encontrado/Não digitado")</f>
        <v>Código não encontrado/Não digitado</v>
      </c>
      <c r="H393" s="12" t="s">
        <v>68</v>
      </c>
      <c r="I393" s="12" t="str">
        <f>IFERROR(VLOOKUP(H393, DADOS_RM_EVENTOS_original!C:D, 2, FALSE), "Código não encontrado/Não digitado")</f>
        <v>Código não encontrado/Não digitado</v>
      </c>
      <c r="J393" s="12" t="s">
        <v>68</v>
      </c>
      <c r="K393" s="12" t="str">
        <f>IFERROR(VLOOKUP(J393, DADOS_RM_EVENTOS_original!E:J, 2, FALSE), "Código não encontrado/Não digitado")</f>
        <v>Código não encontrado/Não digitado</v>
      </c>
      <c r="L393" s="12" t="s">
        <v>68</v>
      </c>
      <c r="M393" s="12" t="str">
        <f>IFERROR(VLOOKUP(L393, DADOS_RM_EVENTOS_original!K:L, 2, FALSE), "Código não encontrado/Não digitado")</f>
        <v>Código não encontrado/Não digitado</v>
      </c>
    </row>
    <row r="394" ht="15.75" customHeight="1">
      <c r="A394" s="11" t="s">
        <v>97</v>
      </c>
      <c r="B394" s="11" t="s">
        <v>393</v>
      </c>
      <c r="C394" s="11" t="s">
        <v>3889</v>
      </c>
      <c r="D394" s="11" t="s">
        <v>120</v>
      </c>
      <c r="E394" s="11" t="s">
        <v>972</v>
      </c>
      <c r="F394" s="11" t="s">
        <v>49</v>
      </c>
      <c r="G394" s="12" t="str">
        <f>IFERROR(VLOOKUP(F394, DADOS_RM_EVENTOS_original!A:B, 2, FALSE), "Código não encontrado/Não digitado")</f>
        <v>Código não encontrado/Não digitado</v>
      </c>
      <c r="H394" s="12" t="s">
        <v>68</v>
      </c>
      <c r="I394" s="12" t="str">
        <f>IFERROR(VLOOKUP(H394, DADOS_RM_EVENTOS_original!C:D, 2, FALSE), "Código não encontrado/Não digitado")</f>
        <v>Código não encontrado/Não digitado</v>
      </c>
      <c r="J394" s="12" t="s">
        <v>68</v>
      </c>
      <c r="K394" s="12" t="str">
        <f>IFERROR(VLOOKUP(J394, DADOS_RM_EVENTOS_original!E:J, 2, FALSE), "Código não encontrado/Não digitado")</f>
        <v>Código não encontrado/Não digitado</v>
      </c>
      <c r="L394" s="12" t="s">
        <v>68</v>
      </c>
      <c r="M394" s="12" t="str">
        <f>IFERROR(VLOOKUP(L394, DADOS_RM_EVENTOS_original!K:L, 2, FALSE), "Código não encontrado/Não digitado")</f>
        <v>Código não encontrado/Não digitado</v>
      </c>
    </row>
    <row r="395" ht="15.75" hidden="1" customHeight="1">
      <c r="A395" s="11" t="s">
        <v>38</v>
      </c>
      <c r="B395" s="11" t="s">
        <v>396</v>
      </c>
      <c r="C395" s="11" t="s">
        <v>2169</v>
      </c>
      <c r="D395" s="11" t="s">
        <v>120</v>
      </c>
      <c r="E395" s="11" t="s">
        <v>47</v>
      </c>
      <c r="F395" s="11" t="s">
        <v>2168</v>
      </c>
      <c r="G395" s="12" t="str">
        <f>IFERROR(VLOOKUP(F395, DADOS_RM_EVENTOS_original!A:B, 2, FALSE), "Código não encontrado/Não digitado")</f>
        <v>Hora Extra 70%</v>
      </c>
      <c r="H395" s="12" t="s">
        <v>68</v>
      </c>
      <c r="I395" s="12" t="str">
        <f>IFERROR(VLOOKUP(H395, DADOS_RM_EVENTOS_original!C:D, 2, FALSE), "Código não encontrado/Não digitado")</f>
        <v>Código não encontrado/Não digitado</v>
      </c>
      <c r="J395" s="12" t="s">
        <v>68</v>
      </c>
      <c r="K395" s="12" t="str">
        <f>IFERROR(VLOOKUP(J395, DADOS_RM_EVENTOS_original!E:J, 2, FALSE), "Código não encontrado/Não digitado")</f>
        <v>Código não encontrado/Não digitado</v>
      </c>
      <c r="L395" s="12" t="s">
        <v>68</v>
      </c>
      <c r="M395" s="12" t="str">
        <f>IFERROR(VLOOKUP(L395, DADOS_RM_EVENTOS_original!K:L, 2, FALSE), "Código não encontrado/Não digitado")</f>
        <v>Código não encontrado/Não digitado</v>
      </c>
    </row>
    <row r="396" ht="15.75" customHeight="1">
      <c r="A396" s="11" t="s">
        <v>38</v>
      </c>
      <c r="B396" s="11" t="s">
        <v>1645</v>
      </c>
      <c r="C396" s="11" t="s">
        <v>3294</v>
      </c>
      <c r="D396" s="11" t="s">
        <v>120</v>
      </c>
      <c r="E396" s="11" t="s">
        <v>47</v>
      </c>
      <c r="F396" s="11" t="s">
        <v>49</v>
      </c>
      <c r="G396" s="12" t="str">
        <f>IFERROR(VLOOKUP(F396, DADOS_RM_EVENTOS_original!A:B, 2, FALSE), "Código não encontrado/Não digitado")</f>
        <v>Código não encontrado/Não digitado</v>
      </c>
      <c r="H396" s="12" t="s">
        <v>68</v>
      </c>
      <c r="I396" s="12" t="str">
        <f>IFERROR(VLOOKUP(H396, DADOS_RM_EVENTOS_original!C:D, 2, FALSE), "Código não encontrado/Não digitado")</f>
        <v>Código não encontrado/Não digitado</v>
      </c>
      <c r="J396" s="12" t="s">
        <v>68</v>
      </c>
      <c r="K396" s="12" t="str">
        <f>IFERROR(VLOOKUP(J396, DADOS_RM_EVENTOS_original!E:J, 2, FALSE), "Código não encontrado/Não digitado")</f>
        <v>Código não encontrado/Não digitado</v>
      </c>
      <c r="L396" s="12" t="s">
        <v>68</v>
      </c>
      <c r="M396" s="12" t="str">
        <f>IFERROR(VLOOKUP(L396, DADOS_RM_EVENTOS_original!K:L, 2, FALSE), "Código não encontrado/Não digitado")</f>
        <v>Código não encontrado/Não digitado</v>
      </c>
    </row>
    <row r="397" ht="15.75" customHeight="1">
      <c r="A397" s="11" t="s">
        <v>115</v>
      </c>
      <c r="B397" s="11" t="s">
        <v>457</v>
      </c>
      <c r="C397" s="11" t="s">
        <v>3976</v>
      </c>
      <c r="D397" s="11" t="s">
        <v>120</v>
      </c>
      <c r="E397" s="11" t="s">
        <v>121</v>
      </c>
      <c r="F397" s="11" t="s">
        <v>49</v>
      </c>
      <c r="G397" s="12" t="str">
        <f>IFERROR(VLOOKUP(F397, DADOS_RM_EVENTOS_original!A:B, 2, FALSE), "Código não encontrado/Não digitado")</f>
        <v>Código não encontrado/Não digitado</v>
      </c>
      <c r="H397" s="12" t="s">
        <v>68</v>
      </c>
      <c r="I397" s="12" t="str">
        <f>IFERROR(VLOOKUP(H397, DADOS_RM_EVENTOS_original!C:D, 2, FALSE), "Código não encontrado/Não digitado")</f>
        <v>Código não encontrado/Não digitado</v>
      </c>
      <c r="J397" s="12" t="s">
        <v>68</v>
      </c>
      <c r="K397" s="12" t="str">
        <f>IFERROR(VLOOKUP(J397, DADOS_RM_EVENTOS_original!E:J, 2, FALSE), "Código não encontrado/Não digitado")</f>
        <v>Código não encontrado/Não digitado</v>
      </c>
      <c r="L397" s="12" t="s">
        <v>68</v>
      </c>
      <c r="M397" s="12" t="str">
        <f>IFERROR(VLOOKUP(L397, DADOS_RM_EVENTOS_original!K:L, 2, FALSE), "Código não encontrado/Não digitado")</f>
        <v>Código não encontrado/Não digitado</v>
      </c>
    </row>
    <row r="398" ht="15.75" customHeight="1">
      <c r="A398" s="11" t="s">
        <v>38</v>
      </c>
      <c r="B398" s="11" t="s">
        <v>832</v>
      </c>
      <c r="C398" s="11" t="s">
        <v>3999</v>
      </c>
      <c r="D398" s="11" t="s">
        <v>120</v>
      </c>
      <c r="E398" s="11" t="s">
        <v>47</v>
      </c>
      <c r="F398" s="11" t="s">
        <v>49</v>
      </c>
      <c r="G398" s="12" t="str">
        <f>IFERROR(VLOOKUP(F398, DADOS_RM_EVENTOS_original!A:B, 2, FALSE), "Código não encontrado/Não digitado")</f>
        <v>Código não encontrado/Não digitado</v>
      </c>
      <c r="H398" s="12" t="s">
        <v>68</v>
      </c>
      <c r="I398" s="12" t="str">
        <f>IFERROR(VLOOKUP(H398, DADOS_RM_EVENTOS_original!C:D, 2, FALSE), "Código não encontrado/Não digitado")</f>
        <v>Código não encontrado/Não digitado</v>
      </c>
      <c r="J398" s="12" t="s">
        <v>68</v>
      </c>
      <c r="K398" s="12" t="str">
        <f>IFERROR(VLOOKUP(J398, DADOS_RM_EVENTOS_original!E:J, 2, FALSE), "Código não encontrado/Não digitado")</f>
        <v>Código não encontrado/Não digitado</v>
      </c>
      <c r="L398" s="12" t="s">
        <v>68</v>
      </c>
      <c r="M398" s="12" t="str">
        <f>IFERROR(VLOOKUP(L398, DADOS_RM_EVENTOS_original!K:L, 2, FALSE), "Código não encontrado/Não digitado")</f>
        <v>Código não encontrado/Não digitado</v>
      </c>
    </row>
    <row r="399" ht="15.75" customHeight="1">
      <c r="A399" s="11" t="s">
        <v>38</v>
      </c>
      <c r="B399" s="11" t="s">
        <v>4018</v>
      </c>
      <c r="C399" s="11" t="s">
        <v>3297</v>
      </c>
      <c r="D399" s="11" t="s">
        <v>120</v>
      </c>
      <c r="E399" s="11" t="s">
        <v>47</v>
      </c>
      <c r="F399" s="11" t="s">
        <v>49</v>
      </c>
      <c r="G399" s="12" t="str">
        <f>IFERROR(VLOOKUP(F399, DADOS_RM_EVENTOS_original!A:B, 2, FALSE), "Código não encontrado/Não digitado")</f>
        <v>Código não encontrado/Não digitado</v>
      </c>
      <c r="H399" s="12" t="s">
        <v>68</v>
      </c>
      <c r="I399" s="12" t="str">
        <f>IFERROR(VLOOKUP(H399, DADOS_RM_EVENTOS_original!C:D, 2, FALSE), "Código não encontrado/Não digitado")</f>
        <v>Código não encontrado/Não digitado</v>
      </c>
      <c r="J399" s="12" t="s">
        <v>68</v>
      </c>
      <c r="K399" s="12" t="str">
        <f>IFERROR(VLOOKUP(J399, DADOS_RM_EVENTOS_original!E:J, 2, FALSE), "Código não encontrado/Não digitado")</f>
        <v>Código não encontrado/Não digitado</v>
      </c>
      <c r="L399" s="12" t="s">
        <v>68</v>
      </c>
      <c r="M399" s="12" t="str">
        <f>IFERROR(VLOOKUP(L399, DADOS_RM_EVENTOS_original!K:L, 2, FALSE), "Código não encontrado/Não digitado")</f>
        <v>Código não encontrado/Não digitado</v>
      </c>
    </row>
    <row r="400" ht="15.75" hidden="1" customHeight="1">
      <c r="A400" s="11" t="s">
        <v>38</v>
      </c>
      <c r="B400" s="11" t="s">
        <v>275</v>
      </c>
      <c r="C400" s="11" t="s">
        <v>4043</v>
      </c>
      <c r="D400" s="11" t="s">
        <v>120</v>
      </c>
      <c r="E400" s="11" t="s">
        <v>47</v>
      </c>
      <c r="F400" s="11" t="s">
        <v>311</v>
      </c>
      <c r="G400" s="12" t="str">
        <f>IFERROR(VLOOKUP(F400, DADOS_RM_EVENTOS_original!A:B, 2, FALSE), "Código não encontrado/Não digitado")</f>
        <v>Reembolso Desc. Vale Transporte</v>
      </c>
      <c r="H400" s="12" t="s">
        <v>68</v>
      </c>
      <c r="I400" s="12" t="str">
        <f>IFERROR(VLOOKUP(H400, DADOS_RM_EVENTOS_original!C:D, 2, FALSE), "Código não encontrado/Não digitado")</f>
        <v>Código não encontrado/Não digitado</v>
      </c>
      <c r="J400" s="12" t="s">
        <v>68</v>
      </c>
      <c r="K400" s="12" t="str">
        <f>IFERROR(VLOOKUP(J400, DADOS_RM_EVENTOS_original!E:J, 2, FALSE), "Código não encontrado/Não digitado")</f>
        <v>Código não encontrado/Não digitado</v>
      </c>
      <c r="L400" s="12" t="s">
        <v>68</v>
      </c>
      <c r="M400" s="12" t="str">
        <f>IFERROR(VLOOKUP(L400, DADOS_RM_EVENTOS_original!K:L, 2, FALSE), "Código não encontrado/Não digitado")</f>
        <v>Código não encontrado/Não digitado</v>
      </c>
    </row>
    <row r="401" ht="15.75" hidden="1" customHeight="1">
      <c r="A401" s="11" t="s">
        <v>38</v>
      </c>
      <c r="B401" s="11" t="s">
        <v>165</v>
      </c>
      <c r="C401" s="11" t="s">
        <v>4059</v>
      </c>
      <c r="D401" s="11" t="s">
        <v>120</v>
      </c>
      <c r="E401" s="11" t="s">
        <v>47</v>
      </c>
      <c r="F401" s="11" t="s">
        <v>1415</v>
      </c>
      <c r="G401" s="12" t="str">
        <f>IFERROR(VLOOKUP(F401, DADOS_RM_EVENTOS_original!A:B, 2, FALSE), "Código não encontrado/Não digitado")</f>
        <v>Adicional Insalubridade 40%</v>
      </c>
      <c r="H401" s="12" t="s">
        <v>68</v>
      </c>
      <c r="I401" s="12" t="str">
        <f>IFERROR(VLOOKUP(H401, DADOS_RM_EVENTOS_original!C:D, 2, FALSE), "Código não encontrado/Não digitado")</f>
        <v>Código não encontrado/Não digitado</v>
      </c>
      <c r="J401" s="12" t="s">
        <v>68</v>
      </c>
      <c r="K401" s="12" t="str">
        <f>IFERROR(VLOOKUP(J401, DADOS_RM_EVENTOS_original!E:J, 2, FALSE), "Código não encontrado/Não digitado")</f>
        <v>Código não encontrado/Não digitado</v>
      </c>
      <c r="L401" s="12" t="s">
        <v>68</v>
      </c>
      <c r="M401" s="12" t="str">
        <f>IFERROR(VLOOKUP(L401, DADOS_RM_EVENTOS_original!K:L, 2, FALSE), "Código não encontrado/Não digitado")</f>
        <v>Código não encontrado/Não digitado</v>
      </c>
    </row>
    <row r="402" ht="15.75" hidden="1" customHeight="1">
      <c r="A402" s="11" t="s">
        <v>97</v>
      </c>
      <c r="B402" s="11" t="s">
        <v>165</v>
      </c>
      <c r="C402" s="11" t="s">
        <v>4086</v>
      </c>
      <c r="D402" s="11" t="s">
        <v>120</v>
      </c>
      <c r="E402" s="11" t="s">
        <v>972</v>
      </c>
      <c r="F402" s="11" t="s">
        <v>1415</v>
      </c>
      <c r="G402" s="12" t="str">
        <f>IFERROR(VLOOKUP(F402, DADOS_RM_EVENTOS_original!A:B, 2, FALSE), "Código não encontrado/Não digitado")</f>
        <v>Adicional Insalubridade 40%</v>
      </c>
      <c r="H402" s="12" t="s">
        <v>68</v>
      </c>
      <c r="I402" s="12" t="str">
        <f>IFERROR(VLOOKUP(H402, DADOS_RM_EVENTOS_original!C:D, 2, FALSE), "Código não encontrado/Não digitado")</f>
        <v>Código não encontrado/Não digitado</v>
      </c>
      <c r="J402" s="12" t="s">
        <v>68</v>
      </c>
      <c r="K402" s="12" t="str">
        <f>IFERROR(VLOOKUP(J402, DADOS_RM_EVENTOS_original!E:J, 2, FALSE), "Código não encontrado/Não digitado")</f>
        <v>Código não encontrado/Não digitado</v>
      </c>
      <c r="L402" s="12" t="s">
        <v>68</v>
      </c>
      <c r="M402" s="12" t="str">
        <f>IFERROR(VLOOKUP(L402, DADOS_RM_EVENTOS_original!K:L, 2, FALSE), "Código não encontrado/Não digitado")</f>
        <v>Código não encontrado/Não digitado</v>
      </c>
    </row>
    <row r="403" ht="15.75" hidden="1" customHeight="1">
      <c r="A403" s="11" t="s">
        <v>38</v>
      </c>
      <c r="B403" s="11" t="s">
        <v>1151</v>
      </c>
      <c r="C403" s="11" t="s">
        <v>4114</v>
      </c>
      <c r="D403" s="11" t="s">
        <v>44</v>
      </c>
      <c r="E403" s="11" t="s">
        <v>47</v>
      </c>
      <c r="F403" s="11" t="s">
        <v>84</v>
      </c>
      <c r="G403" s="12" t="str">
        <f>IFERROR(VLOOKUP(F403, DADOS_RM_EVENTOS_original!A:B, 2, FALSE), "Código não encontrado/Não digitado")</f>
        <v>Desc. INSS Segurado</v>
      </c>
      <c r="H403" s="12" t="s">
        <v>68</v>
      </c>
      <c r="I403" s="12" t="str">
        <f>IFERROR(VLOOKUP(H403, DADOS_RM_EVENTOS_original!C:D, 2, FALSE), "Código não encontrado/Não digitado")</f>
        <v>Código não encontrado/Não digitado</v>
      </c>
      <c r="J403" s="12" t="s">
        <v>68</v>
      </c>
      <c r="K403" s="12" t="str">
        <f>IFERROR(VLOOKUP(J403, DADOS_RM_EVENTOS_original!E:J, 2, FALSE), "Código não encontrado/Não digitado")</f>
        <v>Código não encontrado/Não digitado</v>
      </c>
      <c r="L403" s="12" t="s">
        <v>68</v>
      </c>
      <c r="M403" s="12" t="str">
        <f>IFERROR(VLOOKUP(L403, DADOS_RM_EVENTOS_original!K:L, 2, FALSE), "Código não encontrado/Não digitado")</f>
        <v>Código não encontrado/Não digitado</v>
      </c>
    </row>
    <row r="404" ht="15.75" hidden="1" customHeight="1">
      <c r="A404" s="11" t="s">
        <v>115</v>
      </c>
      <c r="B404" s="11" t="s">
        <v>1151</v>
      </c>
      <c r="C404" s="11" t="s">
        <v>4114</v>
      </c>
      <c r="D404" s="11" t="s">
        <v>44</v>
      </c>
      <c r="E404" s="11" t="s">
        <v>121</v>
      </c>
      <c r="F404" s="11" t="s">
        <v>84</v>
      </c>
      <c r="G404" s="12" t="str">
        <f>IFERROR(VLOOKUP(F404, DADOS_RM_EVENTOS_original!A:B, 2, FALSE), "Código não encontrado/Não digitado")</f>
        <v>Desc. INSS Segurado</v>
      </c>
      <c r="H404" s="12" t="s">
        <v>68</v>
      </c>
      <c r="I404" s="12" t="str">
        <f>IFERROR(VLOOKUP(H404, DADOS_RM_EVENTOS_original!C:D, 2, FALSE), "Código não encontrado/Não digitado")</f>
        <v>Código não encontrado/Não digitado</v>
      </c>
      <c r="J404" s="12" t="s">
        <v>68</v>
      </c>
      <c r="K404" s="12" t="str">
        <f>IFERROR(VLOOKUP(J404, DADOS_RM_EVENTOS_original!E:J, 2, FALSE), "Código não encontrado/Não digitado")</f>
        <v>Código não encontrado/Não digitado</v>
      </c>
      <c r="L404" s="12" t="s">
        <v>68</v>
      </c>
      <c r="M404" s="12" t="str">
        <f>IFERROR(VLOOKUP(L404, DADOS_RM_EVENTOS_original!K:L, 2, FALSE), "Código não encontrado/Não digitado")</f>
        <v>Código não encontrado/Não digitado</v>
      </c>
    </row>
    <row r="405" ht="15.75" hidden="1" customHeight="1">
      <c r="A405" s="11" t="s">
        <v>172</v>
      </c>
      <c r="B405" s="11" t="s">
        <v>1151</v>
      </c>
      <c r="C405" s="11" t="s">
        <v>4114</v>
      </c>
      <c r="D405" s="11" t="s">
        <v>44</v>
      </c>
      <c r="E405" s="11" t="s">
        <v>1029</v>
      </c>
      <c r="F405" s="11" t="s">
        <v>84</v>
      </c>
      <c r="G405" s="12" t="str">
        <f>IFERROR(VLOOKUP(F405, DADOS_RM_EVENTOS_original!A:B, 2, FALSE), "Código não encontrado/Não digitado")</f>
        <v>Desc. INSS Segurado</v>
      </c>
      <c r="H405" s="12" t="s">
        <v>68</v>
      </c>
      <c r="I405" s="12" t="str">
        <f>IFERROR(VLOOKUP(H405, DADOS_RM_EVENTOS_original!C:D, 2, FALSE), "Código não encontrado/Não digitado")</f>
        <v>Código não encontrado/Não digitado</v>
      </c>
      <c r="J405" s="12" t="s">
        <v>68</v>
      </c>
      <c r="K405" s="12" t="str">
        <f>IFERROR(VLOOKUP(J405, DADOS_RM_EVENTOS_original!E:J, 2, FALSE), "Código não encontrado/Não digitado")</f>
        <v>Código não encontrado/Não digitado</v>
      </c>
      <c r="L405" s="12" t="s">
        <v>68</v>
      </c>
      <c r="M405" s="12" t="str">
        <f>IFERROR(VLOOKUP(L405, DADOS_RM_EVENTOS_original!K:L, 2, FALSE), "Código não encontrado/Não digitado")</f>
        <v>Código não encontrado/Não digitado</v>
      </c>
    </row>
    <row r="406" ht="15.75" hidden="1" customHeight="1">
      <c r="A406" s="11" t="s">
        <v>97</v>
      </c>
      <c r="B406" s="11" t="s">
        <v>1151</v>
      </c>
      <c r="C406" s="11" t="s">
        <v>4114</v>
      </c>
      <c r="D406" s="11" t="s">
        <v>44</v>
      </c>
      <c r="E406" s="11" t="s">
        <v>972</v>
      </c>
      <c r="F406" s="11" t="s">
        <v>84</v>
      </c>
      <c r="G406" s="12" t="str">
        <f>IFERROR(VLOOKUP(F406, DADOS_RM_EVENTOS_original!A:B, 2, FALSE), "Código não encontrado/Não digitado")</f>
        <v>Desc. INSS Segurado</v>
      </c>
      <c r="H406" s="12" t="s">
        <v>68</v>
      </c>
      <c r="I406" s="12" t="str">
        <f>IFERROR(VLOOKUP(H406, DADOS_RM_EVENTOS_original!C:D, 2, FALSE), "Código não encontrado/Não digitado")</f>
        <v>Código não encontrado/Não digitado</v>
      </c>
      <c r="J406" s="12" t="s">
        <v>68</v>
      </c>
      <c r="K406" s="12" t="str">
        <f>IFERROR(VLOOKUP(J406, DADOS_RM_EVENTOS_original!E:J, 2, FALSE), "Código não encontrado/Não digitado")</f>
        <v>Código não encontrado/Não digitado</v>
      </c>
      <c r="L406" s="12" t="s">
        <v>68</v>
      </c>
      <c r="M406" s="12" t="str">
        <f>IFERROR(VLOOKUP(L406, DADOS_RM_EVENTOS_original!K:L, 2, FALSE), "Código não encontrado/Não digitado")</f>
        <v>Código não encontrado/Não digitado</v>
      </c>
    </row>
    <row r="407" ht="15.75" hidden="1" customHeight="1">
      <c r="A407" s="11" t="s">
        <v>142</v>
      </c>
      <c r="B407" s="11" t="s">
        <v>1151</v>
      </c>
      <c r="C407" s="11" t="s">
        <v>4114</v>
      </c>
      <c r="D407" s="11" t="s">
        <v>44</v>
      </c>
      <c r="E407" s="11" t="s">
        <v>985</v>
      </c>
      <c r="F407" s="11" t="s">
        <v>84</v>
      </c>
      <c r="G407" s="12" t="str">
        <f>IFERROR(VLOOKUP(F407, DADOS_RM_EVENTOS_original!A:B, 2, FALSE), "Código não encontrado/Não digitado")</f>
        <v>Desc. INSS Segurado</v>
      </c>
      <c r="H407" s="12" t="s">
        <v>68</v>
      </c>
      <c r="I407" s="12" t="str">
        <f>IFERROR(VLOOKUP(H407, DADOS_RM_EVENTOS_original!C:D, 2, FALSE), "Código não encontrado/Não digitado")</f>
        <v>Código não encontrado/Não digitado</v>
      </c>
      <c r="J407" s="12" t="s">
        <v>68</v>
      </c>
      <c r="K407" s="12" t="str">
        <f>IFERROR(VLOOKUP(J407, DADOS_RM_EVENTOS_original!E:J, 2, FALSE), "Código não encontrado/Não digitado")</f>
        <v>Código não encontrado/Não digitado</v>
      </c>
      <c r="L407" s="12" t="s">
        <v>68</v>
      </c>
      <c r="M407" s="12" t="str">
        <f>IFERROR(VLOOKUP(L407, DADOS_RM_EVENTOS_original!K:L, 2, FALSE), "Código não encontrado/Não digitado")</f>
        <v>Código não encontrado/Não digitado</v>
      </c>
    </row>
    <row r="408" ht="15.75" hidden="1" customHeight="1">
      <c r="A408" s="11" t="s">
        <v>199</v>
      </c>
      <c r="B408" s="11" t="s">
        <v>1151</v>
      </c>
      <c r="C408" s="11" t="s">
        <v>4114</v>
      </c>
      <c r="D408" s="11" t="s">
        <v>44</v>
      </c>
      <c r="E408" s="11" t="s">
        <v>1074</v>
      </c>
      <c r="F408" s="11" t="s">
        <v>84</v>
      </c>
      <c r="G408" s="12" t="str">
        <f>IFERROR(VLOOKUP(F408, DADOS_RM_EVENTOS_original!A:B, 2, FALSE), "Código não encontrado/Não digitado")</f>
        <v>Desc. INSS Segurado</v>
      </c>
      <c r="H408" s="12" t="s">
        <v>68</v>
      </c>
      <c r="I408" s="12" t="str">
        <f>IFERROR(VLOOKUP(H408, DADOS_RM_EVENTOS_original!C:D, 2, FALSE), "Código não encontrado/Não digitado")</f>
        <v>Código não encontrado/Não digitado</v>
      </c>
      <c r="J408" s="12" t="s">
        <v>68</v>
      </c>
      <c r="K408" s="12" t="str">
        <f>IFERROR(VLOOKUP(J408, DADOS_RM_EVENTOS_original!E:J, 2, FALSE), "Código não encontrado/Não digitado")</f>
        <v>Código não encontrado/Não digitado</v>
      </c>
      <c r="L408" s="12" t="s">
        <v>68</v>
      </c>
      <c r="M408" s="12" t="str">
        <f>IFERROR(VLOOKUP(L408, DADOS_RM_EVENTOS_original!K:L, 2, FALSE), "Código não encontrado/Não digitado")</f>
        <v>Código não encontrado/Não digitado</v>
      </c>
    </row>
    <row r="409" ht="15.75" hidden="1" customHeight="1">
      <c r="A409" s="11" t="s">
        <v>38</v>
      </c>
      <c r="B409" s="11" t="s">
        <v>1685</v>
      </c>
      <c r="C409" s="11" t="s">
        <v>4231</v>
      </c>
      <c r="D409" s="11" t="s">
        <v>44</v>
      </c>
      <c r="E409" s="11" t="s">
        <v>47</v>
      </c>
      <c r="F409" s="11" t="s">
        <v>84</v>
      </c>
      <c r="G409" s="12" t="str">
        <f>IFERROR(VLOOKUP(F409, DADOS_RM_EVENTOS_original!A:B, 2, FALSE), "Código não encontrado/Não digitado")</f>
        <v>Desc. INSS Segurado</v>
      </c>
      <c r="H409" s="12" t="s">
        <v>68</v>
      </c>
      <c r="I409" s="12" t="str">
        <f>IFERROR(VLOOKUP(H409, DADOS_RM_EVENTOS_original!C:D, 2, FALSE), "Código não encontrado/Não digitado")</f>
        <v>Código não encontrado/Não digitado</v>
      </c>
      <c r="J409" s="12" t="s">
        <v>68</v>
      </c>
      <c r="K409" s="12" t="str">
        <f>IFERROR(VLOOKUP(J409, DADOS_RM_EVENTOS_original!E:J, 2, FALSE), "Código não encontrado/Não digitado")</f>
        <v>Código não encontrado/Não digitado</v>
      </c>
      <c r="L409" s="12" t="s">
        <v>68</v>
      </c>
      <c r="M409" s="12" t="str">
        <f>IFERROR(VLOOKUP(L409, DADOS_RM_EVENTOS_original!K:L, 2, FALSE), "Código não encontrado/Não digitado")</f>
        <v>Código não encontrado/Não digitado</v>
      </c>
    </row>
    <row r="410" ht="15.75" hidden="1" customHeight="1">
      <c r="A410" s="11" t="s">
        <v>115</v>
      </c>
      <c r="B410" s="11" t="s">
        <v>1685</v>
      </c>
      <c r="C410" s="11" t="s">
        <v>4231</v>
      </c>
      <c r="D410" s="11" t="s">
        <v>44</v>
      </c>
      <c r="E410" s="11" t="s">
        <v>121</v>
      </c>
      <c r="F410" s="11" t="s">
        <v>84</v>
      </c>
      <c r="G410" s="12" t="str">
        <f>IFERROR(VLOOKUP(F410, DADOS_RM_EVENTOS_original!A:B, 2, FALSE), "Código não encontrado/Não digitado")</f>
        <v>Desc. INSS Segurado</v>
      </c>
      <c r="H410" s="12" t="s">
        <v>68</v>
      </c>
      <c r="I410" s="12" t="str">
        <f>IFERROR(VLOOKUP(H410, DADOS_RM_EVENTOS_original!C:D, 2, FALSE), "Código não encontrado/Não digitado")</f>
        <v>Código não encontrado/Não digitado</v>
      </c>
      <c r="J410" s="12" t="s">
        <v>68</v>
      </c>
      <c r="K410" s="12" t="str">
        <f>IFERROR(VLOOKUP(J410, DADOS_RM_EVENTOS_original!E:J, 2, FALSE), "Código não encontrado/Não digitado")</f>
        <v>Código não encontrado/Não digitado</v>
      </c>
      <c r="L410" s="12" t="s">
        <v>68</v>
      </c>
      <c r="M410" s="12" t="str">
        <f>IFERROR(VLOOKUP(L410, DADOS_RM_EVENTOS_original!K:L, 2, FALSE), "Código não encontrado/Não digitado")</f>
        <v>Código não encontrado/Não digitado</v>
      </c>
    </row>
    <row r="411" ht="15.75" hidden="1" customHeight="1">
      <c r="A411" s="11" t="s">
        <v>172</v>
      </c>
      <c r="B411" s="11" t="s">
        <v>1685</v>
      </c>
      <c r="C411" s="11" t="s">
        <v>4280</v>
      </c>
      <c r="D411" s="11" t="s">
        <v>44</v>
      </c>
      <c r="E411" s="11" t="s">
        <v>1029</v>
      </c>
      <c r="F411" s="11" t="s">
        <v>84</v>
      </c>
      <c r="G411" s="12" t="str">
        <f>IFERROR(VLOOKUP(F411, DADOS_RM_EVENTOS_original!A:B, 2, FALSE), "Código não encontrado/Não digitado")</f>
        <v>Desc. INSS Segurado</v>
      </c>
      <c r="H411" s="12" t="s">
        <v>68</v>
      </c>
      <c r="I411" s="12" t="str">
        <f>IFERROR(VLOOKUP(H411, DADOS_RM_EVENTOS_original!C:D, 2, FALSE), "Código não encontrado/Não digitado")</f>
        <v>Código não encontrado/Não digitado</v>
      </c>
      <c r="J411" s="12" t="s">
        <v>68</v>
      </c>
      <c r="K411" s="12" t="str">
        <f>IFERROR(VLOOKUP(J411, DADOS_RM_EVENTOS_original!E:J, 2, FALSE), "Código não encontrado/Não digitado")</f>
        <v>Código não encontrado/Não digitado</v>
      </c>
      <c r="L411" s="12" t="s">
        <v>68</v>
      </c>
      <c r="M411" s="12" t="str">
        <f>IFERROR(VLOOKUP(L411, DADOS_RM_EVENTOS_original!K:L, 2, FALSE), "Código não encontrado/Não digitado")</f>
        <v>Código não encontrado/Não digitado</v>
      </c>
    </row>
    <row r="412" ht="15.75" hidden="1" customHeight="1">
      <c r="A412" s="11" t="s">
        <v>97</v>
      </c>
      <c r="B412" s="11" t="s">
        <v>1685</v>
      </c>
      <c r="C412" s="11" t="s">
        <v>4280</v>
      </c>
      <c r="D412" s="11" t="s">
        <v>44</v>
      </c>
      <c r="E412" s="11" t="s">
        <v>972</v>
      </c>
      <c r="F412" s="11" t="s">
        <v>84</v>
      </c>
      <c r="G412" s="12" t="str">
        <f>IFERROR(VLOOKUP(F412, DADOS_RM_EVENTOS_original!A:B, 2, FALSE), "Código não encontrado/Não digitado")</f>
        <v>Desc. INSS Segurado</v>
      </c>
      <c r="H412" s="12" t="s">
        <v>68</v>
      </c>
      <c r="I412" s="12" t="str">
        <f>IFERROR(VLOOKUP(H412, DADOS_RM_EVENTOS_original!C:D, 2, FALSE), "Código não encontrado/Não digitado")</f>
        <v>Código não encontrado/Não digitado</v>
      </c>
      <c r="J412" s="12" t="s">
        <v>68</v>
      </c>
      <c r="K412" s="12" t="str">
        <f>IFERROR(VLOOKUP(J412, DADOS_RM_EVENTOS_original!E:J, 2, FALSE), "Código não encontrado/Não digitado")</f>
        <v>Código não encontrado/Não digitado</v>
      </c>
      <c r="L412" s="12" t="s">
        <v>68</v>
      </c>
      <c r="M412" s="12" t="str">
        <f>IFERROR(VLOOKUP(L412, DADOS_RM_EVENTOS_original!K:L, 2, FALSE), "Código não encontrado/Não digitado")</f>
        <v>Código não encontrado/Não digitado</v>
      </c>
    </row>
    <row r="413" ht="15.75" hidden="1" customHeight="1">
      <c r="A413" s="11" t="s">
        <v>142</v>
      </c>
      <c r="B413" s="11" t="s">
        <v>1685</v>
      </c>
      <c r="C413" s="11" t="s">
        <v>4280</v>
      </c>
      <c r="D413" s="11" t="s">
        <v>44</v>
      </c>
      <c r="E413" s="11" t="s">
        <v>985</v>
      </c>
      <c r="F413" s="11" t="s">
        <v>84</v>
      </c>
      <c r="G413" s="12" t="str">
        <f>IFERROR(VLOOKUP(F413, DADOS_RM_EVENTOS_original!A:B, 2, FALSE), "Código não encontrado/Não digitado")</f>
        <v>Desc. INSS Segurado</v>
      </c>
      <c r="H413" s="12" t="s">
        <v>68</v>
      </c>
      <c r="I413" s="12" t="str">
        <f>IFERROR(VLOOKUP(H413, DADOS_RM_EVENTOS_original!C:D, 2, FALSE), "Código não encontrado/Não digitado")</f>
        <v>Código não encontrado/Não digitado</v>
      </c>
      <c r="J413" s="12" t="s">
        <v>68</v>
      </c>
      <c r="K413" s="12" t="str">
        <f>IFERROR(VLOOKUP(J413, DADOS_RM_EVENTOS_original!E:J, 2, FALSE), "Código não encontrado/Não digitado")</f>
        <v>Código não encontrado/Não digitado</v>
      </c>
      <c r="L413" s="12" t="s">
        <v>68</v>
      </c>
      <c r="M413" s="12" t="str">
        <f>IFERROR(VLOOKUP(L413, DADOS_RM_EVENTOS_original!K:L, 2, FALSE), "Código não encontrado/Não digitado")</f>
        <v>Código não encontrado/Não digitado</v>
      </c>
    </row>
    <row r="414" ht="15.75" hidden="1" customHeight="1">
      <c r="A414" s="11" t="s">
        <v>199</v>
      </c>
      <c r="B414" s="11" t="s">
        <v>1685</v>
      </c>
      <c r="C414" s="11" t="s">
        <v>4280</v>
      </c>
      <c r="D414" s="11" t="s">
        <v>44</v>
      </c>
      <c r="E414" s="11" t="s">
        <v>1074</v>
      </c>
      <c r="F414" s="11" t="s">
        <v>84</v>
      </c>
      <c r="G414" s="12" t="str">
        <f>IFERROR(VLOOKUP(F414, DADOS_RM_EVENTOS_original!A:B, 2, FALSE), "Código não encontrado/Não digitado")</f>
        <v>Desc. INSS Segurado</v>
      </c>
      <c r="H414" s="12" t="s">
        <v>68</v>
      </c>
      <c r="I414" s="12" t="str">
        <f>IFERROR(VLOOKUP(H414, DADOS_RM_EVENTOS_original!C:D, 2, FALSE), "Código não encontrado/Não digitado")</f>
        <v>Código não encontrado/Não digitado</v>
      </c>
      <c r="J414" s="12" t="s">
        <v>68</v>
      </c>
      <c r="K414" s="12" t="str">
        <f>IFERROR(VLOOKUP(J414, DADOS_RM_EVENTOS_original!E:J, 2, FALSE), "Código não encontrado/Não digitado")</f>
        <v>Código não encontrado/Não digitado</v>
      </c>
      <c r="L414" s="12" t="s">
        <v>68</v>
      </c>
      <c r="M414" s="12" t="str">
        <f>IFERROR(VLOOKUP(L414, DADOS_RM_EVENTOS_original!K:L, 2, FALSE), "Código não encontrado/Não digitado")</f>
        <v>Código não encontrado/Não digitado</v>
      </c>
    </row>
    <row r="415" ht="15.75" hidden="1" customHeight="1">
      <c r="A415" s="11" t="s">
        <v>38</v>
      </c>
      <c r="B415" s="11" t="s">
        <v>1694</v>
      </c>
      <c r="C415" s="11" t="s">
        <v>4367</v>
      </c>
      <c r="D415" s="11" t="s">
        <v>44</v>
      </c>
      <c r="E415" s="11" t="s">
        <v>47</v>
      </c>
      <c r="F415" s="11" t="s">
        <v>137</v>
      </c>
      <c r="G415" s="12" t="str">
        <f>IFERROR(VLOOKUP(F415, DADOS_RM_EVENTOS_original!A:B, 2, FALSE), "Código não encontrado/Não digitado")</f>
        <v>Desc. INSS 13º Salario</v>
      </c>
      <c r="H415" s="12" t="s">
        <v>68</v>
      </c>
      <c r="I415" s="12" t="str">
        <f>IFERROR(VLOOKUP(H415, DADOS_RM_EVENTOS_original!C:D, 2, FALSE), "Código não encontrado/Não digitado")</f>
        <v>Código não encontrado/Não digitado</v>
      </c>
      <c r="J415" s="12" t="s">
        <v>68</v>
      </c>
      <c r="K415" s="12" t="str">
        <f>IFERROR(VLOOKUP(J415, DADOS_RM_EVENTOS_original!E:J, 2, FALSE), "Código não encontrado/Não digitado")</f>
        <v>Código não encontrado/Não digitado</v>
      </c>
      <c r="L415" s="12" t="s">
        <v>68</v>
      </c>
      <c r="M415" s="12" t="str">
        <f>IFERROR(VLOOKUP(L415, DADOS_RM_EVENTOS_original!K:L, 2, FALSE), "Código não encontrado/Não digitado")</f>
        <v>Código não encontrado/Não digitado</v>
      </c>
    </row>
    <row r="416" ht="15.75" hidden="1" customHeight="1">
      <c r="A416" s="11" t="s">
        <v>115</v>
      </c>
      <c r="B416" s="11" t="s">
        <v>1694</v>
      </c>
      <c r="C416" s="11" t="s">
        <v>4367</v>
      </c>
      <c r="D416" s="11" t="s">
        <v>44</v>
      </c>
      <c r="E416" s="11" t="s">
        <v>121</v>
      </c>
      <c r="F416" s="11" t="s">
        <v>137</v>
      </c>
      <c r="G416" s="12" t="str">
        <f>IFERROR(VLOOKUP(F416, DADOS_RM_EVENTOS_original!A:B, 2, FALSE), "Código não encontrado/Não digitado")</f>
        <v>Desc. INSS 13º Salario</v>
      </c>
      <c r="H416" s="12" t="s">
        <v>68</v>
      </c>
      <c r="I416" s="12" t="str">
        <f>IFERROR(VLOOKUP(H416, DADOS_RM_EVENTOS_original!C:D, 2, FALSE), "Código não encontrado/Não digitado")</f>
        <v>Código não encontrado/Não digitado</v>
      </c>
      <c r="J416" s="12" t="s">
        <v>68</v>
      </c>
      <c r="K416" s="12" t="str">
        <f>IFERROR(VLOOKUP(J416, DADOS_RM_EVENTOS_original!E:J, 2, FALSE), "Código não encontrado/Não digitado")</f>
        <v>Código não encontrado/Não digitado</v>
      </c>
      <c r="L416" s="12" t="s">
        <v>68</v>
      </c>
      <c r="M416" s="12" t="str">
        <f>IFERROR(VLOOKUP(L416, DADOS_RM_EVENTOS_original!K:L, 2, FALSE), "Código não encontrado/Não digitado")</f>
        <v>Código não encontrado/Não digitado</v>
      </c>
    </row>
    <row r="417" ht="15.75" hidden="1" customHeight="1">
      <c r="A417" s="11" t="s">
        <v>172</v>
      </c>
      <c r="B417" s="11" t="s">
        <v>1694</v>
      </c>
      <c r="C417" s="11" t="s">
        <v>4409</v>
      </c>
      <c r="D417" s="11" t="s">
        <v>44</v>
      </c>
      <c r="E417" s="11" t="s">
        <v>1029</v>
      </c>
      <c r="F417" s="11" t="s">
        <v>137</v>
      </c>
      <c r="G417" s="12" t="str">
        <f>IFERROR(VLOOKUP(F417, DADOS_RM_EVENTOS_original!A:B, 2, FALSE), "Código não encontrado/Não digitado")</f>
        <v>Desc. INSS 13º Salario</v>
      </c>
      <c r="H417" s="12" t="s">
        <v>68</v>
      </c>
      <c r="I417" s="12" t="str">
        <f>IFERROR(VLOOKUP(H417, DADOS_RM_EVENTOS_original!C:D, 2, FALSE), "Código não encontrado/Não digitado")</f>
        <v>Código não encontrado/Não digitado</v>
      </c>
      <c r="J417" s="12" t="s">
        <v>68</v>
      </c>
      <c r="K417" s="12" t="str">
        <f>IFERROR(VLOOKUP(J417, DADOS_RM_EVENTOS_original!E:J, 2, FALSE), "Código não encontrado/Não digitado")</f>
        <v>Código não encontrado/Não digitado</v>
      </c>
      <c r="L417" s="12" t="s">
        <v>68</v>
      </c>
      <c r="M417" s="12" t="str">
        <f>IFERROR(VLOOKUP(L417, DADOS_RM_EVENTOS_original!K:L, 2, FALSE), "Código não encontrado/Não digitado")</f>
        <v>Código não encontrado/Não digitado</v>
      </c>
    </row>
    <row r="418" ht="15.75" hidden="1" customHeight="1">
      <c r="A418" s="11" t="s">
        <v>97</v>
      </c>
      <c r="B418" s="11" t="s">
        <v>1694</v>
      </c>
      <c r="C418" s="11" t="s">
        <v>4409</v>
      </c>
      <c r="D418" s="11" t="s">
        <v>44</v>
      </c>
      <c r="E418" s="11" t="s">
        <v>972</v>
      </c>
      <c r="F418" s="11" t="s">
        <v>137</v>
      </c>
      <c r="G418" s="12" t="str">
        <f>IFERROR(VLOOKUP(F418, DADOS_RM_EVENTOS_original!A:B, 2, FALSE), "Código não encontrado/Não digitado")</f>
        <v>Desc. INSS 13º Salario</v>
      </c>
      <c r="H418" s="12" t="s">
        <v>68</v>
      </c>
      <c r="I418" s="12" t="str">
        <f>IFERROR(VLOOKUP(H418, DADOS_RM_EVENTOS_original!C:D, 2, FALSE), "Código não encontrado/Não digitado")</f>
        <v>Código não encontrado/Não digitado</v>
      </c>
      <c r="J418" s="12" t="s">
        <v>68</v>
      </c>
      <c r="K418" s="12" t="str">
        <f>IFERROR(VLOOKUP(J418, DADOS_RM_EVENTOS_original!E:J, 2, FALSE), "Código não encontrado/Não digitado")</f>
        <v>Código não encontrado/Não digitado</v>
      </c>
      <c r="L418" s="12" t="s">
        <v>68</v>
      </c>
      <c r="M418" s="12" t="str">
        <f>IFERROR(VLOOKUP(L418, DADOS_RM_EVENTOS_original!K:L, 2, FALSE), "Código não encontrado/Não digitado")</f>
        <v>Código não encontrado/Não digitado</v>
      </c>
    </row>
    <row r="419" ht="15.75" hidden="1" customHeight="1">
      <c r="A419" s="11" t="s">
        <v>142</v>
      </c>
      <c r="B419" s="11" t="s">
        <v>1694</v>
      </c>
      <c r="C419" s="11" t="s">
        <v>4409</v>
      </c>
      <c r="D419" s="11" t="s">
        <v>44</v>
      </c>
      <c r="E419" s="11" t="s">
        <v>985</v>
      </c>
      <c r="F419" s="11" t="s">
        <v>137</v>
      </c>
      <c r="G419" s="12" t="str">
        <f>IFERROR(VLOOKUP(F419, DADOS_RM_EVENTOS_original!A:B, 2, FALSE), "Código não encontrado/Não digitado")</f>
        <v>Desc. INSS 13º Salario</v>
      </c>
      <c r="H419" s="12" t="s">
        <v>68</v>
      </c>
      <c r="I419" s="12" t="str">
        <f>IFERROR(VLOOKUP(H419, DADOS_RM_EVENTOS_original!C:D, 2, FALSE), "Código não encontrado/Não digitado")</f>
        <v>Código não encontrado/Não digitado</v>
      </c>
      <c r="J419" s="12" t="s">
        <v>68</v>
      </c>
      <c r="K419" s="12" t="str">
        <f>IFERROR(VLOOKUP(J419, DADOS_RM_EVENTOS_original!E:J, 2, FALSE), "Código não encontrado/Não digitado")</f>
        <v>Código não encontrado/Não digitado</v>
      </c>
      <c r="L419" s="12" t="s">
        <v>68</v>
      </c>
      <c r="M419" s="12" t="str">
        <f>IFERROR(VLOOKUP(L419, DADOS_RM_EVENTOS_original!K:L, 2, FALSE), "Código não encontrado/Não digitado")</f>
        <v>Código não encontrado/Não digitado</v>
      </c>
    </row>
    <row r="420" ht="15.75" hidden="1" customHeight="1">
      <c r="A420" s="11" t="s">
        <v>199</v>
      </c>
      <c r="B420" s="11" t="s">
        <v>1694</v>
      </c>
      <c r="C420" s="11" t="s">
        <v>4409</v>
      </c>
      <c r="D420" s="11" t="s">
        <v>44</v>
      </c>
      <c r="E420" s="11" t="s">
        <v>1074</v>
      </c>
      <c r="F420" s="11" t="s">
        <v>137</v>
      </c>
      <c r="G420" s="12" t="str">
        <f>IFERROR(VLOOKUP(F420, DADOS_RM_EVENTOS_original!A:B, 2, FALSE), "Código não encontrado/Não digitado")</f>
        <v>Desc. INSS 13º Salario</v>
      </c>
      <c r="H420" s="12" t="s">
        <v>68</v>
      </c>
      <c r="I420" s="12" t="str">
        <f>IFERROR(VLOOKUP(H420, DADOS_RM_EVENTOS_original!C:D, 2, FALSE), "Código não encontrado/Não digitado")</f>
        <v>Código não encontrado/Não digitado</v>
      </c>
      <c r="J420" s="12" t="s">
        <v>68</v>
      </c>
      <c r="K420" s="12" t="str">
        <f>IFERROR(VLOOKUP(J420, DADOS_RM_EVENTOS_original!E:J, 2, FALSE), "Código não encontrado/Não digitado")</f>
        <v>Código não encontrado/Não digitado</v>
      </c>
      <c r="L420" s="12" t="s">
        <v>68</v>
      </c>
      <c r="M420" s="12" t="str">
        <f>IFERROR(VLOOKUP(L420, DADOS_RM_EVENTOS_original!K:L, 2, FALSE), "Código não encontrado/Não digitado")</f>
        <v>Código não encontrado/Não digitado</v>
      </c>
    </row>
    <row r="421" ht="15.75" hidden="1" customHeight="1">
      <c r="A421" s="11" t="s">
        <v>172</v>
      </c>
      <c r="B421" s="11" t="s">
        <v>452</v>
      </c>
      <c r="C421" s="11" t="s">
        <v>4475</v>
      </c>
      <c r="D421" s="11" t="s">
        <v>96</v>
      </c>
      <c r="E421" s="11" t="s">
        <v>1029</v>
      </c>
      <c r="F421" s="11" t="s">
        <v>99</v>
      </c>
      <c r="G421" s="12" t="str">
        <f>IFERROR(VLOOKUP(F421, DADOS_RM_EVENTOS_original!A:B, 2, FALSE), "Código não encontrado/Não digitado")</f>
        <v>Código não encontrado/Não digitado</v>
      </c>
      <c r="H421" s="12" t="s">
        <v>68</v>
      </c>
      <c r="I421" s="12" t="str">
        <f>IFERROR(VLOOKUP(H421, DADOS_RM_EVENTOS_original!C:D, 2, FALSE), "Código não encontrado/Não digitado")</f>
        <v>Código não encontrado/Não digitado</v>
      </c>
      <c r="J421" s="12" t="s">
        <v>68</v>
      </c>
      <c r="K421" s="12" t="str">
        <f>IFERROR(VLOOKUP(J421, DADOS_RM_EVENTOS_original!E:J, 2, FALSE), "Código não encontrado/Não digitado")</f>
        <v>Código não encontrado/Não digitado</v>
      </c>
      <c r="L421" s="12" t="s">
        <v>68</v>
      </c>
      <c r="M421" s="12" t="str">
        <f>IFERROR(VLOOKUP(L421, DADOS_RM_EVENTOS_original!K:L, 2, FALSE), "Código não encontrado/Não digitado")</f>
        <v>Código não encontrado/Não digitado</v>
      </c>
    </row>
    <row r="422" ht="15.75" hidden="1" customHeight="1">
      <c r="A422" s="11" t="s">
        <v>97</v>
      </c>
      <c r="B422" s="11" t="s">
        <v>452</v>
      </c>
      <c r="C422" s="11" t="s">
        <v>4475</v>
      </c>
      <c r="D422" s="11" t="s">
        <v>96</v>
      </c>
      <c r="E422" s="11" t="s">
        <v>972</v>
      </c>
      <c r="F422" s="11" t="s">
        <v>99</v>
      </c>
      <c r="G422" s="12" t="str">
        <f>IFERROR(VLOOKUP(F422, DADOS_RM_EVENTOS_original!A:B, 2, FALSE), "Código não encontrado/Não digitado")</f>
        <v>Código não encontrado/Não digitado</v>
      </c>
      <c r="H422" s="12" t="s">
        <v>68</v>
      </c>
      <c r="I422" s="12" t="str">
        <f>IFERROR(VLOOKUP(H422, DADOS_RM_EVENTOS_original!C:D, 2, FALSE), "Código não encontrado/Não digitado")</f>
        <v>Código não encontrado/Não digitado</v>
      </c>
      <c r="J422" s="12" t="s">
        <v>68</v>
      </c>
      <c r="K422" s="12" t="str">
        <f>IFERROR(VLOOKUP(J422, DADOS_RM_EVENTOS_original!E:J, 2, FALSE), "Código não encontrado/Não digitado")</f>
        <v>Código não encontrado/Não digitado</v>
      </c>
      <c r="L422" s="12" t="s">
        <v>68</v>
      </c>
      <c r="M422" s="12" t="str">
        <f>IFERROR(VLOOKUP(L422, DADOS_RM_EVENTOS_original!K:L, 2, FALSE), "Código não encontrado/Não digitado")</f>
        <v>Código não encontrado/Não digitado</v>
      </c>
    </row>
    <row r="423" ht="15.75" hidden="1" customHeight="1">
      <c r="A423" s="11" t="s">
        <v>142</v>
      </c>
      <c r="B423" s="11" t="s">
        <v>452</v>
      </c>
      <c r="C423" s="11" t="s">
        <v>4475</v>
      </c>
      <c r="D423" s="11" t="s">
        <v>96</v>
      </c>
      <c r="E423" s="11" t="s">
        <v>985</v>
      </c>
      <c r="F423" s="11" t="s">
        <v>99</v>
      </c>
      <c r="G423" s="12" t="str">
        <f>IFERROR(VLOOKUP(F423, DADOS_RM_EVENTOS_original!A:B, 2, FALSE), "Código não encontrado/Não digitado")</f>
        <v>Código não encontrado/Não digitado</v>
      </c>
      <c r="H423" s="12" t="s">
        <v>68</v>
      </c>
      <c r="I423" s="12" t="str">
        <f>IFERROR(VLOOKUP(H423, DADOS_RM_EVENTOS_original!C:D, 2, FALSE), "Código não encontrado/Não digitado")</f>
        <v>Código não encontrado/Não digitado</v>
      </c>
      <c r="J423" s="12" t="s">
        <v>68</v>
      </c>
      <c r="K423" s="12" t="str">
        <f>IFERROR(VLOOKUP(J423, DADOS_RM_EVENTOS_original!E:J, 2, FALSE), "Código não encontrado/Não digitado")</f>
        <v>Código não encontrado/Não digitado</v>
      </c>
      <c r="L423" s="12" t="s">
        <v>68</v>
      </c>
      <c r="M423" s="12" t="str">
        <f>IFERROR(VLOOKUP(L423, DADOS_RM_EVENTOS_original!K:L, 2, FALSE), "Código não encontrado/Não digitado")</f>
        <v>Código não encontrado/Não digitado</v>
      </c>
    </row>
    <row r="424" ht="15.75" hidden="1" customHeight="1">
      <c r="A424" s="11" t="s">
        <v>199</v>
      </c>
      <c r="B424" s="11" t="s">
        <v>452</v>
      </c>
      <c r="C424" s="11" t="s">
        <v>4475</v>
      </c>
      <c r="D424" s="11" t="s">
        <v>96</v>
      </c>
      <c r="E424" s="11" t="s">
        <v>1074</v>
      </c>
      <c r="F424" s="11" t="s">
        <v>99</v>
      </c>
      <c r="G424" s="12" t="str">
        <f>IFERROR(VLOOKUP(F424, DADOS_RM_EVENTOS_original!A:B, 2, FALSE), "Código não encontrado/Não digitado")</f>
        <v>Código não encontrado/Não digitado</v>
      </c>
      <c r="H424" s="12" t="s">
        <v>68</v>
      </c>
      <c r="I424" s="12" t="str">
        <f>IFERROR(VLOOKUP(H424, DADOS_RM_EVENTOS_original!C:D, 2, FALSE), "Código não encontrado/Não digitado")</f>
        <v>Código não encontrado/Não digitado</v>
      </c>
      <c r="J424" s="12" t="s">
        <v>68</v>
      </c>
      <c r="K424" s="12" t="str">
        <f>IFERROR(VLOOKUP(J424, DADOS_RM_EVENTOS_original!E:J, 2, FALSE), "Código não encontrado/Não digitado")</f>
        <v>Código não encontrado/Não digitado</v>
      </c>
      <c r="L424" s="12" t="s">
        <v>68</v>
      </c>
      <c r="M424" s="12" t="str">
        <f>IFERROR(VLOOKUP(L424, DADOS_RM_EVENTOS_original!K:L, 2, FALSE), "Código não encontrado/Não digitado")</f>
        <v>Código não encontrado/Não digitado</v>
      </c>
    </row>
    <row r="425" ht="15.75" hidden="1" customHeight="1">
      <c r="A425" s="11" t="s">
        <v>38</v>
      </c>
      <c r="B425" s="11" t="s">
        <v>1539</v>
      </c>
      <c r="C425" s="11" t="s">
        <v>4519</v>
      </c>
      <c r="D425" s="11" t="s">
        <v>44</v>
      </c>
      <c r="E425" s="11" t="s">
        <v>47</v>
      </c>
      <c r="F425" s="11" t="s">
        <v>38</v>
      </c>
      <c r="G425" s="12" t="str">
        <f>IFERROR(VLOOKUP(F425, DADOS_RM_EVENTOS_original!A:B, 2, FALSE), "Código não encontrado/Não digitado")</f>
        <v>Desc. IRRF na Fonte</v>
      </c>
      <c r="H425" s="12" t="s">
        <v>68</v>
      </c>
      <c r="I425" s="12" t="str">
        <f>IFERROR(VLOOKUP(H425, DADOS_RM_EVENTOS_original!C:D, 2, FALSE), "Código não encontrado/Não digitado")</f>
        <v>Código não encontrado/Não digitado</v>
      </c>
      <c r="J425" s="12" t="s">
        <v>68</v>
      </c>
      <c r="K425" s="12" t="str">
        <f>IFERROR(VLOOKUP(J425, DADOS_RM_EVENTOS_original!E:J, 2, FALSE), "Código não encontrado/Não digitado")</f>
        <v>Código não encontrado/Não digitado</v>
      </c>
      <c r="L425" s="12" t="s">
        <v>68</v>
      </c>
      <c r="M425" s="12" t="str">
        <f>IFERROR(VLOOKUP(L425, DADOS_RM_EVENTOS_original!K:L, 2, FALSE), "Código não encontrado/Não digitado")</f>
        <v>Código não encontrado/Não digitado</v>
      </c>
    </row>
    <row r="426" ht="15.75" hidden="1" customHeight="1">
      <c r="A426" s="11" t="s">
        <v>115</v>
      </c>
      <c r="B426" s="11" t="s">
        <v>1539</v>
      </c>
      <c r="C426" s="11" t="s">
        <v>4519</v>
      </c>
      <c r="D426" s="11" t="s">
        <v>44</v>
      </c>
      <c r="E426" s="11" t="s">
        <v>121</v>
      </c>
      <c r="F426" s="11" t="s">
        <v>38</v>
      </c>
      <c r="G426" s="12" t="str">
        <f>IFERROR(VLOOKUP(F426, DADOS_RM_EVENTOS_original!A:B, 2, FALSE), "Código não encontrado/Não digitado")</f>
        <v>Desc. IRRF na Fonte</v>
      </c>
      <c r="H426" s="12" t="s">
        <v>68</v>
      </c>
      <c r="I426" s="12" t="str">
        <f>IFERROR(VLOOKUP(H426, DADOS_RM_EVENTOS_original!C:D, 2, FALSE), "Código não encontrado/Não digitado")</f>
        <v>Código não encontrado/Não digitado</v>
      </c>
      <c r="J426" s="12" t="s">
        <v>68</v>
      </c>
      <c r="K426" s="12" t="str">
        <f>IFERROR(VLOOKUP(J426, DADOS_RM_EVENTOS_original!E:J, 2, FALSE), "Código não encontrado/Não digitado")</f>
        <v>Código não encontrado/Não digitado</v>
      </c>
      <c r="L426" s="12" t="s">
        <v>68</v>
      </c>
      <c r="M426" s="12" t="str">
        <f>IFERROR(VLOOKUP(L426, DADOS_RM_EVENTOS_original!K:L, 2, FALSE), "Código não encontrado/Não digitado")</f>
        <v>Código não encontrado/Não digitado</v>
      </c>
    </row>
    <row r="427" ht="15.75" hidden="1" customHeight="1">
      <c r="A427" s="11" t="s">
        <v>172</v>
      </c>
      <c r="B427" s="11" t="s">
        <v>1539</v>
      </c>
      <c r="C427" s="11" t="s">
        <v>4519</v>
      </c>
      <c r="D427" s="11" t="s">
        <v>44</v>
      </c>
      <c r="E427" s="11" t="s">
        <v>1029</v>
      </c>
      <c r="F427" s="11" t="s">
        <v>38</v>
      </c>
      <c r="G427" s="12" t="str">
        <f>IFERROR(VLOOKUP(F427, DADOS_RM_EVENTOS_original!A:B, 2, FALSE), "Código não encontrado/Não digitado")</f>
        <v>Desc. IRRF na Fonte</v>
      </c>
      <c r="H427" s="12" t="s">
        <v>68</v>
      </c>
      <c r="I427" s="12" t="str">
        <f>IFERROR(VLOOKUP(H427, DADOS_RM_EVENTOS_original!C:D, 2, FALSE), "Código não encontrado/Não digitado")</f>
        <v>Código não encontrado/Não digitado</v>
      </c>
      <c r="J427" s="12" t="s">
        <v>68</v>
      </c>
      <c r="K427" s="12" t="str">
        <f>IFERROR(VLOOKUP(J427, DADOS_RM_EVENTOS_original!E:J, 2, FALSE), "Código não encontrado/Não digitado")</f>
        <v>Código não encontrado/Não digitado</v>
      </c>
      <c r="L427" s="12" t="s">
        <v>68</v>
      </c>
      <c r="M427" s="12" t="str">
        <f>IFERROR(VLOOKUP(L427, DADOS_RM_EVENTOS_original!K:L, 2, FALSE), "Código não encontrado/Não digitado")</f>
        <v>Código não encontrado/Não digitado</v>
      </c>
    </row>
    <row r="428" ht="15.75" hidden="1" customHeight="1">
      <c r="A428" s="11" t="s">
        <v>97</v>
      </c>
      <c r="B428" s="11" t="s">
        <v>1539</v>
      </c>
      <c r="C428" s="11" t="s">
        <v>4519</v>
      </c>
      <c r="D428" s="11" t="s">
        <v>44</v>
      </c>
      <c r="E428" s="11" t="s">
        <v>972</v>
      </c>
      <c r="F428" s="11" t="s">
        <v>38</v>
      </c>
      <c r="G428" s="12" t="str">
        <f>IFERROR(VLOOKUP(F428, DADOS_RM_EVENTOS_original!A:B, 2, FALSE), "Código não encontrado/Não digitado")</f>
        <v>Desc. IRRF na Fonte</v>
      </c>
      <c r="H428" s="12" t="s">
        <v>68</v>
      </c>
      <c r="I428" s="12" t="str">
        <f>IFERROR(VLOOKUP(H428, DADOS_RM_EVENTOS_original!C:D, 2, FALSE), "Código não encontrado/Não digitado")</f>
        <v>Código não encontrado/Não digitado</v>
      </c>
      <c r="J428" s="12" t="s">
        <v>68</v>
      </c>
      <c r="K428" s="12" t="str">
        <f>IFERROR(VLOOKUP(J428, DADOS_RM_EVENTOS_original!E:J, 2, FALSE), "Código não encontrado/Não digitado")</f>
        <v>Código não encontrado/Não digitado</v>
      </c>
      <c r="L428" s="12" t="s">
        <v>68</v>
      </c>
      <c r="M428" s="12" t="str">
        <f>IFERROR(VLOOKUP(L428, DADOS_RM_EVENTOS_original!K:L, 2, FALSE), "Código não encontrado/Não digitado")</f>
        <v>Código não encontrado/Não digitado</v>
      </c>
    </row>
    <row r="429" ht="15.75" hidden="1" customHeight="1">
      <c r="A429" s="11" t="s">
        <v>142</v>
      </c>
      <c r="B429" s="11" t="s">
        <v>1539</v>
      </c>
      <c r="C429" s="11" t="s">
        <v>4519</v>
      </c>
      <c r="D429" s="11" t="s">
        <v>44</v>
      </c>
      <c r="E429" s="11" t="s">
        <v>985</v>
      </c>
      <c r="F429" s="11" t="s">
        <v>38</v>
      </c>
      <c r="G429" s="12" t="str">
        <f>IFERROR(VLOOKUP(F429, DADOS_RM_EVENTOS_original!A:B, 2, FALSE), "Código não encontrado/Não digitado")</f>
        <v>Desc. IRRF na Fonte</v>
      </c>
      <c r="H429" s="12" t="s">
        <v>68</v>
      </c>
      <c r="I429" s="12" t="str">
        <f>IFERROR(VLOOKUP(H429, DADOS_RM_EVENTOS_original!C:D, 2, FALSE), "Código não encontrado/Não digitado")</f>
        <v>Código não encontrado/Não digitado</v>
      </c>
      <c r="J429" s="12" t="s">
        <v>68</v>
      </c>
      <c r="K429" s="12" t="str">
        <f>IFERROR(VLOOKUP(J429, DADOS_RM_EVENTOS_original!E:J, 2, FALSE), "Código não encontrado/Não digitado")</f>
        <v>Código não encontrado/Não digitado</v>
      </c>
      <c r="L429" s="12" t="s">
        <v>68</v>
      </c>
      <c r="M429" s="12" t="str">
        <f>IFERROR(VLOOKUP(L429, DADOS_RM_EVENTOS_original!K:L, 2, FALSE), "Código não encontrado/Não digitado")</f>
        <v>Código não encontrado/Não digitado</v>
      </c>
    </row>
    <row r="430" ht="15.75" hidden="1" customHeight="1">
      <c r="A430" s="11" t="s">
        <v>38</v>
      </c>
      <c r="B430" s="11" t="s">
        <v>1696</v>
      </c>
      <c r="C430" s="11" t="s">
        <v>4520</v>
      </c>
      <c r="D430" s="11" t="s">
        <v>44</v>
      </c>
      <c r="E430" s="11" t="s">
        <v>47</v>
      </c>
      <c r="F430" s="11" t="s">
        <v>38</v>
      </c>
      <c r="G430" s="12" t="str">
        <f>IFERROR(VLOOKUP(F430, DADOS_RM_EVENTOS_original!A:B, 2, FALSE), "Código não encontrado/Não digitado")</f>
        <v>Desc. IRRF na Fonte</v>
      </c>
      <c r="H430" s="12" t="s">
        <v>68</v>
      </c>
      <c r="I430" s="12" t="str">
        <f>IFERROR(VLOOKUP(H430, DADOS_RM_EVENTOS_original!C:D, 2, FALSE), "Código não encontrado/Não digitado")</f>
        <v>Código não encontrado/Não digitado</v>
      </c>
      <c r="J430" s="12" t="s">
        <v>68</v>
      </c>
      <c r="K430" s="12" t="str">
        <f>IFERROR(VLOOKUP(J430, DADOS_RM_EVENTOS_original!E:J, 2, FALSE), "Código não encontrado/Não digitado")</f>
        <v>Código não encontrado/Não digitado</v>
      </c>
      <c r="L430" s="12" t="s">
        <v>68</v>
      </c>
      <c r="M430" s="12" t="str">
        <f>IFERROR(VLOOKUP(L430, DADOS_RM_EVENTOS_original!K:L, 2, FALSE), "Código não encontrado/Não digitado")</f>
        <v>Código não encontrado/Não digitado</v>
      </c>
    </row>
    <row r="431" ht="15.75" hidden="1" customHeight="1">
      <c r="A431" s="11" t="s">
        <v>97</v>
      </c>
      <c r="B431" s="11" t="s">
        <v>1696</v>
      </c>
      <c r="C431" s="11" t="s">
        <v>4521</v>
      </c>
      <c r="D431" s="11" t="s">
        <v>44</v>
      </c>
      <c r="E431" s="11" t="s">
        <v>972</v>
      </c>
      <c r="F431" s="11" t="s">
        <v>38</v>
      </c>
      <c r="G431" s="12" t="str">
        <f>IFERROR(VLOOKUP(F431, DADOS_RM_EVENTOS_original!A:B, 2, FALSE), "Código não encontrado/Não digitado")</f>
        <v>Desc. IRRF na Fonte</v>
      </c>
      <c r="H431" s="12" t="s">
        <v>68</v>
      </c>
      <c r="I431" s="12" t="str">
        <f>IFERROR(VLOOKUP(H431, DADOS_RM_EVENTOS_original!C:D, 2, FALSE), "Código não encontrado/Não digitado")</f>
        <v>Código não encontrado/Não digitado</v>
      </c>
      <c r="J431" s="12" t="s">
        <v>68</v>
      </c>
      <c r="K431" s="12" t="str">
        <f>IFERROR(VLOOKUP(J431, DADOS_RM_EVENTOS_original!E:J, 2, FALSE), "Código não encontrado/Não digitado")</f>
        <v>Código não encontrado/Não digitado</v>
      </c>
      <c r="L431" s="12" t="s">
        <v>68</v>
      </c>
      <c r="M431" s="12" t="str">
        <f>IFERROR(VLOOKUP(L431, DADOS_RM_EVENTOS_original!K:L, 2, FALSE), "Código não encontrado/Não digitado")</f>
        <v>Código não encontrado/Não digitado</v>
      </c>
    </row>
    <row r="432" ht="15.75" hidden="1" customHeight="1">
      <c r="A432" s="11" t="s">
        <v>38</v>
      </c>
      <c r="B432" s="11" t="s">
        <v>1700</v>
      </c>
      <c r="C432" s="11" t="s">
        <v>4522</v>
      </c>
      <c r="D432" s="11" t="s">
        <v>44</v>
      </c>
      <c r="E432" s="11" t="s">
        <v>47</v>
      </c>
      <c r="F432" s="11" t="s">
        <v>2563</v>
      </c>
      <c r="G432" s="12" t="str">
        <f>IFERROR(VLOOKUP(F432, DADOS_RM_EVENTOS_original!A:B, 2, FALSE), "Código não encontrado/Não digitado")</f>
        <v>Desc IRRF RRA 13º Salario</v>
      </c>
      <c r="H432" s="12" t="s">
        <v>68</v>
      </c>
      <c r="I432" s="12" t="str">
        <f>IFERROR(VLOOKUP(H432, DADOS_RM_EVENTOS_original!C:D, 2, FALSE), "Código não encontrado/Não digitado")</f>
        <v>Código não encontrado/Não digitado</v>
      </c>
      <c r="J432" s="12" t="s">
        <v>68</v>
      </c>
      <c r="K432" s="12" t="str">
        <f>IFERROR(VLOOKUP(J432, DADOS_RM_EVENTOS_original!E:J, 2, FALSE), "Código não encontrado/Não digitado")</f>
        <v>Código não encontrado/Não digitado</v>
      </c>
      <c r="L432" s="12" t="s">
        <v>68</v>
      </c>
      <c r="M432" s="12" t="str">
        <f>IFERROR(VLOOKUP(L432, DADOS_RM_EVENTOS_original!K:L, 2, FALSE), "Código não encontrado/Não digitado")</f>
        <v>Código não encontrado/Não digitado</v>
      </c>
    </row>
    <row r="433" ht="15.75" hidden="1" customHeight="1">
      <c r="A433" s="11" t="s">
        <v>172</v>
      </c>
      <c r="B433" s="11" t="s">
        <v>482</v>
      </c>
      <c r="C433" s="11" t="s">
        <v>4523</v>
      </c>
      <c r="D433" s="11" t="s">
        <v>96</v>
      </c>
      <c r="E433" s="11" t="s">
        <v>1029</v>
      </c>
      <c r="F433" s="11" t="s">
        <v>99</v>
      </c>
      <c r="G433" s="12" t="str">
        <f>IFERROR(VLOOKUP(F433, DADOS_RM_EVENTOS_original!A:B, 2, FALSE), "Código não encontrado/Não digitado")</f>
        <v>Código não encontrado/Não digitado</v>
      </c>
      <c r="H433" s="12" t="s">
        <v>68</v>
      </c>
      <c r="I433" s="12" t="str">
        <f>IFERROR(VLOOKUP(H433, DADOS_RM_EVENTOS_original!C:D, 2, FALSE), "Código não encontrado/Não digitado")</f>
        <v>Código não encontrado/Não digitado</v>
      </c>
      <c r="J433" s="12" t="s">
        <v>68</v>
      </c>
      <c r="K433" s="12" t="str">
        <f>IFERROR(VLOOKUP(J433, DADOS_RM_EVENTOS_original!E:J, 2, FALSE), "Código não encontrado/Não digitado")</f>
        <v>Código não encontrado/Não digitado</v>
      </c>
      <c r="L433" s="12" t="s">
        <v>68</v>
      </c>
      <c r="M433" s="12" t="str">
        <f>IFERROR(VLOOKUP(L433, DADOS_RM_EVENTOS_original!K:L, 2, FALSE), "Código não encontrado/Não digitado")</f>
        <v>Código não encontrado/Não digitado</v>
      </c>
    </row>
    <row r="434" ht="15.75" hidden="1" customHeight="1">
      <c r="A434" s="11" t="s">
        <v>97</v>
      </c>
      <c r="B434" s="11" t="s">
        <v>482</v>
      </c>
      <c r="C434" s="11" t="s">
        <v>4523</v>
      </c>
      <c r="D434" s="11" t="s">
        <v>96</v>
      </c>
      <c r="E434" s="11" t="s">
        <v>972</v>
      </c>
      <c r="F434" s="11" t="s">
        <v>99</v>
      </c>
      <c r="G434" s="12" t="str">
        <f>IFERROR(VLOOKUP(F434, DADOS_RM_EVENTOS_original!A:B, 2, FALSE), "Código não encontrado/Não digitado")</f>
        <v>Código não encontrado/Não digitado</v>
      </c>
      <c r="H434" s="12" t="s">
        <v>68</v>
      </c>
      <c r="I434" s="12" t="str">
        <f>IFERROR(VLOOKUP(H434, DADOS_RM_EVENTOS_original!C:D, 2, FALSE), "Código não encontrado/Não digitado")</f>
        <v>Código não encontrado/Não digitado</v>
      </c>
      <c r="J434" s="12" t="s">
        <v>68</v>
      </c>
      <c r="K434" s="12" t="str">
        <f>IFERROR(VLOOKUP(J434, DADOS_RM_EVENTOS_original!E:J, 2, FALSE), "Código não encontrado/Não digitado")</f>
        <v>Código não encontrado/Não digitado</v>
      </c>
      <c r="L434" s="12" t="s">
        <v>68</v>
      </c>
      <c r="M434" s="12" t="str">
        <f>IFERROR(VLOOKUP(L434, DADOS_RM_EVENTOS_original!K:L, 2, FALSE), "Código não encontrado/Não digitado")</f>
        <v>Código não encontrado/Não digitado</v>
      </c>
    </row>
    <row r="435" ht="15.75" hidden="1" customHeight="1">
      <c r="A435" s="11" t="s">
        <v>142</v>
      </c>
      <c r="B435" s="11" t="s">
        <v>482</v>
      </c>
      <c r="C435" s="11" t="s">
        <v>4523</v>
      </c>
      <c r="D435" s="11" t="s">
        <v>96</v>
      </c>
      <c r="E435" s="11" t="s">
        <v>985</v>
      </c>
      <c r="F435" s="11" t="s">
        <v>99</v>
      </c>
      <c r="G435" s="12" t="str">
        <f>IFERROR(VLOOKUP(F435, DADOS_RM_EVENTOS_original!A:B, 2, FALSE), "Código não encontrado/Não digitado")</f>
        <v>Código não encontrado/Não digitado</v>
      </c>
      <c r="H435" s="12" t="s">
        <v>68</v>
      </c>
      <c r="I435" s="12" t="str">
        <f>IFERROR(VLOOKUP(H435, DADOS_RM_EVENTOS_original!C:D, 2, FALSE), "Código não encontrado/Não digitado")</f>
        <v>Código não encontrado/Não digitado</v>
      </c>
      <c r="J435" s="12" t="s">
        <v>68</v>
      </c>
      <c r="K435" s="12" t="str">
        <f>IFERROR(VLOOKUP(J435, DADOS_RM_EVENTOS_original!E:J, 2, FALSE), "Código não encontrado/Não digitado")</f>
        <v>Código não encontrado/Não digitado</v>
      </c>
      <c r="L435" s="12" t="s">
        <v>68</v>
      </c>
      <c r="M435" s="12" t="str">
        <f>IFERROR(VLOOKUP(L435, DADOS_RM_EVENTOS_original!K:L, 2, FALSE), "Código não encontrado/Não digitado")</f>
        <v>Código não encontrado/Não digitado</v>
      </c>
    </row>
    <row r="436" ht="15.75" hidden="1" customHeight="1">
      <c r="A436" s="11" t="s">
        <v>199</v>
      </c>
      <c r="B436" s="11" t="s">
        <v>482</v>
      </c>
      <c r="C436" s="11" t="s">
        <v>4523</v>
      </c>
      <c r="D436" s="11" t="s">
        <v>96</v>
      </c>
      <c r="E436" s="11" t="s">
        <v>1074</v>
      </c>
      <c r="F436" s="11" t="s">
        <v>99</v>
      </c>
      <c r="G436" s="12" t="str">
        <f>IFERROR(VLOOKUP(F436, DADOS_RM_EVENTOS_original!A:B, 2, FALSE), "Código não encontrado/Não digitado")</f>
        <v>Código não encontrado/Não digitado</v>
      </c>
      <c r="H436" s="12" t="s">
        <v>68</v>
      </c>
      <c r="I436" s="12" t="str">
        <f>IFERROR(VLOOKUP(H436, DADOS_RM_EVENTOS_original!C:D, 2, FALSE), "Código não encontrado/Não digitado")</f>
        <v>Código não encontrado/Não digitado</v>
      </c>
      <c r="J436" s="12" t="s">
        <v>68</v>
      </c>
      <c r="K436" s="12" t="str">
        <f>IFERROR(VLOOKUP(J436, DADOS_RM_EVENTOS_original!E:J, 2, FALSE), "Código não encontrado/Não digitado")</f>
        <v>Código não encontrado/Não digitado</v>
      </c>
      <c r="L436" s="12" t="s">
        <v>68</v>
      </c>
      <c r="M436" s="12" t="str">
        <f>IFERROR(VLOOKUP(L436, DADOS_RM_EVENTOS_original!K:L, 2, FALSE), "Código não encontrado/Não digitado")</f>
        <v>Código não encontrado/Não digitado</v>
      </c>
    </row>
    <row r="437" ht="15.75" hidden="1" customHeight="1">
      <c r="A437" s="11" t="s">
        <v>38</v>
      </c>
      <c r="B437" s="11" t="s">
        <v>511</v>
      </c>
      <c r="C437" s="11" t="s">
        <v>3367</v>
      </c>
      <c r="D437" s="11" t="s">
        <v>120</v>
      </c>
      <c r="E437" s="11" t="s">
        <v>47</v>
      </c>
      <c r="F437" s="11" t="s">
        <v>556</v>
      </c>
      <c r="G437" s="12" t="str">
        <f>IFERROR(VLOOKUP(F437, DADOS_RM_EVENTOS_original!A:B, 2, FALSE), "Código não encontrado/Não digitado")</f>
        <v>Licenca Remunerada (Ferias Coletivas)</v>
      </c>
      <c r="H437" s="12" t="s">
        <v>68</v>
      </c>
      <c r="I437" s="12" t="str">
        <f>IFERROR(VLOOKUP(H437, DADOS_RM_EVENTOS_original!C:D, 2, FALSE), "Código não encontrado/Não digitado")</f>
        <v>Código não encontrado/Não digitado</v>
      </c>
      <c r="J437" s="12" t="s">
        <v>68</v>
      </c>
      <c r="K437" s="12" t="str">
        <f>IFERROR(VLOOKUP(J437, DADOS_RM_EVENTOS_original!E:J, 2, FALSE), "Código não encontrado/Não digitado")</f>
        <v>Código não encontrado/Não digitado</v>
      </c>
      <c r="L437" s="12" t="s">
        <v>68</v>
      </c>
      <c r="M437" s="12" t="str">
        <f>IFERROR(VLOOKUP(L437, DADOS_RM_EVENTOS_original!K:L, 2, FALSE), "Código não encontrado/Não digitado")</f>
        <v>Código não encontrado/Não digitado</v>
      </c>
    </row>
    <row r="438" ht="15.75" hidden="1" customHeight="1">
      <c r="A438" s="11" t="s">
        <v>38</v>
      </c>
      <c r="B438" s="11" t="s">
        <v>490</v>
      </c>
      <c r="C438" s="11" t="s">
        <v>4524</v>
      </c>
      <c r="D438" s="11" t="s">
        <v>120</v>
      </c>
      <c r="E438" s="11" t="s">
        <v>47</v>
      </c>
      <c r="F438" s="11" t="s">
        <v>1572</v>
      </c>
      <c r="G438" s="12" t="str">
        <f>IFERROR(VLOOKUP(F438, DADOS_RM_EVENTOS_original!A:B, 2, FALSE), "Código não encontrado/Não digitado")</f>
        <v>Liquido Negativo</v>
      </c>
      <c r="H438" s="12" t="s">
        <v>68</v>
      </c>
      <c r="I438" s="12" t="str">
        <f>IFERROR(VLOOKUP(H438, DADOS_RM_EVENTOS_original!C:D, 2, FALSE), "Código não encontrado/Não digitado")</f>
        <v>Código não encontrado/Não digitado</v>
      </c>
      <c r="J438" s="12" t="s">
        <v>68</v>
      </c>
      <c r="K438" s="12" t="str">
        <f>IFERROR(VLOOKUP(J438, DADOS_RM_EVENTOS_original!E:J, 2, FALSE), "Código não encontrado/Não digitado")</f>
        <v>Código não encontrado/Não digitado</v>
      </c>
      <c r="L438" s="12" t="s">
        <v>68</v>
      </c>
      <c r="M438" s="12" t="str">
        <f>IFERROR(VLOOKUP(L438, DADOS_RM_EVENTOS_original!K:L, 2, FALSE), "Código não encontrado/Não digitado")</f>
        <v>Código não encontrado/Não digitado</v>
      </c>
    </row>
    <row r="439" ht="15.75" hidden="1" customHeight="1">
      <c r="A439" s="11" t="s">
        <v>172</v>
      </c>
      <c r="B439" s="11" t="s">
        <v>490</v>
      </c>
      <c r="C439" s="11" t="s">
        <v>4525</v>
      </c>
      <c r="D439" s="11" t="s">
        <v>120</v>
      </c>
      <c r="E439" s="11" t="s">
        <v>1029</v>
      </c>
      <c r="F439" s="11" t="s">
        <v>1572</v>
      </c>
      <c r="G439" s="12" t="str">
        <f>IFERROR(VLOOKUP(F439, DADOS_RM_EVENTOS_original!A:B, 2, FALSE), "Código não encontrado/Não digitado")</f>
        <v>Liquido Negativo</v>
      </c>
      <c r="H439" s="12" t="s">
        <v>68</v>
      </c>
      <c r="I439" s="12" t="str">
        <f>IFERROR(VLOOKUP(H439, DADOS_RM_EVENTOS_original!C:D, 2, FALSE), "Código não encontrado/Não digitado")</f>
        <v>Código não encontrado/Não digitado</v>
      </c>
      <c r="J439" s="12" t="s">
        <v>68</v>
      </c>
      <c r="K439" s="12" t="str">
        <f>IFERROR(VLOOKUP(J439, DADOS_RM_EVENTOS_original!E:J, 2, FALSE), "Código não encontrado/Não digitado")</f>
        <v>Código não encontrado/Não digitado</v>
      </c>
      <c r="L439" s="12" t="s">
        <v>68</v>
      </c>
      <c r="M439" s="12" t="str">
        <f>IFERROR(VLOOKUP(L439, DADOS_RM_EVENTOS_original!K:L, 2, FALSE), "Código não encontrado/Não digitado")</f>
        <v>Código não encontrado/Não digitado</v>
      </c>
    </row>
    <row r="440" ht="15.75" hidden="1" customHeight="1">
      <c r="A440" s="11" t="s">
        <v>97</v>
      </c>
      <c r="B440" s="11" t="s">
        <v>490</v>
      </c>
      <c r="C440" s="11" t="s">
        <v>4525</v>
      </c>
      <c r="D440" s="11" t="s">
        <v>120</v>
      </c>
      <c r="E440" s="11" t="s">
        <v>972</v>
      </c>
      <c r="F440" s="11" t="s">
        <v>1572</v>
      </c>
      <c r="G440" s="12" t="str">
        <f>IFERROR(VLOOKUP(F440, DADOS_RM_EVENTOS_original!A:B, 2, FALSE), "Código não encontrado/Não digitado")</f>
        <v>Liquido Negativo</v>
      </c>
      <c r="H440" s="12" t="s">
        <v>68</v>
      </c>
      <c r="I440" s="12" t="str">
        <f>IFERROR(VLOOKUP(H440, DADOS_RM_EVENTOS_original!C:D, 2, FALSE), "Código não encontrado/Não digitado")</f>
        <v>Código não encontrado/Não digitado</v>
      </c>
      <c r="J440" s="12" t="s">
        <v>68</v>
      </c>
      <c r="K440" s="12" t="str">
        <f>IFERROR(VLOOKUP(J440, DADOS_RM_EVENTOS_original!E:J, 2, FALSE), "Código não encontrado/Não digitado")</f>
        <v>Código não encontrado/Não digitado</v>
      </c>
      <c r="L440" s="12" t="s">
        <v>68</v>
      </c>
      <c r="M440" s="12" t="str">
        <f>IFERROR(VLOOKUP(L440, DADOS_RM_EVENTOS_original!K:L, 2, FALSE), "Código não encontrado/Não digitado")</f>
        <v>Código não encontrado/Não digitado</v>
      </c>
    </row>
    <row r="441" ht="15.75" hidden="1" customHeight="1">
      <c r="A441" s="11" t="s">
        <v>142</v>
      </c>
      <c r="B441" s="11" t="s">
        <v>490</v>
      </c>
      <c r="C441" s="11" t="s">
        <v>4525</v>
      </c>
      <c r="D441" s="11" t="s">
        <v>120</v>
      </c>
      <c r="E441" s="11" t="s">
        <v>985</v>
      </c>
      <c r="F441" s="11" t="s">
        <v>1572</v>
      </c>
      <c r="G441" s="12" t="str">
        <f>IFERROR(VLOOKUP(F441, DADOS_RM_EVENTOS_original!A:B, 2, FALSE), "Código não encontrado/Não digitado")</f>
        <v>Liquido Negativo</v>
      </c>
      <c r="H441" s="12" t="s">
        <v>68</v>
      </c>
      <c r="I441" s="12" t="str">
        <f>IFERROR(VLOOKUP(H441, DADOS_RM_EVENTOS_original!C:D, 2, FALSE), "Código não encontrado/Não digitado")</f>
        <v>Código não encontrado/Não digitado</v>
      </c>
      <c r="J441" s="12" t="s">
        <v>68</v>
      </c>
      <c r="K441" s="12" t="str">
        <f>IFERROR(VLOOKUP(J441, DADOS_RM_EVENTOS_original!E:J, 2, FALSE), "Código não encontrado/Não digitado")</f>
        <v>Código não encontrado/Não digitado</v>
      </c>
      <c r="L441" s="12" t="s">
        <v>68</v>
      </c>
      <c r="M441" s="12" t="str">
        <f>IFERROR(VLOOKUP(L441, DADOS_RM_EVENTOS_original!K:L, 2, FALSE), "Código não encontrado/Não digitado")</f>
        <v>Código não encontrado/Não digitado</v>
      </c>
    </row>
    <row r="442" ht="15.75" hidden="1" customHeight="1">
      <c r="A442" s="11" t="s">
        <v>38</v>
      </c>
      <c r="B442" s="11" t="s">
        <v>1365</v>
      </c>
      <c r="C442" s="11" t="s">
        <v>4526</v>
      </c>
      <c r="D442" s="11" t="s">
        <v>44</v>
      </c>
      <c r="E442" s="11" t="s">
        <v>47</v>
      </c>
      <c r="F442" s="11" t="s">
        <v>173</v>
      </c>
      <c r="G442" s="12" t="str">
        <f>IFERROR(VLOOKUP(F442, DADOS_RM_EVENTOS_original!A:B, 2, FALSE), "Código não encontrado/Não digitado")</f>
        <v>Desc. Arred. Liquido Insufuciente</v>
      </c>
      <c r="H442" s="12" t="s">
        <v>68</v>
      </c>
      <c r="I442" s="12" t="str">
        <f>IFERROR(VLOOKUP(H442, DADOS_RM_EVENTOS_original!C:D, 2, FALSE), "Código não encontrado/Não digitado")</f>
        <v>Código não encontrado/Não digitado</v>
      </c>
      <c r="J442" s="12" t="s">
        <v>68</v>
      </c>
      <c r="K442" s="12" t="str">
        <f>IFERROR(VLOOKUP(J442, DADOS_RM_EVENTOS_original!E:J, 2, FALSE), "Código não encontrado/Não digitado")</f>
        <v>Código não encontrado/Não digitado</v>
      </c>
      <c r="L442" s="12" t="s">
        <v>68</v>
      </c>
      <c r="M442" s="12" t="str">
        <f>IFERROR(VLOOKUP(L442, DADOS_RM_EVENTOS_original!K:L, 2, FALSE), "Código não encontrado/Não digitado")</f>
        <v>Código não encontrado/Não digitado</v>
      </c>
    </row>
    <row r="443" ht="15.75" hidden="1" customHeight="1">
      <c r="A443" s="11" t="s">
        <v>97</v>
      </c>
      <c r="B443" s="11" t="s">
        <v>1365</v>
      </c>
      <c r="C443" s="11" t="s">
        <v>4527</v>
      </c>
      <c r="D443" s="11" t="s">
        <v>44</v>
      </c>
      <c r="E443" s="11" t="s">
        <v>972</v>
      </c>
      <c r="F443" s="11" t="s">
        <v>173</v>
      </c>
      <c r="G443" s="12" t="str">
        <f>IFERROR(VLOOKUP(F443, DADOS_RM_EVENTOS_original!A:B, 2, FALSE), "Código não encontrado/Não digitado")</f>
        <v>Desc. Arred. Liquido Insufuciente</v>
      </c>
      <c r="H443" s="12" t="s">
        <v>68</v>
      </c>
      <c r="I443" s="12" t="str">
        <f>IFERROR(VLOOKUP(H443, DADOS_RM_EVENTOS_original!C:D, 2, FALSE), "Código não encontrado/Não digitado")</f>
        <v>Código não encontrado/Não digitado</v>
      </c>
      <c r="J443" s="12" t="s">
        <v>68</v>
      </c>
      <c r="K443" s="12" t="str">
        <f>IFERROR(VLOOKUP(J443, DADOS_RM_EVENTOS_original!E:J, 2, FALSE), "Código não encontrado/Não digitado")</f>
        <v>Código não encontrado/Não digitado</v>
      </c>
      <c r="L443" s="12" t="s">
        <v>68</v>
      </c>
      <c r="M443" s="12" t="str">
        <f>IFERROR(VLOOKUP(L443, DADOS_RM_EVENTOS_original!K:L, 2, FALSE), "Código não encontrado/Não digitado")</f>
        <v>Código não encontrado/Não digitado</v>
      </c>
    </row>
    <row r="444" ht="15.75" hidden="1" customHeight="1">
      <c r="A444" s="11" t="s">
        <v>38</v>
      </c>
      <c r="B444" s="11" t="s">
        <v>1186</v>
      </c>
      <c r="C444" s="11" t="s">
        <v>4528</v>
      </c>
      <c r="D444" s="11" t="s">
        <v>44</v>
      </c>
      <c r="E444" s="11" t="s">
        <v>47</v>
      </c>
      <c r="F444" s="11" t="s">
        <v>245</v>
      </c>
      <c r="G444" s="12" t="str">
        <f>IFERROR(VLOOKUP(F444, DADOS_RM_EVENTOS_original!A:B, 2, FALSE), "Código não encontrado/Não digitado")</f>
        <v>Desc. Mensalidade Sindical</v>
      </c>
      <c r="H444" s="12" t="s">
        <v>68</v>
      </c>
      <c r="I444" s="12" t="str">
        <f>IFERROR(VLOOKUP(H444, DADOS_RM_EVENTOS_original!C:D, 2, FALSE), "Código não encontrado/Não digitado")</f>
        <v>Código não encontrado/Não digitado</v>
      </c>
      <c r="J444" s="12" t="s">
        <v>68</v>
      </c>
      <c r="K444" s="12" t="str">
        <f>IFERROR(VLOOKUP(J444, DADOS_RM_EVENTOS_original!E:J, 2, FALSE), "Código não encontrado/Não digitado")</f>
        <v>Código não encontrado/Não digitado</v>
      </c>
      <c r="L444" s="12" t="s">
        <v>68</v>
      </c>
      <c r="M444" s="12" t="str">
        <f>IFERROR(VLOOKUP(L444, DADOS_RM_EVENTOS_original!K:L, 2, FALSE), "Código não encontrado/Não digitado")</f>
        <v>Código não encontrado/Não digitado</v>
      </c>
    </row>
    <row r="445" ht="15.75" hidden="1" customHeight="1">
      <c r="A445" s="11" t="s">
        <v>97</v>
      </c>
      <c r="B445" s="11" t="s">
        <v>1186</v>
      </c>
      <c r="C445" s="11" t="s">
        <v>4529</v>
      </c>
      <c r="D445" s="11" t="s">
        <v>44</v>
      </c>
      <c r="E445" s="11" t="s">
        <v>972</v>
      </c>
      <c r="F445" s="11" t="s">
        <v>245</v>
      </c>
      <c r="G445" s="12" t="str">
        <f>IFERROR(VLOOKUP(F445, DADOS_RM_EVENTOS_original!A:B, 2, FALSE), "Código não encontrado/Não digitado")</f>
        <v>Desc. Mensalidade Sindical</v>
      </c>
      <c r="H445" s="12" t="s">
        <v>68</v>
      </c>
      <c r="I445" s="12" t="str">
        <f>IFERROR(VLOOKUP(H445, DADOS_RM_EVENTOS_original!C:D, 2, FALSE), "Código não encontrado/Não digitado")</f>
        <v>Código não encontrado/Não digitado</v>
      </c>
      <c r="J445" s="12" t="s">
        <v>68</v>
      </c>
      <c r="K445" s="12" t="str">
        <f>IFERROR(VLOOKUP(J445, DADOS_RM_EVENTOS_original!E:J, 2, FALSE), "Código não encontrado/Não digitado")</f>
        <v>Código não encontrado/Não digitado</v>
      </c>
      <c r="L445" s="12" t="s">
        <v>68</v>
      </c>
      <c r="M445" s="12" t="str">
        <f>IFERROR(VLOOKUP(L445, DADOS_RM_EVENTOS_original!K:L, 2, FALSE), "Código não encontrado/Não digitado")</f>
        <v>Código não encontrado/Não digitado</v>
      </c>
    </row>
    <row r="446" ht="15.75" hidden="1" customHeight="1">
      <c r="A446" s="11" t="s">
        <v>172</v>
      </c>
      <c r="B446" s="11" t="s">
        <v>631</v>
      </c>
      <c r="C446" s="11" t="s">
        <v>4530</v>
      </c>
      <c r="D446" s="11" t="s">
        <v>96</v>
      </c>
      <c r="E446" s="11" t="s">
        <v>1029</v>
      </c>
      <c r="F446" s="11" t="s">
        <v>99</v>
      </c>
      <c r="G446" s="12" t="str">
        <f>IFERROR(VLOOKUP(F446, DADOS_RM_EVENTOS_original!A:B, 2, FALSE), "Código não encontrado/Não digitado")</f>
        <v>Código não encontrado/Não digitado</v>
      </c>
      <c r="H446" s="12" t="s">
        <v>68</v>
      </c>
      <c r="I446" s="12" t="str">
        <f>IFERROR(VLOOKUP(H446, DADOS_RM_EVENTOS_original!C:D, 2, FALSE), "Código não encontrado/Não digitado")</f>
        <v>Código não encontrado/Não digitado</v>
      </c>
      <c r="J446" s="12" t="s">
        <v>68</v>
      </c>
      <c r="K446" s="12" t="str">
        <f>IFERROR(VLOOKUP(J446, DADOS_RM_EVENTOS_original!E:J, 2, FALSE), "Código não encontrado/Não digitado")</f>
        <v>Código não encontrado/Não digitado</v>
      </c>
      <c r="L446" s="12" t="s">
        <v>68</v>
      </c>
      <c r="M446" s="12" t="str">
        <f>IFERROR(VLOOKUP(L446, DADOS_RM_EVENTOS_original!K:L, 2, FALSE), "Código não encontrado/Não digitado")</f>
        <v>Código não encontrado/Não digitado</v>
      </c>
    </row>
    <row r="447" ht="15.75" hidden="1" customHeight="1">
      <c r="A447" s="11" t="s">
        <v>97</v>
      </c>
      <c r="B447" s="11" t="s">
        <v>631</v>
      </c>
      <c r="C447" s="11" t="s">
        <v>4530</v>
      </c>
      <c r="D447" s="11" t="s">
        <v>96</v>
      </c>
      <c r="E447" s="11" t="s">
        <v>972</v>
      </c>
      <c r="F447" s="11" t="s">
        <v>99</v>
      </c>
      <c r="G447" s="12" t="str">
        <f>IFERROR(VLOOKUP(F447, DADOS_RM_EVENTOS_original!A:B, 2, FALSE), "Código não encontrado/Não digitado")</f>
        <v>Código não encontrado/Não digitado</v>
      </c>
      <c r="H447" s="12" t="s">
        <v>68</v>
      </c>
      <c r="I447" s="12" t="str">
        <f>IFERROR(VLOOKUP(H447, DADOS_RM_EVENTOS_original!C:D, 2, FALSE), "Código não encontrado/Não digitado")</f>
        <v>Código não encontrado/Não digitado</v>
      </c>
      <c r="J447" s="12" t="s">
        <v>68</v>
      </c>
      <c r="K447" s="12" t="str">
        <f>IFERROR(VLOOKUP(J447, DADOS_RM_EVENTOS_original!E:J, 2, FALSE), "Código não encontrado/Não digitado")</f>
        <v>Código não encontrado/Não digitado</v>
      </c>
      <c r="L447" s="12" t="s">
        <v>68</v>
      </c>
      <c r="M447" s="12" t="str">
        <f>IFERROR(VLOOKUP(L447, DADOS_RM_EVENTOS_original!K:L, 2, FALSE), "Código não encontrado/Não digitado")</f>
        <v>Código não encontrado/Não digitado</v>
      </c>
    </row>
    <row r="448" ht="15.75" hidden="1" customHeight="1">
      <c r="A448" s="11" t="s">
        <v>142</v>
      </c>
      <c r="B448" s="11" t="s">
        <v>631</v>
      </c>
      <c r="C448" s="11" t="s">
        <v>4530</v>
      </c>
      <c r="D448" s="11" t="s">
        <v>96</v>
      </c>
      <c r="E448" s="11" t="s">
        <v>985</v>
      </c>
      <c r="F448" s="11" t="s">
        <v>99</v>
      </c>
      <c r="G448" s="12" t="str">
        <f>IFERROR(VLOOKUP(F448, DADOS_RM_EVENTOS_original!A:B, 2, FALSE), "Código não encontrado/Não digitado")</f>
        <v>Código não encontrado/Não digitado</v>
      </c>
      <c r="H448" s="12" t="s">
        <v>68</v>
      </c>
      <c r="I448" s="12" t="str">
        <f>IFERROR(VLOOKUP(H448, DADOS_RM_EVENTOS_original!C:D, 2, FALSE), "Código não encontrado/Não digitado")</f>
        <v>Código não encontrado/Não digitado</v>
      </c>
      <c r="J448" s="12" t="s">
        <v>68</v>
      </c>
      <c r="K448" s="12" t="str">
        <f>IFERROR(VLOOKUP(J448, DADOS_RM_EVENTOS_original!E:J, 2, FALSE), "Código não encontrado/Não digitado")</f>
        <v>Código não encontrado/Não digitado</v>
      </c>
      <c r="L448" s="12" t="s">
        <v>68</v>
      </c>
      <c r="M448" s="12" t="str">
        <f>IFERROR(VLOOKUP(L448, DADOS_RM_EVENTOS_original!K:L, 2, FALSE), "Código não encontrado/Não digitado")</f>
        <v>Código não encontrado/Não digitado</v>
      </c>
    </row>
    <row r="449" ht="15.75" hidden="1" customHeight="1">
      <c r="A449" s="11" t="s">
        <v>199</v>
      </c>
      <c r="B449" s="11" t="s">
        <v>631</v>
      </c>
      <c r="C449" s="11" t="s">
        <v>4530</v>
      </c>
      <c r="D449" s="11" t="s">
        <v>96</v>
      </c>
      <c r="E449" s="11" t="s">
        <v>1074</v>
      </c>
      <c r="F449" s="11" t="s">
        <v>99</v>
      </c>
      <c r="G449" s="12" t="str">
        <f>IFERROR(VLOOKUP(F449, DADOS_RM_EVENTOS_original!A:B, 2, FALSE), "Código não encontrado/Não digitado")</f>
        <v>Código não encontrado/Não digitado</v>
      </c>
      <c r="H449" s="12" t="s">
        <v>68</v>
      </c>
      <c r="I449" s="12" t="str">
        <f>IFERROR(VLOOKUP(H449, DADOS_RM_EVENTOS_original!C:D, 2, FALSE), "Código não encontrado/Não digitado")</f>
        <v>Código não encontrado/Não digitado</v>
      </c>
      <c r="J449" s="12" t="s">
        <v>68</v>
      </c>
      <c r="K449" s="12" t="str">
        <f>IFERROR(VLOOKUP(J449, DADOS_RM_EVENTOS_original!E:J, 2, FALSE), "Código não encontrado/Não digitado")</f>
        <v>Código não encontrado/Não digitado</v>
      </c>
      <c r="L449" s="12" t="s">
        <v>68</v>
      </c>
      <c r="M449" s="12" t="str">
        <f>IFERROR(VLOOKUP(L449, DADOS_RM_EVENTOS_original!K:L, 2, FALSE), "Código não encontrado/Não digitado")</f>
        <v>Código não encontrado/Não digitado</v>
      </c>
    </row>
    <row r="450" ht="15.75" hidden="1" customHeight="1">
      <c r="A450" s="11" t="s">
        <v>97</v>
      </c>
      <c r="B450" s="11" t="s">
        <v>662</v>
      </c>
      <c r="C450" s="11" t="s">
        <v>4531</v>
      </c>
      <c r="D450" s="11" t="s">
        <v>96</v>
      </c>
      <c r="E450" s="11" t="s">
        <v>972</v>
      </c>
      <c r="F450" s="11" t="s">
        <v>99</v>
      </c>
      <c r="G450" s="12" t="str">
        <f>IFERROR(VLOOKUP(F450, DADOS_RM_EVENTOS_original!A:B, 2, FALSE), "Código não encontrado/Não digitado")</f>
        <v>Código não encontrado/Não digitado</v>
      </c>
      <c r="H450" s="12" t="s">
        <v>68</v>
      </c>
      <c r="I450" s="12" t="str">
        <f>IFERROR(VLOOKUP(H450, DADOS_RM_EVENTOS_original!C:D, 2, FALSE), "Código não encontrado/Não digitado")</f>
        <v>Código não encontrado/Não digitado</v>
      </c>
      <c r="J450" s="12" t="s">
        <v>68</v>
      </c>
      <c r="K450" s="12" t="str">
        <f>IFERROR(VLOOKUP(J450, DADOS_RM_EVENTOS_original!E:J, 2, FALSE), "Código não encontrado/Não digitado")</f>
        <v>Código não encontrado/Não digitado</v>
      </c>
      <c r="L450" s="12" t="s">
        <v>68</v>
      </c>
      <c r="M450" s="12" t="str">
        <f>IFERROR(VLOOKUP(L450, DADOS_RM_EVENTOS_original!K:L, 2, FALSE), "Código não encontrado/Não digitado")</f>
        <v>Código não encontrado/Não digitado</v>
      </c>
    </row>
    <row r="451" ht="15.75" hidden="1" customHeight="1">
      <c r="A451" s="11" t="s">
        <v>142</v>
      </c>
      <c r="B451" s="11" t="s">
        <v>662</v>
      </c>
      <c r="C451" s="11" t="s">
        <v>4531</v>
      </c>
      <c r="D451" s="11" t="s">
        <v>96</v>
      </c>
      <c r="E451" s="11" t="s">
        <v>985</v>
      </c>
      <c r="F451" s="11" t="s">
        <v>99</v>
      </c>
      <c r="G451" s="12" t="str">
        <f>IFERROR(VLOOKUP(F451, DADOS_RM_EVENTOS_original!A:B, 2, FALSE), "Código não encontrado/Não digitado")</f>
        <v>Código não encontrado/Não digitado</v>
      </c>
      <c r="H451" s="12" t="s">
        <v>68</v>
      </c>
      <c r="I451" s="12" t="str">
        <f>IFERROR(VLOOKUP(H451, DADOS_RM_EVENTOS_original!C:D, 2, FALSE), "Código não encontrado/Não digitado")</f>
        <v>Código não encontrado/Não digitado</v>
      </c>
      <c r="J451" s="12" t="s">
        <v>68</v>
      </c>
      <c r="K451" s="12" t="str">
        <f>IFERROR(VLOOKUP(J451, DADOS_RM_EVENTOS_original!E:J, 2, FALSE), "Código não encontrado/Não digitado")</f>
        <v>Código não encontrado/Não digitado</v>
      </c>
      <c r="L451" s="12" t="s">
        <v>68</v>
      </c>
      <c r="M451" s="12" t="str">
        <f>IFERROR(VLOOKUP(L451, DADOS_RM_EVENTOS_original!K:L, 2, FALSE), "Código não encontrado/Não digitado")</f>
        <v>Código não encontrado/Não digitado</v>
      </c>
    </row>
    <row r="452" ht="15.75" hidden="1" customHeight="1">
      <c r="A452" s="11" t="s">
        <v>142</v>
      </c>
      <c r="B452" s="11" t="s">
        <v>4532</v>
      </c>
      <c r="C452" s="11" t="s">
        <v>4533</v>
      </c>
      <c r="D452" s="11" t="s">
        <v>44</v>
      </c>
      <c r="E452" s="11" t="s">
        <v>985</v>
      </c>
      <c r="F452" s="11" t="s">
        <v>782</v>
      </c>
      <c r="G452" s="12" t="str">
        <f>IFERROR(VLOOKUP(F452, DADOS_RM_EVENTOS_original!A:B, 2, FALSE), "Código não encontrado/Não digitado")</f>
        <v>Desc. Pl Odontol ODONTOSYSTEM Tit</v>
      </c>
      <c r="H452" s="12" t="s">
        <v>68</v>
      </c>
      <c r="I452" s="12" t="str">
        <f>IFERROR(VLOOKUP(H452, DADOS_RM_EVENTOS_original!C:D, 2, FALSE), "Código não encontrado/Não digitado")</f>
        <v>Código não encontrado/Não digitado</v>
      </c>
      <c r="J452" s="12" t="s">
        <v>68</v>
      </c>
      <c r="K452" s="12" t="str">
        <f>IFERROR(VLOOKUP(J452, DADOS_RM_EVENTOS_original!E:J, 2, FALSE), "Código não encontrado/Não digitado")</f>
        <v>Código não encontrado/Não digitado</v>
      </c>
      <c r="L452" s="12" t="s">
        <v>68</v>
      </c>
      <c r="M452" s="12" t="str">
        <f>IFERROR(VLOOKUP(L452, DADOS_RM_EVENTOS_original!K:L, 2, FALSE), "Código não encontrado/Não digitado")</f>
        <v>Código não encontrado/Não digitado</v>
      </c>
    </row>
    <row r="453" ht="15.75" customHeight="1">
      <c r="A453" s="11" t="s">
        <v>38</v>
      </c>
      <c r="B453" s="11" t="s">
        <v>1992</v>
      </c>
      <c r="C453" s="11" t="s">
        <v>4534</v>
      </c>
      <c r="D453" s="11" t="s">
        <v>44</v>
      </c>
      <c r="E453" s="11" t="s">
        <v>47</v>
      </c>
      <c r="F453" s="11" t="s">
        <v>49</v>
      </c>
      <c r="G453" s="12" t="str">
        <f>IFERROR(VLOOKUP(F453, DADOS_RM_EVENTOS_original!A:B, 2, FALSE), "Código não encontrado/Não digitado")</f>
        <v>Código não encontrado/Não digitado</v>
      </c>
      <c r="H453" s="12" t="s">
        <v>68</v>
      </c>
      <c r="I453" s="12" t="str">
        <f>IFERROR(VLOOKUP(H453, DADOS_RM_EVENTOS_original!C:D, 2, FALSE), "Código não encontrado/Não digitado")</f>
        <v>Código não encontrado/Não digitado</v>
      </c>
      <c r="J453" s="12" t="s">
        <v>68</v>
      </c>
      <c r="K453" s="12" t="str">
        <f>IFERROR(VLOOKUP(J453, DADOS_RM_EVENTOS_original!E:J, 2, FALSE), "Código não encontrado/Não digitado")</f>
        <v>Código não encontrado/Não digitado</v>
      </c>
      <c r="L453" s="12" t="s">
        <v>68</v>
      </c>
      <c r="M453" s="12" t="str">
        <f>IFERROR(VLOOKUP(L453, DADOS_RM_EVENTOS_original!K:L, 2, FALSE), "Código não encontrado/Não digitado")</f>
        <v>Código não encontrado/Não digitado</v>
      </c>
    </row>
    <row r="454" ht="15.75" customHeight="1">
      <c r="A454" s="11" t="s">
        <v>97</v>
      </c>
      <c r="B454" s="11" t="s">
        <v>1992</v>
      </c>
      <c r="C454" s="11" t="s">
        <v>4535</v>
      </c>
      <c r="D454" s="11" t="s">
        <v>44</v>
      </c>
      <c r="E454" s="11" t="s">
        <v>972</v>
      </c>
      <c r="F454" s="11" t="s">
        <v>49</v>
      </c>
      <c r="G454" s="12" t="str">
        <f>IFERROR(VLOOKUP(F454, DADOS_RM_EVENTOS_original!A:B, 2, FALSE), "Código não encontrado/Não digitado")</f>
        <v>Código não encontrado/Não digitado</v>
      </c>
      <c r="H454" s="12" t="s">
        <v>68</v>
      </c>
      <c r="I454" s="12" t="str">
        <f>IFERROR(VLOOKUP(H454, DADOS_RM_EVENTOS_original!C:D, 2, FALSE), "Código não encontrado/Não digitado")</f>
        <v>Código não encontrado/Não digitado</v>
      </c>
      <c r="J454" s="12" t="s">
        <v>68</v>
      </c>
      <c r="K454" s="12" t="str">
        <f>IFERROR(VLOOKUP(J454, DADOS_RM_EVENTOS_original!E:J, 2, FALSE), "Código não encontrado/Não digitado")</f>
        <v>Código não encontrado/Não digitado</v>
      </c>
      <c r="L454" s="12" t="s">
        <v>68</v>
      </c>
      <c r="M454" s="12" t="str">
        <f>IFERROR(VLOOKUP(L454, DADOS_RM_EVENTOS_original!K:L, 2, FALSE), "Código não encontrado/Não digitado")</f>
        <v>Código não encontrado/Não digitado</v>
      </c>
    </row>
    <row r="455" ht="15.75" customHeight="1">
      <c r="A455" s="11" t="s">
        <v>199</v>
      </c>
      <c r="B455" s="11" t="s">
        <v>1992</v>
      </c>
      <c r="C455" s="11" t="s">
        <v>4535</v>
      </c>
      <c r="D455" s="11" t="s">
        <v>44</v>
      </c>
      <c r="E455" s="11" t="s">
        <v>1074</v>
      </c>
      <c r="F455" s="11" t="s">
        <v>49</v>
      </c>
      <c r="G455" s="12" t="str">
        <f>IFERROR(VLOOKUP(F455, DADOS_RM_EVENTOS_original!A:B, 2, FALSE), "Código não encontrado/Não digitado")</f>
        <v>Código não encontrado/Não digitado</v>
      </c>
      <c r="H455" s="12" t="s">
        <v>68</v>
      </c>
      <c r="I455" s="12" t="str">
        <f>IFERROR(VLOOKUP(H455, DADOS_RM_EVENTOS_original!C:D, 2, FALSE), "Código não encontrado/Não digitado")</f>
        <v>Código não encontrado/Não digitado</v>
      </c>
      <c r="J455" s="12" t="s">
        <v>68</v>
      </c>
      <c r="K455" s="12" t="str">
        <f>IFERROR(VLOOKUP(J455, DADOS_RM_EVENTOS_original!E:J, 2, FALSE), "Código não encontrado/Não digitado")</f>
        <v>Código não encontrado/Não digitado</v>
      </c>
      <c r="L455" s="12" t="s">
        <v>68</v>
      </c>
      <c r="M455" s="12" t="str">
        <f>IFERROR(VLOOKUP(L455, DADOS_RM_EVENTOS_original!K:L, 2, FALSE), "Código não encontrado/Não digitado")</f>
        <v>Código não encontrado/Não digitado</v>
      </c>
    </row>
    <row r="456" ht="15.75" customHeight="1">
      <c r="A456" s="11" t="s">
        <v>97</v>
      </c>
      <c r="B456" s="11" t="s">
        <v>679</v>
      </c>
      <c r="C456" s="11" t="s">
        <v>4536</v>
      </c>
      <c r="D456" s="11" t="s">
        <v>120</v>
      </c>
      <c r="E456" s="11" t="s">
        <v>972</v>
      </c>
      <c r="F456" s="11" t="s">
        <v>49</v>
      </c>
      <c r="G456" s="12" t="str">
        <f>IFERROR(VLOOKUP(F456, DADOS_RM_EVENTOS_original!A:B, 2, FALSE), "Código não encontrado/Não digitado")</f>
        <v>Código não encontrado/Não digitado</v>
      </c>
      <c r="H456" s="12" t="s">
        <v>68</v>
      </c>
      <c r="I456" s="12" t="str">
        <f>IFERROR(VLOOKUP(H456, DADOS_RM_EVENTOS_original!C:D, 2, FALSE), "Código não encontrado/Não digitado")</f>
        <v>Código não encontrado/Não digitado</v>
      </c>
      <c r="J456" s="12" t="s">
        <v>68</v>
      </c>
      <c r="K456" s="12" t="str">
        <f>IFERROR(VLOOKUP(J456, DADOS_RM_EVENTOS_original!E:J, 2, FALSE), "Código não encontrado/Não digitado")</f>
        <v>Código não encontrado/Não digitado</v>
      </c>
      <c r="L456" s="12" t="s">
        <v>68</v>
      </c>
      <c r="M456" s="12" t="str">
        <f>IFERROR(VLOOKUP(L456, DADOS_RM_EVENTOS_original!K:L, 2, FALSE), "Código não encontrado/Não digitado")</f>
        <v>Código não encontrado/Não digitado</v>
      </c>
    </row>
    <row r="457" ht="15.75" hidden="1" customHeight="1">
      <c r="A457" s="11" t="s">
        <v>97</v>
      </c>
      <c r="B457" s="11" t="s">
        <v>1284</v>
      </c>
      <c r="C457" s="11" t="s">
        <v>4537</v>
      </c>
      <c r="D457" s="11" t="s">
        <v>120</v>
      </c>
      <c r="E457" s="11" t="s">
        <v>972</v>
      </c>
      <c r="F457" s="11" t="s">
        <v>694</v>
      </c>
      <c r="G457" s="12" t="str">
        <f>IFERROR(VLOOKUP(F457, DADOS_RM_EVENTOS_original!A:B, 2, FALSE), "Código não encontrado/Não digitado")</f>
        <v>Participacao nos Lucros - (CE)</v>
      </c>
      <c r="H457" s="12" t="s">
        <v>68</v>
      </c>
      <c r="I457" s="12" t="str">
        <f>IFERROR(VLOOKUP(H457, DADOS_RM_EVENTOS_original!C:D, 2, FALSE), "Código não encontrado/Não digitado")</f>
        <v>Código não encontrado/Não digitado</v>
      </c>
      <c r="J457" s="12" t="s">
        <v>68</v>
      </c>
      <c r="K457" s="12" t="str">
        <f>IFERROR(VLOOKUP(J457, DADOS_RM_EVENTOS_original!E:J, 2, FALSE), "Código não encontrado/Não digitado")</f>
        <v>Código não encontrado/Não digitado</v>
      </c>
      <c r="L457" s="12" t="s">
        <v>68</v>
      </c>
      <c r="M457" s="12" t="str">
        <f>IFERROR(VLOOKUP(L457, DADOS_RM_EVENTOS_original!K:L, 2, FALSE), "Código não encontrado/Não digitado")</f>
        <v>Código não encontrado/Não digitado</v>
      </c>
    </row>
    <row r="458" ht="15.75" hidden="1" customHeight="1">
      <c r="A458" s="11" t="s">
        <v>142</v>
      </c>
      <c r="B458" s="11" t="s">
        <v>1284</v>
      </c>
      <c r="C458" s="11" t="s">
        <v>4537</v>
      </c>
      <c r="D458" s="11" t="s">
        <v>120</v>
      </c>
      <c r="E458" s="11" t="s">
        <v>985</v>
      </c>
      <c r="F458" s="11" t="s">
        <v>694</v>
      </c>
      <c r="G458" s="12" t="str">
        <f>IFERROR(VLOOKUP(F458, DADOS_RM_EVENTOS_original!A:B, 2, FALSE), "Código não encontrado/Não digitado")</f>
        <v>Participacao nos Lucros - (CE)</v>
      </c>
      <c r="H458" s="12" t="s">
        <v>68</v>
      </c>
      <c r="I458" s="12" t="str">
        <f>IFERROR(VLOOKUP(H458, DADOS_RM_EVENTOS_original!C:D, 2, FALSE), "Código não encontrado/Não digitado")</f>
        <v>Código não encontrado/Não digitado</v>
      </c>
      <c r="J458" s="12" t="s">
        <v>68</v>
      </c>
      <c r="K458" s="12" t="str">
        <f>IFERROR(VLOOKUP(J458, DADOS_RM_EVENTOS_original!E:J, 2, FALSE), "Código não encontrado/Não digitado")</f>
        <v>Código não encontrado/Não digitado</v>
      </c>
      <c r="L458" s="12" t="s">
        <v>68</v>
      </c>
      <c r="M458" s="12" t="str">
        <f>IFERROR(VLOOKUP(L458, DADOS_RM_EVENTOS_original!K:L, 2, FALSE), "Código não encontrado/Não digitado")</f>
        <v>Código não encontrado/Não digitado</v>
      </c>
    </row>
    <row r="459" ht="15.75" hidden="1" customHeight="1">
      <c r="A459" s="11" t="s">
        <v>38</v>
      </c>
      <c r="B459" s="11" t="s">
        <v>844</v>
      </c>
      <c r="C459" s="11" t="s">
        <v>4538</v>
      </c>
      <c r="D459" s="11" t="s">
        <v>120</v>
      </c>
      <c r="E459" s="11" t="s">
        <v>47</v>
      </c>
      <c r="F459" s="11" t="s">
        <v>694</v>
      </c>
      <c r="G459" s="12" t="str">
        <f>IFERROR(VLOOKUP(F459, DADOS_RM_EVENTOS_original!A:B, 2, FALSE), "Código não encontrado/Não digitado")</f>
        <v>Participacao nos Lucros - (CE)</v>
      </c>
      <c r="H459" s="12" t="s">
        <v>68</v>
      </c>
      <c r="I459" s="12" t="str">
        <f>IFERROR(VLOOKUP(H459, DADOS_RM_EVENTOS_original!C:D, 2, FALSE), "Código não encontrado/Não digitado")</f>
        <v>Código não encontrado/Não digitado</v>
      </c>
      <c r="J459" s="12" t="s">
        <v>68</v>
      </c>
      <c r="K459" s="12" t="str">
        <f>IFERROR(VLOOKUP(J459, DADOS_RM_EVENTOS_original!E:J, 2, FALSE), "Código não encontrado/Não digitado")</f>
        <v>Código não encontrado/Não digitado</v>
      </c>
      <c r="L459" s="12" t="s">
        <v>68</v>
      </c>
      <c r="M459" s="12" t="str">
        <f>IFERROR(VLOOKUP(L459, DADOS_RM_EVENTOS_original!K:L, 2, FALSE), "Código não encontrado/Não digitado")</f>
        <v>Código não encontrado/Não digitado</v>
      </c>
    </row>
    <row r="460" ht="15.75" hidden="1" customHeight="1">
      <c r="A460" s="11" t="s">
        <v>38</v>
      </c>
      <c r="B460" s="11" t="s">
        <v>806</v>
      </c>
      <c r="C460" s="11" t="s">
        <v>4539</v>
      </c>
      <c r="D460" s="11" t="s">
        <v>120</v>
      </c>
      <c r="E460" s="11" t="s">
        <v>47</v>
      </c>
      <c r="F460" s="11" t="s">
        <v>694</v>
      </c>
      <c r="G460" s="12" t="str">
        <f>IFERROR(VLOOKUP(F460, DADOS_RM_EVENTOS_original!A:B, 2, FALSE), "Código não encontrado/Não digitado")</f>
        <v>Participacao nos Lucros - (CE)</v>
      </c>
      <c r="H460" s="12" t="s">
        <v>68</v>
      </c>
      <c r="I460" s="12" t="str">
        <f>IFERROR(VLOOKUP(H460, DADOS_RM_EVENTOS_original!C:D, 2, FALSE), "Código não encontrado/Não digitado")</f>
        <v>Código não encontrado/Não digitado</v>
      </c>
      <c r="J460" s="12" t="s">
        <v>68</v>
      </c>
      <c r="K460" s="12" t="str">
        <f>IFERROR(VLOOKUP(J460, DADOS_RM_EVENTOS_original!E:J, 2, FALSE), "Código não encontrado/Não digitado")</f>
        <v>Código não encontrado/Não digitado</v>
      </c>
      <c r="L460" s="12" t="s">
        <v>68</v>
      </c>
      <c r="M460" s="12" t="str">
        <f>IFERROR(VLOOKUP(L460, DADOS_RM_EVENTOS_original!K:L, 2, FALSE), "Código não encontrado/Não digitado")</f>
        <v>Código não encontrado/Não digitado</v>
      </c>
    </row>
    <row r="461" ht="15.75" hidden="1" customHeight="1">
      <c r="A461" s="11" t="s">
        <v>38</v>
      </c>
      <c r="B461" s="11" t="s">
        <v>755</v>
      </c>
      <c r="C461" s="11" t="s">
        <v>4540</v>
      </c>
      <c r="D461" s="11" t="s">
        <v>120</v>
      </c>
      <c r="E461" s="11" t="s">
        <v>47</v>
      </c>
      <c r="F461" s="11" t="s">
        <v>694</v>
      </c>
      <c r="G461" s="12" t="str">
        <f>IFERROR(VLOOKUP(F461, DADOS_RM_EVENTOS_original!A:B, 2, FALSE), "Código não encontrado/Não digitado")</f>
        <v>Participacao nos Lucros - (CE)</v>
      </c>
      <c r="H461" s="12" t="s">
        <v>68</v>
      </c>
      <c r="I461" s="12" t="str">
        <f>IFERROR(VLOOKUP(H461, DADOS_RM_EVENTOS_original!C:D, 2, FALSE), "Código não encontrado/Não digitado")</f>
        <v>Código não encontrado/Não digitado</v>
      </c>
      <c r="J461" s="12" t="s">
        <v>68</v>
      </c>
      <c r="K461" s="12" t="str">
        <f>IFERROR(VLOOKUP(J461, DADOS_RM_EVENTOS_original!E:J, 2, FALSE), "Código não encontrado/Não digitado")</f>
        <v>Código não encontrado/Não digitado</v>
      </c>
      <c r="L461" s="12" t="s">
        <v>68</v>
      </c>
      <c r="M461" s="12" t="str">
        <f>IFERROR(VLOOKUP(L461, DADOS_RM_EVENTOS_original!K:L, 2, FALSE), "Código não encontrado/Não digitado")</f>
        <v>Código não encontrado/Não digitado</v>
      </c>
    </row>
    <row r="462" ht="15.75" hidden="1" customHeight="1">
      <c r="A462" s="11" t="s">
        <v>38</v>
      </c>
      <c r="B462" s="11" t="s">
        <v>821</v>
      </c>
      <c r="C462" s="11" t="s">
        <v>4541</v>
      </c>
      <c r="D462" s="11" t="s">
        <v>120</v>
      </c>
      <c r="E462" s="11" t="s">
        <v>47</v>
      </c>
      <c r="F462" s="11" t="s">
        <v>694</v>
      </c>
      <c r="G462" s="12" t="str">
        <f>IFERROR(VLOOKUP(F462, DADOS_RM_EVENTOS_original!A:B, 2, FALSE), "Código não encontrado/Não digitado")</f>
        <v>Participacao nos Lucros - (CE)</v>
      </c>
      <c r="H462" s="12" t="s">
        <v>68</v>
      </c>
      <c r="I462" s="12" t="str">
        <f>IFERROR(VLOOKUP(H462, DADOS_RM_EVENTOS_original!C:D, 2, FALSE), "Código não encontrado/Não digitado")</f>
        <v>Código não encontrado/Não digitado</v>
      </c>
      <c r="J462" s="12" t="s">
        <v>68</v>
      </c>
      <c r="K462" s="12" t="str">
        <f>IFERROR(VLOOKUP(J462, DADOS_RM_EVENTOS_original!E:J, 2, FALSE), "Código não encontrado/Não digitado")</f>
        <v>Código não encontrado/Não digitado</v>
      </c>
      <c r="L462" s="12" t="s">
        <v>68</v>
      </c>
      <c r="M462" s="12" t="str">
        <f>IFERROR(VLOOKUP(L462, DADOS_RM_EVENTOS_original!K:L, 2, FALSE), "Código não encontrado/Não digitado")</f>
        <v>Código não encontrado/Não digitado</v>
      </c>
    </row>
    <row r="463" ht="15.75" hidden="1" customHeight="1">
      <c r="A463" s="11" t="s">
        <v>38</v>
      </c>
      <c r="B463" s="11" t="s">
        <v>728</v>
      </c>
      <c r="C463" s="11" t="s">
        <v>4542</v>
      </c>
      <c r="D463" s="11" t="s">
        <v>120</v>
      </c>
      <c r="E463" s="11" t="s">
        <v>47</v>
      </c>
      <c r="F463" s="11" t="s">
        <v>694</v>
      </c>
      <c r="G463" s="12" t="str">
        <f>IFERROR(VLOOKUP(F463, DADOS_RM_EVENTOS_original!A:B, 2, FALSE), "Código não encontrado/Não digitado")</f>
        <v>Participacao nos Lucros - (CE)</v>
      </c>
      <c r="H463" s="12" t="s">
        <v>68</v>
      </c>
      <c r="I463" s="12" t="str">
        <f>IFERROR(VLOOKUP(H463, DADOS_RM_EVENTOS_original!C:D, 2, FALSE), "Código não encontrado/Não digitado")</f>
        <v>Código não encontrado/Não digitado</v>
      </c>
      <c r="J463" s="12" t="s">
        <v>68</v>
      </c>
      <c r="K463" s="12" t="str">
        <f>IFERROR(VLOOKUP(J463, DADOS_RM_EVENTOS_original!E:J, 2, FALSE), "Código não encontrado/Não digitado")</f>
        <v>Código não encontrado/Não digitado</v>
      </c>
      <c r="L463" s="12" t="s">
        <v>68</v>
      </c>
      <c r="M463" s="12" t="str">
        <f>IFERROR(VLOOKUP(L463, DADOS_RM_EVENTOS_original!K:L, 2, FALSE), "Código não encontrado/Não digitado")</f>
        <v>Código não encontrado/Não digitado</v>
      </c>
    </row>
    <row r="464" ht="15.75" hidden="1" customHeight="1">
      <c r="A464" s="11" t="s">
        <v>38</v>
      </c>
      <c r="B464" s="11" t="s">
        <v>811</v>
      </c>
      <c r="C464" s="11" t="s">
        <v>4543</v>
      </c>
      <c r="D464" s="11" t="s">
        <v>120</v>
      </c>
      <c r="E464" s="11" t="s">
        <v>47</v>
      </c>
      <c r="F464" s="11" t="s">
        <v>694</v>
      </c>
      <c r="G464" s="12" t="str">
        <f>IFERROR(VLOOKUP(F464, DADOS_RM_EVENTOS_original!A:B, 2, FALSE), "Código não encontrado/Não digitado")</f>
        <v>Participacao nos Lucros - (CE)</v>
      </c>
      <c r="H464" s="12" t="s">
        <v>68</v>
      </c>
      <c r="I464" s="12" t="str">
        <f>IFERROR(VLOOKUP(H464, DADOS_RM_EVENTOS_original!C:D, 2, FALSE), "Código não encontrado/Não digitado")</f>
        <v>Código não encontrado/Não digitado</v>
      </c>
      <c r="J464" s="12" t="s">
        <v>68</v>
      </c>
      <c r="K464" s="12" t="str">
        <f>IFERROR(VLOOKUP(J464, DADOS_RM_EVENTOS_original!E:J, 2, FALSE), "Código não encontrado/Não digitado")</f>
        <v>Código não encontrado/Não digitado</v>
      </c>
      <c r="L464" s="12" t="s">
        <v>68</v>
      </c>
      <c r="M464" s="12" t="str">
        <f>IFERROR(VLOOKUP(L464, DADOS_RM_EVENTOS_original!K:L, 2, FALSE), "Código não encontrado/Não digitado")</f>
        <v>Código não encontrado/Não digitado</v>
      </c>
    </row>
    <row r="465" ht="15.75" hidden="1" customHeight="1">
      <c r="A465" s="11" t="s">
        <v>38</v>
      </c>
      <c r="B465" s="11" t="s">
        <v>1670</v>
      </c>
      <c r="C465" s="11" t="s">
        <v>4544</v>
      </c>
      <c r="D465" s="11" t="s">
        <v>120</v>
      </c>
      <c r="E465" s="11" t="s">
        <v>47</v>
      </c>
      <c r="F465" s="11" t="s">
        <v>694</v>
      </c>
      <c r="G465" s="12" t="str">
        <f>IFERROR(VLOOKUP(F465, DADOS_RM_EVENTOS_original!A:B, 2, FALSE), "Código não encontrado/Não digitado")</f>
        <v>Participacao nos Lucros - (CE)</v>
      </c>
      <c r="H465" s="12" t="s">
        <v>68</v>
      </c>
      <c r="I465" s="12" t="str">
        <f>IFERROR(VLOOKUP(H465, DADOS_RM_EVENTOS_original!C:D, 2, FALSE), "Código não encontrado/Não digitado")</f>
        <v>Código não encontrado/Não digitado</v>
      </c>
      <c r="J465" s="12" t="s">
        <v>68</v>
      </c>
      <c r="K465" s="12" t="str">
        <f>IFERROR(VLOOKUP(J465, DADOS_RM_EVENTOS_original!E:J, 2, FALSE), "Código não encontrado/Não digitado")</f>
        <v>Código não encontrado/Não digitado</v>
      </c>
      <c r="L465" s="12" t="s">
        <v>68</v>
      </c>
      <c r="M465" s="12" t="str">
        <f>IFERROR(VLOOKUP(L465, DADOS_RM_EVENTOS_original!K:L, 2, FALSE), "Código não encontrado/Não digitado")</f>
        <v>Código não encontrado/Não digitado</v>
      </c>
    </row>
    <row r="466" ht="15.75" hidden="1" customHeight="1">
      <c r="A466" s="11" t="s">
        <v>38</v>
      </c>
      <c r="B466" s="11" t="s">
        <v>825</v>
      </c>
      <c r="C466" s="11" t="s">
        <v>4545</v>
      </c>
      <c r="D466" s="11" t="s">
        <v>120</v>
      </c>
      <c r="E466" s="11" t="s">
        <v>47</v>
      </c>
      <c r="F466" s="11" t="s">
        <v>694</v>
      </c>
      <c r="G466" s="12" t="str">
        <f>IFERROR(VLOOKUP(F466, DADOS_RM_EVENTOS_original!A:B, 2, FALSE), "Código não encontrado/Não digitado")</f>
        <v>Participacao nos Lucros - (CE)</v>
      </c>
      <c r="H466" s="12" t="s">
        <v>68</v>
      </c>
      <c r="I466" s="12" t="str">
        <f>IFERROR(VLOOKUP(H466, DADOS_RM_EVENTOS_original!C:D, 2, FALSE), "Código não encontrado/Não digitado")</f>
        <v>Código não encontrado/Não digitado</v>
      </c>
      <c r="J466" s="12" t="s">
        <v>68</v>
      </c>
      <c r="K466" s="12" t="str">
        <f>IFERROR(VLOOKUP(J466, DADOS_RM_EVENTOS_original!E:J, 2, FALSE), "Código não encontrado/Não digitado")</f>
        <v>Código não encontrado/Não digitado</v>
      </c>
      <c r="L466" s="12" t="s">
        <v>68</v>
      </c>
      <c r="M466" s="12" t="str">
        <f>IFERROR(VLOOKUP(L466, DADOS_RM_EVENTOS_original!K:L, 2, FALSE), "Código não encontrado/Não digitado")</f>
        <v>Código não encontrado/Não digitado</v>
      </c>
    </row>
    <row r="467" ht="15.75" hidden="1" customHeight="1">
      <c r="A467" s="11" t="s">
        <v>38</v>
      </c>
      <c r="B467" s="11" t="s">
        <v>318</v>
      </c>
      <c r="C467" s="11" t="s">
        <v>4546</v>
      </c>
      <c r="D467" s="11" t="s">
        <v>120</v>
      </c>
      <c r="E467" s="11" t="s">
        <v>47</v>
      </c>
      <c r="F467" s="11" t="s">
        <v>694</v>
      </c>
      <c r="G467" s="12" t="str">
        <f>IFERROR(VLOOKUP(F467, DADOS_RM_EVENTOS_original!A:B, 2, FALSE), "Código não encontrado/Não digitado")</f>
        <v>Participacao nos Lucros - (CE)</v>
      </c>
      <c r="H467" s="12" t="s">
        <v>68</v>
      </c>
      <c r="I467" s="12" t="str">
        <f>IFERROR(VLOOKUP(H467, DADOS_RM_EVENTOS_original!C:D, 2, FALSE), "Código não encontrado/Não digitado")</f>
        <v>Código não encontrado/Não digitado</v>
      </c>
      <c r="J467" s="12" t="s">
        <v>68</v>
      </c>
      <c r="K467" s="12" t="str">
        <f>IFERROR(VLOOKUP(J467, DADOS_RM_EVENTOS_original!E:J, 2, FALSE), "Código não encontrado/Não digitado")</f>
        <v>Código não encontrado/Não digitado</v>
      </c>
      <c r="L467" s="12" t="s">
        <v>68</v>
      </c>
      <c r="M467" s="12" t="str">
        <f>IFERROR(VLOOKUP(L467, DADOS_RM_EVENTOS_original!K:L, 2, FALSE), "Código não encontrado/Não digitado")</f>
        <v>Código não encontrado/Não digitado</v>
      </c>
    </row>
    <row r="468" ht="15.75" hidden="1" customHeight="1">
      <c r="A468" s="11" t="s">
        <v>38</v>
      </c>
      <c r="B468" s="11" t="s">
        <v>497</v>
      </c>
      <c r="C468" s="11" t="s">
        <v>4547</v>
      </c>
      <c r="D468" s="11" t="s">
        <v>120</v>
      </c>
      <c r="E468" s="11" t="s">
        <v>47</v>
      </c>
      <c r="F468" s="11" t="s">
        <v>694</v>
      </c>
      <c r="G468" s="12" t="str">
        <f>IFERROR(VLOOKUP(F468, DADOS_RM_EVENTOS_original!A:B, 2, FALSE), "Código não encontrado/Não digitado")</f>
        <v>Participacao nos Lucros - (CE)</v>
      </c>
      <c r="H468" s="12" t="s">
        <v>68</v>
      </c>
      <c r="I468" s="12" t="str">
        <f>IFERROR(VLOOKUP(H468, DADOS_RM_EVENTOS_original!C:D, 2, FALSE), "Código não encontrado/Não digitado")</f>
        <v>Código não encontrado/Não digitado</v>
      </c>
      <c r="J468" s="12" t="s">
        <v>68</v>
      </c>
      <c r="K468" s="12" t="str">
        <f>IFERROR(VLOOKUP(J468, DADOS_RM_EVENTOS_original!E:J, 2, FALSE), "Código não encontrado/Não digitado")</f>
        <v>Código não encontrado/Não digitado</v>
      </c>
      <c r="L468" s="12" t="s">
        <v>68</v>
      </c>
      <c r="M468" s="12" t="str">
        <f>IFERROR(VLOOKUP(L468, DADOS_RM_EVENTOS_original!K:L, 2, FALSE), "Código não encontrado/Não digitado")</f>
        <v>Código não encontrado/Não digitado</v>
      </c>
    </row>
    <row r="469" ht="15.75" hidden="1" customHeight="1">
      <c r="A469" s="11" t="s">
        <v>38</v>
      </c>
      <c r="B469" s="11" t="s">
        <v>351</v>
      </c>
      <c r="C469" s="11" t="s">
        <v>4548</v>
      </c>
      <c r="D469" s="11" t="s">
        <v>120</v>
      </c>
      <c r="E469" s="11" t="s">
        <v>47</v>
      </c>
      <c r="F469" s="11" t="s">
        <v>694</v>
      </c>
      <c r="G469" s="12" t="str">
        <f>IFERROR(VLOOKUP(F469, DADOS_RM_EVENTOS_original!A:B, 2, FALSE), "Código não encontrado/Não digitado")</f>
        <v>Participacao nos Lucros - (CE)</v>
      </c>
      <c r="H469" s="12" t="s">
        <v>68</v>
      </c>
      <c r="I469" s="12" t="str">
        <f>IFERROR(VLOOKUP(H469, DADOS_RM_EVENTOS_original!C:D, 2, FALSE), "Código não encontrado/Não digitado")</f>
        <v>Código não encontrado/Não digitado</v>
      </c>
      <c r="J469" s="12" t="s">
        <v>68</v>
      </c>
      <c r="K469" s="12" t="str">
        <f>IFERROR(VLOOKUP(J469, DADOS_RM_EVENTOS_original!E:J, 2, FALSE), "Código não encontrado/Não digitado")</f>
        <v>Código não encontrado/Não digitado</v>
      </c>
      <c r="L469" s="12" t="s">
        <v>68</v>
      </c>
      <c r="M469" s="12" t="str">
        <f>IFERROR(VLOOKUP(L469, DADOS_RM_EVENTOS_original!K:L, 2, FALSE), "Código não encontrado/Não digitado")</f>
        <v>Código não encontrado/Não digitado</v>
      </c>
    </row>
    <row r="470" ht="15.75" hidden="1" customHeight="1">
      <c r="A470" s="11" t="s">
        <v>38</v>
      </c>
      <c r="B470" s="11" t="s">
        <v>504</v>
      </c>
      <c r="C470" s="11" t="s">
        <v>4549</v>
      </c>
      <c r="D470" s="11" t="s">
        <v>120</v>
      </c>
      <c r="E470" s="11" t="s">
        <v>47</v>
      </c>
      <c r="F470" s="11" t="s">
        <v>694</v>
      </c>
      <c r="G470" s="12" t="str">
        <f>IFERROR(VLOOKUP(F470, DADOS_RM_EVENTOS_original!A:B, 2, FALSE), "Código não encontrado/Não digitado")</f>
        <v>Participacao nos Lucros - (CE)</v>
      </c>
      <c r="H470" s="12" t="s">
        <v>68</v>
      </c>
      <c r="I470" s="12" t="str">
        <f>IFERROR(VLOOKUP(H470, DADOS_RM_EVENTOS_original!C:D, 2, FALSE), "Código não encontrado/Não digitado")</f>
        <v>Código não encontrado/Não digitado</v>
      </c>
      <c r="J470" s="12" t="s">
        <v>68</v>
      </c>
      <c r="K470" s="12" t="str">
        <f>IFERROR(VLOOKUP(J470, DADOS_RM_EVENTOS_original!E:J, 2, FALSE), "Código não encontrado/Não digitado")</f>
        <v>Código não encontrado/Não digitado</v>
      </c>
      <c r="L470" s="12" t="s">
        <v>68</v>
      </c>
      <c r="M470" s="12" t="str">
        <f>IFERROR(VLOOKUP(L470, DADOS_RM_EVENTOS_original!K:L, 2, FALSE), "Código não encontrado/Não digitado")</f>
        <v>Código não encontrado/Não digitado</v>
      </c>
    </row>
    <row r="471" ht="15.75" hidden="1" customHeight="1">
      <c r="A471" s="11" t="s">
        <v>38</v>
      </c>
      <c r="B471" s="11" t="s">
        <v>368</v>
      </c>
      <c r="C471" s="11" t="s">
        <v>4550</v>
      </c>
      <c r="D471" s="11" t="s">
        <v>120</v>
      </c>
      <c r="E471" s="11" t="s">
        <v>47</v>
      </c>
      <c r="F471" s="11" t="s">
        <v>694</v>
      </c>
      <c r="G471" s="12" t="str">
        <f>IFERROR(VLOOKUP(F471, DADOS_RM_EVENTOS_original!A:B, 2, FALSE), "Código não encontrado/Não digitado")</f>
        <v>Participacao nos Lucros - (CE)</v>
      </c>
      <c r="H471" s="12" t="s">
        <v>68</v>
      </c>
      <c r="I471" s="12" t="str">
        <f>IFERROR(VLOOKUP(H471, DADOS_RM_EVENTOS_original!C:D, 2, FALSE), "Código não encontrado/Não digitado")</f>
        <v>Código não encontrado/Não digitado</v>
      </c>
      <c r="J471" s="12" t="s">
        <v>68</v>
      </c>
      <c r="K471" s="12" t="str">
        <f>IFERROR(VLOOKUP(J471, DADOS_RM_EVENTOS_original!E:J, 2, FALSE), "Código não encontrado/Não digitado")</f>
        <v>Código não encontrado/Não digitado</v>
      </c>
      <c r="L471" s="12" t="s">
        <v>68</v>
      </c>
      <c r="M471" s="12" t="str">
        <f>IFERROR(VLOOKUP(L471, DADOS_RM_EVENTOS_original!K:L, 2, FALSE), "Código não encontrado/Não digitado")</f>
        <v>Código não encontrado/Não digitado</v>
      </c>
    </row>
    <row r="472" ht="15.75" hidden="1" customHeight="1">
      <c r="A472" s="11" t="s">
        <v>38</v>
      </c>
      <c r="B472" s="11" t="s">
        <v>514</v>
      </c>
      <c r="C472" s="11" t="s">
        <v>4551</v>
      </c>
      <c r="D472" s="11" t="s">
        <v>120</v>
      </c>
      <c r="E472" s="11" t="s">
        <v>47</v>
      </c>
      <c r="F472" s="11" t="s">
        <v>694</v>
      </c>
      <c r="G472" s="12" t="str">
        <f>IFERROR(VLOOKUP(F472, DADOS_RM_EVENTOS_original!A:B, 2, FALSE), "Código não encontrado/Não digitado")</f>
        <v>Participacao nos Lucros - (CE)</v>
      </c>
      <c r="H472" s="12" t="s">
        <v>68</v>
      </c>
      <c r="I472" s="12" t="str">
        <f>IFERROR(VLOOKUP(H472, DADOS_RM_EVENTOS_original!C:D, 2, FALSE), "Código não encontrado/Não digitado")</f>
        <v>Código não encontrado/Não digitado</v>
      </c>
      <c r="J472" s="12" t="s">
        <v>68</v>
      </c>
      <c r="K472" s="12" t="str">
        <f>IFERROR(VLOOKUP(J472, DADOS_RM_EVENTOS_original!E:J, 2, FALSE), "Código não encontrado/Não digitado")</f>
        <v>Código não encontrado/Não digitado</v>
      </c>
      <c r="L472" s="12" t="s">
        <v>68</v>
      </c>
      <c r="M472" s="12" t="str">
        <f>IFERROR(VLOOKUP(L472, DADOS_RM_EVENTOS_original!K:L, 2, FALSE), "Código não encontrado/Não digitado")</f>
        <v>Código não encontrado/Não digitado</v>
      </c>
    </row>
    <row r="473" ht="15.75" hidden="1" customHeight="1">
      <c r="A473" s="11" t="s">
        <v>38</v>
      </c>
      <c r="B473" s="11" t="s">
        <v>376</v>
      </c>
      <c r="C473" s="11" t="s">
        <v>4552</v>
      </c>
      <c r="D473" s="11" t="s">
        <v>120</v>
      </c>
      <c r="E473" s="11" t="s">
        <v>47</v>
      </c>
      <c r="F473" s="11" t="s">
        <v>694</v>
      </c>
      <c r="G473" s="12" t="str">
        <f>IFERROR(VLOOKUP(F473, DADOS_RM_EVENTOS_original!A:B, 2, FALSE), "Código não encontrado/Não digitado")</f>
        <v>Participacao nos Lucros - (CE)</v>
      </c>
      <c r="H473" s="12" t="s">
        <v>68</v>
      </c>
      <c r="I473" s="12" t="str">
        <f>IFERROR(VLOOKUP(H473, DADOS_RM_EVENTOS_original!C:D, 2, FALSE), "Código não encontrado/Não digitado")</f>
        <v>Código não encontrado/Não digitado</v>
      </c>
      <c r="J473" s="12" t="s">
        <v>68</v>
      </c>
      <c r="K473" s="12" t="str">
        <f>IFERROR(VLOOKUP(J473, DADOS_RM_EVENTOS_original!E:J, 2, FALSE), "Código não encontrado/Não digitado")</f>
        <v>Código não encontrado/Não digitado</v>
      </c>
      <c r="L473" s="12" t="s">
        <v>68</v>
      </c>
      <c r="M473" s="12" t="str">
        <f>IFERROR(VLOOKUP(L473, DADOS_RM_EVENTOS_original!K:L, 2, FALSE), "Código não encontrado/Não digitado")</f>
        <v>Código não encontrado/Não digitado</v>
      </c>
    </row>
    <row r="474" ht="15.75" hidden="1" customHeight="1">
      <c r="A474" s="11" t="s">
        <v>38</v>
      </c>
      <c r="B474" s="11" t="s">
        <v>521</v>
      </c>
      <c r="C474" s="11" t="s">
        <v>4553</v>
      </c>
      <c r="D474" s="11" t="s">
        <v>120</v>
      </c>
      <c r="E474" s="11" t="s">
        <v>47</v>
      </c>
      <c r="F474" s="11" t="s">
        <v>694</v>
      </c>
      <c r="G474" s="12" t="str">
        <f>IFERROR(VLOOKUP(F474, DADOS_RM_EVENTOS_original!A:B, 2, FALSE), "Código não encontrado/Não digitado")</f>
        <v>Participacao nos Lucros - (CE)</v>
      </c>
      <c r="H474" s="12" t="s">
        <v>68</v>
      </c>
      <c r="I474" s="12" t="str">
        <f>IFERROR(VLOOKUP(H474, DADOS_RM_EVENTOS_original!C:D, 2, FALSE), "Código não encontrado/Não digitado")</f>
        <v>Código não encontrado/Não digitado</v>
      </c>
      <c r="J474" s="12" t="s">
        <v>68</v>
      </c>
      <c r="K474" s="12" t="str">
        <f>IFERROR(VLOOKUP(J474, DADOS_RM_EVENTOS_original!E:J, 2, FALSE), "Código não encontrado/Não digitado")</f>
        <v>Código não encontrado/Não digitado</v>
      </c>
      <c r="L474" s="12" t="s">
        <v>68</v>
      </c>
      <c r="M474" s="12" t="str">
        <f>IFERROR(VLOOKUP(L474, DADOS_RM_EVENTOS_original!K:L, 2, FALSE), "Código não encontrado/Não digitado")</f>
        <v>Código não encontrado/Não digitado</v>
      </c>
    </row>
    <row r="475" ht="15.75" hidden="1" customHeight="1">
      <c r="A475" s="11" t="s">
        <v>38</v>
      </c>
      <c r="B475" s="11" t="s">
        <v>415</v>
      </c>
      <c r="C475" s="11" t="s">
        <v>4554</v>
      </c>
      <c r="D475" s="11" t="s">
        <v>120</v>
      </c>
      <c r="E475" s="11" t="s">
        <v>47</v>
      </c>
      <c r="F475" s="11" t="s">
        <v>694</v>
      </c>
      <c r="G475" s="12" t="str">
        <f>IFERROR(VLOOKUP(F475, DADOS_RM_EVENTOS_original!A:B, 2, FALSE), "Código não encontrado/Não digitado")</f>
        <v>Participacao nos Lucros - (CE)</v>
      </c>
      <c r="H475" s="12" t="s">
        <v>68</v>
      </c>
      <c r="I475" s="12" t="str">
        <f>IFERROR(VLOOKUP(H475, DADOS_RM_EVENTOS_original!C:D, 2, FALSE), "Código não encontrado/Não digitado")</f>
        <v>Código não encontrado/Não digitado</v>
      </c>
      <c r="J475" s="12" t="s">
        <v>68</v>
      </c>
      <c r="K475" s="12" t="str">
        <f>IFERROR(VLOOKUP(J475, DADOS_RM_EVENTOS_original!E:J, 2, FALSE), "Código não encontrado/Não digitado")</f>
        <v>Código não encontrado/Não digitado</v>
      </c>
      <c r="L475" s="12" t="s">
        <v>68</v>
      </c>
      <c r="M475" s="12" t="str">
        <f>IFERROR(VLOOKUP(L475, DADOS_RM_EVENTOS_original!K:L, 2, FALSE), "Código não encontrado/Não digitado")</f>
        <v>Código não encontrado/Não digitado</v>
      </c>
    </row>
    <row r="476" ht="15.75" hidden="1" customHeight="1">
      <c r="A476" s="11" t="s">
        <v>38</v>
      </c>
      <c r="B476" s="11" t="s">
        <v>569</v>
      </c>
      <c r="C476" s="11" t="s">
        <v>4555</v>
      </c>
      <c r="D476" s="11" t="s">
        <v>120</v>
      </c>
      <c r="E476" s="11" t="s">
        <v>47</v>
      </c>
      <c r="F476" s="11" t="s">
        <v>694</v>
      </c>
      <c r="G476" s="12" t="str">
        <f>IFERROR(VLOOKUP(F476, DADOS_RM_EVENTOS_original!A:B, 2, FALSE), "Código não encontrado/Não digitado")</f>
        <v>Participacao nos Lucros - (CE)</v>
      </c>
      <c r="H476" s="12" t="s">
        <v>68</v>
      </c>
      <c r="I476" s="12" t="str">
        <f>IFERROR(VLOOKUP(H476, DADOS_RM_EVENTOS_original!C:D, 2, FALSE), "Código não encontrado/Não digitado")</f>
        <v>Código não encontrado/Não digitado</v>
      </c>
      <c r="J476" s="12" t="s">
        <v>68</v>
      </c>
      <c r="K476" s="12" t="str">
        <f>IFERROR(VLOOKUP(J476, DADOS_RM_EVENTOS_original!E:J, 2, FALSE), "Código não encontrado/Não digitado")</f>
        <v>Código não encontrado/Não digitado</v>
      </c>
      <c r="L476" s="12" t="s">
        <v>68</v>
      </c>
      <c r="M476" s="12" t="str">
        <f>IFERROR(VLOOKUP(L476, DADOS_RM_EVENTOS_original!K:L, 2, FALSE), "Código não encontrado/Não digitado")</f>
        <v>Código não encontrado/Não digitado</v>
      </c>
    </row>
    <row r="477" ht="15.75" hidden="1" customHeight="1">
      <c r="A477" s="11" t="s">
        <v>38</v>
      </c>
      <c r="B477" s="11" t="s">
        <v>439</v>
      </c>
      <c r="C477" s="11" t="s">
        <v>4556</v>
      </c>
      <c r="D477" s="11" t="s">
        <v>120</v>
      </c>
      <c r="E477" s="11" t="s">
        <v>47</v>
      </c>
      <c r="F477" s="11" t="s">
        <v>694</v>
      </c>
      <c r="G477" s="12" t="str">
        <f>IFERROR(VLOOKUP(F477, DADOS_RM_EVENTOS_original!A:B, 2, FALSE), "Código não encontrado/Não digitado")</f>
        <v>Participacao nos Lucros - (CE)</v>
      </c>
      <c r="H477" s="12" t="s">
        <v>68</v>
      </c>
      <c r="I477" s="12" t="str">
        <f>IFERROR(VLOOKUP(H477, DADOS_RM_EVENTOS_original!C:D, 2, FALSE), "Código não encontrado/Não digitado")</f>
        <v>Código não encontrado/Não digitado</v>
      </c>
      <c r="J477" s="12" t="s">
        <v>68</v>
      </c>
      <c r="K477" s="12" t="str">
        <f>IFERROR(VLOOKUP(J477, DADOS_RM_EVENTOS_original!E:J, 2, FALSE), "Código não encontrado/Não digitado")</f>
        <v>Código não encontrado/Não digitado</v>
      </c>
      <c r="L477" s="12" t="s">
        <v>68</v>
      </c>
      <c r="M477" s="12" t="str">
        <f>IFERROR(VLOOKUP(L477, DADOS_RM_EVENTOS_original!K:L, 2, FALSE), "Código não encontrado/Não digitado")</f>
        <v>Código não encontrado/Não digitado</v>
      </c>
    </row>
    <row r="478" ht="15.75" hidden="1" customHeight="1">
      <c r="A478" s="11" t="s">
        <v>38</v>
      </c>
      <c r="B478" s="11" t="s">
        <v>603</v>
      </c>
      <c r="C478" s="11" t="s">
        <v>4557</v>
      </c>
      <c r="D478" s="11" t="s">
        <v>120</v>
      </c>
      <c r="E478" s="11" t="s">
        <v>47</v>
      </c>
      <c r="F478" s="11" t="s">
        <v>694</v>
      </c>
      <c r="G478" s="12" t="str">
        <f>IFERROR(VLOOKUP(F478, DADOS_RM_EVENTOS_original!A:B, 2, FALSE), "Código não encontrado/Não digitado")</f>
        <v>Participacao nos Lucros - (CE)</v>
      </c>
      <c r="H478" s="12" t="s">
        <v>68</v>
      </c>
      <c r="I478" s="12" t="str">
        <f>IFERROR(VLOOKUP(H478, DADOS_RM_EVENTOS_original!C:D, 2, FALSE), "Código não encontrado/Não digitado")</f>
        <v>Código não encontrado/Não digitado</v>
      </c>
      <c r="J478" s="12" t="s">
        <v>68</v>
      </c>
      <c r="K478" s="12" t="str">
        <f>IFERROR(VLOOKUP(J478, DADOS_RM_EVENTOS_original!E:J, 2, FALSE), "Código não encontrado/Não digitado")</f>
        <v>Código não encontrado/Não digitado</v>
      </c>
      <c r="L478" s="12" t="s">
        <v>68</v>
      </c>
      <c r="M478" s="12" t="str">
        <f>IFERROR(VLOOKUP(L478, DADOS_RM_EVENTOS_original!K:L, 2, FALSE), "Código não encontrado/Não digitado")</f>
        <v>Código não encontrado/Não digitado</v>
      </c>
    </row>
    <row r="479" ht="15.75" hidden="1" customHeight="1">
      <c r="A479" s="11" t="s">
        <v>38</v>
      </c>
      <c r="B479" s="11" t="s">
        <v>901</v>
      </c>
      <c r="C479" s="11" t="s">
        <v>4558</v>
      </c>
      <c r="D479" s="11" t="s">
        <v>120</v>
      </c>
      <c r="E479" s="11" t="s">
        <v>47</v>
      </c>
      <c r="F479" s="11" t="s">
        <v>694</v>
      </c>
      <c r="G479" s="12" t="str">
        <f>IFERROR(VLOOKUP(F479, DADOS_RM_EVENTOS_original!A:B, 2, FALSE), "Código não encontrado/Não digitado")</f>
        <v>Participacao nos Lucros - (CE)</v>
      </c>
      <c r="H479" s="12" t="s">
        <v>68</v>
      </c>
      <c r="I479" s="12" t="str">
        <f>IFERROR(VLOOKUP(H479, DADOS_RM_EVENTOS_original!C:D, 2, FALSE), "Código não encontrado/Não digitado")</f>
        <v>Código não encontrado/Não digitado</v>
      </c>
      <c r="J479" s="12" t="s">
        <v>68</v>
      </c>
      <c r="K479" s="12" t="str">
        <f>IFERROR(VLOOKUP(J479, DADOS_RM_EVENTOS_original!E:J, 2, FALSE), "Código não encontrado/Não digitado")</f>
        <v>Código não encontrado/Não digitado</v>
      </c>
      <c r="L479" s="12" t="s">
        <v>68</v>
      </c>
      <c r="M479" s="12" t="str">
        <f>IFERROR(VLOOKUP(L479, DADOS_RM_EVENTOS_original!K:L, 2, FALSE), "Código não encontrado/Não digitado")</f>
        <v>Código não encontrado/Não digitado</v>
      </c>
    </row>
    <row r="480" ht="15.75" hidden="1" customHeight="1">
      <c r="A480" s="11" t="s">
        <v>38</v>
      </c>
      <c r="B480" s="11" t="s">
        <v>357</v>
      </c>
      <c r="C480" s="11" t="s">
        <v>4559</v>
      </c>
      <c r="D480" s="11" t="s">
        <v>120</v>
      </c>
      <c r="E480" s="11" t="s">
        <v>47</v>
      </c>
      <c r="F480" s="11" t="s">
        <v>694</v>
      </c>
      <c r="G480" s="12" t="str">
        <f>IFERROR(VLOOKUP(F480, DADOS_RM_EVENTOS_original!A:B, 2, FALSE), "Código não encontrado/Não digitado")</f>
        <v>Participacao nos Lucros - (CE)</v>
      </c>
      <c r="H480" s="12" t="s">
        <v>68</v>
      </c>
      <c r="I480" s="12" t="str">
        <f>IFERROR(VLOOKUP(H480, DADOS_RM_EVENTOS_original!C:D, 2, FALSE), "Código não encontrado/Não digitado")</f>
        <v>Código não encontrado/Não digitado</v>
      </c>
      <c r="J480" s="12" t="s">
        <v>68</v>
      </c>
      <c r="K480" s="12" t="str">
        <f>IFERROR(VLOOKUP(J480, DADOS_RM_EVENTOS_original!E:J, 2, FALSE), "Código não encontrado/Não digitado")</f>
        <v>Código não encontrado/Não digitado</v>
      </c>
      <c r="L480" s="12" t="s">
        <v>68</v>
      </c>
      <c r="M480" s="12" t="str">
        <f>IFERROR(VLOOKUP(L480, DADOS_RM_EVENTOS_original!K:L, 2, FALSE), "Código não encontrado/Não digitado")</f>
        <v>Código não encontrado/Não digitado</v>
      </c>
    </row>
    <row r="481" ht="15.75" hidden="1" customHeight="1">
      <c r="A481" s="11" t="s">
        <v>38</v>
      </c>
      <c r="B481" s="11" t="s">
        <v>447</v>
      </c>
      <c r="C481" s="11" t="s">
        <v>4560</v>
      </c>
      <c r="D481" s="11" t="s">
        <v>120</v>
      </c>
      <c r="E481" s="11" t="s">
        <v>47</v>
      </c>
      <c r="F481" s="11" t="s">
        <v>694</v>
      </c>
      <c r="G481" s="12" t="str">
        <f>IFERROR(VLOOKUP(F481, DADOS_RM_EVENTOS_original!A:B, 2, FALSE), "Código não encontrado/Não digitado")</f>
        <v>Participacao nos Lucros - (CE)</v>
      </c>
      <c r="H481" s="12" t="s">
        <v>68</v>
      </c>
      <c r="I481" s="12" t="str">
        <f>IFERROR(VLOOKUP(H481, DADOS_RM_EVENTOS_original!C:D, 2, FALSE), "Código não encontrado/Não digitado")</f>
        <v>Código não encontrado/Não digitado</v>
      </c>
      <c r="J481" s="12" t="s">
        <v>68</v>
      </c>
      <c r="K481" s="12" t="str">
        <f>IFERROR(VLOOKUP(J481, DADOS_RM_EVENTOS_original!E:J, 2, FALSE), "Código não encontrado/Não digitado")</f>
        <v>Código não encontrado/Não digitado</v>
      </c>
      <c r="L481" s="12" t="s">
        <v>68</v>
      </c>
      <c r="M481" s="12" t="str">
        <f>IFERROR(VLOOKUP(L481, DADOS_RM_EVENTOS_original!K:L, 2, FALSE), "Código não encontrado/Não digitado")</f>
        <v>Código não encontrado/Não digitado</v>
      </c>
    </row>
    <row r="482" ht="15.75" hidden="1" customHeight="1">
      <c r="A482" s="11" t="s">
        <v>38</v>
      </c>
      <c r="B482" s="11" t="s">
        <v>644</v>
      </c>
      <c r="C482" s="11" t="s">
        <v>4561</v>
      </c>
      <c r="D482" s="11" t="s">
        <v>120</v>
      </c>
      <c r="E482" s="11" t="s">
        <v>47</v>
      </c>
      <c r="F482" s="11" t="s">
        <v>694</v>
      </c>
      <c r="G482" s="12" t="str">
        <f>IFERROR(VLOOKUP(F482, DADOS_RM_EVENTOS_original!A:B, 2, FALSE), "Código não encontrado/Não digitado")</f>
        <v>Participacao nos Lucros - (CE)</v>
      </c>
      <c r="H482" s="12" t="s">
        <v>68</v>
      </c>
      <c r="I482" s="12" t="str">
        <f>IFERROR(VLOOKUP(H482, DADOS_RM_EVENTOS_original!C:D, 2, FALSE), "Código não encontrado/Não digitado")</f>
        <v>Código não encontrado/Não digitado</v>
      </c>
      <c r="J482" s="12" t="s">
        <v>68</v>
      </c>
      <c r="K482" s="12" t="str">
        <f>IFERROR(VLOOKUP(J482, DADOS_RM_EVENTOS_original!E:J, 2, FALSE), "Código não encontrado/Não digitado")</f>
        <v>Código não encontrado/Não digitado</v>
      </c>
      <c r="L482" s="12" t="s">
        <v>68</v>
      </c>
      <c r="M482" s="12" t="str">
        <f>IFERROR(VLOOKUP(L482, DADOS_RM_EVENTOS_original!K:L, 2, FALSE), "Código não encontrado/Não digitado")</f>
        <v>Código não encontrado/Não digitado</v>
      </c>
    </row>
    <row r="483" ht="15.75" hidden="1" customHeight="1">
      <c r="A483" s="11" t="s">
        <v>38</v>
      </c>
      <c r="B483" s="11" t="s">
        <v>365</v>
      </c>
      <c r="C483" s="11" t="s">
        <v>4562</v>
      </c>
      <c r="D483" s="11" t="s">
        <v>120</v>
      </c>
      <c r="E483" s="11" t="s">
        <v>47</v>
      </c>
      <c r="F483" s="11" t="s">
        <v>694</v>
      </c>
      <c r="G483" s="12" t="str">
        <f>IFERROR(VLOOKUP(F483, DADOS_RM_EVENTOS_original!A:B, 2, FALSE), "Código não encontrado/Não digitado")</f>
        <v>Participacao nos Lucros - (CE)</v>
      </c>
      <c r="H483" s="12" t="s">
        <v>68</v>
      </c>
      <c r="I483" s="12" t="str">
        <f>IFERROR(VLOOKUP(H483, DADOS_RM_EVENTOS_original!C:D, 2, FALSE), "Código não encontrado/Não digitado")</f>
        <v>Código não encontrado/Não digitado</v>
      </c>
      <c r="J483" s="12" t="s">
        <v>68</v>
      </c>
      <c r="K483" s="12" t="str">
        <f>IFERROR(VLOOKUP(J483, DADOS_RM_EVENTOS_original!E:J, 2, FALSE), "Código não encontrado/Não digitado")</f>
        <v>Código não encontrado/Não digitado</v>
      </c>
      <c r="L483" s="12" t="s">
        <v>68</v>
      </c>
      <c r="M483" s="12" t="str">
        <f>IFERROR(VLOOKUP(L483, DADOS_RM_EVENTOS_original!K:L, 2, FALSE), "Código não encontrado/Não digitado")</f>
        <v>Código não encontrado/Não digitado</v>
      </c>
    </row>
    <row r="484" ht="15.75" hidden="1" customHeight="1">
      <c r="A484" s="11" t="s">
        <v>38</v>
      </c>
      <c r="B484" s="11" t="s">
        <v>449</v>
      </c>
      <c r="C484" s="11" t="s">
        <v>4563</v>
      </c>
      <c r="D484" s="11" t="s">
        <v>120</v>
      </c>
      <c r="E484" s="11" t="s">
        <v>47</v>
      </c>
      <c r="F484" s="11" t="s">
        <v>694</v>
      </c>
      <c r="G484" s="12" t="str">
        <f>IFERROR(VLOOKUP(F484, DADOS_RM_EVENTOS_original!A:B, 2, FALSE), "Código não encontrado/Não digitado")</f>
        <v>Participacao nos Lucros - (CE)</v>
      </c>
      <c r="H484" s="12" t="s">
        <v>68</v>
      </c>
      <c r="I484" s="12" t="str">
        <f>IFERROR(VLOOKUP(H484, DADOS_RM_EVENTOS_original!C:D, 2, FALSE), "Código não encontrado/Não digitado")</f>
        <v>Código não encontrado/Não digitado</v>
      </c>
      <c r="J484" s="12" t="s">
        <v>68</v>
      </c>
      <c r="K484" s="12" t="str">
        <f>IFERROR(VLOOKUP(J484, DADOS_RM_EVENTOS_original!E:J, 2, FALSE), "Código não encontrado/Não digitado")</f>
        <v>Código não encontrado/Não digitado</v>
      </c>
      <c r="L484" s="12" t="s">
        <v>68</v>
      </c>
      <c r="M484" s="12" t="str">
        <f>IFERROR(VLOOKUP(L484, DADOS_RM_EVENTOS_original!K:L, 2, FALSE), "Código não encontrado/Não digitado")</f>
        <v>Código não encontrado/Não digitado</v>
      </c>
    </row>
    <row r="485" ht="15.75" hidden="1" customHeight="1">
      <c r="A485" s="11" t="s">
        <v>38</v>
      </c>
      <c r="B485" s="11" t="s">
        <v>646</v>
      </c>
      <c r="C485" s="11" t="s">
        <v>4564</v>
      </c>
      <c r="D485" s="11" t="s">
        <v>120</v>
      </c>
      <c r="E485" s="11" t="s">
        <v>47</v>
      </c>
      <c r="F485" s="11" t="s">
        <v>694</v>
      </c>
      <c r="G485" s="12" t="str">
        <f>IFERROR(VLOOKUP(F485, DADOS_RM_EVENTOS_original!A:B, 2, FALSE), "Código não encontrado/Não digitado")</f>
        <v>Participacao nos Lucros - (CE)</v>
      </c>
      <c r="H485" s="12" t="s">
        <v>68</v>
      </c>
      <c r="I485" s="12" t="str">
        <f>IFERROR(VLOOKUP(H485, DADOS_RM_EVENTOS_original!C:D, 2, FALSE), "Código não encontrado/Não digitado")</f>
        <v>Código não encontrado/Não digitado</v>
      </c>
      <c r="J485" s="12" t="s">
        <v>68</v>
      </c>
      <c r="K485" s="12" t="str">
        <f>IFERROR(VLOOKUP(J485, DADOS_RM_EVENTOS_original!E:J, 2, FALSE), "Código não encontrado/Não digitado")</f>
        <v>Código não encontrado/Não digitado</v>
      </c>
      <c r="L485" s="12" t="s">
        <v>68</v>
      </c>
      <c r="M485" s="12" t="str">
        <f>IFERROR(VLOOKUP(L485, DADOS_RM_EVENTOS_original!K:L, 2, FALSE), "Código não encontrado/Não digitado")</f>
        <v>Código não encontrado/Não digitado</v>
      </c>
    </row>
    <row r="486" ht="15.75" hidden="1" customHeight="1">
      <c r="A486" s="11" t="s">
        <v>38</v>
      </c>
      <c r="B486" s="11" t="s">
        <v>237</v>
      </c>
      <c r="C486" s="11" t="s">
        <v>4565</v>
      </c>
      <c r="D486" s="11" t="s">
        <v>120</v>
      </c>
      <c r="E486" s="11" t="s">
        <v>47</v>
      </c>
      <c r="F486" s="11" t="s">
        <v>694</v>
      </c>
      <c r="G486" s="12" t="str">
        <f>IFERROR(VLOOKUP(F486, DADOS_RM_EVENTOS_original!A:B, 2, FALSE), "Código não encontrado/Não digitado")</f>
        <v>Participacao nos Lucros - (CE)</v>
      </c>
      <c r="H486" s="12" t="s">
        <v>68</v>
      </c>
      <c r="I486" s="12" t="str">
        <f>IFERROR(VLOOKUP(H486, DADOS_RM_EVENTOS_original!C:D, 2, FALSE), "Código não encontrado/Não digitado")</f>
        <v>Código não encontrado/Não digitado</v>
      </c>
      <c r="J486" s="12" t="s">
        <v>68</v>
      </c>
      <c r="K486" s="12" t="str">
        <f>IFERROR(VLOOKUP(J486, DADOS_RM_EVENTOS_original!E:J, 2, FALSE), "Código não encontrado/Não digitado")</f>
        <v>Código não encontrado/Não digitado</v>
      </c>
      <c r="L486" s="12" t="s">
        <v>68</v>
      </c>
      <c r="M486" s="12" t="str">
        <f>IFERROR(VLOOKUP(L486, DADOS_RM_EVENTOS_original!K:L, 2, FALSE), "Código não encontrado/Não digitado")</f>
        <v>Código não encontrado/Não digitado</v>
      </c>
    </row>
    <row r="487" ht="15.75" hidden="1" customHeight="1">
      <c r="A487" s="11" t="s">
        <v>38</v>
      </c>
      <c r="B487" s="11" t="s">
        <v>463</v>
      </c>
      <c r="C487" s="11" t="s">
        <v>4566</v>
      </c>
      <c r="D487" s="11" t="s">
        <v>120</v>
      </c>
      <c r="E487" s="11" t="s">
        <v>47</v>
      </c>
      <c r="F487" s="11" t="s">
        <v>694</v>
      </c>
      <c r="G487" s="12" t="str">
        <f>IFERROR(VLOOKUP(F487, DADOS_RM_EVENTOS_original!A:B, 2, FALSE), "Código não encontrado/Não digitado")</f>
        <v>Participacao nos Lucros - (CE)</v>
      </c>
      <c r="H487" s="12" t="s">
        <v>68</v>
      </c>
      <c r="I487" s="12" t="str">
        <f>IFERROR(VLOOKUP(H487, DADOS_RM_EVENTOS_original!C:D, 2, FALSE), "Código não encontrado/Não digitado")</f>
        <v>Código não encontrado/Não digitado</v>
      </c>
      <c r="J487" s="12" t="s">
        <v>68</v>
      </c>
      <c r="K487" s="12" t="str">
        <f>IFERROR(VLOOKUP(J487, DADOS_RM_EVENTOS_original!E:J, 2, FALSE), "Código não encontrado/Não digitado")</f>
        <v>Código não encontrado/Não digitado</v>
      </c>
      <c r="L487" s="12" t="s">
        <v>68</v>
      </c>
      <c r="M487" s="12" t="str">
        <f>IFERROR(VLOOKUP(L487, DADOS_RM_EVENTOS_original!K:L, 2, FALSE), "Código não encontrado/Não digitado")</f>
        <v>Código não encontrado/Não digitado</v>
      </c>
    </row>
    <row r="488" ht="15.75" hidden="1" customHeight="1">
      <c r="A488" s="11" t="s">
        <v>38</v>
      </c>
      <c r="B488" s="11" t="s">
        <v>301</v>
      </c>
      <c r="C488" s="11" t="s">
        <v>4567</v>
      </c>
      <c r="D488" s="11" t="s">
        <v>120</v>
      </c>
      <c r="E488" s="11" t="s">
        <v>47</v>
      </c>
      <c r="F488" s="11" t="s">
        <v>694</v>
      </c>
      <c r="G488" s="12" t="str">
        <f>IFERROR(VLOOKUP(F488, DADOS_RM_EVENTOS_original!A:B, 2, FALSE), "Código não encontrado/Não digitado")</f>
        <v>Participacao nos Lucros - (CE)</v>
      </c>
      <c r="H488" s="12" t="s">
        <v>68</v>
      </c>
      <c r="I488" s="12" t="str">
        <f>IFERROR(VLOOKUP(H488, DADOS_RM_EVENTOS_original!C:D, 2, FALSE), "Código não encontrado/Não digitado")</f>
        <v>Código não encontrado/Não digitado</v>
      </c>
      <c r="J488" s="12" t="s">
        <v>68</v>
      </c>
      <c r="K488" s="12" t="str">
        <f>IFERROR(VLOOKUP(J488, DADOS_RM_EVENTOS_original!E:J, 2, FALSE), "Código não encontrado/Não digitado")</f>
        <v>Código não encontrado/Não digitado</v>
      </c>
      <c r="L488" s="12" t="s">
        <v>68</v>
      </c>
      <c r="M488" s="12" t="str">
        <f>IFERROR(VLOOKUP(L488, DADOS_RM_EVENTOS_original!K:L, 2, FALSE), "Código não encontrado/Não digitado")</f>
        <v>Código não encontrado/Não digitado</v>
      </c>
    </row>
    <row r="489" ht="15.75" hidden="1" customHeight="1">
      <c r="A489" s="11" t="s">
        <v>38</v>
      </c>
      <c r="B489" s="11" t="s">
        <v>468</v>
      </c>
      <c r="C489" s="11" t="s">
        <v>4568</v>
      </c>
      <c r="D489" s="11" t="s">
        <v>120</v>
      </c>
      <c r="E489" s="11" t="s">
        <v>47</v>
      </c>
      <c r="F489" s="11" t="s">
        <v>694</v>
      </c>
      <c r="G489" s="12" t="str">
        <f>IFERROR(VLOOKUP(F489, DADOS_RM_EVENTOS_original!A:B, 2, FALSE), "Código não encontrado/Não digitado")</f>
        <v>Participacao nos Lucros - (CE)</v>
      </c>
      <c r="H489" s="12" t="s">
        <v>68</v>
      </c>
      <c r="I489" s="12" t="str">
        <f>IFERROR(VLOOKUP(H489, DADOS_RM_EVENTOS_original!C:D, 2, FALSE), "Código não encontrado/Não digitado")</f>
        <v>Código não encontrado/Não digitado</v>
      </c>
      <c r="J489" s="12" t="s">
        <v>68</v>
      </c>
      <c r="K489" s="12" t="str">
        <f>IFERROR(VLOOKUP(J489, DADOS_RM_EVENTOS_original!E:J, 2, FALSE), "Código não encontrado/Não digitado")</f>
        <v>Código não encontrado/Não digitado</v>
      </c>
      <c r="L489" s="12" t="s">
        <v>68</v>
      </c>
      <c r="M489" s="12" t="str">
        <f>IFERROR(VLOOKUP(L489, DADOS_RM_EVENTOS_original!K:L, 2, FALSE), "Código não encontrado/Não digitado")</f>
        <v>Código não encontrado/Não digitado</v>
      </c>
    </row>
    <row r="490" ht="15.75" hidden="1" customHeight="1">
      <c r="A490" s="11" t="s">
        <v>38</v>
      </c>
      <c r="B490" s="11" t="s">
        <v>313</v>
      </c>
      <c r="C490" s="11" t="s">
        <v>4569</v>
      </c>
      <c r="D490" s="11" t="s">
        <v>120</v>
      </c>
      <c r="E490" s="11" t="s">
        <v>47</v>
      </c>
      <c r="F490" s="11" t="s">
        <v>694</v>
      </c>
      <c r="G490" s="12" t="str">
        <f>IFERROR(VLOOKUP(F490, DADOS_RM_EVENTOS_original!A:B, 2, FALSE), "Código não encontrado/Não digitado")</f>
        <v>Participacao nos Lucros - (CE)</v>
      </c>
      <c r="H490" s="12" t="s">
        <v>68</v>
      </c>
      <c r="I490" s="12" t="str">
        <f>IFERROR(VLOOKUP(H490, DADOS_RM_EVENTOS_original!C:D, 2, FALSE), "Código não encontrado/Não digitado")</f>
        <v>Código não encontrado/Não digitado</v>
      </c>
      <c r="J490" s="12" t="s">
        <v>68</v>
      </c>
      <c r="K490" s="12" t="str">
        <f>IFERROR(VLOOKUP(J490, DADOS_RM_EVENTOS_original!E:J, 2, FALSE), "Código não encontrado/Não digitado")</f>
        <v>Código não encontrado/Não digitado</v>
      </c>
      <c r="L490" s="12" t="s">
        <v>68</v>
      </c>
      <c r="M490" s="12" t="str">
        <f>IFERROR(VLOOKUP(L490, DADOS_RM_EVENTOS_original!K:L, 2, FALSE), "Código não encontrado/Não digitado")</f>
        <v>Código não encontrado/Não digitado</v>
      </c>
    </row>
    <row r="491" ht="15.75" hidden="1" customHeight="1">
      <c r="A491" s="11" t="s">
        <v>38</v>
      </c>
      <c r="B491" s="11" t="s">
        <v>477</v>
      </c>
      <c r="C491" s="11" t="s">
        <v>4570</v>
      </c>
      <c r="D491" s="11" t="s">
        <v>120</v>
      </c>
      <c r="E491" s="11" t="s">
        <v>47</v>
      </c>
      <c r="F491" s="11" t="s">
        <v>694</v>
      </c>
      <c r="G491" s="12" t="str">
        <f>IFERROR(VLOOKUP(F491, DADOS_RM_EVENTOS_original!A:B, 2, FALSE), "Código não encontrado/Não digitado")</f>
        <v>Participacao nos Lucros - (CE)</v>
      </c>
      <c r="H491" s="12" t="s">
        <v>68</v>
      </c>
      <c r="I491" s="12" t="str">
        <f>IFERROR(VLOOKUP(H491, DADOS_RM_EVENTOS_original!C:D, 2, FALSE), "Código não encontrado/Não digitado")</f>
        <v>Código não encontrado/Não digitado</v>
      </c>
      <c r="J491" s="12" t="s">
        <v>68</v>
      </c>
      <c r="K491" s="12" t="str">
        <f>IFERROR(VLOOKUP(J491, DADOS_RM_EVENTOS_original!E:J, 2, FALSE), "Código não encontrado/Não digitado")</f>
        <v>Código não encontrado/Não digitado</v>
      </c>
      <c r="L491" s="12" t="s">
        <v>68</v>
      </c>
      <c r="M491" s="12" t="str">
        <f>IFERROR(VLOOKUP(L491, DADOS_RM_EVENTOS_original!K:L, 2, FALSE), "Código não encontrado/Não digitado")</f>
        <v>Código não encontrado/Não digitado</v>
      </c>
    </row>
    <row r="492" ht="15.75" hidden="1" customHeight="1">
      <c r="A492" s="11" t="s">
        <v>38</v>
      </c>
      <c r="B492" s="11" t="s">
        <v>316</v>
      </c>
      <c r="C492" s="11" t="s">
        <v>4576</v>
      </c>
      <c r="D492" s="11" t="s">
        <v>120</v>
      </c>
      <c r="E492" s="11" t="s">
        <v>47</v>
      </c>
      <c r="F492" s="11" t="s">
        <v>694</v>
      </c>
      <c r="G492" s="12" t="str">
        <f>IFERROR(VLOOKUP(F492, DADOS_RM_EVENTOS_original!A:B, 2, FALSE), "Código não encontrado/Não digitado")</f>
        <v>Participacao nos Lucros - (CE)</v>
      </c>
      <c r="H492" s="12" t="s">
        <v>68</v>
      </c>
      <c r="I492" s="12" t="str">
        <f>IFERROR(VLOOKUP(H492, DADOS_RM_EVENTOS_original!C:D, 2, FALSE), "Código não encontrado/Não digitado")</f>
        <v>Código não encontrado/Não digitado</v>
      </c>
      <c r="J492" s="12" t="s">
        <v>68</v>
      </c>
      <c r="K492" s="12" t="str">
        <f>IFERROR(VLOOKUP(J492, DADOS_RM_EVENTOS_original!E:J, 2, FALSE), "Código não encontrado/Não digitado")</f>
        <v>Código não encontrado/Não digitado</v>
      </c>
      <c r="L492" s="12" t="s">
        <v>68</v>
      </c>
      <c r="M492" s="12" t="str">
        <f>IFERROR(VLOOKUP(L492, DADOS_RM_EVENTOS_original!K:L, 2, FALSE), "Código não encontrado/Não digitado")</f>
        <v>Código não encontrado/Não digitado</v>
      </c>
    </row>
    <row r="493" ht="15.75" hidden="1" customHeight="1">
      <c r="A493" s="11" t="s">
        <v>38</v>
      </c>
      <c r="B493" s="11" t="s">
        <v>480</v>
      </c>
      <c r="C493" s="11" t="s">
        <v>4590</v>
      </c>
      <c r="D493" s="11" t="s">
        <v>120</v>
      </c>
      <c r="E493" s="11" t="s">
        <v>47</v>
      </c>
      <c r="F493" s="11" t="s">
        <v>694</v>
      </c>
      <c r="G493" s="12" t="str">
        <f>IFERROR(VLOOKUP(F493, DADOS_RM_EVENTOS_original!A:B, 2, FALSE), "Código não encontrado/Não digitado")</f>
        <v>Participacao nos Lucros - (CE)</v>
      </c>
      <c r="H493" s="12" t="s">
        <v>68</v>
      </c>
      <c r="I493" s="12" t="str">
        <f>IFERROR(VLOOKUP(H493, DADOS_RM_EVENTOS_original!C:D, 2, FALSE), "Código não encontrado/Não digitado")</f>
        <v>Código não encontrado/Não digitado</v>
      </c>
      <c r="J493" s="12" t="s">
        <v>68</v>
      </c>
      <c r="K493" s="12" t="str">
        <f>IFERROR(VLOOKUP(J493, DADOS_RM_EVENTOS_original!E:J, 2, FALSE), "Código não encontrado/Não digitado")</f>
        <v>Código não encontrado/Não digitado</v>
      </c>
      <c r="L493" s="12" t="s">
        <v>68</v>
      </c>
      <c r="M493" s="12" t="str">
        <f>IFERROR(VLOOKUP(L493, DADOS_RM_EVENTOS_original!K:L, 2, FALSE), "Código não encontrado/Não digitado")</f>
        <v>Código não encontrado/Não digitado</v>
      </c>
    </row>
    <row r="494" ht="15.75" hidden="1" customHeight="1">
      <c r="A494" s="11" t="s">
        <v>38</v>
      </c>
      <c r="B494" s="11" t="s">
        <v>829</v>
      </c>
      <c r="C494" s="11" t="s">
        <v>4607</v>
      </c>
      <c r="D494" s="11" t="s">
        <v>120</v>
      </c>
      <c r="E494" s="11" t="s">
        <v>47</v>
      </c>
      <c r="F494" s="11" t="s">
        <v>694</v>
      </c>
      <c r="G494" s="12" t="str">
        <f>IFERROR(VLOOKUP(F494, DADOS_RM_EVENTOS_original!A:B, 2, FALSE), "Código não encontrado/Não digitado")</f>
        <v>Participacao nos Lucros - (CE)</v>
      </c>
      <c r="H494" s="12" t="s">
        <v>68</v>
      </c>
      <c r="I494" s="12" t="str">
        <f>IFERROR(VLOOKUP(H494, DADOS_RM_EVENTOS_original!C:D, 2, FALSE), "Código não encontrado/Não digitado")</f>
        <v>Código não encontrado/Não digitado</v>
      </c>
      <c r="J494" s="12" t="s">
        <v>68</v>
      </c>
      <c r="K494" s="12" t="str">
        <f>IFERROR(VLOOKUP(J494, DADOS_RM_EVENTOS_original!E:J, 2, FALSE), "Código não encontrado/Não digitado")</f>
        <v>Código não encontrado/Não digitado</v>
      </c>
      <c r="L494" s="12" t="s">
        <v>68</v>
      </c>
      <c r="M494" s="12" t="str">
        <f>IFERROR(VLOOKUP(L494, DADOS_RM_EVENTOS_original!K:L, 2, FALSE), "Código não encontrado/Não digitado")</f>
        <v>Código não encontrado/Não digitado</v>
      </c>
    </row>
    <row r="495" ht="15.75" hidden="1" customHeight="1">
      <c r="A495" s="11" t="s">
        <v>38</v>
      </c>
      <c r="B495" s="11" t="s">
        <v>1284</v>
      </c>
      <c r="C495" s="11" t="s">
        <v>4618</v>
      </c>
      <c r="D495" s="11" t="s">
        <v>120</v>
      </c>
      <c r="E495" s="11" t="s">
        <v>47</v>
      </c>
      <c r="F495" s="11" t="s">
        <v>694</v>
      </c>
      <c r="G495" s="12" t="str">
        <f>IFERROR(VLOOKUP(F495, DADOS_RM_EVENTOS_original!A:B, 2, FALSE), "Código não encontrado/Não digitado")</f>
        <v>Participacao nos Lucros - (CE)</v>
      </c>
      <c r="H495" s="12" t="s">
        <v>68</v>
      </c>
      <c r="I495" s="12" t="str">
        <f>IFERROR(VLOOKUP(H495, DADOS_RM_EVENTOS_original!C:D, 2, FALSE), "Código não encontrado/Não digitado")</f>
        <v>Código não encontrado/Não digitado</v>
      </c>
      <c r="J495" s="12" t="s">
        <v>68</v>
      </c>
      <c r="K495" s="12" t="str">
        <f>IFERROR(VLOOKUP(J495, DADOS_RM_EVENTOS_original!E:J, 2, FALSE), "Código não encontrado/Não digitado")</f>
        <v>Código não encontrado/Não digitado</v>
      </c>
      <c r="L495" s="12" t="s">
        <v>68</v>
      </c>
      <c r="M495" s="12" t="str">
        <f>IFERROR(VLOOKUP(L495, DADOS_RM_EVENTOS_original!K:L, 2, FALSE), "Código não encontrado/Não digitado")</f>
        <v>Código não encontrado/Não digitado</v>
      </c>
    </row>
    <row r="496" ht="15.75" hidden="1" customHeight="1">
      <c r="A496" s="11" t="s">
        <v>38</v>
      </c>
      <c r="B496" s="11" t="s">
        <v>443</v>
      </c>
      <c r="C496" s="11" t="s">
        <v>4623</v>
      </c>
      <c r="D496" s="11" t="s">
        <v>120</v>
      </c>
      <c r="E496" s="11" t="s">
        <v>47</v>
      </c>
      <c r="F496" s="11" t="s">
        <v>694</v>
      </c>
      <c r="G496" s="12" t="str">
        <f>IFERROR(VLOOKUP(F496, DADOS_RM_EVENTOS_original!A:B, 2, FALSE), "Código não encontrado/Não digitado")</f>
        <v>Participacao nos Lucros - (CE)</v>
      </c>
      <c r="H496" s="12" t="s">
        <v>68</v>
      </c>
      <c r="I496" s="12" t="str">
        <f>IFERROR(VLOOKUP(H496, DADOS_RM_EVENTOS_original!C:D, 2, FALSE), "Código não encontrado/Não digitado")</f>
        <v>Código não encontrado/Não digitado</v>
      </c>
      <c r="J496" s="12" t="s">
        <v>68</v>
      </c>
      <c r="K496" s="12" t="str">
        <f>IFERROR(VLOOKUP(J496, DADOS_RM_EVENTOS_original!E:J, 2, FALSE), "Código não encontrado/Não digitado")</f>
        <v>Código não encontrado/Não digitado</v>
      </c>
      <c r="L496" s="12" t="s">
        <v>68</v>
      </c>
      <c r="M496" s="12" t="str">
        <f>IFERROR(VLOOKUP(L496, DADOS_RM_EVENTOS_original!K:L, 2, FALSE), "Código não encontrado/Não digitado")</f>
        <v>Código não encontrado/Não digitado</v>
      </c>
    </row>
    <row r="497" ht="15.75" hidden="1" customHeight="1">
      <c r="A497" s="11" t="s">
        <v>172</v>
      </c>
      <c r="B497" s="11" t="s">
        <v>1284</v>
      </c>
      <c r="C497" s="11" t="s">
        <v>4624</v>
      </c>
      <c r="D497" s="11" t="s">
        <v>120</v>
      </c>
      <c r="E497" s="11" t="s">
        <v>1029</v>
      </c>
      <c r="F497" s="11" t="s">
        <v>694</v>
      </c>
      <c r="G497" s="12" t="str">
        <f>IFERROR(VLOOKUP(F497, DADOS_RM_EVENTOS_original!A:B, 2, FALSE), "Código não encontrado/Não digitado")</f>
        <v>Participacao nos Lucros - (CE)</v>
      </c>
      <c r="H497" s="12" t="s">
        <v>68</v>
      </c>
      <c r="I497" s="12" t="str">
        <f>IFERROR(VLOOKUP(H497, DADOS_RM_EVENTOS_original!C:D, 2, FALSE), "Código não encontrado/Não digitado")</f>
        <v>Código não encontrado/Não digitado</v>
      </c>
      <c r="J497" s="12" t="s">
        <v>68</v>
      </c>
      <c r="K497" s="12" t="str">
        <f>IFERROR(VLOOKUP(J497, DADOS_RM_EVENTOS_original!E:J, 2, FALSE), "Código não encontrado/Não digitado")</f>
        <v>Código não encontrado/Não digitado</v>
      </c>
      <c r="L497" s="12" t="s">
        <v>68</v>
      </c>
      <c r="M497" s="12" t="str">
        <f>IFERROR(VLOOKUP(L497, DADOS_RM_EVENTOS_original!K:L, 2, FALSE), "Código não encontrado/Não digitado")</f>
        <v>Código não encontrado/Não digitado</v>
      </c>
    </row>
    <row r="498" ht="15.75" hidden="1" customHeight="1">
      <c r="A498" s="11" t="s">
        <v>38</v>
      </c>
      <c r="B498" s="11" t="s">
        <v>3623</v>
      </c>
      <c r="C498" s="11" t="s">
        <v>4625</v>
      </c>
      <c r="D498" s="11" t="s">
        <v>44</v>
      </c>
      <c r="E498" s="11" t="s">
        <v>47</v>
      </c>
      <c r="F498" s="11" t="s">
        <v>147</v>
      </c>
      <c r="G498" s="12" t="str">
        <f>IFERROR(VLOOKUP(F498, DADOS_RM_EVENTOS_original!A:B, 2, FALSE), "Código não encontrado/Não digitado")</f>
        <v>Desc. Pensao Alimenticia Judicial</v>
      </c>
      <c r="H498" s="12" t="s">
        <v>68</v>
      </c>
      <c r="I498" s="12" t="str">
        <f>IFERROR(VLOOKUP(H498, DADOS_RM_EVENTOS_original!C:D, 2, FALSE), "Código não encontrado/Não digitado")</f>
        <v>Código não encontrado/Não digitado</v>
      </c>
      <c r="J498" s="12" t="s">
        <v>68</v>
      </c>
      <c r="K498" s="12" t="str">
        <f>IFERROR(VLOOKUP(J498, DADOS_RM_EVENTOS_original!E:J, 2, FALSE), "Código não encontrado/Não digitado")</f>
        <v>Código não encontrado/Não digitado</v>
      </c>
      <c r="L498" s="12" t="s">
        <v>68</v>
      </c>
      <c r="M498" s="12" t="str">
        <f>IFERROR(VLOOKUP(L498, DADOS_RM_EVENTOS_original!K:L, 2, FALSE), "Código não encontrado/Não digitado")</f>
        <v>Código não encontrado/Não digitado</v>
      </c>
    </row>
    <row r="499" ht="15.75" hidden="1" customHeight="1">
      <c r="A499" s="11" t="s">
        <v>38</v>
      </c>
      <c r="B499" s="11" t="s">
        <v>655</v>
      </c>
      <c r="C499" s="11" t="s">
        <v>4626</v>
      </c>
      <c r="D499" s="11" t="s">
        <v>44</v>
      </c>
      <c r="E499" s="11" t="s">
        <v>47</v>
      </c>
      <c r="F499" s="11" t="s">
        <v>147</v>
      </c>
      <c r="G499" s="12" t="str">
        <f>IFERROR(VLOOKUP(F499, DADOS_RM_EVENTOS_original!A:B, 2, FALSE), "Código não encontrado/Não digitado")</f>
        <v>Desc. Pensao Alimenticia Judicial</v>
      </c>
      <c r="H499" s="12" t="s">
        <v>68</v>
      </c>
      <c r="I499" s="12" t="str">
        <f>IFERROR(VLOOKUP(H499, DADOS_RM_EVENTOS_original!C:D, 2, FALSE), "Código não encontrado/Não digitado")</f>
        <v>Código não encontrado/Não digitado</v>
      </c>
      <c r="J499" s="12" t="s">
        <v>68</v>
      </c>
      <c r="K499" s="12" t="str">
        <f>IFERROR(VLOOKUP(J499, DADOS_RM_EVENTOS_original!E:J, 2, FALSE), "Código não encontrado/Não digitado")</f>
        <v>Código não encontrado/Não digitado</v>
      </c>
      <c r="L499" s="12" t="s">
        <v>68</v>
      </c>
      <c r="M499" s="12" t="str">
        <f>IFERROR(VLOOKUP(L499, DADOS_RM_EVENTOS_original!K:L, 2, FALSE), "Código não encontrado/Não digitado")</f>
        <v>Código não encontrado/Não digitado</v>
      </c>
    </row>
    <row r="500" ht="15.75" hidden="1" customHeight="1">
      <c r="A500" s="11" t="s">
        <v>115</v>
      </c>
      <c r="B500" s="11" t="s">
        <v>3623</v>
      </c>
      <c r="C500" s="11" t="s">
        <v>4625</v>
      </c>
      <c r="D500" s="11" t="s">
        <v>44</v>
      </c>
      <c r="E500" s="11" t="s">
        <v>121</v>
      </c>
      <c r="F500" s="11" t="s">
        <v>147</v>
      </c>
      <c r="G500" s="12" t="str">
        <f>IFERROR(VLOOKUP(F500, DADOS_RM_EVENTOS_original!A:B, 2, FALSE), "Código não encontrado/Não digitado")</f>
        <v>Desc. Pensao Alimenticia Judicial</v>
      </c>
      <c r="H500" s="12" t="s">
        <v>68</v>
      </c>
      <c r="I500" s="12" t="str">
        <f>IFERROR(VLOOKUP(H500, DADOS_RM_EVENTOS_original!C:D, 2, FALSE), "Código não encontrado/Não digitado")</f>
        <v>Código não encontrado/Não digitado</v>
      </c>
      <c r="J500" s="12" t="s">
        <v>68</v>
      </c>
      <c r="K500" s="12" t="str">
        <f>IFERROR(VLOOKUP(J500, DADOS_RM_EVENTOS_original!E:J, 2, FALSE), "Código não encontrado/Não digitado")</f>
        <v>Código não encontrado/Não digitado</v>
      </c>
      <c r="L500" s="12" t="s">
        <v>68</v>
      </c>
      <c r="M500" s="12" t="str">
        <f>IFERROR(VLOOKUP(L500, DADOS_RM_EVENTOS_original!K:L, 2, FALSE), "Código não encontrado/Não digitado")</f>
        <v>Código não encontrado/Não digitado</v>
      </c>
    </row>
    <row r="501" ht="15.75" hidden="1" customHeight="1">
      <c r="A501" s="11" t="s">
        <v>38</v>
      </c>
      <c r="B501" s="11" t="s">
        <v>700</v>
      </c>
      <c r="C501" s="11" t="s">
        <v>4627</v>
      </c>
      <c r="D501" s="11" t="s">
        <v>44</v>
      </c>
      <c r="E501" s="11" t="s">
        <v>47</v>
      </c>
      <c r="F501" s="11" t="s">
        <v>1003</v>
      </c>
      <c r="G501" s="12" t="str">
        <f>IFERROR(VLOOKUP(F501, DADOS_RM_EVENTOS_original!A:B, 2, FALSE), "Código não encontrado/Não digitado")</f>
        <v>Desc. Pensao Alimenticia s/13º Salario</v>
      </c>
      <c r="H501" s="12" t="s">
        <v>68</v>
      </c>
      <c r="I501" s="12" t="str">
        <f>IFERROR(VLOOKUP(H501, DADOS_RM_EVENTOS_original!C:D, 2, FALSE), "Código não encontrado/Não digitado")</f>
        <v>Código não encontrado/Não digitado</v>
      </c>
      <c r="J501" s="12" t="s">
        <v>68</v>
      </c>
      <c r="K501" s="12" t="str">
        <f>IFERROR(VLOOKUP(J501, DADOS_RM_EVENTOS_original!E:J, 2, FALSE), "Código não encontrado/Não digitado")</f>
        <v>Código não encontrado/Não digitado</v>
      </c>
      <c r="L501" s="12" t="s">
        <v>68</v>
      </c>
      <c r="M501" s="12" t="str">
        <f>IFERROR(VLOOKUP(L501, DADOS_RM_EVENTOS_original!K:L, 2, FALSE), "Código não encontrado/Não digitado")</f>
        <v>Código não encontrado/Não digitado</v>
      </c>
    </row>
    <row r="502" ht="15.75" hidden="1" customHeight="1">
      <c r="A502" s="11" t="s">
        <v>38</v>
      </c>
      <c r="B502" s="11" t="s">
        <v>690</v>
      </c>
      <c r="C502" s="11" t="s">
        <v>4628</v>
      </c>
      <c r="D502" s="11" t="s">
        <v>44</v>
      </c>
      <c r="E502" s="11" t="s">
        <v>47</v>
      </c>
      <c r="F502" s="11" t="s">
        <v>2678</v>
      </c>
      <c r="G502" s="12" t="str">
        <f>IFERROR(VLOOKUP(F502, DADOS_RM_EVENTOS_original!A:B, 2, FALSE), "Código não encontrado/Não digitado")</f>
        <v>Desc. Pensao Alimenticia Ferias Envelope</v>
      </c>
      <c r="H502" s="12" t="s">
        <v>68</v>
      </c>
      <c r="I502" s="12" t="str">
        <f>IFERROR(VLOOKUP(H502, DADOS_RM_EVENTOS_original!C:D, 2, FALSE), "Código não encontrado/Não digitado")</f>
        <v>Código não encontrado/Não digitado</v>
      </c>
      <c r="J502" s="12" t="s">
        <v>68</v>
      </c>
      <c r="K502" s="12" t="str">
        <f>IFERROR(VLOOKUP(J502, DADOS_RM_EVENTOS_original!E:J, 2, FALSE), "Código não encontrado/Não digitado")</f>
        <v>Código não encontrado/Não digitado</v>
      </c>
      <c r="L502" s="12" t="s">
        <v>68</v>
      </c>
      <c r="M502" s="12" t="str">
        <f>IFERROR(VLOOKUP(L502, DADOS_RM_EVENTOS_original!K:L, 2, FALSE), "Código não encontrado/Não digitado")</f>
        <v>Código não encontrado/Não digitado</v>
      </c>
    </row>
    <row r="503" ht="15.75" customHeight="1">
      <c r="A503" s="11" t="s">
        <v>38</v>
      </c>
      <c r="B503" s="11" t="s">
        <v>703</v>
      </c>
      <c r="C503" s="11" t="s">
        <v>4629</v>
      </c>
      <c r="D503" s="11" t="s">
        <v>44</v>
      </c>
      <c r="E503" s="11" t="s">
        <v>47</v>
      </c>
      <c r="F503" s="11" t="s">
        <v>49</v>
      </c>
      <c r="G503" s="12" t="str">
        <f>IFERROR(VLOOKUP(F503, DADOS_RM_EVENTOS_original!A:B, 2, FALSE), "Código não encontrado/Não digitado")</f>
        <v>Código não encontrado/Não digitado</v>
      </c>
      <c r="H503" s="12" t="s">
        <v>68</v>
      </c>
      <c r="I503" s="12" t="str">
        <f>IFERROR(VLOOKUP(H503, DADOS_RM_EVENTOS_original!C:D, 2, FALSE), "Código não encontrado/Não digitado")</f>
        <v>Código não encontrado/Não digitado</v>
      </c>
      <c r="J503" s="12" t="s">
        <v>68</v>
      </c>
      <c r="K503" s="12" t="str">
        <f>IFERROR(VLOOKUP(J503, DADOS_RM_EVENTOS_original!E:J, 2, FALSE), "Código não encontrado/Não digitado")</f>
        <v>Código não encontrado/Não digitado</v>
      </c>
      <c r="L503" s="12" t="s">
        <v>68</v>
      </c>
      <c r="M503" s="12" t="str">
        <f>IFERROR(VLOOKUP(L503, DADOS_RM_EVENTOS_original!K:L, 2, FALSE), "Código não encontrado/Não digitado")</f>
        <v>Código não encontrado/Não digitado</v>
      </c>
    </row>
    <row r="504" ht="15.75" hidden="1" customHeight="1">
      <c r="A504" s="11" t="s">
        <v>38</v>
      </c>
      <c r="B504" s="11" t="s">
        <v>688</v>
      </c>
      <c r="C504" s="11" t="s">
        <v>4630</v>
      </c>
      <c r="D504" s="11" t="s">
        <v>44</v>
      </c>
      <c r="E504" s="11" t="s">
        <v>47</v>
      </c>
      <c r="F504" s="11" t="s">
        <v>147</v>
      </c>
      <c r="G504" s="12" t="str">
        <f>IFERROR(VLOOKUP(F504, DADOS_RM_EVENTOS_original!A:B, 2, FALSE), "Código não encontrado/Não digitado")</f>
        <v>Desc. Pensao Alimenticia Judicial</v>
      </c>
      <c r="H504" s="12" t="s">
        <v>68</v>
      </c>
      <c r="I504" s="12" t="str">
        <f>IFERROR(VLOOKUP(H504, DADOS_RM_EVENTOS_original!C:D, 2, FALSE), "Código não encontrado/Não digitado")</f>
        <v>Código não encontrado/Não digitado</v>
      </c>
      <c r="J504" s="12" t="s">
        <v>68</v>
      </c>
      <c r="K504" s="12" t="str">
        <f>IFERROR(VLOOKUP(J504, DADOS_RM_EVENTOS_original!E:J, 2, FALSE), "Código não encontrado/Não digitado")</f>
        <v>Código não encontrado/Não digitado</v>
      </c>
      <c r="L504" s="12" t="s">
        <v>68</v>
      </c>
      <c r="M504" s="12" t="str">
        <f>IFERROR(VLOOKUP(L504, DADOS_RM_EVENTOS_original!K:L, 2, FALSE), "Código não encontrado/Não digitado")</f>
        <v>Código não encontrado/Não digitado</v>
      </c>
    </row>
    <row r="505" ht="15.75" hidden="1" customHeight="1">
      <c r="A505" s="11" t="s">
        <v>38</v>
      </c>
      <c r="B505" s="11" t="s">
        <v>1240</v>
      </c>
      <c r="C505" s="11" t="s">
        <v>4631</v>
      </c>
      <c r="D505" s="11" t="s">
        <v>44</v>
      </c>
      <c r="E505" s="11" t="s">
        <v>47</v>
      </c>
      <c r="F505" s="11" t="s">
        <v>147</v>
      </c>
      <c r="G505" s="12" t="str">
        <f>IFERROR(VLOOKUP(F505, DADOS_RM_EVENTOS_original!A:B, 2, FALSE), "Código não encontrado/Não digitado")</f>
        <v>Desc. Pensao Alimenticia Judicial</v>
      </c>
      <c r="H505" s="12" t="s">
        <v>68</v>
      </c>
      <c r="I505" s="12" t="str">
        <f>IFERROR(VLOOKUP(H505, DADOS_RM_EVENTOS_original!C:D, 2, FALSE), "Código não encontrado/Não digitado")</f>
        <v>Código não encontrado/Não digitado</v>
      </c>
      <c r="J505" s="12" t="s">
        <v>68</v>
      </c>
      <c r="K505" s="12" t="str">
        <f>IFERROR(VLOOKUP(J505, DADOS_RM_EVENTOS_original!E:J, 2, FALSE), "Código não encontrado/Não digitado")</f>
        <v>Código não encontrado/Não digitado</v>
      </c>
      <c r="L505" s="12" t="s">
        <v>68</v>
      </c>
      <c r="M505" s="12" t="str">
        <f>IFERROR(VLOOKUP(L505, DADOS_RM_EVENTOS_original!K:L, 2, FALSE), "Código não encontrado/Não digitado")</f>
        <v>Código não encontrado/Não digitado</v>
      </c>
    </row>
    <row r="506" ht="15.75" hidden="1" customHeight="1">
      <c r="A506" s="11" t="s">
        <v>97</v>
      </c>
      <c r="B506" s="11" t="s">
        <v>1240</v>
      </c>
      <c r="C506" s="11" t="s">
        <v>4632</v>
      </c>
      <c r="D506" s="11" t="s">
        <v>44</v>
      </c>
      <c r="E506" s="11" t="s">
        <v>972</v>
      </c>
      <c r="F506" s="11" t="s">
        <v>147</v>
      </c>
      <c r="G506" s="12" t="str">
        <f>IFERROR(VLOOKUP(F506, DADOS_RM_EVENTOS_original!A:B, 2, FALSE), "Código não encontrado/Não digitado")</f>
        <v>Desc. Pensao Alimenticia Judicial</v>
      </c>
      <c r="H506" s="12" t="s">
        <v>68</v>
      </c>
      <c r="I506" s="12" t="str">
        <f>IFERROR(VLOOKUP(H506, DADOS_RM_EVENTOS_original!C:D, 2, FALSE), "Código não encontrado/Não digitado")</f>
        <v>Código não encontrado/Não digitado</v>
      </c>
      <c r="J506" s="12" t="s">
        <v>68</v>
      </c>
      <c r="K506" s="12" t="str">
        <f>IFERROR(VLOOKUP(J506, DADOS_RM_EVENTOS_original!E:J, 2, FALSE), "Código não encontrado/Não digitado")</f>
        <v>Código não encontrado/Não digitado</v>
      </c>
      <c r="L506" s="12" t="s">
        <v>68</v>
      </c>
      <c r="M506" s="12" t="str">
        <f>IFERROR(VLOOKUP(L506, DADOS_RM_EVENTOS_original!K:L, 2, FALSE), "Código não encontrado/Não digitado")</f>
        <v>Código não encontrado/Não digitado</v>
      </c>
    </row>
    <row r="507" ht="15.75" hidden="1" customHeight="1">
      <c r="A507" s="11" t="s">
        <v>38</v>
      </c>
      <c r="B507" s="11" t="s">
        <v>682</v>
      </c>
      <c r="C507" s="11" t="s">
        <v>4633</v>
      </c>
      <c r="D507" s="11" t="s">
        <v>44</v>
      </c>
      <c r="E507" s="11" t="s">
        <v>47</v>
      </c>
      <c r="F507" s="11" t="s">
        <v>1003</v>
      </c>
      <c r="G507" s="12" t="str">
        <f>IFERROR(VLOOKUP(F507, DADOS_RM_EVENTOS_original!A:B, 2, FALSE), "Código não encontrado/Não digitado")</f>
        <v>Desc. Pensao Alimenticia s/13º Salario</v>
      </c>
      <c r="H507" s="12" t="s">
        <v>68</v>
      </c>
      <c r="I507" s="12" t="str">
        <f>IFERROR(VLOOKUP(H507, DADOS_RM_EVENTOS_original!C:D, 2, FALSE), "Código não encontrado/Não digitado")</f>
        <v>Código não encontrado/Não digitado</v>
      </c>
      <c r="J507" s="12" t="s">
        <v>68</v>
      </c>
      <c r="K507" s="12" t="str">
        <f>IFERROR(VLOOKUP(J507, DADOS_RM_EVENTOS_original!E:J, 2, FALSE), "Código não encontrado/Não digitado")</f>
        <v>Código não encontrado/Não digitado</v>
      </c>
      <c r="L507" s="12" t="s">
        <v>68</v>
      </c>
      <c r="M507" s="12" t="str">
        <f>IFERROR(VLOOKUP(L507, DADOS_RM_EVENTOS_original!K:L, 2, FALSE), "Código não encontrado/Não digitado")</f>
        <v>Código não encontrado/Não digitado</v>
      </c>
    </row>
    <row r="508" ht="15.75" hidden="1" customHeight="1">
      <c r="A508" s="11" t="s">
        <v>38</v>
      </c>
      <c r="B508" s="11" t="s">
        <v>676</v>
      </c>
      <c r="C508" s="11" t="s">
        <v>4634</v>
      </c>
      <c r="D508" s="11" t="s">
        <v>44</v>
      </c>
      <c r="E508" s="11" t="s">
        <v>47</v>
      </c>
      <c r="F508" s="11" t="s">
        <v>2678</v>
      </c>
      <c r="G508" s="12" t="str">
        <f>IFERROR(VLOOKUP(F508, DADOS_RM_EVENTOS_original!A:B, 2, FALSE), "Código não encontrado/Não digitado")</f>
        <v>Desc. Pensao Alimenticia Ferias Envelope</v>
      </c>
      <c r="H508" s="12" t="s">
        <v>68</v>
      </c>
      <c r="I508" s="12" t="str">
        <f>IFERROR(VLOOKUP(H508, DADOS_RM_EVENTOS_original!C:D, 2, FALSE), "Código não encontrado/Não digitado")</f>
        <v>Código não encontrado/Não digitado</v>
      </c>
      <c r="J508" s="12" t="s">
        <v>68</v>
      </c>
      <c r="K508" s="12" t="str">
        <f>IFERROR(VLOOKUP(J508, DADOS_RM_EVENTOS_original!E:J, 2, FALSE), "Código não encontrado/Não digitado")</f>
        <v>Código não encontrado/Não digitado</v>
      </c>
      <c r="L508" s="12" t="s">
        <v>68</v>
      </c>
      <c r="M508" s="12" t="str">
        <f>IFERROR(VLOOKUP(L508, DADOS_RM_EVENTOS_original!K:L, 2, FALSE), "Código não encontrado/Não digitado")</f>
        <v>Código não encontrado/Não digitado</v>
      </c>
    </row>
    <row r="509" ht="15.75" hidden="1" customHeight="1">
      <c r="A509" s="11" t="s">
        <v>38</v>
      </c>
      <c r="B509" s="11" t="s">
        <v>2922</v>
      </c>
      <c r="C509" s="11" t="s">
        <v>4635</v>
      </c>
      <c r="D509" s="11" t="s">
        <v>44</v>
      </c>
      <c r="E509" s="11" t="s">
        <v>47</v>
      </c>
      <c r="F509" s="11" t="s">
        <v>147</v>
      </c>
      <c r="G509" s="12" t="str">
        <f>IFERROR(VLOOKUP(F509, DADOS_RM_EVENTOS_original!A:B, 2, FALSE), "Código não encontrado/Não digitado")</f>
        <v>Desc. Pensao Alimenticia Judicial</v>
      </c>
      <c r="H509" s="12" t="s">
        <v>68</v>
      </c>
      <c r="I509" s="12" t="str">
        <f>IFERROR(VLOOKUP(H509, DADOS_RM_EVENTOS_original!C:D, 2, FALSE), "Código não encontrado/Não digitado")</f>
        <v>Código não encontrado/Não digitado</v>
      </c>
      <c r="J509" s="12" t="s">
        <v>68</v>
      </c>
      <c r="K509" s="12" t="str">
        <f>IFERROR(VLOOKUP(J509, DADOS_RM_EVENTOS_original!E:J, 2, FALSE), "Código não encontrado/Não digitado")</f>
        <v>Código não encontrado/Não digitado</v>
      </c>
      <c r="L509" s="12" t="s">
        <v>68</v>
      </c>
      <c r="M509" s="12" t="str">
        <f>IFERROR(VLOOKUP(L509, DADOS_RM_EVENTOS_original!K:L, 2, FALSE), "Código não encontrado/Não digitado")</f>
        <v>Código não encontrado/Não digitado</v>
      </c>
    </row>
    <row r="510" ht="15.75" hidden="1" customHeight="1">
      <c r="A510" s="11" t="s">
        <v>97</v>
      </c>
      <c r="B510" s="11" t="s">
        <v>710</v>
      </c>
      <c r="C510" s="11" t="s">
        <v>4636</v>
      </c>
      <c r="D510" s="11" t="s">
        <v>44</v>
      </c>
      <c r="E510" s="11" t="s">
        <v>972</v>
      </c>
      <c r="F510" s="11" t="s">
        <v>147</v>
      </c>
      <c r="G510" s="12" t="str">
        <f>IFERROR(VLOOKUP(F510, DADOS_RM_EVENTOS_original!A:B, 2, FALSE), "Código não encontrado/Não digitado")</f>
        <v>Desc. Pensao Alimenticia Judicial</v>
      </c>
      <c r="H510" s="12" t="s">
        <v>68</v>
      </c>
      <c r="I510" s="12" t="str">
        <f>IFERROR(VLOOKUP(H510, DADOS_RM_EVENTOS_original!C:D, 2, FALSE), "Código não encontrado/Não digitado")</f>
        <v>Código não encontrado/Não digitado</v>
      </c>
      <c r="J510" s="12" t="s">
        <v>68</v>
      </c>
      <c r="K510" s="12" t="str">
        <f>IFERROR(VLOOKUP(J510, DADOS_RM_EVENTOS_original!E:J, 2, FALSE), "Código não encontrado/Não digitado")</f>
        <v>Código não encontrado/Não digitado</v>
      </c>
      <c r="L510" s="12" t="s">
        <v>68</v>
      </c>
      <c r="M510" s="12" t="str">
        <f>IFERROR(VLOOKUP(L510, DADOS_RM_EVENTOS_original!K:L, 2, FALSE), "Código não encontrado/Não digitado")</f>
        <v>Código não encontrado/Não digitado</v>
      </c>
    </row>
    <row r="511" ht="15.75" hidden="1" customHeight="1">
      <c r="A511" s="11" t="s">
        <v>38</v>
      </c>
      <c r="B511" s="11" t="s">
        <v>4637</v>
      </c>
      <c r="C511" s="11" t="s">
        <v>4638</v>
      </c>
      <c r="D511" s="11" t="s">
        <v>44</v>
      </c>
      <c r="E511" s="11" t="s">
        <v>47</v>
      </c>
      <c r="F511" s="11" t="s">
        <v>147</v>
      </c>
      <c r="G511" s="12" t="str">
        <f>IFERROR(VLOOKUP(F511, DADOS_RM_EVENTOS_original!A:B, 2, FALSE), "Código não encontrado/Não digitado")</f>
        <v>Desc. Pensao Alimenticia Judicial</v>
      </c>
      <c r="H511" s="12" t="s">
        <v>68</v>
      </c>
      <c r="I511" s="12" t="str">
        <f>IFERROR(VLOOKUP(H511, DADOS_RM_EVENTOS_original!C:D, 2, FALSE), "Código não encontrado/Não digitado")</f>
        <v>Código não encontrado/Não digitado</v>
      </c>
      <c r="J511" s="12" t="s">
        <v>68</v>
      </c>
      <c r="K511" s="12" t="str">
        <f>IFERROR(VLOOKUP(J511, DADOS_RM_EVENTOS_original!E:J, 2, FALSE), "Código não encontrado/Não digitado")</f>
        <v>Código não encontrado/Não digitado</v>
      </c>
      <c r="L511" s="12" t="s">
        <v>68</v>
      </c>
      <c r="M511" s="12" t="str">
        <f>IFERROR(VLOOKUP(L511, DADOS_RM_EVENTOS_original!K:L, 2, FALSE), "Código não encontrado/Não digitado")</f>
        <v>Código não encontrado/Não digitado</v>
      </c>
    </row>
    <row r="512" ht="15.75" hidden="1" customHeight="1">
      <c r="A512" s="11" t="s">
        <v>38</v>
      </c>
      <c r="B512" s="11" t="s">
        <v>4639</v>
      </c>
      <c r="C512" s="11" t="s">
        <v>4640</v>
      </c>
      <c r="D512" s="11" t="s">
        <v>44</v>
      </c>
      <c r="E512" s="11" t="s">
        <v>47</v>
      </c>
      <c r="F512" s="11" t="s">
        <v>147</v>
      </c>
      <c r="G512" s="12" t="str">
        <f>IFERROR(VLOOKUP(F512, DADOS_RM_EVENTOS_original!A:B, 2, FALSE), "Código não encontrado/Não digitado")</f>
        <v>Desc. Pensao Alimenticia Judicial</v>
      </c>
      <c r="H512" s="12" t="s">
        <v>68</v>
      </c>
      <c r="I512" s="12" t="str">
        <f>IFERROR(VLOOKUP(H512, DADOS_RM_EVENTOS_original!C:D, 2, FALSE), "Código não encontrado/Não digitado")</f>
        <v>Código não encontrado/Não digitado</v>
      </c>
      <c r="J512" s="12" t="s">
        <v>68</v>
      </c>
      <c r="K512" s="12" t="str">
        <f>IFERROR(VLOOKUP(J512, DADOS_RM_EVENTOS_original!E:J, 2, FALSE), "Código não encontrado/Não digitado")</f>
        <v>Código não encontrado/Não digitado</v>
      </c>
      <c r="L512" s="12" t="s">
        <v>68</v>
      </c>
      <c r="M512" s="12" t="str">
        <f>IFERROR(VLOOKUP(L512, DADOS_RM_EVENTOS_original!K:L, 2, FALSE), "Código não encontrado/Não digitado")</f>
        <v>Código não encontrado/Não digitado</v>
      </c>
    </row>
    <row r="513" ht="15.75" hidden="1" customHeight="1">
      <c r="A513" s="11" t="s">
        <v>97</v>
      </c>
      <c r="B513" s="11" t="s">
        <v>4639</v>
      </c>
      <c r="C513" s="11" t="s">
        <v>4641</v>
      </c>
      <c r="D513" s="11" t="s">
        <v>44</v>
      </c>
      <c r="E513" s="11" t="s">
        <v>972</v>
      </c>
      <c r="F513" s="11" t="s">
        <v>147</v>
      </c>
      <c r="G513" s="12" t="str">
        <f>IFERROR(VLOOKUP(F513, DADOS_RM_EVENTOS_original!A:B, 2, FALSE), "Código não encontrado/Não digitado")</f>
        <v>Desc. Pensao Alimenticia Judicial</v>
      </c>
      <c r="H513" s="12" t="s">
        <v>68</v>
      </c>
      <c r="I513" s="12" t="str">
        <f>IFERROR(VLOOKUP(H513, DADOS_RM_EVENTOS_original!C:D, 2, FALSE), "Código não encontrado/Não digitado")</f>
        <v>Código não encontrado/Não digitado</v>
      </c>
      <c r="J513" s="12" t="s">
        <v>68</v>
      </c>
      <c r="K513" s="12" t="str">
        <f>IFERROR(VLOOKUP(J513, DADOS_RM_EVENTOS_original!E:J, 2, FALSE), "Código não encontrado/Não digitado")</f>
        <v>Código não encontrado/Não digitado</v>
      </c>
      <c r="L513" s="12" t="s">
        <v>68</v>
      </c>
      <c r="M513" s="12" t="str">
        <f>IFERROR(VLOOKUP(L513, DADOS_RM_EVENTOS_original!K:L, 2, FALSE), "Código não encontrado/Não digitado")</f>
        <v>Código não encontrado/Não digitado</v>
      </c>
    </row>
    <row r="514" ht="15.75" hidden="1" customHeight="1">
      <c r="A514" s="11" t="s">
        <v>38</v>
      </c>
      <c r="B514" s="11" t="s">
        <v>147</v>
      </c>
      <c r="C514" s="11" t="s">
        <v>4642</v>
      </c>
      <c r="D514" s="11" t="s">
        <v>120</v>
      </c>
      <c r="E514" s="11" t="s">
        <v>47</v>
      </c>
      <c r="F514" s="11" t="s">
        <v>206</v>
      </c>
      <c r="G514" s="12" t="str">
        <f>IFERROR(VLOOKUP(F514, DADOS_RM_EVENTOS_original!A:B, 2, FALSE), "Código não encontrado/Não digitado")</f>
        <v>Adic de Periculosidade</v>
      </c>
      <c r="H514" s="12" t="s">
        <v>68</v>
      </c>
      <c r="I514" s="12" t="str">
        <f>IFERROR(VLOOKUP(H514, DADOS_RM_EVENTOS_original!C:D, 2, FALSE), "Código não encontrado/Não digitado")</f>
        <v>Código não encontrado/Não digitado</v>
      </c>
      <c r="J514" s="12" t="s">
        <v>68</v>
      </c>
      <c r="K514" s="12" t="str">
        <f>IFERROR(VLOOKUP(J514, DADOS_RM_EVENTOS_original!E:J, 2, FALSE), "Código não encontrado/Não digitado")</f>
        <v>Código não encontrado/Não digitado</v>
      </c>
      <c r="L514" s="12" t="s">
        <v>68</v>
      </c>
      <c r="M514" s="12" t="str">
        <f>IFERROR(VLOOKUP(L514, DADOS_RM_EVENTOS_original!K:L, 2, FALSE), "Código não encontrado/Não digitado")</f>
        <v>Código não encontrado/Não digitado</v>
      </c>
    </row>
    <row r="515" ht="15.75" hidden="1" customHeight="1">
      <c r="A515" s="11" t="s">
        <v>172</v>
      </c>
      <c r="B515" s="11" t="s">
        <v>147</v>
      </c>
      <c r="C515" s="11" t="s">
        <v>4643</v>
      </c>
      <c r="D515" s="11" t="s">
        <v>120</v>
      </c>
      <c r="E515" s="11" t="s">
        <v>1029</v>
      </c>
      <c r="F515" s="11" t="s">
        <v>206</v>
      </c>
      <c r="G515" s="12" t="str">
        <f>IFERROR(VLOOKUP(F515, DADOS_RM_EVENTOS_original!A:B, 2, FALSE), "Código não encontrado/Não digitado")</f>
        <v>Adic de Periculosidade</v>
      </c>
      <c r="H515" s="12" t="s">
        <v>68</v>
      </c>
      <c r="I515" s="12" t="str">
        <f>IFERROR(VLOOKUP(H515, DADOS_RM_EVENTOS_original!C:D, 2, FALSE), "Código não encontrado/Não digitado")</f>
        <v>Código não encontrado/Não digitado</v>
      </c>
      <c r="J515" s="12" t="s">
        <v>68</v>
      </c>
      <c r="K515" s="12" t="str">
        <f>IFERROR(VLOOKUP(J515, DADOS_RM_EVENTOS_original!E:J, 2, FALSE), "Código não encontrado/Não digitado")</f>
        <v>Código não encontrado/Não digitado</v>
      </c>
      <c r="L515" s="12" t="s">
        <v>68</v>
      </c>
      <c r="M515" s="12" t="str">
        <f>IFERROR(VLOOKUP(L515, DADOS_RM_EVENTOS_original!K:L, 2, FALSE), "Código não encontrado/Não digitado")</f>
        <v>Código não encontrado/Não digitado</v>
      </c>
    </row>
    <row r="516" ht="15.75" hidden="1" customHeight="1">
      <c r="A516" s="11" t="s">
        <v>97</v>
      </c>
      <c r="B516" s="11" t="s">
        <v>147</v>
      </c>
      <c r="C516" s="11" t="s">
        <v>4643</v>
      </c>
      <c r="D516" s="11" t="s">
        <v>120</v>
      </c>
      <c r="E516" s="11" t="s">
        <v>972</v>
      </c>
      <c r="F516" s="11" t="s">
        <v>206</v>
      </c>
      <c r="G516" s="12" t="str">
        <f>IFERROR(VLOOKUP(F516, DADOS_RM_EVENTOS_original!A:B, 2, FALSE), "Código não encontrado/Não digitado")</f>
        <v>Adic de Periculosidade</v>
      </c>
      <c r="H516" s="12" t="s">
        <v>68</v>
      </c>
      <c r="I516" s="12" t="str">
        <f>IFERROR(VLOOKUP(H516, DADOS_RM_EVENTOS_original!C:D, 2, FALSE), "Código não encontrado/Não digitado")</f>
        <v>Código não encontrado/Não digitado</v>
      </c>
      <c r="J516" s="12" t="s">
        <v>68</v>
      </c>
      <c r="K516" s="12" t="str">
        <f>IFERROR(VLOOKUP(J516, DADOS_RM_EVENTOS_original!E:J, 2, FALSE), "Código não encontrado/Não digitado")</f>
        <v>Código não encontrado/Não digitado</v>
      </c>
      <c r="L516" s="12" t="s">
        <v>68</v>
      </c>
      <c r="M516" s="12" t="str">
        <f>IFERROR(VLOOKUP(L516, DADOS_RM_EVENTOS_original!K:L, 2, FALSE), "Código não encontrado/Não digitado")</f>
        <v>Código não encontrado/Não digitado</v>
      </c>
    </row>
    <row r="517" ht="15.75" hidden="1" customHeight="1">
      <c r="A517" s="11" t="s">
        <v>38</v>
      </c>
      <c r="B517" s="11" t="s">
        <v>1199</v>
      </c>
      <c r="C517" s="11" t="s">
        <v>4644</v>
      </c>
      <c r="D517" s="11" t="s">
        <v>44</v>
      </c>
      <c r="E517" s="11" t="s">
        <v>47</v>
      </c>
      <c r="F517" s="11" t="s">
        <v>834</v>
      </c>
      <c r="G517" s="12" t="str">
        <f>IFERROR(VLOOKUP(F517, DADOS_RM_EVENTOS_original!A:B, 2, FALSE), "Código não encontrado/Não digitado")</f>
        <v>Desc. Pl Saude HAPVIDA Tit</v>
      </c>
      <c r="H517" s="12" t="s">
        <v>68</v>
      </c>
      <c r="I517" s="12" t="str">
        <f>IFERROR(VLOOKUP(H517, DADOS_RM_EVENTOS_original!C:D, 2, FALSE), "Código não encontrado/Não digitado")</f>
        <v>Código não encontrado/Não digitado</v>
      </c>
      <c r="J517" s="12" t="s">
        <v>68</v>
      </c>
      <c r="K517" s="12" t="str">
        <f>IFERROR(VLOOKUP(J517, DADOS_RM_EVENTOS_original!E:J, 2, FALSE), "Código não encontrado/Não digitado")</f>
        <v>Código não encontrado/Não digitado</v>
      </c>
      <c r="L517" s="12" t="s">
        <v>68</v>
      </c>
      <c r="M517" s="12" t="str">
        <f>IFERROR(VLOOKUP(L517, DADOS_RM_EVENTOS_original!K:L, 2, FALSE), "Código não encontrado/Não digitado")</f>
        <v>Código não encontrado/Não digitado</v>
      </c>
    </row>
    <row r="518" ht="15.75" hidden="1" customHeight="1">
      <c r="A518" s="11" t="s">
        <v>115</v>
      </c>
      <c r="B518" s="11" t="s">
        <v>1199</v>
      </c>
      <c r="C518" s="11" t="s">
        <v>4644</v>
      </c>
      <c r="D518" s="11" t="s">
        <v>44</v>
      </c>
      <c r="E518" s="11" t="s">
        <v>121</v>
      </c>
      <c r="F518" s="11" t="s">
        <v>834</v>
      </c>
      <c r="G518" s="12" t="str">
        <f>IFERROR(VLOOKUP(F518, DADOS_RM_EVENTOS_original!A:B, 2, FALSE), "Código não encontrado/Não digitado")</f>
        <v>Desc. Pl Saude HAPVIDA Tit</v>
      </c>
      <c r="H518" s="12" t="s">
        <v>68</v>
      </c>
      <c r="I518" s="12" t="str">
        <f>IFERROR(VLOOKUP(H518, DADOS_RM_EVENTOS_original!C:D, 2, FALSE), "Código não encontrado/Não digitado")</f>
        <v>Código não encontrado/Não digitado</v>
      </c>
      <c r="J518" s="12" t="s">
        <v>68</v>
      </c>
      <c r="K518" s="12" t="str">
        <f>IFERROR(VLOOKUP(J518, DADOS_RM_EVENTOS_original!E:J, 2, FALSE), "Código não encontrado/Não digitado")</f>
        <v>Código não encontrado/Não digitado</v>
      </c>
      <c r="L518" s="12" t="s">
        <v>68</v>
      </c>
      <c r="M518" s="12" t="str">
        <f>IFERROR(VLOOKUP(L518, DADOS_RM_EVENTOS_original!K:L, 2, FALSE), "Código não encontrado/Não digitado")</f>
        <v>Código não encontrado/Não digitado</v>
      </c>
    </row>
    <row r="519" ht="15.75" customHeight="1">
      <c r="A519" s="11" t="s">
        <v>142</v>
      </c>
      <c r="B519" s="11" t="s">
        <v>2246</v>
      </c>
      <c r="C519" s="11" t="s">
        <v>4645</v>
      </c>
      <c r="D519" s="11" t="s">
        <v>44</v>
      </c>
      <c r="E519" s="11" t="s">
        <v>985</v>
      </c>
      <c r="F519" s="11" t="s">
        <v>49</v>
      </c>
      <c r="G519" s="12" t="str">
        <f>IFERROR(VLOOKUP(F519, DADOS_RM_EVENTOS_original!A:B, 2, FALSE), "Código não encontrado/Não digitado")</f>
        <v>Código não encontrado/Não digitado</v>
      </c>
      <c r="H519" s="12" t="s">
        <v>68</v>
      </c>
      <c r="I519" s="12" t="str">
        <f>IFERROR(VLOOKUP(H519, DADOS_RM_EVENTOS_original!C:D, 2, FALSE), "Código não encontrado/Não digitado")</f>
        <v>Código não encontrado/Não digitado</v>
      </c>
      <c r="J519" s="12" t="s">
        <v>68</v>
      </c>
      <c r="K519" s="12" t="str">
        <f>IFERROR(VLOOKUP(J519, DADOS_RM_EVENTOS_original!E:J, 2, FALSE), "Código não encontrado/Não digitado")</f>
        <v>Código não encontrado/Não digitado</v>
      </c>
      <c r="L519" s="12" t="s">
        <v>68</v>
      </c>
      <c r="M519" s="12" t="str">
        <f>IFERROR(VLOOKUP(L519, DADOS_RM_EVENTOS_original!K:L, 2, FALSE), "Código não encontrado/Não digitado")</f>
        <v>Código não encontrado/Não digitado</v>
      </c>
    </row>
    <row r="520" ht="15.75" customHeight="1">
      <c r="A520" s="11" t="s">
        <v>142</v>
      </c>
      <c r="B520" s="11" t="s">
        <v>2914</v>
      </c>
      <c r="C520" s="11" t="s">
        <v>4646</v>
      </c>
      <c r="D520" s="11" t="s">
        <v>44</v>
      </c>
      <c r="E520" s="11" t="s">
        <v>985</v>
      </c>
      <c r="F520" s="11" t="s">
        <v>49</v>
      </c>
      <c r="G520" s="12" t="str">
        <f>IFERROR(VLOOKUP(F520, DADOS_RM_EVENTOS_original!A:B, 2, FALSE), "Código não encontrado/Não digitado")</f>
        <v>Código não encontrado/Não digitado</v>
      </c>
      <c r="H520" s="12" t="s">
        <v>68</v>
      </c>
      <c r="I520" s="12" t="str">
        <f>IFERROR(VLOOKUP(H520, DADOS_RM_EVENTOS_original!C:D, 2, FALSE), "Código não encontrado/Não digitado")</f>
        <v>Código não encontrado/Não digitado</v>
      </c>
      <c r="J520" s="12" t="s">
        <v>68</v>
      </c>
      <c r="K520" s="12" t="str">
        <f>IFERROR(VLOOKUP(J520, DADOS_RM_EVENTOS_original!E:J, 2, FALSE), "Código não encontrado/Não digitado")</f>
        <v>Código não encontrado/Não digitado</v>
      </c>
      <c r="L520" s="12" t="s">
        <v>68</v>
      </c>
      <c r="M520" s="12" t="str">
        <f>IFERROR(VLOOKUP(L520, DADOS_RM_EVENTOS_original!K:L, 2, FALSE), "Código não encontrado/Não digitado")</f>
        <v>Código não encontrado/Não digitado</v>
      </c>
    </row>
    <row r="521" ht="15.75" customHeight="1">
      <c r="A521" s="11" t="s">
        <v>199</v>
      </c>
      <c r="B521" s="11" t="s">
        <v>3242</v>
      </c>
      <c r="C521" s="11" t="s">
        <v>4646</v>
      </c>
      <c r="D521" s="11" t="s">
        <v>44</v>
      </c>
      <c r="E521" s="11" t="s">
        <v>1074</v>
      </c>
      <c r="F521" s="11" t="s">
        <v>49</v>
      </c>
      <c r="G521" s="12" t="str">
        <f>IFERROR(VLOOKUP(F521, DADOS_RM_EVENTOS_original!A:B, 2, FALSE), "Código não encontrado/Não digitado")</f>
        <v>Código não encontrado/Não digitado</v>
      </c>
      <c r="H521" s="12" t="s">
        <v>68</v>
      </c>
      <c r="I521" s="12" t="str">
        <f>IFERROR(VLOOKUP(H521, DADOS_RM_EVENTOS_original!C:D, 2, FALSE), "Código não encontrado/Não digitado")</f>
        <v>Código não encontrado/Não digitado</v>
      </c>
      <c r="J521" s="12" t="s">
        <v>68</v>
      </c>
      <c r="K521" s="12" t="str">
        <f>IFERROR(VLOOKUP(J521, DADOS_RM_EVENTOS_original!E:J, 2, FALSE), "Código não encontrado/Não digitado")</f>
        <v>Código não encontrado/Não digitado</v>
      </c>
      <c r="L521" s="12" t="s">
        <v>68</v>
      </c>
      <c r="M521" s="12" t="str">
        <f>IFERROR(VLOOKUP(L521, DADOS_RM_EVENTOS_original!K:L, 2, FALSE), "Código não encontrado/Não digitado")</f>
        <v>Código não encontrado/Não digitado</v>
      </c>
    </row>
    <row r="522" ht="15.75" customHeight="1">
      <c r="A522" s="11" t="s">
        <v>97</v>
      </c>
      <c r="B522" s="11" t="s">
        <v>1312</v>
      </c>
      <c r="C522" s="11" t="s">
        <v>3309</v>
      </c>
      <c r="D522" s="11" t="s">
        <v>44</v>
      </c>
      <c r="E522" s="11" t="s">
        <v>972</v>
      </c>
      <c r="F522" s="11" t="s">
        <v>49</v>
      </c>
      <c r="G522" s="12" t="str">
        <f>IFERROR(VLOOKUP(F522, DADOS_RM_EVENTOS_original!A:B, 2, FALSE), "Código não encontrado/Não digitado")</f>
        <v>Código não encontrado/Não digitado</v>
      </c>
      <c r="H522" s="12" t="s">
        <v>68</v>
      </c>
      <c r="I522" s="12" t="str">
        <f>IFERROR(VLOOKUP(H522, DADOS_RM_EVENTOS_original!C:D, 2, FALSE), "Código não encontrado/Não digitado")</f>
        <v>Código não encontrado/Não digitado</v>
      </c>
      <c r="J522" s="12" t="s">
        <v>68</v>
      </c>
      <c r="K522" s="12" t="str">
        <f>IFERROR(VLOOKUP(J522, DADOS_RM_EVENTOS_original!E:J, 2, FALSE), "Código não encontrado/Não digitado")</f>
        <v>Código não encontrado/Não digitado</v>
      </c>
      <c r="L522" s="12" t="s">
        <v>68</v>
      </c>
      <c r="M522" s="12" t="str">
        <f>IFERROR(VLOOKUP(L522, DADOS_RM_EVENTOS_original!K:L, 2, FALSE), "Código não encontrado/Não digitado")</f>
        <v>Código não encontrado/Não digitado</v>
      </c>
    </row>
    <row r="523" ht="15.75" hidden="1" customHeight="1">
      <c r="A523" s="11" t="s">
        <v>38</v>
      </c>
      <c r="B523" s="11" t="s">
        <v>1202</v>
      </c>
      <c r="C523" s="11" t="s">
        <v>4647</v>
      </c>
      <c r="D523" s="11" t="s">
        <v>44</v>
      </c>
      <c r="E523" s="11" t="s">
        <v>47</v>
      </c>
      <c r="F523" s="11" t="s">
        <v>452</v>
      </c>
      <c r="G523" s="12" t="str">
        <f>IFERROR(VLOOKUP(F523, DADOS_RM_EVENTOS_original!A:B, 2, FALSE), "Código não encontrado/Não digitado")</f>
        <v>Desc. Pl Saude HAPVIDA Dep</v>
      </c>
      <c r="H523" s="12" t="s">
        <v>68</v>
      </c>
      <c r="I523" s="12" t="str">
        <f>IFERROR(VLOOKUP(H523, DADOS_RM_EVENTOS_original!C:D, 2, FALSE), "Código não encontrado/Não digitado")</f>
        <v>Código não encontrado/Não digitado</v>
      </c>
      <c r="J523" s="12" t="s">
        <v>68</v>
      </c>
      <c r="K523" s="12" t="str">
        <f>IFERROR(VLOOKUP(J523, DADOS_RM_EVENTOS_original!E:J, 2, FALSE), "Código não encontrado/Não digitado")</f>
        <v>Código não encontrado/Não digitado</v>
      </c>
      <c r="L523" s="12" t="s">
        <v>68</v>
      </c>
      <c r="M523" s="12" t="str">
        <f>IFERROR(VLOOKUP(L523, DADOS_RM_EVENTOS_original!K:L, 2, FALSE), "Código não encontrado/Não digitado")</f>
        <v>Código não encontrado/Não digitado</v>
      </c>
    </row>
    <row r="524" ht="15.75" hidden="1" customHeight="1">
      <c r="A524" s="11" t="s">
        <v>115</v>
      </c>
      <c r="B524" s="11" t="s">
        <v>1202</v>
      </c>
      <c r="C524" s="11" t="s">
        <v>4647</v>
      </c>
      <c r="D524" s="11" t="s">
        <v>44</v>
      </c>
      <c r="E524" s="11" t="s">
        <v>121</v>
      </c>
      <c r="F524" s="11" t="s">
        <v>452</v>
      </c>
      <c r="G524" s="12" t="str">
        <f>IFERROR(VLOOKUP(F524, DADOS_RM_EVENTOS_original!A:B, 2, FALSE), "Código não encontrado/Não digitado")</f>
        <v>Desc. Pl Saude HAPVIDA Dep</v>
      </c>
      <c r="H524" s="12" t="s">
        <v>68</v>
      </c>
      <c r="I524" s="12" t="str">
        <f>IFERROR(VLOOKUP(H524, DADOS_RM_EVENTOS_original!C:D, 2, FALSE), "Código não encontrado/Não digitado")</f>
        <v>Código não encontrado/Não digitado</v>
      </c>
      <c r="J524" s="12" t="s">
        <v>68</v>
      </c>
      <c r="K524" s="12" t="str">
        <f>IFERROR(VLOOKUP(J524, DADOS_RM_EVENTOS_original!E:J, 2, FALSE), "Código não encontrado/Não digitado")</f>
        <v>Código não encontrado/Não digitado</v>
      </c>
      <c r="L524" s="12" t="s">
        <v>68</v>
      </c>
      <c r="M524" s="12" t="str">
        <f>IFERROR(VLOOKUP(L524, DADOS_RM_EVENTOS_original!K:L, 2, FALSE), "Código não encontrado/Não digitado")</f>
        <v>Código não encontrado/Não digitado</v>
      </c>
    </row>
    <row r="525" ht="15.75" hidden="1" customHeight="1">
      <c r="A525" s="11" t="s">
        <v>38</v>
      </c>
      <c r="B525" s="11" t="s">
        <v>4648</v>
      </c>
      <c r="C525" s="11" t="s">
        <v>4649</v>
      </c>
      <c r="D525" s="11" t="s">
        <v>44</v>
      </c>
      <c r="E525" s="11" t="s">
        <v>47</v>
      </c>
      <c r="F525" s="11" t="s">
        <v>889</v>
      </c>
      <c r="G525" s="12" t="str">
        <f>IFERROR(VLOOKUP(F525, DADOS_RM_EVENTOS_original!A:B, 2, FALSE), "Código não encontrado/Não digitado")</f>
        <v>Desc. Pl Saude UNIMED Dep</v>
      </c>
      <c r="H525" s="12" t="s">
        <v>68</v>
      </c>
      <c r="I525" s="12" t="str">
        <f>IFERROR(VLOOKUP(H525, DADOS_RM_EVENTOS_original!C:D, 2, FALSE), "Código não encontrado/Não digitado")</f>
        <v>Código não encontrado/Não digitado</v>
      </c>
      <c r="J525" s="12" t="s">
        <v>68</v>
      </c>
      <c r="K525" s="12" t="str">
        <f>IFERROR(VLOOKUP(J525, DADOS_RM_EVENTOS_original!E:J, 2, FALSE), "Código não encontrado/Não digitado")</f>
        <v>Código não encontrado/Não digitado</v>
      </c>
      <c r="L525" s="12" t="s">
        <v>68</v>
      </c>
      <c r="M525" s="12" t="str">
        <f>IFERROR(VLOOKUP(L525, DADOS_RM_EVENTOS_original!K:L, 2, FALSE), "Código não encontrado/Não digitado")</f>
        <v>Código não encontrado/Não digitado</v>
      </c>
    </row>
    <row r="526" ht="15.75" hidden="1" customHeight="1">
      <c r="A526" s="11" t="s">
        <v>38</v>
      </c>
      <c r="B526" s="11" t="s">
        <v>4650</v>
      </c>
      <c r="C526" s="11" t="s">
        <v>4651</v>
      </c>
      <c r="D526" s="11" t="s">
        <v>44</v>
      </c>
      <c r="E526" s="11" t="s">
        <v>47</v>
      </c>
      <c r="F526" s="11" t="s">
        <v>2016</v>
      </c>
      <c r="G526" s="12" t="str">
        <f>IFERROR(VLOOKUP(F526, DADOS_RM_EVENTOS_original!A:B, 2, FALSE), "Código não encontrado/Não digitado")</f>
        <v>Desc. Pl Saude UNIMED Tit</v>
      </c>
      <c r="H526" s="12" t="s">
        <v>68</v>
      </c>
      <c r="I526" s="12" t="str">
        <f>IFERROR(VLOOKUP(H526, DADOS_RM_EVENTOS_original!C:D, 2, FALSE), "Código não encontrado/Não digitado")</f>
        <v>Código não encontrado/Não digitado</v>
      </c>
      <c r="J526" s="12" t="s">
        <v>68</v>
      </c>
      <c r="K526" s="12" t="str">
        <f>IFERROR(VLOOKUP(J526, DADOS_RM_EVENTOS_original!E:J, 2, FALSE), "Código não encontrado/Não digitado")</f>
        <v>Código não encontrado/Não digitado</v>
      </c>
      <c r="L526" s="12" t="s">
        <v>68</v>
      </c>
      <c r="M526" s="12" t="str">
        <f>IFERROR(VLOOKUP(L526, DADOS_RM_EVENTOS_original!K:L, 2, FALSE), "Código não encontrado/Não digitado")</f>
        <v>Código não encontrado/Não digitado</v>
      </c>
    </row>
    <row r="527" ht="15.75" hidden="1" customHeight="1">
      <c r="A527" s="11" t="s">
        <v>97</v>
      </c>
      <c r="B527" s="11" t="s">
        <v>4650</v>
      </c>
      <c r="C527" s="11" t="s">
        <v>4652</v>
      </c>
      <c r="D527" s="11" t="s">
        <v>44</v>
      </c>
      <c r="E527" s="11" t="s">
        <v>972</v>
      </c>
      <c r="F527" s="11" t="s">
        <v>2016</v>
      </c>
      <c r="G527" s="12" t="str">
        <f>IFERROR(VLOOKUP(F527, DADOS_RM_EVENTOS_original!A:B, 2, FALSE), "Código não encontrado/Não digitado")</f>
        <v>Desc. Pl Saude UNIMED Tit</v>
      </c>
      <c r="H527" s="12" t="s">
        <v>68</v>
      </c>
      <c r="I527" s="12" t="str">
        <f>IFERROR(VLOOKUP(H527, DADOS_RM_EVENTOS_original!C:D, 2, FALSE), "Código não encontrado/Não digitado")</f>
        <v>Código não encontrado/Não digitado</v>
      </c>
      <c r="J527" s="12" t="s">
        <v>68</v>
      </c>
      <c r="K527" s="12" t="str">
        <f>IFERROR(VLOOKUP(J527, DADOS_RM_EVENTOS_original!E:J, 2, FALSE), "Código não encontrado/Não digitado")</f>
        <v>Código não encontrado/Não digitado</v>
      </c>
      <c r="L527" s="12" t="s">
        <v>68</v>
      </c>
      <c r="M527" s="12" t="str">
        <f>IFERROR(VLOOKUP(L527, DADOS_RM_EVENTOS_original!K:L, 2, FALSE), "Código não encontrado/Não digitado")</f>
        <v>Código não encontrado/Não digitado</v>
      </c>
    </row>
    <row r="528" ht="15.75" hidden="1" customHeight="1">
      <c r="A528" s="11" t="s">
        <v>97</v>
      </c>
      <c r="B528" s="11" t="s">
        <v>1202</v>
      </c>
      <c r="C528" s="11" t="s">
        <v>4653</v>
      </c>
      <c r="D528" s="11" t="s">
        <v>44</v>
      </c>
      <c r="E528" s="11" t="s">
        <v>972</v>
      </c>
      <c r="F528" s="11" t="s">
        <v>834</v>
      </c>
      <c r="G528" s="12" t="str">
        <f>IFERROR(VLOOKUP(F528, DADOS_RM_EVENTOS_original!A:B, 2, FALSE), "Código não encontrado/Não digitado")</f>
        <v>Desc. Pl Saude HAPVIDA Tit</v>
      </c>
      <c r="H528" s="12" t="s">
        <v>68</v>
      </c>
      <c r="I528" s="12" t="str">
        <f>IFERROR(VLOOKUP(H528, DADOS_RM_EVENTOS_original!C:D, 2, FALSE), "Código não encontrado/Não digitado")</f>
        <v>Código não encontrado/Não digitado</v>
      </c>
      <c r="J528" s="12" t="s">
        <v>68</v>
      </c>
      <c r="K528" s="12" t="str">
        <f>IFERROR(VLOOKUP(J528, DADOS_RM_EVENTOS_original!E:J, 2, FALSE), "Código não encontrado/Não digitado")</f>
        <v>Código não encontrado/Não digitado</v>
      </c>
      <c r="L528" s="12" t="s">
        <v>68</v>
      </c>
      <c r="M528" s="12" t="str">
        <f>IFERROR(VLOOKUP(L528, DADOS_RM_EVENTOS_original!K:L, 2, FALSE), "Código não encontrado/Não digitado")</f>
        <v>Código não encontrado/Não digitado</v>
      </c>
    </row>
    <row r="529" ht="15.75" hidden="1" customHeight="1">
      <c r="A529" s="11" t="s">
        <v>38</v>
      </c>
      <c r="B529" s="11" t="s">
        <v>1249</v>
      </c>
      <c r="C529" s="11" t="s">
        <v>4654</v>
      </c>
      <c r="D529" s="11" t="s">
        <v>44</v>
      </c>
      <c r="E529" s="11" t="s">
        <v>47</v>
      </c>
      <c r="F529" s="11" t="s">
        <v>834</v>
      </c>
      <c r="G529" s="12" t="str">
        <f>IFERROR(VLOOKUP(F529, DADOS_RM_EVENTOS_original!A:B, 2, FALSE), "Código não encontrado/Não digitado")</f>
        <v>Desc. Pl Saude HAPVIDA Tit</v>
      </c>
      <c r="H529" s="12" t="s">
        <v>68</v>
      </c>
      <c r="I529" s="12" t="str">
        <f>IFERROR(VLOOKUP(H529, DADOS_RM_EVENTOS_original!C:D, 2, FALSE), "Código não encontrado/Não digitado")</f>
        <v>Código não encontrado/Não digitado</v>
      </c>
      <c r="J529" s="12" t="s">
        <v>68</v>
      </c>
      <c r="K529" s="12" t="str">
        <f>IFERROR(VLOOKUP(J529, DADOS_RM_EVENTOS_original!E:J, 2, FALSE), "Código não encontrado/Não digitado")</f>
        <v>Código não encontrado/Não digitado</v>
      </c>
      <c r="L529" s="12" t="s">
        <v>68</v>
      </c>
      <c r="M529" s="12" t="str">
        <f>IFERROR(VLOOKUP(L529, DADOS_RM_EVENTOS_original!K:L, 2, FALSE), "Código não encontrado/Não digitado")</f>
        <v>Código não encontrado/Não digitado</v>
      </c>
    </row>
    <row r="530" ht="15.75" hidden="1" customHeight="1">
      <c r="A530" s="11" t="s">
        <v>38</v>
      </c>
      <c r="B530" s="11" t="s">
        <v>4655</v>
      </c>
      <c r="C530" s="11" t="s">
        <v>4656</v>
      </c>
      <c r="D530" s="11" t="s">
        <v>44</v>
      </c>
      <c r="E530" s="11" t="s">
        <v>47</v>
      </c>
      <c r="F530" s="11" t="s">
        <v>834</v>
      </c>
      <c r="G530" s="12" t="str">
        <f>IFERROR(VLOOKUP(F530, DADOS_RM_EVENTOS_original!A:B, 2, FALSE), "Código não encontrado/Não digitado")</f>
        <v>Desc. Pl Saude HAPVIDA Tit</v>
      </c>
      <c r="H530" s="12" t="s">
        <v>68</v>
      </c>
      <c r="I530" s="12" t="str">
        <f>IFERROR(VLOOKUP(H530, DADOS_RM_EVENTOS_original!C:D, 2, FALSE), "Código não encontrado/Não digitado")</f>
        <v>Código não encontrado/Não digitado</v>
      </c>
      <c r="J530" s="12" t="s">
        <v>68</v>
      </c>
      <c r="K530" s="12" t="str">
        <f>IFERROR(VLOOKUP(J530, DADOS_RM_EVENTOS_original!E:J, 2, FALSE), "Código não encontrado/Não digitado")</f>
        <v>Código não encontrado/Não digitado</v>
      </c>
      <c r="L530" s="12" t="s">
        <v>68</v>
      </c>
      <c r="M530" s="12" t="str">
        <f>IFERROR(VLOOKUP(L530, DADOS_RM_EVENTOS_original!K:L, 2, FALSE), "Código não encontrado/Não digitado")</f>
        <v>Código não encontrado/Não digitado</v>
      </c>
    </row>
    <row r="531" ht="15.75" hidden="1" customHeight="1">
      <c r="A531" s="11" t="s">
        <v>38</v>
      </c>
      <c r="B531" s="11" t="s">
        <v>3616</v>
      </c>
      <c r="C531" s="11" t="s">
        <v>4657</v>
      </c>
      <c r="D531" s="11" t="s">
        <v>44</v>
      </c>
      <c r="E531" s="11" t="s">
        <v>47</v>
      </c>
      <c r="F531" s="11" t="s">
        <v>834</v>
      </c>
      <c r="G531" s="12" t="str">
        <f>IFERROR(VLOOKUP(F531, DADOS_RM_EVENTOS_original!A:B, 2, FALSE), "Código não encontrado/Não digitado")</f>
        <v>Desc. Pl Saude HAPVIDA Tit</v>
      </c>
      <c r="H531" s="12" t="s">
        <v>68</v>
      </c>
      <c r="I531" s="12" t="str">
        <f>IFERROR(VLOOKUP(H531, DADOS_RM_EVENTOS_original!C:D, 2, FALSE), "Código não encontrado/Não digitado")</f>
        <v>Código não encontrado/Não digitado</v>
      </c>
      <c r="J531" s="12" t="s">
        <v>68</v>
      </c>
      <c r="K531" s="12" t="str">
        <f>IFERROR(VLOOKUP(J531, DADOS_RM_EVENTOS_original!E:J, 2, FALSE), "Código não encontrado/Não digitado")</f>
        <v>Código não encontrado/Não digitado</v>
      </c>
      <c r="L531" s="12" t="s">
        <v>68</v>
      </c>
      <c r="M531" s="12" t="str">
        <f>IFERROR(VLOOKUP(L531, DADOS_RM_EVENTOS_original!K:L, 2, FALSE), "Código não encontrado/Não digitado")</f>
        <v>Código não encontrado/Não digitado</v>
      </c>
    </row>
    <row r="532" ht="15.75" hidden="1" customHeight="1">
      <c r="A532" s="11" t="s">
        <v>38</v>
      </c>
      <c r="B532" s="11" t="s">
        <v>4658</v>
      </c>
      <c r="C532" s="11" t="s">
        <v>4659</v>
      </c>
      <c r="D532" s="11" t="s">
        <v>44</v>
      </c>
      <c r="E532" s="11" t="s">
        <v>47</v>
      </c>
      <c r="F532" s="11" t="s">
        <v>782</v>
      </c>
      <c r="G532" s="12" t="str">
        <f>IFERROR(VLOOKUP(F532, DADOS_RM_EVENTOS_original!A:B, 2, FALSE), "Código não encontrado/Não digitado")</f>
        <v>Desc. Pl Odontol ODONTOSYSTEM Tit</v>
      </c>
      <c r="H532" s="12" t="s">
        <v>68</v>
      </c>
      <c r="I532" s="12" t="str">
        <f>IFERROR(VLOOKUP(H532, DADOS_RM_EVENTOS_original!C:D, 2, FALSE), "Código não encontrado/Não digitado")</f>
        <v>Código não encontrado/Não digitado</v>
      </c>
      <c r="J532" s="12" t="s">
        <v>68</v>
      </c>
      <c r="K532" s="12" t="str">
        <f>IFERROR(VLOOKUP(J532, DADOS_RM_EVENTOS_original!E:J, 2, FALSE), "Código não encontrado/Não digitado")</f>
        <v>Código não encontrado/Não digitado</v>
      </c>
      <c r="L532" s="12" t="s">
        <v>68</v>
      </c>
      <c r="M532" s="12" t="str">
        <f>IFERROR(VLOOKUP(L532, DADOS_RM_EVENTOS_original!K:L, 2, FALSE), "Código não encontrado/Não digitado")</f>
        <v>Código não encontrado/Não digitado</v>
      </c>
    </row>
    <row r="533" ht="15.75" hidden="1" customHeight="1">
      <c r="A533" s="11" t="s">
        <v>115</v>
      </c>
      <c r="B533" s="11" t="s">
        <v>4658</v>
      </c>
      <c r="C533" s="11" t="s">
        <v>4659</v>
      </c>
      <c r="D533" s="11" t="s">
        <v>44</v>
      </c>
      <c r="E533" s="11" t="s">
        <v>121</v>
      </c>
      <c r="F533" s="11" t="s">
        <v>782</v>
      </c>
      <c r="G533" s="12" t="str">
        <f>IFERROR(VLOOKUP(F533, DADOS_RM_EVENTOS_original!A:B, 2, FALSE), "Código não encontrado/Não digitado")</f>
        <v>Desc. Pl Odontol ODONTOSYSTEM Tit</v>
      </c>
      <c r="H533" s="12" t="s">
        <v>68</v>
      </c>
      <c r="I533" s="12" t="str">
        <f>IFERROR(VLOOKUP(H533, DADOS_RM_EVENTOS_original!C:D, 2, FALSE), "Código não encontrado/Não digitado")</f>
        <v>Código não encontrado/Não digitado</v>
      </c>
      <c r="J533" s="12" t="s">
        <v>68</v>
      </c>
      <c r="K533" s="12" t="str">
        <f>IFERROR(VLOOKUP(J533, DADOS_RM_EVENTOS_original!E:J, 2, FALSE), "Código não encontrado/Não digitado")</f>
        <v>Código não encontrado/Não digitado</v>
      </c>
      <c r="L533" s="12" t="s">
        <v>68</v>
      </c>
      <c r="M533" s="12" t="str">
        <f>IFERROR(VLOOKUP(L533, DADOS_RM_EVENTOS_original!K:L, 2, FALSE), "Código não encontrado/Não digitado")</f>
        <v>Código não encontrado/Não digitado</v>
      </c>
    </row>
    <row r="534" ht="15.75" hidden="1" customHeight="1">
      <c r="A534" s="11" t="s">
        <v>38</v>
      </c>
      <c r="B534" s="11" t="s">
        <v>769</v>
      </c>
      <c r="C534" s="11" t="s">
        <v>4660</v>
      </c>
      <c r="D534" s="11" t="s">
        <v>44</v>
      </c>
      <c r="E534" s="11" t="s">
        <v>47</v>
      </c>
      <c r="F534" s="11" t="s">
        <v>1240</v>
      </c>
      <c r="G534" s="12" t="str">
        <f>IFERROR(VLOOKUP(F534, DADOS_RM_EVENTOS_original!A:B, 2, FALSE), "Código não encontrado/Não digitado")</f>
        <v>Desc. Pl Odontol ODONTOSYSTEM Dep</v>
      </c>
      <c r="H534" s="12" t="s">
        <v>68</v>
      </c>
      <c r="I534" s="12" t="str">
        <f>IFERROR(VLOOKUP(H534, DADOS_RM_EVENTOS_original!C:D, 2, FALSE), "Código não encontrado/Não digitado")</f>
        <v>Código não encontrado/Não digitado</v>
      </c>
      <c r="J534" s="12" t="s">
        <v>68</v>
      </c>
      <c r="K534" s="12" t="str">
        <f>IFERROR(VLOOKUP(J534, DADOS_RM_EVENTOS_original!E:J, 2, FALSE), "Código não encontrado/Não digitado")</f>
        <v>Código não encontrado/Não digitado</v>
      </c>
      <c r="L534" s="12" t="s">
        <v>68</v>
      </c>
      <c r="M534" s="12" t="str">
        <f>IFERROR(VLOOKUP(L534, DADOS_RM_EVENTOS_original!K:L, 2, FALSE), "Código não encontrado/Não digitado")</f>
        <v>Código não encontrado/Não digitado</v>
      </c>
    </row>
    <row r="535" ht="15.75" hidden="1" customHeight="1">
      <c r="A535" s="11" t="s">
        <v>97</v>
      </c>
      <c r="B535" s="11" t="s">
        <v>778</v>
      </c>
      <c r="C535" s="11" t="s">
        <v>4661</v>
      </c>
      <c r="D535" s="11" t="s">
        <v>44</v>
      </c>
      <c r="E535" s="11" t="s">
        <v>972</v>
      </c>
      <c r="F535" s="11" t="s">
        <v>782</v>
      </c>
      <c r="G535" s="12" t="str">
        <f>IFERROR(VLOOKUP(F535, DADOS_RM_EVENTOS_original!A:B, 2, FALSE), "Código não encontrado/Não digitado")</f>
        <v>Desc. Pl Odontol ODONTOSYSTEM Tit</v>
      </c>
      <c r="H535" s="12" t="s">
        <v>68</v>
      </c>
      <c r="I535" s="12" t="str">
        <f>IFERROR(VLOOKUP(H535, DADOS_RM_EVENTOS_original!C:D, 2, FALSE), "Código não encontrado/Não digitado")</f>
        <v>Código não encontrado/Não digitado</v>
      </c>
      <c r="J535" s="12" t="s">
        <v>68</v>
      </c>
      <c r="K535" s="12" t="str">
        <f>IFERROR(VLOOKUP(J535, DADOS_RM_EVENTOS_original!E:J, 2, FALSE), "Código não encontrado/Não digitado")</f>
        <v>Código não encontrado/Não digitado</v>
      </c>
      <c r="L535" s="12" t="s">
        <v>68</v>
      </c>
      <c r="M535" s="12" t="str">
        <f>IFERROR(VLOOKUP(L535, DADOS_RM_EVENTOS_original!K:L, 2, FALSE), "Código não encontrado/Não digitado")</f>
        <v>Código não encontrado/Não digitado</v>
      </c>
    </row>
    <row r="536" ht="15.75" hidden="1" customHeight="1">
      <c r="A536" s="11" t="s">
        <v>97</v>
      </c>
      <c r="B536" s="11" t="s">
        <v>4658</v>
      </c>
      <c r="C536" s="11" t="s">
        <v>4662</v>
      </c>
      <c r="D536" s="11" t="s">
        <v>44</v>
      </c>
      <c r="E536" s="11" t="s">
        <v>972</v>
      </c>
      <c r="F536" s="11" t="s">
        <v>1240</v>
      </c>
      <c r="G536" s="12" t="str">
        <f>IFERROR(VLOOKUP(F536, DADOS_RM_EVENTOS_original!A:B, 2, FALSE), "Código não encontrado/Não digitado")</f>
        <v>Desc. Pl Odontol ODONTOSYSTEM Dep</v>
      </c>
      <c r="H536" s="12" t="s">
        <v>68</v>
      </c>
      <c r="I536" s="12" t="str">
        <f>IFERROR(VLOOKUP(H536, DADOS_RM_EVENTOS_original!C:D, 2, FALSE), "Código não encontrado/Não digitado")</f>
        <v>Código não encontrado/Não digitado</v>
      </c>
      <c r="J536" s="12" t="s">
        <v>68</v>
      </c>
      <c r="K536" s="12" t="str">
        <f>IFERROR(VLOOKUP(J536, DADOS_RM_EVENTOS_original!E:J, 2, FALSE), "Código não encontrado/Não digitado")</f>
        <v>Código não encontrado/Não digitado</v>
      </c>
      <c r="L536" s="12" t="s">
        <v>68</v>
      </c>
      <c r="M536" s="12" t="str">
        <f>IFERROR(VLOOKUP(L536, DADOS_RM_EVENTOS_original!K:L, 2, FALSE), "Código não encontrado/Não digitado")</f>
        <v>Código não encontrado/Não digitado</v>
      </c>
    </row>
    <row r="537" ht="15.75" hidden="1" customHeight="1">
      <c r="A537" s="11" t="s">
        <v>172</v>
      </c>
      <c r="B537" s="11" t="s">
        <v>1390</v>
      </c>
      <c r="C537" s="11" t="s">
        <v>4663</v>
      </c>
      <c r="D537" s="11" t="s">
        <v>120</v>
      </c>
      <c r="E537" s="11" t="s">
        <v>1029</v>
      </c>
      <c r="F537" s="11" t="s">
        <v>694</v>
      </c>
      <c r="G537" s="12" t="str">
        <f>IFERROR(VLOOKUP(F537, DADOS_RM_EVENTOS_original!A:B, 2, FALSE), "Código não encontrado/Não digitado")</f>
        <v>Participacao nos Lucros - (CE)</v>
      </c>
      <c r="H537" s="12" t="s">
        <v>68</v>
      </c>
      <c r="I537" s="12" t="str">
        <f>IFERROR(VLOOKUP(H537, DADOS_RM_EVENTOS_original!C:D, 2, FALSE), "Código não encontrado/Não digitado")</f>
        <v>Código não encontrado/Não digitado</v>
      </c>
      <c r="J537" s="12" t="s">
        <v>68</v>
      </c>
      <c r="K537" s="12" t="str">
        <f>IFERROR(VLOOKUP(J537, DADOS_RM_EVENTOS_original!E:J, 2, FALSE), "Código não encontrado/Não digitado")</f>
        <v>Código não encontrado/Não digitado</v>
      </c>
      <c r="L537" s="12" t="s">
        <v>68</v>
      </c>
      <c r="M537" s="12" t="str">
        <f>IFERROR(VLOOKUP(L537, DADOS_RM_EVENTOS_original!K:L, 2, FALSE), "Código não encontrado/Não digitado")</f>
        <v>Código não encontrado/Não digitado</v>
      </c>
    </row>
    <row r="538" ht="15.75" hidden="1" customHeight="1">
      <c r="A538" s="11" t="s">
        <v>38</v>
      </c>
      <c r="B538" s="11" t="s">
        <v>772</v>
      </c>
      <c r="C538" s="11" t="s">
        <v>4664</v>
      </c>
      <c r="D538" s="11" t="s">
        <v>120</v>
      </c>
      <c r="E538" s="11" t="s">
        <v>47</v>
      </c>
      <c r="F538" s="11" t="s">
        <v>694</v>
      </c>
      <c r="G538" s="12" t="str">
        <f>IFERROR(VLOOKUP(F538, DADOS_RM_EVENTOS_original!A:B, 2, FALSE), "Código não encontrado/Não digitado")</f>
        <v>Participacao nos Lucros - (CE)</v>
      </c>
      <c r="H538" s="12" t="s">
        <v>68</v>
      </c>
      <c r="I538" s="12" t="str">
        <f>IFERROR(VLOOKUP(H538, DADOS_RM_EVENTOS_original!C:D, 2, FALSE), "Código não encontrado/Não digitado")</f>
        <v>Código não encontrado/Não digitado</v>
      </c>
      <c r="J538" s="12" t="s">
        <v>68</v>
      </c>
      <c r="K538" s="12" t="str">
        <f>IFERROR(VLOOKUP(J538, DADOS_RM_EVENTOS_original!E:J, 2, FALSE), "Código não encontrado/Não digitado")</f>
        <v>Código não encontrado/Não digitado</v>
      </c>
      <c r="L538" s="12" t="s">
        <v>68</v>
      </c>
      <c r="M538" s="12" t="str">
        <f>IFERROR(VLOOKUP(L538, DADOS_RM_EVENTOS_original!K:L, 2, FALSE), "Código não encontrado/Não digitado")</f>
        <v>Código não encontrado/Não digitado</v>
      </c>
    </row>
    <row r="539" ht="15.75" hidden="1" customHeight="1">
      <c r="A539" s="11" t="s">
        <v>38</v>
      </c>
      <c r="B539" s="11" t="s">
        <v>308</v>
      </c>
      <c r="C539" s="11" t="s">
        <v>4665</v>
      </c>
      <c r="D539" s="11" t="s">
        <v>120</v>
      </c>
      <c r="E539" s="11" t="s">
        <v>47</v>
      </c>
      <c r="F539" s="11" t="s">
        <v>694</v>
      </c>
      <c r="G539" s="12" t="str">
        <f>IFERROR(VLOOKUP(F539, DADOS_RM_EVENTOS_original!A:B, 2, FALSE), "Código não encontrado/Não digitado")</f>
        <v>Participacao nos Lucros - (CE)</v>
      </c>
      <c r="H539" s="12" t="s">
        <v>68</v>
      </c>
      <c r="I539" s="12" t="str">
        <f>IFERROR(VLOOKUP(H539, DADOS_RM_EVENTOS_original!C:D, 2, FALSE), "Código não encontrado/Não digitado")</f>
        <v>Código não encontrado/Não digitado</v>
      </c>
      <c r="J539" s="12" t="s">
        <v>68</v>
      </c>
      <c r="K539" s="12" t="str">
        <f>IFERROR(VLOOKUP(J539, DADOS_RM_EVENTOS_original!E:J, 2, FALSE), "Código não encontrado/Não digitado")</f>
        <v>Código não encontrado/Não digitado</v>
      </c>
      <c r="L539" s="12" t="s">
        <v>68</v>
      </c>
      <c r="M539" s="12" t="str">
        <f>IFERROR(VLOOKUP(L539, DADOS_RM_EVENTOS_original!K:L, 2, FALSE), "Código não encontrado/Não digitado")</f>
        <v>Código não encontrado/Não digitado</v>
      </c>
    </row>
    <row r="540" ht="15.75" hidden="1" customHeight="1">
      <c r="A540" s="11" t="s">
        <v>172</v>
      </c>
      <c r="B540" s="11" t="s">
        <v>2821</v>
      </c>
      <c r="C540" s="11" t="s">
        <v>4666</v>
      </c>
      <c r="D540" s="11" t="s">
        <v>120</v>
      </c>
      <c r="E540" s="11" t="s">
        <v>1029</v>
      </c>
      <c r="F540" s="11" t="s">
        <v>694</v>
      </c>
      <c r="G540" s="12" t="str">
        <f>IFERROR(VLOOKUP(F540, DADOS_RM_EVENTOS_original!A:B, 2, FALSE), "Código não encontrado/Não digitado")</f>
        <v>Participacao nos Lucros - (CE)</v>
      </c>
      <c r="H540" s="12" t="s">
        <v>68</v>
      </c>
      <c r="I540" s="12" t="str">
        <f>IFERROR(VLOOKUP(H540, DADOS_RM_EVENTOS_original!C:D, 2, FALSE), "Código não encontrado/Não digitado")</f>
        <v>Código não encontrado/Não digitado</v>
      </c>
      <c r="J540" s="12" t="s">
        <v>68</v>
      </c>
      <c r="K540" s="12" t="str">
        <f>IFERROR(VLOOKUP(J540, DADOS_RM_EVENTOS_original!E:J, 2, FALSE), "Código não encontrado/Não digitado")</f>
        <v>Código não encontrado/Não digitado</v>
      </c>
      <c r="L540" s="12" t="s">
        <v>68</v>
      </c>
      <c r="M540" s="12" t="str">
        <f>IFERROR(VLOOKUP(L540, DADOS_RM_EVENTOS_original!K:L, 2, FALSE), "Código não encontrado/Não digitado")</f>
        <v>Código não encontrado/Não digitado</v>
      </c>
    </row>
    <row r="541" ht="15.75" hidden="1" customHeight="1">
      <c r="A541" s="11" t="s">
        <v>38</v>
      </c>
      <c r="B541" s="11" t="s">
        <v>216</v>
      </c>
      <c r="C541" s="11" t="s">
        <v>4667</v>
      </c>
      <c r="D541" s="11" t="s">
        <v>120</v>
      </c>
      <c r="E541" s="11" t="s">
        <v>47</v>
      </c>
      <c r="F541" s="11" t="s">
        <v>694</v>
      </c>
      <c r="G541" s="12" t="str">
        <f>IFERROR(VLOOKUP(F541, DADOS_RM_EVENTOS_original!A:B, 2, FALSE), "Código não encontrado/Não digitado")</f>
        <v>Participacao nos Lucros - (CE)</v>
      </c>
      <c r="H541" s="12" t="s">
        <v>68</v>
      </c>
      <c r="I541" s="12" t="str">
        <f>IFERROR(VLOOKUP(H541, DADOS_RM_EVENTOS_original!C:D, 2, FALSE), "Código não encontrado/Não digitado")</f>
        <v>Código não encontrado/Não digitado</v>
      </c>
      <c r="J541" s="12" t="s">
        <v>68</v>
      </c>
      <c r="K541" s="12" t="str">
        <f>IFERROR(VLOOKUP(J541, DADOS_RM_EVENTOS_original!E:J, 2, FALSE), "Código não encontrado/Não digitado")</f>
        <v>Código não encontrado/Não digitado</v>
      </c>
      <c r="L541" s="12" t="s">
        <v>68</v>
      </c>
      <c r="M541" s="12" t="str">
        <f>IFERROR(VLOOKUP(L541, DADOS_RM_EVENTOS_original!K:L, 2, FALSE), "Código não encontrado/Não digitado")</f>
        <v>Código não encontrado/Não digitado</v>
      </c>
    </row>
    <row r="542" ht="15.75" customHeight="1">
      <c r="A542" s="11" t="s">
        <v>38</v>
      </c>
      <c r="B542" s="11" t="s">
        <v>225</v>
      </c>
      <c r="C542" s="11" t="s">
        <v>3310</v>
      </c>
      <c r="D542" s="11" t="s">
        <v>120</v>
      </c>
      <c r="E542" s="11" t="s">
        <v>47</v>
      </c>
      <c r="F542" s="11" t="s">
        <v>49</v>
      </c>
      <c r="G542" s="12" t="str">
        <f>IFERROR(VLOOKUP(F542, DADOS_RM_EVENTOS_original!A:B, 2, FALSE), "Código não encontrado/Não digitado")</f>
        <v>Código não encontrado/Não digitado</v>
      </c>
      <c r="H542" s="12" t="s">
        <v>68</v>
      </c>
      <c r="I542" s="12" t="str">
        <f>IFERROR(VLOOKUP(H542, DADOS_RM_EVENTOS_original!C:D, 2, FALSE), "Código não encontrado/Não digitado")</f>
        <v>Código não encontrado/Não digitado</v>
      </c>
      <c r="J542" s="12" t="s">
        <v>68</v>
      </c>
      <c r="K542" s="12" t="str">
        <f>IFERROR(VLOOKUP(J542, DADOS_RM_EVENTOS_original!E:J, 2, FALSE), "Código não encontrado/Não digitado")</f>
        <v>Código não encontrado/Não digitado</v>
      </c>
      <c r="L542" s="12" t="s">
        <v>68</v>
      </c>
      <c r="M542" s="12" t="str">
        <f>IFERROR(VLOOKUP(L542, DADOS_RM_EVENTOS_original!K:L, 2, FALSE), "Código não encontrado/Não digitado")</f>
        <v>Código não encontrado/Não digitado</v>
      </c>
    </row>
    <row r="543" ht="15.75" customHeight="1">
      <c r="A543" s="11" t="s">
        <v>38</v>
      </c>
      <c r="B543" s="11" t="s">
        <v>231</v>
      </c>
      <c r="C543" s="11" t="s">
        <v>3312</v>
      </c>
      <c r="D543" s="11" t="s">
        <v>120</v>
      </c>
      <c r="E543" s="11" t="s">
        <v>47</v>
      </c>
      <c r="F543" s="11" t="s">
        <v>49</v>
      </c>
      <c r="G543" s="12" t="str">
        <f>IFERROR(VLOOKUP(F543, DADOS_RM_EVENTOS_original!A:B, 2, FALSE), "Código não encontrado/Não digitado")</f>
        <v>Código não encontrado/Não digitado</v>
      </c>
      <c r="H543" s="12" t="s">
        <v>68</v>
      </c>
      <c r="I543" s="12" t="str">
        <f>IFERROR(VLOOKUP(H543, DADOS_RM_EVENTOS_original!C:D, 2, FALSE), "Código não encontrado/Não digitado")</f>
        <v>Código não encontrado/Não digitado</v>
      </c>
      <c r="J543" s="12" t="s">
        <v>68</v>
      </c>
      <c r="K543" s="12" t="str">
        <f>IFERROR(VLOOKUP(J543, DADOS_RM_EVENTOS_original!E:J, 2, FALSE), "Código não encontrado/Não digitado")</f>
        <v>Código não encontrado/Não digitado</v>
      </c>
      <c r="L543" s="12" t="s">
        <v>68</v>
      </c>
      <c r="M543" s="12" t="str">
        <f>IFERROR(VLOOKUP(L543, DADOS_RM_EVENTOS_original!K:L, 2, FALSE), "Código não encontrado/Não digitado")</f>
        <v>Código não encontrado/Não digitado</v>
      </c>
    </row>
    <row r="544" ht="15.75" hidden="1" customHeight="1">
      <c r="A544" s="11" t="s">
        <v>38</v>
      </c>
      <c r="B544" s="11" t="s">
        <v>2747</v>
      </c>
      <c r="C544" s="11" t="s">
        <v>4668</v>
      </c>
      <c r="D544" s="11" t="s">
        <v>120</v>
      </c>
      <c r="E544" s="11" t="s">
        <v>47</v>
      </c>
      <c r="F544" s="11" t="s">
        <v>2831</v>
      </c>
      <c r="G544" s="12" t="str">
        <f>IFERROR(VLOOKUP(F544, DADOS_RM_EVENTOS_original!A:B, 2, FALSE), "Código não encontrado/Não digitado")</f>
        <v>Pro-Labore Diretores Nao Empregados</v>
      </c>
      <c r="H544" s="12" t="s">
        <v>68</v>
      </c>
      <c r="I544" s="12" t="str">
        <f>IFERROR(VLOOKUP(H544, DADOS_RM_EVENTOS_original!C:D, 2, FALSE), "Código não encontrado/Não digitado")</f>
        <v>Código não encontrado/Não digitado</v>
      </c>
      <c r="J544" s="12" t="s">
        <v>68</v>
      </c>
      <c r="K544" s="12" t="str">
        <f>IFERROR(VLOOKUP(J544, DADOS_RM_EVENTOS_original!E:J, 2, FALSE), "Código não encontrado/Não digitado")</f>
        <v>Código não encontrado/Não digitado</v>
      </c>
      <c r="L544" s="12" t="s">
        <v>68</v>
      </c>
      <c r="M544" s="12" t="str">
        <f>IFERROR(VLOOKUP(L544, DADOS_RM_EVENTOS_original!K:L, 2, FALSE), "Código não encontrado/Não digitado")</f>
        <v>Código não encontrado/Não digitado</v>
      </c>
    </row>
    <row r="545" ht="15.75" hidden="1" customHeight="1">
      <c r="A545" s="11" t="s">
        <v>38</v>
      </c>
      <c r="B545" s="11" t="s">
        <v>155</v>
      </c>
      <c r="C545" s="11" t="s">
        <v>4669</v>
      </c>
      <c r="D545" s="11" t="s">
        <v>120</v>
      </c>
      <c r="E545" s="11" t="s">
        <v>47</v>
      </c>
      <c r="F545" s="11" t="s">
        <v>533</v>
      </c>
      <c r="G545" s="12" t="str">
        <f>IFERROR(VLOOKUP(F545, DADOS_RM_EVENTOS_original!A:B, 2, FALSE), "Código não encontrado/Não digitado")</f>
        <v>Premio Por Producao</v>
      </c>
      <c r="H545" s="12" t="s">
        <v>68</v>
      </c>
      <c r="I545" s="12" t="str">
        <f>IFERROR(VLOOKUP(H545, DADOS_RM_EVENTOS_original!C:D, 2, FALSE), "Código não encontrado/Não digitado")</f>
        <v>Código não encontrado/Não digitado</v>
      </c>
      <c r="J545" s="12" t="s">
        <v>68</v>
      </c>
      <c r="K545" s="12" t="str">
        <f>IFERROR(VLOOKUP(J545, DADOS_RM_EVENTOS_original!E:J, 2, FALSE), "Código não encontrado/Não digitado")</f>
        <v>Código não encontrado/Não digitado</v>
      </c>
      <c r="L545" s="12" t="s">
        <v>68</v>
      </c>
      <c r="M545" s="12" t="str">
        <f>IFERROR(VLOOKUP(L545, DADOS_RM_EVENTOS_original!K:L, 2, FALSE), "Código não encontrado/Não digitado")</f>
        <v>Código não encontrado/Não digitado</v>
      </c>
    </row>
    <row r="546" ht="15.75" hidden="1" customHeight="1">
      <c r="A546" s="11" t="s">
        <v>172</v>
      </c>
      <c r="B546" s="11" t="s">
        <v>155</v>
      </c>
      <c r="C546" s="11" t="s">
        <v>4670</v>
      </c>
      <c r="D546" s="11" t="s">
        <v>120</v>
      </c>
      <c r="E546" s="11" t="s">
        <v>1029</v>
      </c>
      <c r="F546" s="11" t="s">
        <v>533</v>
      </c>
      <c r="G546" s="12" t="str">
        <f>IFERROR(VLOOKUP(F546, DADOS_RM_EVENTOS_original!A:B, 2, FALSE), "Código não encontrado/Não digitado")</f>
        <v>Premio Por Producao</v>
      </c>
      <c r="H546" s="12" t="s">
        <v>68</v>
      </c>
      <c r="I546" s="12" t="str">
        <f>IFERROR(VLOOKUP(H546, DADOS_RM_EVENTOS_original!C:D, 2, FALSE), "Código não encontrado/Não digitado")</f>
        <v>Código não encontrado/Não digitado</v>
      </c>
      <c r="J546" s="12" t="s">
        <v>68</v>
      </c>
      <c r="K546" s="12" t="str">
        <f>IFERROR(VLOOKUP(J546, DADOS_RM_EVENTOS_original!E:J, 2, FALSE), "Código não encontrado/Não digitado")</f>
        <v>Código não encontrado/Não digitado</v>
      </c>
      <c r="L546" s="12" t="s">
        <v>68</v>
      </c>
      <c r="M546" s="12" t="str">
        <f>IFERROR(VLOOKUP(L546, DADOS_RM_EVENTOS_original!K:L, 2, FALSE), "Código não encontrado/Não digitado")</f>
        <v>Código não encontrado/Não digitado</v>
      </c>
    </row>
    <row r="547" ht="15.75" hidden="1" customHeight="1">
      <c r="A547" s="11" t="s">
        <v>97</v>
      </c>
      <c r="B547" s="11" t="s">
        <v>155</v>
      </c>
      <c r="C547" s="11" t="s">
        <v>4670</v>
      </c>
      <c r="D547" s="11" t="s">
        <v>120</v>
      </c>
      <c r="E547" s="11" t="s">
        <v>972</v>
      </c>
      <c r="F547" s="11" t="s">
        <v>533</v>
      </c>
      <c r="G547" s="12" t="str">
        <f>IFERROR(VLOOKUP(F547, DADOS_RM_EVENTOS_original!A:B, 2, FALSE), "Código não encontrado/Não digitado")</f>
        <v>Premio Por Producao</v>
      </c>
      <c r="H547" s="12" t="s">
        <v>68</v>
      </c>
      <c r="I547" s="12" t="str">
        <f>IFERROR(VLOOKUP(H547, DADOS_RM_EVENTOS_original!C:D, 2, FALSE), "Código não encontrado/Não digitado")</f>
        <v>Código não encontrado/Não digitado</v>
      </c>
      <c r="J547" s="12" t="s">
        <v>68</v>
      </c>
      <c r="K547" s="12" t="str">
        <f>IFERROR(VLOOKUP(J547, DADOS_RM_EVENTOS_original!E:J, 2, FALSE), "Código não encontrado/Não digitado")</f>
        <v>Código não encontrado/Não digitado</v>
      </c>
      <c r="L547" s="12" t="s">
        <v>68</v>
      </c>
      <c r="M547" s="12" t="str">
        <f>IFERROR(VLOOKUP(L547, DADOS_RM_EVENTOS_original!K:L, 2, FALSE), "Código não encontrado/Não digitado")</f>
        <v>Código não encontrado/Não digitado</v>
      </c>
    </row>
    <row r="548" ht="15.75" hidden="1" customHeight="1">
      <c r="A548" s="11" t="s">
        <v>38</v>
      </c>
      <c r="B548" s="11" t="s">
        <v>1124</v>
      </c>
      <c r="C548" s="11" t="s">
        <v>4673</v>
      </c>
      <c r="D548" s="11" t="s">
        <v>44</v>
      </c>
      <c r="E548" s="11" t="s">
        <v>47</v>
      </c>
      <c r="F548" s="11" t="s">
        <v>1648</v>
      </c>
      <c r="G548" s="12" t="str">
        <f>IFERROR(VLOOKUP(F548, DADOS_RM_EVENTOS_original!A:B, 2, FALSE), "Código não encontrado/Não digitado")</f>
        <v>Adiantamento Prov Emprest.Credito Trab</v>
      </c>
      <c r="H548" s="12" t="s">
        <v>68</v>
      </c>
      <c r="I548" s="12" t="str">
        <f>IFERROR(VLOOKUP(H548, DADOS_RM_EVENTOS_original!C:D, 2, FALSE), "Código não encontrado/Não digitado")</f>
        <v>Código não encontrado/Não digitado</v>
      </c>
      <c r="J548" s="12" t="s">
        <v>68</v>
      </c>
      <c r="K548" s="12" t="str">
        <f>IFERROR(VLOOKUP(J548, DADOS_RM_EVENTOS_original!E:J, 2, FALSE), "Código não encontrado/Não digitado")</f>
        <v>Código não encontrado/Não digitado</v>
      </c>
      <c r="L548" s="12" t="s">
        <v>68</v>
      </c>
      <c r="M548" s="12" t="str">
        <f>IFERROR(VLOOKUP(L548, DADOS_RM_EVENTOS_original!K:L, 2, FALSE), "Código não encontrado/Não digitado")</f>
        <v>Código não encontrado/Não digitado</v>
      </c>
    </row>
    <row r="549" ht="15.75" hidden="1" customHeight="1">
      <c r="A549" s="11" t="s">
        <v>172</v>
      </c>
      <c r="B549" s="11" t="s">
        <v>1124</v>
      </c>
      <c r="C549" s="11" t="s">
        <v>4673</v>
      </c>
      <c r="D549" s="11" t="s">
        <v>44</v>
      </c>
      <c r="E549" s="11" t="s">
        <v>1029</v>
      </c>
      <c r="F549" s="11" t="s">
        <v>1648</v>
      </c>
      <c r="G549" s="12" t="str">
        <f>IFERROR(VLOOKUP(F549, DADOS_RM_EVENTOS_original!A:B, 2, FALSE), "Código não encontrado/Não digitado")</f>
        <v>Adiantamento Prov Emprest.Credito Trab</v>
      </c>
      <c r="H549" s="12" t="s">
        <v>68</v>
      </c>
      <c r="I549" s="12" t="str">
        <f>IFERROR(VLOOKUP(H549, DADOS_RM_EVENTOS_original!C:D, 2, FALSE), "Código não encontrado/Não digitado")</f>
        <v>Código não encontrado/Não digitado</v>
      </c>
      <c r="J549" s="12" t="s">
        <v>68</v>
      </c>
      <c r="K549" s="12" t="str">
        <f>IFERROR(VLOOKUP(J549, DADOS_RM_EVENTOS_original!E:J, 2, FALSE), "Código não encontrado/Não digitado")</f>
        <v>Código não encontrado/Não digitado</v>
      </c>
      <c r="L549" s="12" t="s">
        <v>68</v>
      </c>
      <c r="M549" s="12" t="str">
        <f>IFERROR(VLOOKUP(L549, DADOS_RM_EVENTOS_original!K:L, 2, FALSE), "Código não encontrado/Não digitado")</f>
        <v>Código não encontrado/Não digitado</v>
      </c>
    </row>
    <row r="550" ht="15.75" hidden="1" customHeight="1">
      <c r="A550" s="11" t="s">
        <v>38</v>
      </c>
      <c r="B550" s="11" t="s">
        <v>895</v>
      </c>
      <c r="C550" s="11" t="s">
        <v>4680</v>
      </c>
      <c r="D550" s="11" t="s">
        <v>120</v>
      </c>
      <c r="E550" s="11" t="s">
        <v>47</v>
      </c>
      <c r="F550" s="11" t="s">
        <v>2278</v>
      </c>
      <c r="G550" s="12" t="str">
        <f>IFERROR(VLOOKUP(F550, DADOS_RM_EVENTOS_original!A:B, 2, FALSE), "Código não encontrado/Não digitado")</f>
        <v>Prov Provisao Emprestimo Cred. Trab. Fol</v>
      </c>
      <c r="H550" s="12" t="s">
        <v>68</v>
      </c>
      <c r="I550" s="12" t="str">
        <f>IFERROR(VLOOKUP(H550, DADOS_RM_EVENTOS_original!C:D, 2, FALSE), "Código não encontrado/Não digitado")</f>
        <v>Código não encontrado/Não digitado</v>
      </c>
      <c r="J550" s="12" t="s">
        <v>68</v>
      </c>
      <c r="K550" s="12" t="str">
        <f>IFERROR(VLOOKUP(J550, DADOS_RM_EVENTOS_original!E:J, 2, FALSE), "Código não encontrado/Não digitado")</f>
        <v>Código não encontrado/Não digitado</v>
      </c>
      <c r="L550" s="12" t="s">
        <v>68</v>
      </c>
      <c r="M550" s="12" t="str">
        <f>IFERROR(VLOOKUP(L550, DADOS_RM_EVENTOS_original!K:L, 2, FALSE), "Código não encontrado/Não digitado")</f>
        <v>Código não encontrado/Não digitado</v>
      </c>
    </row>
    <row r="551" ht="15.75" hidden="1" customHeight="1">
      <c r="A551" s="11" t="s">
        <v>172</v>
      </c>
      <c r="B551" s="11" t="s">
        <v>521</v>
      </c>
      <c r="C551" s="11" t="s">
        <v>4680</v>
      </c>
      <c r="D551" s="11" t="s">
        <v>120</v>
      </c>
      <c r="E551" s="11" t="s">
        <v>1029</v>
      </c>
      <c r="F551" s="11" t="s">
        <v>2278</v>
      </c>
      <c r="G551" s="12" t="str">
        <f>IFERROR(VLOOKUP(F551, DADOS_RM_EVENTOS_original!A:B, 2, FALSE), "Código não encontrado/Não digitado")</f>
        <v>Prov Provisao Emprestimo Cred. Trab. Fol</v>
      </c>
      <c r="H551" s="12" t="s">
        <v>68</v>
      </c>
      <c r="I551" s="12" t="str">
        <f>IFERROR(VLOOKUP(H551, DADOS_RM_EVENTOS_original!C:D, 2, FALSE), "Código não encontrado/Não digitado")</f>
        <v>Código não encontrado/Não digitado</v>
      </c>
      <c r="J551" s="12" t="s">
        <v>68</v>
      </c>
      <c r="K551" s="12" t="str">
        <f>IFERROR(VLOOKUP(J551, DADOS_RM_EVENTOS_original!E:J, 2, FALSE), "Código não encontrado/Não digitado")</f>
        <v>Código não encontrado/Não digitado</v>
      </c>
      <c r="L551" s="12" t="s">
        <v>68</v>
      </c>
      <c r="M551" s="12" t="str">
        <f>IFERROR(VLOOKUP(L551, DADOS_RM_EVENTOS_original!K:L, 2, FALSE), "Código não encontrado/Não digitado")</f>
        <v>Código não encontrado/Não digitado</v>
      </c>
    </row>
    <row r="552" ht="15.75" hidden="1" customHeight="1">
      <c r="A552" s="11" t="s">
        <v>38</v>
      </c>
      <c r="B552" s="11" t="s">
        <v>707</v>
      </c>
      <c r="C552" s="11" t="s">
        <v>4689</v>
      </c>
      <c r="D552" s="11" t="s">
        <v>120</v>
      </c>
      <c r="E552" s="11" t="s">
        <v>47</v>
      </c>
      <c r="F552" s="11" t="s">
        <v>281</v>
      </c>
      <c r="G552" s="12" t="str">
        <f>IFERROR(VLOOKUP(F552, DADOS_RM_EVENTOS_original!A:B, 2, FALSE), "Código não encontrado/Não digitado")</f>
        <v>Dif. Salarial</v>
      </c>
      <c r="H552" s="12" t="s">
        <v>68</v>
      </c>
      <c r="I552" s="12" t="str">
        <f>IFERROR(VLOOKUP(H552, DADOS_RM_EVENTOS_original!C:D, 2, FALSE), "Código não encontrado/Não digitado")</f>
        <v>Código não encontrado/Não digitado</v>
      </c>
      <c r="J552" s="12" t="s">
        <v>68</v>
      </c>
      <c r="K552" s="12" t="str">
        <f>IFERROR(VLOOKUP(J552, DADOS_RM_EVENTOS_original!E:J, 2, FALSE), "Código não encontrado/Não digitado")</f>
        <v>Código não encontrado/Não digitado</v>
      </c>
      <c r="L552" s="12" t="s">
        <v>68</v>
      </c>
      <c r="M552" s="12" t="str">
        <f>IFERROR(VLOOKUP(L552, DADOS_RM_EVENTOS_original!K:L, 2, FALSE), "Código não encontrado/Não digitado")</f>
        <v>Código não encontrado/Não digitado</v>
      </c>
    </row>
    <row r="553" ht="15.75" hidden="1" customHeight="1">
      <c r="A553" s="11" t="s">
        <v>38</v>
      </c>
      <c r="B553" s="11" t="s">
        <v>240</v>
      </c>
      <c r="C553" s="11" t="s">
        <v>4694</v>
      </c>
      <c r="D553" s="11" t="s">
        <v>120</v>
      </c>
      <c r="E553" s="11" t="s">
        <v>47</v>
      </c>
      <c r="F553" s="11" t="s">
        <v>1304</v>
      </c>
      <c r="G553" s="12" t="str">
        <f>IFERROR(VLOOKUP(F553, DADOS_RM_EVENTOS_original!A:B, 2, FALSE), "Código não encontrado/Não digitado")</f>
        <v>Dias Recesso Estagio</v>
      </c>
      <c r="H553" s="12" t="s">
        <v>68</v>
      </c>
      <c r="I553" s="12" t="str">
        <f>IFERROR(VLOOKUP(H553, DADOS_RM_EVENTOS_original!C:D, 2, FALSE), "Código não encontrado/Não digitado")</f>
        <v>Código não encontrado/Não digitado</v>
      </c>
      <c r="J553" s="12" t="s">
        <v>68</v>
      </c>
      <c r="K553" s="12" t="str">
        <f>IFERROR(VLOOKUP(J553, DADOS_RM_EVENTOS_original!E:J, 2, FALSE), "Código não encontrado/Não digitado")</f>
        <v>Código não encontrado/Não digitado</v>
      </c>
      <c r="L553" s="12" t="s">
        <v>68</v>
      </c>
      <c r="M553" s="12" t="str">
        <f>IFERROR(VLOOKUP(L553, DADOS_RM_EVENTOS_original!K:L, 2, FALSE), "Código não encontrado/Não digitado")</f>
        <v>Código não encontrado/Não digitado</v>
      </c>
    </row>
    <row r="554" ht="15.75" hidden="1" customHeight="1">
      <c r="A554" s="11" t="s">
        <v>97</v>
      </c>
      <c r="B554" s="11" t="s">
        <v>3324</v>
      </c>
      <c r="C554" s="11" t="s">
        <v>4694</v>
      </c>
      <c r="D554" s="11" t="s">
        <v>120</v>
      </c>
      <c r="E554" s="11" t="s">
        <v>972</v>
      </c>
      <c r="F554" s="11" t="s">
        <v>1304</v>
      </c>
      <c r="G554" s="12" t="str">
        <f>IFERROR(VLOOKUP(F554, DADOS_RM_EVENTOS_original!A:B, 2, FALSE), "Código não encontrado/Não digitado")</f>
        <v>Dias Recesso Estagio</v>
      </c>
      <c r="H554" s="12" t="s">
        <v>68</v>
      </c>
      <c r="I554" s="12" t="str">
        <f>IFERROR(VLOOKUP(H554, DADOS_RM_EVENTOS_original!C:D, 2, FALSE), "Código não encontrado/Não digitado")</f>
        <v>Código não encontrado/Não digitado</v>
      </c>
      <c r="J554" s="12" t="s">
        <v>68</v>
      </c>
      <c r="K554" s="12" t="str">
        <f>IFERROR(VLOOKUP(J554, DADOS_RM_EVENTOS_original!E:J, 2, FALSE), "Código não encontrado/Não digitado")</f>
        <v>Código não encontrado/Não digitado</v>
      </c>
      <c r="L554" s="12" t="s">
        <v>68</v>
      </c>
      <c r="M554" s="12" t="str">
        <f>IFERROR(VLOOKUP(L554, DADOS_RM_EVENTOS_original!K:L, 2, FALSE), "Código não encontrado/Não digitado")</f>
        <v>Código não encontrado/Não digitado</v>
      </c>
    </row>
    <row r="555" ht="15.75" hidden="1" customHeight="1">
      <c r="A555" s="11" t="s">
        <v>38</v>
      </c>
      <c r="B555" s="11" t="s">
        <v>733</v>
      </c>
      <c r="C555" s="11" t="s">
        <v>4704</v>
      </c>
      <c r="D555" s="11" t="s">
        <v>120</v>
      </c>
      <c r="E555" s="11" t="s">
        <v>47</v>
      </c>
      <c r="F555" s="11" t="s">
        <v>778</v>
      </c>
      <c r="G555" s="12" t="str">
        <f>IFERROR(VLOOKUP(F555, DADOS_RM_EVENTOS_original!A:B, 2, FALSE), "Código não encontrado/Não digitado")</f>
        <v>Estagiario - Recesso Prop s/Rescisao</v>
      </c>
      <c r="H555" s="12" t="s">
        <v>68</v>
      </c>
      <c r="I555" s="12" t="str">
        <f>IFERROR(VLOOKUP(H555, DADOS_RM_EVENTOS_original!C:D, 2, FALSE), "Código não encontrado/Não digitado")</f>
        <v>Código não encontrado/Não digitado</v>
      </c>
      <c r="J555" s="12" t="s">
        <v>68</v>
      </c>
      <c r="K555" s="12" t="str">
        <f>IFERROR(VLOOKUP(J555, DADOS_RM_EVENTOS_original!E:J, 2, FALSE), "Código não encontrado/Não digitado")</f>
        <v>Código não encontrado/Não digitado</v>
      </c>
      <c r="L555" s="12" t="s">
        <v>68</v>
      </c>
      <c r="M555" s="12" t="str">
        <f>IFERROR(VLOOKUP(L555, DADOS_RM_EVENTOS_original!K:L, 2, FALSE), "Código não encontrado/Não digitado")</f>
        <v>Código não encontrado/Não digitado</v>
      </c>
    </row>
    <row r="556" ht="15.75" hidden="1" customHeight="1">
      <c r="A556" s="11" t="s">
        <v>97</v>
      </c>
      <c r="B556" s="11" t="s">
        <v>3217</v>
      </c>
      <c r="C556" s="11" t="s">
        <v>4704</v>
      </c>
      <c r="D556" s="11" t="s">
        <v>120</v>
      </c>
      <c r="E556" s="11" t="s">
        <v>972</v>
      </c>
      <c r="F556" s="11" t="s">
        <v>778</v>
      </c>
      <c r="G556" s="12" t="str">
        <f>IFERROR(VLOOKUP(F556, DADOS_RM_EVENTOS_original!A:B, 2, FALSE), "Código não encontrado/Não digitado")</f>
        <v>Estagiario - Recesso Prop s/Rescisao</v>
      </c>
      <c r="H556" s="12" t="s">
        <v>68</v>
      </c>
      <c r="I556" s="12" t="str">
        <f>IFERROR(VLOOKUP(H556, DADOS_RM_EVENTOS_original!C:D, 2, FALSE), "Código não encontrado/Não digitado")</f>
        <v>Código não encontrado/Não digitado</v>
      </c>
      <c r="J556" s="12" t="s">
        <v>68</v>
      </c>
      <c r="K556" s="12" t="str">
        <f>IFERROR(VLOOKUP(J556, DADOS_RM_EVENTOS_original!E:J, 2, FALSE), "Código não encontrado/Não digitado")</f>
        <v>Código não encontrado/Não digitado</v>
      </c>
      <c r="L556" s="12" t="s">
        <v>68</v>
      </c>
      <c r="M556" s="12" t="str">
        <f>IFERROR(VLOOKUP(L556, DADOS_RM_EVENTOS_original!K:L, 2, FALSE), "Código não encontrado/Não digitado")</f>
        <v>Código não encontrado/Não digitado</v>
      </c>
    </row>
    <row r="557" ht="15.75" hidden="1" customHeight="1">
      <c r="A557" s="11" t="s">
        <v>38</v>
      </c>
      <c r="B557" s="11" t="s">
        <v>2135</v>
      </c>
      <c r="C557" s="11" t="s">
        <v>4715</v>
      </c>
      <c r="D557" s="11" t="s">
        <v>120</v>
      </c>
      <c r="E557" s="11" t="s">
        <v>47</v>
      </c>
      <c r="F557" s="11" t="s">
        <v>844</v>
      </c>
      <c r="G557" s="12" t="str">
        <f>IFERROR(VLOOKUP(F557, DADOS_RM_EVENTOS_original!A:B, 2, FALSE), "Código não encontrado/Não digitado")</f>
        <v>Reembolso Desc. Vale Refeicao</v>
      </c>
      <c r="H557" s="12" t="s">
        <v>68</v>
      </c>
      <c r="I557" s="12" t="str">
        <f>IFERROR(VLOOKUP(H557, DADOS_RM_EVENTOS_original!C:D, 2, FALSE), "Código não encontrado/Não digitado")</f>
        <v>Código não encontrado/Não digitado</v>
      </c>
      <c r="J557" s="12" t="s">
        <v>68</v>
      </c>
      <c r="K557" s="12" t="str">
        <f>IFERROR(VLOOKUP(J557, DADOS_RM_EVENTOS_original!E:J, 2, FALSE), "Código não encontrado/Não digitado")</f>
        <v>Código não encontrado/Não digitado</v>
      </c>
      <c r="L557" s="12" t="s">
        <v>68</v>
      </c>
      <c r="M557" s="12" t="str">
        <f>IFERROR(VLOOKUP(L557, DADOS_RM_EVENTOS_original!K:L, 2, FALSE), "Código não encontrado/Não digitado")</f>
        <v>Código não encontrado/Não digitado</v>
      </c>
    </row>
    <row r="558" ht="15.75" hidden="1" customHeight="1">
      <c r="A558" s="11" t="s">
        <v>142</v>
      </c>
      <c r="B558" s="11" t="s">
        <v>2541</v>
      </c>
      <c r="C558" s="11" t="s">
        <v>4721</v>
      </c>
      <c r="D558" s="11" t="s">
        <v>120</v>
      </c>
      <c r="E558" s="11" t="s">
        <v>985</v>
      </c>
      <c r="F558" s="11" t="s">
        <v>844</v>
      </c>
      <c r="G558" s="12" t="str">
        <f>IFERROR(VLOOKUP(F558, DADOS_RM_EVENTOS_original!A:B, 2, FALSE), "Código não encontrado/Não digitado")</f>
        <v>Reembolso Desc. Vale Refeicao</v>
      </c>
      <c r="H558" s="12" t="s">
        <v>68</v>
      </c>
      <c r="I558" s="12" t="str">
        <f>IFERROR(VLOOKUP(H558, DADOS_RM_EVENTOS_original!C:D, 2, FALSE), "Código não encontrado/Não digitado")</f>
        <v>Código não encontrado/Não digitado</v>
      </c>
      <c r="J558" s="12" t="s">
        <v>68</v>
      </c>
      <c r="K558" s="12" t="str">
        <f>IFERROR(VLOOKUP(J558, DADOS_RM_EVENTOS_original!E:J, 2, FALSE), "Código não encontrado/Não digitado")</f>
        <v>Código não encontrado/Não digitado</v>
      </c>
      <c r="L558" s="12" t="s">
        <v>68</v>
      </c>
      <c r="M558" s="12" t="str">
        <f>IFERROR(VLOOKUP(L558, DADOS_RM_EVENTOS_original!K:L, 2, FALSE), "Código não encontrado/Não digitado")</f>
        <v>Código não encontrado/Não digitado</v>
      </c>
    </row>
    <row r="559" ht="15.75" hidden="1" customHeight="1">
      <c r="A559" s="11" t="s">
        <v>38</v>
      </c>
      <c r="B559" s="11" t="s">
        <v>551</v>
      </c>
      <c r="C559" s="11" t="s">
        <v>4726</v>
      </c>
      <c r="D559" s="11" t="s">
        <v>120</v>
      </c>
      <c r="E559" s="11" t="s">
        <v>47</v>
      </c>
      <c r="F559" s="11" t="s">
        <v>301</v>
      </c>
      <c r="G559" s="12" t="str">
        <f>IFERROR(VLOOKUP(F559, DADOS_RM_EVENTOS_original!A:B, 2, FALSE), "Código não encontrado/Não digitado")</f>
        <v>Ferias no Mes</v>
      </c>
      <c r="H559" s="11" t="s">
        <v>301</v>
      </c>
      <c r="I559" s="12" t="str">
        <f>IFERROR(VLOOKUP(H559, DADOS_RM_EVENTOS_original!A:D, 2, FALSE), "Código não encontrado/Não digitado")</f>
        <v>Ferias no Mes</v>
      </c>
      <c r="J559" s="11" t="s">
        <v>304</v>
      </c>
      <c r="K559" s="12" t="str">
        <f>IFERROR(VLOOKUP(J559, DADOS_RM_EVENTOS_original!A:J, 2, FALSE), "Código não encontrado/Não digitado")</f>
        <v>Ferias no Proximo Mes</v>
      </c>
      <c r="L559" s="11" t="s">
        <v>286</v>
      </c>
      <c r="M559" s="12" t="str">
        <f>IFERROR(VLOOKUP(L559, DADOS_RM_EVENTOS_original!A:L, 2, FALSE), "Código não encontrado/Não digitado")</f>
        <v>Dias de Ferias (Recibo)</v>
      </c>
    </row>
    <row r="560" ht="15.75" hidden="1" customHeight="1">
      <c r="A560" s="11" t="s">
        <v>115</v>
      </c>
      <c r="B560" s="11" t="s">
        <v>551</v>
      </c>
      <c r="C560" s="11" t="s">
        <v>4726</v>
      </c>
      <c r="D560" s="11" t="s">
        <v>120</v>
      </c>
      <c r="E560" s="11" t="s">
        <v>121</v>
      </c>
      <c r="F560" s="11" t="s">
        <v>301</v>
      </c>
      <c r="G560" s="12" t="str">
        <f>IFERROR(VLOOKUP(F560, DADOS_RM_EVENTOS_original!A:B, 2, FALSE), "Código não encontrado/Não digitado")</f>
        <v>Ferias no Mes</v>
      </c>
      <c r="H560" s="11" t="s">
        <v>301</v>
      </c>
      <c r="I560" s="12" t="str">
        <f>IFERROR(VLOOKUP(H560, DADOS_RM_EVENTOS_original!A:D, 2, FALSE), "Código não encontrado/Não digitado")</f>
        <v>Ferias no Mes</v>
      </c>
      <c r="J560" s="11" t="s">
        <v>304</v>
      </c>
      <c r="K560" s="12" t="str">
        <f>IFERROR(VLOOKUP(J560, DADOS_RM_EVENTOS_original!A:J, 2, FALSE), "Código não encontrado/Não digitado")</f>
        <v>Ferias no Proximo Mes</v>
      </c>
      <c r="L560" s="11" t="s">
        <v>286</v>
      </c>
      <c r="M560" s="12" t="str">
        <f>IFERROR(VLOOKUP(L560, DADOS_RM_EVENTOS_original!A:L, 2, FALSE), "Código não encontrado/Não digitado")</f>
        <v>Dias de Ferias (Recibo)</v>
      </c>
    </row>
    <row r="561" ht="15.75" hidden="1" customHeight="1">
      <c r="A561" s="11" t="s">
        <v>172</v>
      </c>
      <c r="B561" s="11" t="s">
        <v>551</v>
      </c>
      <c r="C561" s="11" t="s">
        <v>4738</v>
      </c>
      <c r="D561" s="11" t="s">
        <v>120</v>
      </c>
      <c r="E561" s="11" t="s">
        <v>1029</v>
      </c>
      <c r="F561" s="11" t="s">
        <v>165</v>
      </c>
      <c r="G561" s="12" t="str">
        <f>IFERROR(VLOOKUP(F561, DADOS_RM_EVENTOS_original!A:B, 2, FALSE), "Código não encontrado/Não digitado")</f>
        <v>Provento ferias</v>
      </c>
      <c r="H561" s="12" t="s">
        <v>68</v>
      </c>
      <c r="I561" s="12" t="str">
        <f>IFERROR(VLOOKUP(H561, DADOS_RM_EVENTOS_original!C:D, 2, FALSE), "Código não encontrado/Não digitado")</f>
        <v>Código não encontrado/Não digitado</v>
      </c>
      <c r="J561" s="12" t="s">
        <v>68</v>
      </c>
      <c r="K561" s="12" t="str">
        <f>IFERROR(VLOOKUP(J561, DADOS_RM_EVENTOS_original!E:J, 2, FALSE), "Código não encontrado/Não digitado")</f>
        <v>Código não encontrado/Não digitado</v>
      </c>
      <c r="L561" s="12" t="s">
        <v>68</v>
      </c>
      <c r="M561" s="12" t="str">
        <f>IFERROR(VLOOKUP(L561, DADOS_RM_EVENTOS_original!K:L, 2, FALSE), "Código não encontrado/Não digitado")</f>
        <v>Código não encontrado/Não digitado</v>
      </c>
    </row>
    <row r="562" ht="15.75" hidden="1" customHeight="1">
      <c r="A562" s="11" t="s">
        <v>97</v>
      </c>
      <c r="B562" s="11" t="s">
        <v>551</v>
      </c>
      <c r="C562" s="11" t="s">
        <v>4738</v>
      </c>
      <c r="D562" s="11" t="s">
        <v>120</v>
      </c>
      <c r="E562" s="11" t="s">
        <v>972</v>
      </c>
      <c r="F562" s="11" t="s">
        <v>301</v>
      </c>
      <c r="G562" s="12" t="str">
        <f>IFERROR(VLOOKUP(F562, DADOS_RM_EVENTOS_original!A:B, 2, FALSE), "Código não encontrado/Não digitado")</f>
        <v>Ferias no Mes</v>
      </c>
      <c r="H562" s="11" t="s">
        <v>301</v>
      </c>
      <c r="I562" s="12" t="str">
        <f>IFERROR(VLOOKUP(H562, DADOS_RM_EVENTOS_original!A:D, 2, FALSE), "Código não encontrado/Não digitado")</f>
        <v>Ferias no Mes</v>
      </c>
      <c r="J562" s="11" t="s">
        <v>304</v>
      </c>
      <c r="K562" s="12" t="str">
        <f>IFERROR(VLOOKUP(J562, DADOS_RM_EVENTOS_original!A:J, 2, FALSE), "Código não encontrado/Não digitado")</f>
        <v>Ferias no Proximo Mes</v>
      </c>
      <c r="L562" s="11" t="s">
        <v>286</v>
      </c>
      <c r="M562" s="12" t="str">
        <f>IFERROR(VLOOKUP(L562, DADOS_RM_EVENTOS_original!A:L, 2, FALSE), "Código não encontrado/Não digitado")</f>
        <v>Dias de Ferias (Recibo)</v>
      </c>
    </row>
    <row r="563" ht="15.75" hidden="1" customHeight="1">
      <c r="A563" s="11" t="s">
        <v>142</v>
      </c>
      <c r="B563" s="11" t="s">
        <v>551</v>
      </c>
      <c r="C563" s="11" t="s">
        <v>4738</v>
      </c>
      <c r="D563" s="11" t="s">
        <v>120</v>
      </c>
      <c r="E563" s="11" t="s">
        <v>985</v>
      </c>
      <c r="F563" s="11" t="s">
        <v>301</v>
      </c>
      <c r="G563" s="12" t="str">
        <f>IFERROR(VLOOKUP(F563, DADOS_RM_EVENTOS_original!A:B, 2, FALSE), "Código não encontrado/Não digitado")</f>
        <v>Ferias no Mes</v>
      </c>
      <c r="H563" s="11" t="s">
        <v>301</v>
      </c>
      <c r="I563" s="12" t="str">
        <f>IFERROR(VLOOKUP(H563, DADOS_RM_EVENTOS_original!A:D, 2, FALSE), "Código não encontrado/Não digitado")</f>
        <v>Ferias no Mes</v>
      </c>
      <c r="J563" s="11" t="s">
        <v>304</v>
      </c>
      <c r="K563" s="12" t="str">
        <f>IFERROR(VLOOKUP(J563, DADOS_RM_EVENTOS_original!A:J, 2, FALSE), "Código não encontrado/Não digitado")</f>
        <v>Ferias no Proximo Mes</v>
      </c>
      <c r="L563" s="11" t="s">
        <v>286</v>
      </c>
      <c r="M563" s="12" t="str">
        <f>IFERROR(VLOOKUP(L563, DADOS_RM_EVENTOS_original!A:L, 2, FALSE), "Código não encontrado/Não digitado")</f>
        <v>Dias de Ferias (Recibo)</v>
      </c>
    </row>
    <row r="564" ht="15.75" hidden="1" customHeight="1">
      <c r="A564" s="11" t="s">
        <v>199</v>
      </c>
      <c r="B564" s="11" t="s">
        <v>551</v>
      </c>
      <c r="C564" s="11" t="s">
        <v>4738</v>
      </c>
      <c r="D564" s="11" t="s">
        <v>120</v>
      </c>
      <c r="E564" s="11" t="s">
        <v>1074</v>
      </c>
      <c r="F564" s="11" t="s">
        <v>301</v>
      </c>
      <c r="G564" s="12" t="str">
        <f>IFERROR(VLOOKUP(F564, DADOS_RM_EVENTOS_original!A:B, 2, FALSE), "Código não encontrado/Não digitado")</f>
        <v>Ferias no Mes</v>
      </c>
      <c r="H564" s="11" t="s">
        <v>301</v>
      </c>
      <c r="I564" s="12" t="str">
        <f>IFERROR(VLOOKUP(H564, DADOS_RM_EVENTOS_original!A:D, 2, FALSE), "Código não encontrado/Não digitado")</f>
        <v>Ferias no Mes</v>
      </c>
      <c r="J564" s="11" t="s">
        <v>304</v>
      </c>
      <c r="K564" s="12" t="str">
        <f>IFERROR(VLOOKUP(J564, DADOS_RM_EVENTOS_original!A:J, 2, FALSE), "Código não encontrado/Não digitado")</f>
        <v>Ferias no Proximo Mes</v>
      </c>
      <c r="L564" s="11" t="s">
        <v>286</v>
      </c>
      <c r="M564" s="12" t="str">
        <f>IFERROR(VLOOKUP(L564, DADOS_RM_EVENTOS_original!A:L, 2, FALSE), "Código não encontrado/Não digitado")</f>
        <v>Dias de Ferias (Recibo)</v>
      </c>
    </row>
    <row r="565" ht="15.75" hidden="1" customHeight="1">
      <c r="A565" s="11" t="s">
        <v>38</v>
      </c>
      <c r="B565" s="11" t="s">
        <v>556</v>
      </c>
      <c r="C565" s="11" t="s">
        <v>4763</v>
      </c>
      <c r="D565" s="11" t="s">
        <v>120</v>
      </c>
      <c r="E565" s="11" t="s">
        <v>47</v>
      </c>
      <c r="F565" s="11" t="s">
        <v>340</v>
      </c>
      <c r="G565" s="12" t="str">
        <f>IFERROR(VLOOKUP(F565, DADOS_RM_EVENTOS_original!A:B, 2, FALSE), "Código não encontrado/Não digitado")</f>
        <v>Ferias em Dobro</v>
      </c>
      <c r="H565" s="12" t="s">
        <v>68</v>
      </c>
      <c r="I565" s="12" t="str">
        <f>IFERROR(VLOOKUP(H565, DADOS_RM_EVENTOS_original!C:D, 2, FALSE), "Código não encontrado/Não digitado")</f>
        <v>Código não encontrado/Não digitado</v>
      </c>
      <c r="J565" s="12" t="s">
        <v>68</v>
      </c>
      <c r="K565" s="12" t="str">
        <f>IFERROR(VLOOKUP(J565, DADOS_RM_EVENTOS_original!E:J, 2, FALSE), "Código não encontrado/Não digitado")</f>
        <v>Código não encontrado/Não digitado</v>
      </c>
      <c r="L565" s="12" t="s">
        <v>68</v>
      </c>
      <c r="M565" s="12" t="str">
        <f>IFERROR(VLOOKUP(L565, DADOS_RM_EVENTOS_original!K:L, 2, FALSE), "Código não encontrado/Não digitado")</f>
        <v>Código não encontrado/Não digitado</v>
      </c>
    </row>
    <row r="566" ht="15.75" hidden="1" customHeight="1">
      <c r="A566" s="11" t="s">
        <v>172</v>
      </c>
      <c r="B566" s="11" t="s">
        <v>797</v>
      </c>
      <c r="C566" s="11" t="s">
        <v>4768</v>
      </c>
      <c r="D566" s="11" t="s">
        <v>96</v>
      </c>
      <c r="E566" s="11" t="s">
        <v>1029</v>
      </c>
      <c r="F566" s="11" t="s">
        <v>99</v>
      </c>
      <c r="G566" s="12" t="str">
        <f>IFERROR(VLOOKUP(F566, DADOS_RM_EVENTOS_original!A:B, 2, FALSE), "Código não encontrado/Não digitado")</f>
        <v>Código não encontrado/Não digitado</v>
      </c>
      <c r="H566" s="12" t="s">
        <v>68</v>
      </c>
      <c r="I566" s="12" t="str">
        <f>IFERROR(VLOOKUP(H566, DADOS_RM_EVENTOS_original!C:D, 2, FALSE), "Código não encontrado/Não digitado")</f>
        <v>Código não encontrado/Não digitado</v>
      </c>
      <c r="J566" s="12" t="s">
        <v>68</v>
      </c>
      <c r="K566" s="12" t="str">
        <f>IFERROR(VLOOKUP(J566, DADOS_RM_EVENTOS_original!E:J, 2, FALSE), "Código não encontrado/Não digitado")</f>
        <v>Código não encontrado/Não digitado</v>
      </c>
      <c r="L566" s="12" t="s">
        <v>68</v>
      </c>
      <c r="M566" s="12" t="str">
        <f>IFERROR(VLOOKUP(L566, DADOS_RM_EVENTOS_original!K:L, 2, FALSE), "Código não encontrado/Não digitado")</f>
        <v>Código não encontrado/Não digitado</v>
      </c>
    </row>
    <row r="567" ht="15.75" hidden="1" customHeight="1">
      <c r="A567" s="11" t="s">
        <v>97</v>
      </c>
      <c r="B567" s="11" t="s">
        <v>797</v>
      </c>
      <c r="C567" s="11" t="s">
        <v>4768</v>
      </c>
      <c r="D567" s="11" t="s">
        <v>96</v>
      </c>
      <c r="E567" s="11" t="s">
        <v>972</v>
      </c>
      <c r="F567" s="11" t="s">
        <v>99</v>
      </c>
      <c r="G567" s="12" t="str">
        <f>IFERROR(VLOOKUP(F567, DADOS_RM_EVENTOS_original!A:B, 2, FALSE), "Código não encontrado/Não digitado")</f>
        <v>Código não encontrado/Não digitado</v>
      </c>
      <c r="H567" s="12" t="s">
        <v>68</v>
      </c>
      <c r="I567" s="12" t="str">
        <f>IFERROR(VLOOKUP(H567, DADOS_RM_EVENTOS_original!C:D, 2, FALSE), "Código não encontrado/Não digitado")</f>
        <v>Código não encontrado/Não digitado</v>
      </c>
      <c r="J567" s="12" t="s">
        <v>68</v>
      </c>
      <c r="K567" s="12" t="str">
        <f>IFERROR(VLOOKUP(J567, DADOS_RM_EVENTOS_original!E:J, 2, FALSE), "Código não encontrado/Não digitado")</f>
        <v>Código não encontrado/Não digitado</v>
      </c>
      <c r="L567" s="12" t="s">
        <v>68</v>
      </c>
      <c r="M567" s="12" t="str">
        <f>IFERROR(VLOOKUP(L567, DADOS_RM_EVENTOS_original!K:L, 2, FALSE), "Código não encontrado/Não digitado")</f>
        <v>Código não encontrado/Não digitado</v>
      </c>
    </row>
    <row r="568" ht="15.75" hidden="1" customHeight="1">
      <c r="A568" s="11" t="s">
        <v>142</v>
      </c>
      <c r="B568" s="11" t="s">
        <v>797</v>
      </c>
      <c r="C568" s="11" t="s">
        <v>4768</v>
      </c>
      <c r="D568" s="11" t="s">
        <v>96</v>
      </c>
      <c r="E568" s="11" t="s">
        <v>985</v>
      </c>
      <c r="F568" s="11" t="s">
        <v>99</v>
      </c>
      <c r="G568" s="12" t="str">
        <f>IFERROR(VLOOKUP(F568, DADOS_RM_EVENTOS_original!A:B, 2, FALSE), "Código não encontrado/Não digitado")</f>
        <v>Código não encontrado/Não digitado</v>
      </c>
      <c r="H568" s="12" t="s">
        <v>68</v>
      </c>
      <c r="I568" s="12" t="str">
        <f>IFERROR(VLOOKUP(H568, DADOS_RM_EVENTOS_original!C:D, 2, FALSE), "Código não encontrado/Não digitado")</f>
        <v>Código não encontrado/Não digitado</v>
      </c>
      <c r="J568" s="12" t="s">
        <v>68</v>
      </c>
      <c r="K568" s="12" t="str">
        <f>IFERROR(VLOOKUP(J568, DADOS_RM_EVENTOS_original!E:J, 2, FALSE), "Código não encontrado/Não digitado")</f>
        <v>Código não encontrado/Não digitado</v>
      </c>
      <c r="L568" s="12" t="s">
        <v>68</v>
      </c>
      <c r="M568" s="12" t="str">
        <f>IFERROR(VLOOKUP(L568, DADOS_RM_EVENTOS_original!K:L, 2, FALSE), "Código não encontrado/Não digitado")</f>
        <v>Código não encontrado/Não digitado</v>
      </c>
    </row>
    <row r="569" ht="15.75" hidden="1" customHeight="1">
      <c r="A569" s="11" t="s">
        <v>199</v>
      </c>
      <c r="B569" s="11" t="s">
        <v>797</v>
      </c>
      <c r="C569" s="11" t="s">
        <v>4768</v>
      </c>
      <c r="D569" s="11" t="s">
        <v>96</v>
      </c>
      <c r="E569" s="11" t="s">
        <v>1074</v>
      </c>
      <c r="F569" s="11" t="s">
        <v>99</v>
      </c>
      <c r="G569" s="12" t="str">
        <f>IFERROR(VLOOKUP(F569, DADOS_RM_EVENTOS_original!A:B, 2, FALSE), "Código não encontrado/Não digitado")</f>
        <v>Código não encontrado/Não digitado</v>
      </c>
      <c r="H569" s="12" t="s">
        <v>68</v>
      </c>
      <c r="I569" s="12" t="str">
        <f>IFERROR(VLOOKUP(H569, DADOS_RM_EVENTOS_original!C:D, 2, FALSE), "Código não encontrado/Não digitado")</f>
        <v>Código não encontrado/Não digitado</v>
      </c>
      <c r="J569" s="12" t="s">
        <v>68</v>
      </c>
      <c r="K569" s="12" t="str">
        <f>IFERROR(VLOOKUP(J569, DADOS_RM_EVENTOS_original!E:J, 2, FALSE), "Código não encontrado/Não digitado")</f>
        <v>Código não encontrado/Não digitado</v>
      </c>
      <c r="L569" s="12" t="s">
        <v>68</v>
      </c>
      <c r="M569" s="12" t="str">
        <f>IFERROR(VLOOKUP(L569, DADOS_RM_EVENTOS_original!K:L, 2, FALSE), "Código não encontrado/Não digitado")</f>
        <v>Código não encontrado/Não digitado</v>
      </c>
    </row>
    <row r="570" ht="15.75" customHeight="1">
      <c r="A570" s="11" t="s">
        <v>38</v>
      </c>
      <c r="B570" s="11" t="s">
        <v>4784</v>
      </c>
      <c r="C570" s="11" t="s">
        <v>4785</v>
      </c>
      <c r="D570" s="11" t="s">
        <v>120</v>
      </c>
      <c r="E570" s="11" t="s">
        <v>47</v>
      </c>
      <c r="F570" s="11" t="s">
        <v>49</v>
      </c>
      <c r="G570" s="12" t="str">
        <f>IFERROR(VLOOKUP(F570, DADOS_RM_EVENTOS_original!A:B, 2, FALSE), "Código não encontrado/Não digitado")</f>
        <v>Código não encontrado/Não digitado</v>
      </c>
      <c r="H570" s="12" t="s">
        <v>68</v>
      </c>
      <c r="I570" s="12" t="str">
        <f>IFERROR(VLOOKUP(H570, DADOS_RM_EVENTOS_original!C:D, 2, FALSE), "Código não encontrado/Não digitado")</f>
        <v>Código não encontrado/Não digitado</v>
      </c>
      <c r="J570" s="12" t="s">
        <v>68</v>
      </c>
      <c r="K570" s="12" t="str">
        <f>IFERROR(VLOOKUP(J570, DADOS_RM_EVENTOS_original!E:J, 2, FALSE), "Código não encontrado/Não digitado")</f>
        <v>Código não encontrado/Não digitado</v>
      </c>
      <c r="L570" s="12" t="s">
        <v>68</v>
      </c>
      <c r="M570" s="12" t="str">
        <f>IFERROR(VLOOKUP(L570, DADOS_RM_EVENTOS_original!K:L, 2, FALSE), "Código não encontrado/Não digitado")</f>
        <v>Código não encontrado/Não digitado</v>
      </c>
    </row>
    <row r="571" ht="15.75" hidden="1" customHeight="1">
      <c r="A571" s="11" t="s">
        <v>38</v>
      </c>
      <c r="B571" s="11" t="s">
        <v>1683</v>
      </c>
      <c r="C571" s="11" t="s">
        <v>4790</v>
      </c>
      <c r="D571" s="11" t="s">
        <v>44</v>
      </c>
      <c r="E571" s="11" t="s">
        <v>47</v>
      </c>
      <c r="F571" s="11" t="s">
        <v>1722</v>
      </c>
      <c r="G571" s="12" t="str">
        <f>IFERROR(VLOOKUP(F571, DADOS_RM_EVENTOS_original!A:B, 2, FALSE), "Código não encontrado/Não digitado")</f>
        <v>Desc. Artigo 480 - Multa  da CLT</v>
      </c>
      <c r="H571" s="12" t="s">
        <v>68</v>
      </c>
      <c r="I571" s="12" t="str">
        <f>IFERROR(VLOOKUP(H571, DADOS_RM_EVENTOS_original!C:D, 2, FALSE), "Código não encontrado/Não digitado")</f>
        <v>Código não encontrado/Não digitado</v>
      </c>
      <c r="J571" s="12" t="s">
        <v>68</v>
      </c>
      <c r="K571" s="12" t="str">
        <f>IFERROR(VLOOKUP(J571, DADOS_RM_EVENTOS_original!E:J, 2, FALSE), "Código não encontrado/Não digitado")</f>
        <v>Código não encontrado/Não digitado</v>
      </c>
      <c r="L571" s="12" t="s">
        <v>68</v>
      </c>
      <c r="M571" s="12" t="str">
        <f>IFERROR(VLOOKUP(L571, DADOS_RM_EVENTOS_original!K:L, 2, FALSE), "Código não encontrado/Não digitado")</f>
        <v>Código não encontrado/Não digitado</v>
      </c>
    </row>
    <row r="572" ht="15.75" hidden="1" customHeight="1">
      <c r="A572" s="11" t="s">
        <v>172</v>
      </c>
      <c r="B572" s="11" t="s">
        <v>1683</v>
      </c>
      <c r="C572" s="11" t="s">
        <v>4795</v>
      </c>
      <c r="D572" s="11" t="s">
        <v>44</v>
      </c>
      <c r="E572" s="11" t="s">
        <v>1029</v>
      </c>
      <c r="F572" s="11" t="s">
        <v>1722</v>
      </c>
      <c r="G572" s="12" t="str">
        <f>IFERROR(VLOOKUP(F572, DADOS_RM_EVENTOS_original!A:B, 2, FALSE), "Código não encontrado/Não digitado")</f>
        <v>Desc. Artigo 480 - Multa  da CLT</v>
      </c>
      <c r="H572" s="12" t="s">
        <v>68</v>
      </c>
      <c r="I572" s="12" t="str">
        <f>IFERROR(VLOOKUP(H572, DADOS_RM_EVENTOS_original!C:D, 2, FALSE), "Código não encontrado/Não digitado")</f>
        <v>Código não encontrado/Não digitado</v>
      </c>
      <c r="J572" s="12" t="s">
        <v>68</v>
      </c>
      <c r="K572" s="12" t="str">
        <f>IFERROR(VLOOKUP(J572, DADOS_RM_EVENTOS_original!E:J, 2, FALSE), "Código não encontrado/Não digitado")</f>
        <v>Código não encontrado/Não digitado</v>
      </c>
      <c r="L572" s="12" t="s">
        <v>68</v>
      </c>
      <c r="M572" s="12" t="str">
        <f>IFERROR(VLOOKUP(L572, DADOS_RM_EVENTOS_original!K:L, 2, FALSE), "Código não encontrado/Não digitado")</f>
        <v>Código não encontrado/Não digitado</v>
      </c>
    </row>
    <row r="573" ht="15.75" hidden="1" customHeight="1">
      <c r="A573" s="11" t="s">
        <v>97</v>
      </c>
      <c r="B573" s="11" t="s">
        <v>1683</v>
      </c>
      <c r="C573" s="11" t="s">
        <v>4795</v>
      </c>
      <c r="D573" s="11" t="s">
        <v>44</v>
      </c>
      <c r="E573" s="11" t="s">
        <v>972</v>
      </c>
      <c r="F573" s="11" t="s">
        <v>1722</v>
      </c>
      <c r="G573" s="12" t="str">
        <f>IFERROR(VLOOKUP(F573, DADOS_RM_EVENTOS_original!A:B, 2, FALSE), "Código não encontrado/Não digitado")</f>
        <v>Desc. Artigo 480 - Multa  da CLT</v>
      </c>
      <c r="H573" s="12" t="s">
        <v>68</v>
      </c>
      <c r="I573" s="12" t="str">
        <f>IFERROR(VLOOKUP(H573, DADOS_RM_EVENTOS_original!C:D, 2, FALSE), "Código não encontrado/Não digitado")</f>
        <v>Código não encontrado/Não digitado</v>
      </c>
      <c r="J573" s="12" t="s">
        <v>68</v>
      </c>
      <c r="K573" s="12" t="str">
        <f>IFERROR(VLOOKUP(J573, DADOS_RM_EVENTOS_original!E:J, 2, FALSE), "Código não encontrado/Não digitado")</f>
        <v>Código não encontrado/Não digitado</v>
      </c>
      <c r="L573" s="12" t="s">
        <v>68</v>
      </c>
      <c r="M573" s="12" t="str">
        <f>IFERROR(VLOOKUP(L573, DADOS_RM_EVENTOS_original!K:L, 2, FALSE), "Código não encontrado/Não digitado")</f>
        <v>Código não encontrado/Não digitado</v>
      </c>
    </row>
    <row r="574" ht="15.75" hidden="1" customHeight="1">
      <c r="A574" s="11" t="s">
        <v>38</v>
      </c>
      <c r="B574" s="11" t="s">
        <v>245</v>
      </c>
      <c r="C574" s="11" t="s">
        <v>4806</v>
      </c>
      <c r="D574" s="11" t="s">
        <v>120</v>
      </c>
      <c r="E574" s="11" t="s">
        <v>47</v>
      </c>
      <c r="F574" s="11" t="s">
        <v>733</v>
      </c>
      <c r="G574" s="12" t="str">
        <f>IFERROR(VLOOKUP(F574, DADOS_RM_EVENTOS_original!A:B, 2, FALSE), "Código não encontrado/Não digitado")</f>
        <v>Art 479 - Indenizacao da CLT</v>
      </c>
      <c r="H574" s="12" t="s">
        <v>68</v>
      </c>
      <c r="I574" s="12" t="str">
        <f>IFERROR(VLOOKUP(H574, DADOS_RM_EVENTOS_original!C:D, 2, FALSE), "Código não encontrado/Não digitado")</f>
        <v>Código não encontrado/Não digitado</v>
      </c>
      <c r="J574" s="12" t="s">
        <v>68</v>
      </c>
      <c r="K574" s="12" t="str">
        <f>IFERROR(VLOOKUP(J574, DADOS_RM_EVENTOS_original!E:J, 2, FALSE), "Código não encontrado/Não digitado")</f>
        <v>Código não encontrado/Não digitado</v>
      </c>
      <c r="L574" s="12" t="s">
        <v>68</v>
      </c>
      <c r="M574" s="12" t="str">
        <f>IFERROR(VLOOKUP(L574, DADOS_RM_EVENTOS_original!K:L, 2, FALSE), "Código não encontrado/Não digitado")</f>
        <v>Código não encontrado/Não digitado</v>
      </c>
    </row>
    <row r="575" ht="15.75" hidden="1" customHeight="1">
      <c r="A575" s="11" t="s">
        <v>172</v>
      </c>
      <c r="B575" s="11" t="s">
        <v>245</v>
      </c>
      <c r="C575" s="11" t="s">
        <v>4811</v>
      </c>
      <c r="D575" s="11" t="s">
        <v>120</v>
      </c>
      <c r="E575" s="11" t="s">
        <v>1029</v>
      </c>
      <c r="F575" s="11" t="s">
        <v>733</v>
      </c>
      <c r="G575" s="12" t="str">
        <f>IFERROR(VLOOKUP(F575, DADOS_RM_EVENTOS_original!A:B, 2, FALSE), "Código não encontrado/Não digitado")</f>
        <v>Art 479 - Indenizacao da CLT</v>
      </c>
      <c r="H575" s="12" t="s">
        <v>68</v>
      </c>
      <c r="I575" s="12" t="str">
        <f>IFERROR(VLOOKUP(H575, DADOS_RM_EVENTOS_original!C:D, 2, FALSE), "Código não encontrado/Não digitado")</f>
        <v>Código não encontrado/Não digitado</v>
      </c>
      <c r="J575" s="12" t="s">
        <v>68</v>
      </c>
      <c r="K575" s="12" t="str">
        <f>IFERROR(VLOOKUP(J575, DADOS_RM_EVENTOS_original!E:J, 2, FALSE), "Código não encontrado/Não digitado")</f>
        <v>Código não encontrado/Não digitado</v>
      </c>
      <c r="L575" s="12" t="s">
        <v>68</v>
      </c>
      <c r="M575" s="12" t="str">
        <f>IFERROR(VLOOKUP(L575, DADOS_RM_EVENTOS_original!K:L, 2, FALSE), "Código não encontrado/Não digitado")</f>
        <v>Código não encontrado/Não digitado</v>
      </c>
    </row>
    <row r="576" ht="15.75" hidden="1" customHeight="1">
      <c r="A576" s="11" t="s">
        <v>97</v>
      </c>
      <c r="B576" s="11" t="s">
        <v>245</v>
      </c>
      <c r="C576" s="11" t="s">
        <v>4811</v>
      </c>
      <c r="D576" s="11" t="s">
        <v>120</v>
      </c>
      <c r="E576" s="11" t="s">
        <v>972</v>
      </c>
      <c r="F576" s="11" t="s">
        <v>733</v>
      </c>
      <c r="G576" s="12" t="str">
        <f>IFERROR(VLOOKUP(F576, DADOS_RM_EVENTOS_original!A:B, 2, FALSE), "Código não encontrado/Não digitado")</f>
        <v>Art 479 - Indenizacao da CLT</v>
      </c>
      <c r="H576" s="12" t="s">
        <v>68</v>
      </c>
      <c r="I576" s="12" t="str">
        <f>IFERROR(VLOOKUP(H576, DADOS_RM_EVENTOS_original!C:D, 2, FALSE), "Código não encontrado/Não digitado")</f>
        <v>Código não encontrado/Não digitado</v>
      </c>
      <c r="J576" s="12" t="s">
        <v>68</v>
      </c>
      <c r="K576" s="12" t="str">
        <f>IFERROR(VLOOKUP(J576, DADOS_RM_EVENTOS_original!E:J, 2, FALSE), "Código não encontrado/Não digitado")</f>
        <v>Código não encontrado/Não digitado</v>
      </c>
      <c r="L576" s="12" t="s">
        <v>68</v>
      </c>
      <c r="M576" s="12" t="str">
        <f>IFERROR(VLOOKUP(L576, DADOS_RM_EVENTOS_original!K:L, 2, FALSE), "Código não encontrado/Não digitado")</f>
        <v>Código não encontrado/Não digitado</v>
      </c>
    </row>
    <row r="577" ht="15.75" hidden="1" customHeight="1">
      <c r="A577" s="11" t="s">
        <v>142</v>
      </c>
      <c r="B577" s="11" t="s">
        <v>245</v>
      </c>
      <c r="C577" s="11" t="s">
        <v>4811</v>
      </c>
      <c r="D577" s="11" t="s">
        <v>120</v>
      </c>
      <c r="E577" s="11" t="s">
        <v>985</v>
      </c>
      <c r="F577" s="11" t="s">
        <v>733</v>
      </c>
      <c r="G577" s="12" t="str">
        <f>IFERROR(VLOOKUP(F577, DADOS_RM_EVENTOS_original!A:B, 2, FALSE), "Código não encontrado/Não digitado")</f>
        <v>Art 479 - Indenizacao da CLT</v>
      </c>
      <c r="H577" s="12" t="s">
        <v>68</v>
      </c>
      <c r="I577" s="12" t="str">
        <f>IFERROR(VLOOKUP(H577, DADOS_RM_EVENTOS_original!C:D, 2, FALSE), "Código não encontrado/Não digitado")</f>
        <v>Código não encontrado/Não digitado</v>
      </c>
      <c r="J577" s="12" t="s">
        <v>68</v>
      </c>
      <c r="K577" s="12" t="str">
        <f>IFERROR(VLOOKUP(J577, DADOS_RM_EVENTOS_original!E:J, 2, FALSE), "Código não encontrado/Não digitado")</f>
        <v>Código não encontrado/Não digitado</v>
      </c>
      <c r="L577" s="12" t="s">
        <v>68</v>
      </c>
      <c r="M577" s="12" t="str">
        <f>IFERROR(VLOOKUP(L577, DADOS_RM_EVENTOS_original!K:L, 2, FALSE), "Código não encontrado/Não digitado")</f>
        <v>Código não encontrado/Não digitado</v>
      </c>
    </row>
    <row r="578" ht="15.75" hidden="1" customHeight="1">
      <c r="A578" s="11" t="s">
        <v>38</v>
      </c>
      <c r="B578" s="11" t="s">
        <v>601</v>
      </c>
      <c r="C578" s="11" t="s">
        <v>4825</v>
      </c>
      <c r="D578" s="11" t="s">
        <v>120</v>
      </c>
      <c r="E578" s="11" t="s">
        <v>47</v>
      </c>
      <c r="F578" s="11" t="s">
        <v>311</v>
      </c>
      <c r="G578" s="12" t="str">
        <f>IFERROR(VLOOKUP(F578, DADOS_RM_EVENTOS_original!A:B, 2, FALSE), "Código não encontrado/Não digitado")</f>
        <v>Reembolso Desc. Vale Transporte</v>
      </c>
      <c r="H578" s="12" t="s">
        <v>68</v>
      </c>
      <c r="I578" s="12" t="str">
        <f>IFERROR(VLOOKUP(H578, DADOS_RM_EVENTOS_original!C:D, 2, FALSE), "Código não encontrado/Não digitado")</f>
        <v>Código não encontrado/Não digitado</v>
      </c>
      <c r="J578" s="12" t="s">
        <v>68</v>
      </c>
      <c r="K578" s="12" t="str">
        <f>IFERROR(VLOOKUP(J578, DADOS_RM_EVENTOS_original!E:J, 2, FALSE), "Código não encontrado/Não digitado")</f>
        <v>Código não encontrado/Não digitado</v>
      </c>
      <c r="L578" s="12" t="s">
        <v>68</v>
      </c>
      <c r="M578" s="12" t="str">
        <f>IFERROR(VLOOKUP(L578, DADOS_RM_EVENTOS_original!K:L, 2, FALSE), "Código não encontrado/Não digitado")</f>
        <v>Código não encontrado/Não digitado</v>
      </c>
    </row>
    <row r="579" ht="15.75" hidden="1" customHeight="1">
      <c r="A579" s="11" t="s">
        <v>97</v>
      </c>
      <c r="B579" s="11" t="s">
        <v>619</v>
      </c>
      <c r="C579" s="11" t="s">
        <v>4830</v>
      </c>
      <c r="D579" s="11" t="s">
        <v>120</v>
      </c>
      <c r="E579" s="11" t="s">
        <v>972</v>
      </c>
      <c r="F579" s="11" t="s">
        <v>399</v>
      </c>
      <c r="G579" s="12" t="str">
        <f>IFERROR(VLOOKUP(F579, DADOS_RM_EVENTOS_original!A:B, 2, FALSE), "Código não encontrado/Não digitado")</f>
        <v>Dif. Salario Familia</v>
      </c>
      <c r="H579" s="12" t="s">
        <v>68</v>
      </c>
      <c r="I579" s="12" t="str">
        <f>IFERROR(VLOOKUP(H579, DADOS_RM_EVENTOS_original!C:D, 2, FALSE), "Código não encontrado/Não digitado")</f>
        <v>Código não encontrado/Não digitado</v>
      </c>
      <c r="J579" s="12" t="s">
        <v>68</v>
      </c>
      <c r="K579" s="12" t="str">
        <f>IFERROR(VLOOKUP(J579, DADOS_RM_EVENTOS_original!E:J, 2, FALSE), "Código não encontrado/Não digitado")</f>
        <v>Código não encontrado/Não digitado</v>
      </c>
      <c r="L579" s="12" t="s">
        <v>68</v>
      </c>
      <c r="M579" s="12" t="str">
        <f>IFERROR(VLOOKUP(L579, DADOS_RM_EVENTOS_original!K:L, 2, FALSE), "Código não encontrado/Não digitado")</f>
        <v>Código não encontrado/Não digitado</v>
      </c>
    </row>
    <row r="580" ht="15.75" hidden="1" customHeight="1">
      <c r="A580" s="11" t="s">
        <v>38</v>
      </c>
      <c r="B580" s="11" t="s">
        <v>4835</v>
      </c>
      <c r="C580" s="11" t="s">
        <v>4836</v>
      </c>
      <c r="D580" s="11" t="s">
        <v>120</v>
      </c>
      <c r="E580" s="11" t="s">
        <v>47</v>
      </c>
      <c r="F580" s="11" t="s">
        <v>2604</v>
      </c>
      <c r="G580" s="12" t="str">
        <f>IFERROR(VLOOKUP(F580, DADOS_RM_EVENTOS_original!A:B, 2, FALSE), "Código não encontrado/Não digitado")</f>
        <v>Dif. 13º Rescisao Lic. Maternidade</v>
      </c>
      <c r="H580" s="12" t="s">
        <v>68</v>
      </c>
      <c r="I580" s="12" t="str">
        <f>IFERROR(VLOOKUP(H580, DADOS_RM_EVENTOS_original!C:D, 2, FALSE), "Código não encontrado/Não digitado")</f>
        <v>Código não encontrado/Não digitado</v>
      </c>
      <c r="J580" s="12" t="s">
        <v>68</v>
      </c>
      <c r="K580" s="12" t="str">
        <f>IFERROR(VLOOKUP(J580, DADOS_RM_EVENTOS_original!E:J, 2, FALSE), "Código não encontrado/Não digitado")</f>
        <v>Código não encontrado/Não digitado</v>
      </c>
      <c r="L580" s="12" t="s">
        <v>68</v>
      </c>
      <c r="M580" s="12" t="str">
        <f>IFERROR(VLOOKUP(L580, DADOS_RM_EVENTOS_original!K:L, 2, FALSE), "Código não encontrado/Não digitado")</f>
        <v>Código não encontrado/Não digitado</v>
      </c>
    </row>
    <row r="581" ht="15.75" hidden="1" customHeight="1">
      <c r="A581" s="11" t="s">
        <v>97</v>
      </c>
      <c r="B581" s="11" t="s">
        <v>3597</v>
      </c>
      <c r="C581" s="11" t="s">
        <v>4836</v>
      </c>
      <c r="D581" s="11" t="s">
        <v>120</v>
      </c>
      <c r="E581" s="11" t="s">
        <v>972</v>
      </c>
      <c r="F581" s="11" t="s">
        <v>2604</v>
      </c>
      <c r="G581" s="12" t="str">
        <f>IFERROR(VLOOKUP(F581, DADOS_RM_EVENTOS_original!A:B, 2, FALSE), "Código não encontrado/Não digitado")</f>
        <v>Dif. 13º Rescisao Lic. Maternidade</v>
      </c>
      <c r="H581" s="12" t="s">
        <v>68</v>
      </c>
      <c r="I581" s="12" t="str">
        <f>IFERROR(VLOOKUP(H581, DADOS_RM_EVENTOS_original!C:D, 2, FALSE), "Código não encontrado/Não digitado")</f>
        <v>Código não encontrado/Não digitado</v>
      </c>
      <c r="J581" s="12" t="s">
        <v>68</v>
      </c>
      <c r="K581" s="12" t="str">
        <f>IFERROR(VLOOKUP(J581, DADOS_RM_EVENTOS_original!E:J, 2, FALSE), "Código não encontrado/Não digitado")</f>
        <v>Código não encontrado/Não digitado</v>
      </c>
      <c r="L581" s="12" t="s">
        <v>68</v>
      </c>
      <c r="M581" s="12" t="str">
        <f>IFERROR(VLOOKUP(L581, DADOS_RM_EVENTOS_original!K:L, 2, FALSE), "Código não encontrado/Não digitado")</f>
        <v>Código não encontrado/Não digitado</v>
      </c>
    </row>
    <row r="582" ht="15.75" hidden="1" customHeight="1">
      <c r="A582" s="11" t="s">
        <v>172</v>
      </c>
      <c r="B582" s="11" t="s">
        <v>834</v>
      </c>
      <c r="C582" s="11" t="s">
        <v>4846</v>
      </c>
      <c r="D582" s="11" t="s">
        <v>96</v>
      </c>
      <c r="E582" s="11" t="s">
        <v>1029</v>
      </c>
      <c r="F582" s="11" t="s">
        <v>99</v>
      </c>
      <c r="G582" s="12" t="str">
        <f>IFERROR(VLOOKUP(F582, DADOS_RM_EVENTOS_original!A:B, 2, FALSE), "Código não encontrado/Não digitado")</f>
        <v>Código não encontrado/Não digitado</v>
      </c>
      <c r="H582" s="12" t="s">
        <v>68</v>
      </c>
      <c r="I582" s="12" t="str">
        <f>IFERROR(VLOOKUP(H582, DADOS_RM_EVENTOS_original!C:D, 2, FALSE), "Código não encontrado/Não digitado")</f>
        <v>Código não encontrado/Não digitado</v>
      </c>
      <c r="J582" s="12" t="s">
        <v>68</v>
      </c>
      <c r="K582" s="12" t="str">
        <f>IFERROR(VLOOKUP(J582, DADOS_RM_EVENTOS_original!E:J, 2, FALSE), "Código não encontrado/Não digitado")</f>
        <v>Código não encontrado/Não digitado</v>
      </c>
      <c r="L582" s="12" t="s">
        <v>68</v>
      </c>
      <c r="M582" s="12" t="str">
        <f>IFERROR(VLOOKUP(L582, DADOS_RM_EVENTOS_original!K:L, 2, FALSE), "Código não encontrado/Não digitado")</f>
        <v>Código não encontrado/Não digitado</v>
      </c>
    </row>
    <row r="583" ht="15.75" hidden="1" customHeight="1">
      <c r="A583" s="11" t="s">
        <v>97</v>
      </c>
      <c r="B583" s="11" t="s">
        <v>834</v>
      </c>
      <c r="C583" s="11" t="s">
        <v>4846</v>
      </c>
      <c r="D583" s="11" t="s">
        <v>96</v>
      </c>
      <c r="E583" s="11" t="s">
        <v>972</v>
      </c>
      <c r="F583" s="11" t="s">
        <v>99</v>
      </c>
      <c r="G583" s="12" t="str">
        <f>IFERROR(VLOOKUP(F583, DADOS_RM_EVENTOS_original!A:B, 2, FALSE), "Código não encontrado/Não digitado")</f>
        <v>Código não encontrado/Não digitado</v>
      </c>
      <c r="H583" s="12" t="s">
        <v>68</v>
      </c>
      <c r="I583" s="12" t="str">
        <f>IFERROR(VLOOKUP(H583, DADOS_RM_EVENTOS_original!C:D, 2, FALSE), "Código não encontrado/Não digitado")</f>
        <v>Código não encontrado/Não digitado</v>
      </c>
      <c r="J583" s="12" t="s">
        <v>68</v>
      </c>
      <c r="K583" s="12" t="str">
        <f>IFERROR(VLOOKUP(J583, DADOS_RM_EVENTOS_original!E:J, 2, FALSE), "Código não encontrado/Não digitado")</f>
        <v>Código não encontrado/Não digitado</v>
      </c>
      <c r="L583" s="12" t="s">
        <v>68</v>
      </c>
      <c r="M583" s="12" t="str">
        <f>IFERROR(VLOOKUP(L583, DADOS_RM_EVENTOS_original!K:L, 2, FALSE), "Código não encontrado/Não digitado")</f>
        <v>Código não encontrado/Não digitado</v>
      </c>
    </row>
    <row r="584" ht="15.75" hidden="1" customHeight="1">
      <c r="A584" s="11" t="s">
        <v>142</v>
      </c>
      <c r="B584" s="11" t="s">
        <v>834</v>
      </c>
      <c r="C584" s="11" t="s">
        <v>4846</v>
      </c>
      <c r="D584" s="11" t="s">
        <v>96</v>
      </c>
      <c r="E584" s="11" t="s">
        <v>985</v>
      </c>
      <c r="F584" s="11" t="s">
        <v>99</v>
      </c>
      <c r="G584" s="12" t="str">
        <f>IFERROR(VLOOKUP(F584, DADOS_RM_EVENTOS_original!A:B, 2, FALSE), "Código não encontrado/Não digitado")</f>
        <v>Código não encontrado/Não digitado</v>
      </c>
      <c r="H584" s="12" t="s">
        <v>68</v>
      </c>
      <c r="I584" s="12" t="str">
        <f>IFERROR(VLOOKUP(H584, DADOS_RM_EVENTOS_original!C:D, 2, FALSE), "Código não encontrado/Não digitado")</f>
        <v>Código não encontrado/Não digitado</v>
      </c>
      <c r="J584" s="12" t="s">
        <v>68</v>
      </c>
      <c r="K584" s="12" t="str">
        <f>IFERROR(VLOOKUP(J584, DADOS_RM_EVENTOS_original!E:J, 2, FALSE), "Código não encontrado/Não digitado")</f>
        <v>Código não encontrado/Não digitado</v>
      </c>
      <c r="L584" s="12" t="s">
        <v>68</v>
      </c>
      <c r="M584" s="12" t="str">
        <f>IFERROR(VLOOKUP(L584, DADOS_RM_EVENTOS_original!K:L, 2, FALSE), "Código não encontrado/Não digitado")</f>
        <v>Código não encontrado/Não digitado</v>
      </c>
    </row>
    <row r="585" ht="15.75" hidden="1" customHeight="1">
      <c r="A585" s="11" t="s">
        <v>199</v>
      </c>
      <c r="B585" s="11" t="s">
        <v>834</v>
      </c>
      <c r="C585" s="11" t="s">
        <v>4846</v>
      </c>
      <c r="D585" s="11" t="s">
        <v>96</v>
      </c>
      <c r="E585" s="11" t="s">
        <v>1074</v>
      </c>
      <c r="F585" s="11" t="s">
        <v>99</v>
      </c>
      <c r="G585" s="12" t="str">
        <f>IFERROR(VLOOKUP(F585, DADOS_RM_EVENTOS_original!A:B, 2, FALSE), "Código não encontrado/Não digitado")</f>
        <v>Código não encontrado/Não digitado</v>
      </c>
      <c r="H585" s="12" t="s">
        <v>68</v>
      </c>
      <c r="I585" s="12" t="str">
        <f>IFERROR(VLOOKUP(H585, DADOS_RM_EVENTOS_original!C:D, 2, FALSE), "Código não encontrado/Não digitado")</f>
        <v>Código não encontrado/Não digitado</v>
      </c>
      <c r="J585" s="12" t="s">
        <v>68</v>
      </c>
      <c r="K585" s="12" t="str">
        <f>IFERROR(VLOOKUP(J585, DADOS_RM_EVENTOS_original!E:J, 2, FALSE), "Código não encontrado/Não digitado")</f>
        <v>Código não encontrado/Não digitado</v>
      </c>
      <c r="L585" s="12" t="s">
        <v>68</v>
      </c>
      <c r="M585" s="12" t="str">
        <f>IFERROR(VLOOKUP(L585, DADOS_RM_EVENTOS_original!K:L, 2, FALSE), "Código não encontrado/Não digitado")</f>
        <v>Código não encontrado/Não digitado</v>
      </c>
    </row>
    <row r="586" ht="15.75" hidden="1" customHeight="1">
      <c r="A586" s="11" t="s">
        <v>172</v>
      </c>
      <c r="B586" s="11" t="s">
        <v>250</v>
      </c>
      <c r="C586" s="11" t="s">
        <v>4863</v>
      </c>
      <c r="D586" s="11" t="s">
        <v>120</v>
      </c>
      <c r="E586" s="11" t="s">
        <v>1029</v>
      </c>
      <c r="F586" s="11" t="s">
        <v>646</v>
      </c>
      <c r="G586" s="12" t="str">
        <f>IFERROR(VLOOKUP(F586, DADOS_RM_EVENTOS_original!A:B, 2, FALSE), "Código não encontrado/Não digitado")</f>
        <v>Atestado Medico (Previdencia) (D)</v>
      </c>
      <c r="H586" s="12" t="s">
        <v>68</v>
      </c>
      <c r="I586" s="12" t="str">
        <f>IFERROR(VLOOKUP(H586, DADOS_RM_EVENTOS_original!C:D, 2, FALSE), "Código não encontrado/Não digitado")</f>
        <v>Código não encontrado/Não digitado</v>
      </c>
      <c r="J586" s="12" t="s">
        <v>68</v>
      </c>
      <c r="K586" s="12" t="str">
        <f>IFERROR(VLOOKUP(J586, DADOS_RM_EVENTOS_original!E:J, 2, FALSE), "Código não encontrado/Não digitado")</f>
        <v>Código não encontrado/Não digitado</v>
      </c>
      <c r="L586" s="12" t="s">
        <v>68</v>
      </c>
      <c r="M586" s="12" t="str">
        <f>IFERROR(VLOOKUP(L586, DADOS_RM_EVENTOS_original!K:L, 2, FALSE), "Código não encontrado/Não digitado")</f>
        <v>Código não encontrado/Não digitado</v>
      </c>
    </row>
    <row r="587" ht="15.75" hidden="1" customHeight="1">
      <c r="A587" s="11" t="s">
        <v>38</v>
      </c>
      <c r="B587" s="11" t="s">
        <v>250</v>
      </c>
      <c r="C587" s="11" t="s">
        <v>4868</v>
      </c>
      <c r="D587" s="11" t="s">
        <v>120</v>
      </c>
      <c r="E587" s="11" t="s">
        <v>47</v>
      </c>
      <c r="F587" s="11" t="s">
        <v>646</v>
      </c>
      <c r="G587" s="12" t="str">
        <f>IFERROR(VLOOKUP(F587, DADOS_RM_EVENTOS_original!A:B, 2, FALSE), "Código não encontrado/Não digitado")</f>
        <v>Atestado Medico (Previdencia) (D)</v>
      </c>
      <c r="H587" s="12" t="s">
        <v>68</v>
      </c>
      <c r="I587" s="12" t="str">
        <f>IFERROR(VLOOKUP(H587, DADOS_RM_EVENTOS_original!C:D, 2, FALSE), "Código não encontrado/Não digitado")</f>
        <v>Código não encontrado/Não digitado</v>
      </c>
      <c r="J587" s="12" t="s">
        <v>68</v>
      </c>
      <c r="K587" s="12" t="str">
        <f>IFERROR(VLOOKUP(J587, DADOS_RM_EVENTOS_original!E:J, 2, FALSE), "Código não encontrado/Não digitado")</f>
        <v>Código não encontrado/Não digitado</v>
      </c>
      <c r="L587" s="12" t="s">
        <v>68</v>
      </c>
      <c r="M587" s="12" t="str">
        <f>IFERROR(VLOOKUP(L587, DADOS_RM_EVENTOS_original!K:L, 2, FALSE), "Código não encontrado/Não digitado")</f>
        <v>Código não encontrado/Não digitado</v>
      </c>
    </row>
    <row r="588" ht="15.75" hidden="1" customHeight="1">
      <c r="A588" s="11" t="s">
        <v>115</v>
      </c>
      <c r="B588" s="11" t="s">
        <v>250</v>
      </c>
      <c r="C588" s="11" t="s">
        <v>4868</v>
      </c>
      <c r="D588" s="11" t="s">
        <v>120</v>
      </c>
      <c r="E588" s="11" t="s">
        <v>121</v>
      </c>
      <c r="F588" s="11" t="s">
        <v>646</v>
      </c>
      <c r="G588" s="12" t="str">
        <f>IFERROR(VLOOKUP(F588, DADOS_RM_EVENTOS_original!A:B, 2, FALSE), "Código não encontrado/Não digitado")</f>
        <v>Atestado Medico (Previdencia) (D)</v>
      </c>
      <c r="H588" s="12" t="s">
        <v>68</v>
      </c>
      <c r="I588" s="12" t="str">
        <f>IFERROR(VLOOKUP(H588, DADOS_RM_EVENTOS_original!C:D, 2, FALSE), "Código não encontrado/Não digitado")</f>
        <v>Código não encontrado/Não digitado</v>
      </c>
      <c r="J588" s="12" t="s">
        <v>68</v>
      </c>
      <c r="K588" s="12" t="str">
        <f>IFERROR(VLOOKUP(J588, DADOS_RM_EVENTOS_original!E:J, 2, FALSE), "Código não encontrado/Não digitado")</f>
        <v>Código não encontrado/Não digitado</v>
      </c>
      <c r="L588" s="12" t="s">
        <v>68</v>
      </c>
      <c r="M588" s="12" t="str">
        <f>IFERROR(VLOOKUP(L588, DADOS_RM_EVENTOS_original!K:L, 2, FALSE), "Código não encontrado/Não digitado")</f>
        <v>Código não encontrado/Não digitado</v>
      </c>
    </row>
    <row r="589" ht="15.75" hidden="1" customHeight="1">
      <c r="A589" s="11" t="s">
        <v>97</v>
      </c>
      <c r="B589" s="11" t="s">
        <v>1159</v>
      </c>
      <c r="C589" s="11" t="s">
        <v>4868</v>
      </c>
      <c r="D589" s="11" t="s">
        <v>120</v>
      </c>
      <c r="E589" s="11" t="s">
        <v>972</v>
      </c>
      <c r="F589" s="11" t="s">
        <v>646</v>
      </c>
      <c r="G589" s="12" t="str">
        <f>IFERROR(VLOOKUP(F589, DADOS_RM_EVENTOS_original!A:B, 2, FALSE), "Código não encontrado/Não digitado")</f>
        <v>Atestado Medico (Previdencia) (D)</v>
      </c>
      <c r="H589" s="12" t="s">
        <v>68</v>
      </c>
      <c r="I589" s="12" t="str">
        <f>IFERROR(VLOOKUP(H589, DADOS_RM_EVENTOS_original!C:D, 2, FALSE), "Código não encontrado/Não digitado")</f>
        <v>Código não encontrado/Não digitado</v>
      </c>
      <c r="J589" s="12" t="s">
        <v>68</v>
      </c>
      <c r="K589" s="12" t="str">
        <f>IFERROR(VLOOKUP(J589, DADOS_RM_EVENTOS_original!E:J, 2, FALSE), "Código não encontrado/Não digitado")</f>
        <v>Código não encontrado/Não digitado</v>
      </c>
      <c r="L589" s="12" t="s">
        <v>68</v>
      </c>
      <c r="M589" s="12" t="str">
        <f>IFERROR(VLOOKUP(L589, DADOS_RM_EVENTOS_original!K:L, 2, FALSE), "Código não encontrado/Não digitado")</f>
        <v>Código não encontrado/Não digitado</v>
      </c>
    </row>
    <row r="590" ht="15.75" hidden="1" customHeight="1">
      <c r="A590" s="11" t="s">
        <v>38</v>
      </c>
      <c r="B590" s="11" t="s">
        <v>253</v>
      </c>
      <c r="C590" s="11" t="s">
        <v>4882</v>
      </c>
      <c r="D590" s="11" t="s">
        <v>120</v>
      </c>
      <c r="E590" s="11" t="s">
        <v>47</v>
      </c>
      <c r="F590" s="11" t="s">
        <v>646</v>
      </c>
      <c r="G590" s="12" t="str">
        <f>IFERROR(VLOOKUP(F590, DADOS_RM_EVENTOS_original!A:B, 2, FALSE), "Código não encontrado/Não digitado")</f>
        <v>Atestado Medico (Previdencia) (D)</v>
      </c>
      <c r="H590" s="12" t="s">
        <v>68</v>
      </c>
      <c r="I590" s="12" t="str">
        <f>IFERROR(VLOOKUP(H590, DADOS_RM_EVENTOS_original!C:D, 2, FALSE), "Código não encontrado/Não digitado")</f>
        <v>Código não encontrado/Não digitado</v>
      </c>
      <c r="J590" s="12" t="s">
        <v>68</v>
      </c>
      <c r="K590" s="12" t="str">
        <f>IFERROR(VLOOKUP(J590, DADOS_RM_EVENTOS_original!E:J, 2, FALSE), "Código não encontrado/Não digitado")</f>
        <v>Código não encontrado/Não digitado</v>
      </c>
      <c r="L590" s="12" t="s">
        <v>68</v>
      </c>
      <c r="M590" s="12" t="str">
        <f>IFERROR(VLOOKUP(L590, DADOS_RM_EVENTOS_original!K:L, 2, FALSE), "Código não encontrado/Não digitado")</f>
        <v>Código não encontrado/Não digitado</v>
      </c>
    </row>
    <row r="591" ht="15.75" hidden="1" customHeight="1">
      <c r="A591" s="11" t="s">
        <v>172</v>
      </c>
      <c r="B591" s="11" t="s">
        <v>4891</v>
      </c>
      <c r="C591" s="11" t="s">
        <v>4882</v>
      </c>
      <c r="D591" s="11" t="s">
        <v>120</v>
      </c>
      <c r="E591" s="11" t="s">
        <v>1029</v>
      </c>
      <c r="F591" s="11" t="s">
        <v>646</v>
      </c>
      <c r="G591" s="12" t="str">
        <f>IFERROR(VLOOKUP(F591, DADOS_RM_EVENTOS_original!A:B, 2, FALSE), "Código não encontrado/Não digitado")</f>
        <v>Atestado Medico (Previdencia) (D)</v>
      </c>
      <c r="H591" s="12" t="s">
        <v>68</v>
      </c>
      <c r="I591" s="12" t="str">
        <f>IFERROR(VLOOKUP(H591, DADOS_RM_EVENTOS_original!C:D, 2, FALSE), "Código não encontrado/Não digitado")</f>
        <v>Código não encontrado/Não digitado</v>
      </c>
      <c r="J591" s="12" t="s">
        <v>68</v>
      </c>
      <c r="K591" s="12" t="str">
        <f>IFERROR(VLOOKUP(J591, DADOS_RM_EVENTOS_original!E:J, 2, FALSE), "Código não encontrado/Não digitado")</f>
        <v>Código não encontrado/Não digitado</v>
      </c>
      <c r="L591" s="12" t="s">
        <v>68</v>
      </c>
      <c r="M591" s="12" t="str">
        <f>IFERROR(VLOOKUP(L591, DADOS_RM_EVENTOS_original!K:L, 2, FALSE), "Código não encontrado/Não digitado")</f>
        <v>Código não encontrado/Não digitado</v>
      </c>
    </row>
    <row r="592" ht="15.75" hidden="1" customHeight="1">
      <c r="A592" s="11" t="s">
        <v>97</v>
      </c>
      <c r="B592" s="11" t="s">
        <v>1249</v>
      </c>
      <c r="C592" s="11" t="s">
        <v>4882</v>
      </c>
      <c r="D592" s="11" t="s">
        <v>120</v>
      </c>
      <c r="E592" s="11" t="s">
        <v>972</v>
      </c>
      <c r="F592" s="11" t="s">
        <v>646</v>
      </c>
      <c r="G592" s="12" t="str">
        <f>IFERROR(VLOOKUP(F592, DADOS_RM_EVENTOS_original!A:B, 2, FALSE), "Código não encontrado/Não digitado")</f>
        <v>Atestado Medico (Previdencia) (D)</v>
      </c>
      <c r="H592" s="12" t="s">
        <v>68</v>
      </c>
      <c r="I592" s="12" t="str">
        <f>IFERROR(VLOOKUP(H592, DADOS_RM_EVENTOS_original!C:D, 2, FALSE), "Código não encontrado/Não digitado")</f>
        <v>Código não encontrado/Não digitado</v>
      </c>
      <c r="J592" s="12" t="s">
        <v>68</v>
      </c>
      <c r="K592" s="12" t="str">
        <f>IFERROR(VLOOKUP(J592, DADOS_RM_EVENTOS_original!E:J, 2, FALSE), "Código não encontrado/Não digitado")</f>
        <v>Código não encontrado/Não digitado</v>
      </c>
      <c r="L592" s="12" t="s">
        <v>68</v>
      </c>
      <c r="M592" s="12" t="str">
        <f>IFERROR(VLOOKUP(L592, DADOS_RM_EVENTOS_original!K:L, 2, FALSE), "Código não encontrado/Não digitado")</f>
        <v>Código não encontrado/Não digitado</v>
      </c>
    </row>
    <row r="593" ht="15.75" hidden="1" customHeight="1">
      <c r="A593" s="11" t="s">
        <v>38</v>
      </c>
      <c r="B593" s="11" t="s">
        <v>84</v>
      </c>
      <c r="C593" s="11" t="s">
        <v>4916</v>
      </c>
      <c r="D593" s="11" t="s">
        <v>120</v>
      </c>
      <c r="E593" s="11" t="s">
        <v>47</v>
      </c>
      <c r="F593" s="11" t="s">
        <v>172</v>
      </c>
      <c r="G593" s="12" t="str">
        <f>IFERROR(VLOOKUP(F593, DADOS_RM_EVENTOS_original!A:B, 2, FALSE), "Código não encontrado/Não digitado")</f>
        <v>Salario Maternidade</v>
      </c>
      <c r="H593" s="12" t="s">
        <v>68</v>
      </c>
      <c r="I593" s="12" t="str">
        <f>IFERROR(VLOOKUP(H593, DADOS_RM_EVENTOS_original!C:D, 2, FALSE), "Código não encontrado/Não digitado")</f>
        <v>Código não encontrado/Não digitado</v>
      </c>
      <c r="J593" s="12" t="s">
        <v>68</v>
      </c>
      <c r="K593" s="12" t="str">
        <f>IFERROR(VLOOKUP(J593, DADOS_RM_EVENTOS_original!E:J, 2, FALSE), "Código não encontrado/Não digitado")</f>
        <v>Código não encontrado/Não digitado</v>
      </c>
      <c r="L593" s="12" t="s">
        <v>68</v>
      </c>
      <c r="M593" s="12" t="str">
        <f>IFERROR(VLOOKUP(L593, DADOS_RM_EVENTOS_original!K:L, 2, FALSE), "Código não encontrado/Não digitado")</f>
        <v>Código não encontrado/Não digitado</v>
      </c>
    </row>
    <row r="594" ht="15.75" hidden="1" customHeight="1">
      <c r="A594" s="11" t="s">
        <v>38</v>
      </c>
      <c r="B594" s="11" t="s">
        <v>1666</v>
      </c>
      <c r="C594" s="11" t="s">
        <v>4923</v>
      </c>
      <c r="D594" s="11" t="s">
        <v>120</v>
      </c>
      <c r="E594" s="11" t="s">
        <v>47</v>
      </c>
      <c r="F594" s="11" t="s">
        <v>155</v>
      </c>
      <c r="G594" s="12" t="str">
        <f>IFERROR(VLOOKUP(F594, DADOS_RM_EVENTOS_original!A:B, 2, FALSE), "Código não encontrado/Não digitado")</f>
        <v>Horas Normais - Aprendiz</v>
      </c>
      <c r="H594" s="12" t="s">
        <v>68</v>
      </c>
      <c r="I594" s="12" t="str">
        <f>IFERROR(VLOOKUP(H594, DADOS_RM_EVENTOS_original!C:D, 2, FALSE), "Código não encontrado/Não digitado")</f>
        <v>Código não encontrado/Não digitado</v>
      </c>
      <c r="J594" s="12" t="s">
        <v>68</v>
      </c>
      <c r="K594" s="12" t="str">
        <f>IFERROR(VLOOKUP(J594, DADOS_RM_EVENTOS_original!E:J, 2, FALSE), "Código não encontrado/Não digitado")</f>
        <v>Código não encontrado/Não digitado</v>
      </c>
      <c r="L594" s="12" t="s">
        <v>68</v>
      </c>
      <c r="M594" s="12" t="str">
        <f>IFERROR(VLOOKUP(L594, DADOS_RM_EVENTOS_original!K:L, 2, FALSE), "Código não encontrado/Não digitado")</f>
        <v>Código não encontrado/Não digitado</v>
      </c>
    </row>
    <row r="595" ht="15.75" hidden="1" customHeight="1">
      <c r="A595" s="11" t="s">
        <v>38</v>
      </c>
      <c r="B595" s="11" t="s">
        <v>137</v>
      </c>
      <c r="C595" s="11" t="s">
        <v>4929</v>
      </c>
      <c r="D595" s="11" t="s">
        <v>120</v>
      </c>
      <c r="E595" s="11" t="s">
        <v>47</v>
      </c>
      <c r="F595" s="11" t="s">
        <v>64</v>
      </c>
      <c r="G595" s="12" t="str">
        <f>IFERROR(VLOOKUP(F595, DADOS_RM_EVENTOS_original!A:B, 2, FALSE), "Código não encontrado/Não digitado")</f>
        <v>Salario Base em Dias</v>
      </c>
      <c r="H595" s="12" t="s">
        <v>68</v>
      </c>
      <c r="I595" s="12" t="str">
        <f>IFERROR(VLOOKUP(H595, DADOS_RM_EVENTOS_original!C:D, 2, FALSE), "Código não encontrado/Não digitado")</f>
        <v>Código não encontrado/Não digitado</v>
      </c>
      <c r="J595" s="12" t="s">
        <v>68</v>
      </c>
      <c r="K595" s="12" t="str">
        <f>IFERROR(VLOOKUP(J595, DADOS_RM_EVENTOS_original!E:J, 2, FALSE), "Código não encontrado/Não digitado")</f>
        <v>Código não encontrado/Não digitado</v>
      </c>
      <c r="L595" s="12" t="s">
        <v>68</v>
      </c>
      <c r="M595" s="12" t="str">
        <f>IFERROR(VLOOKUP(L595, DADOS_RM_EVENTOS_original!K:L, 2, FALSE), "Código não encontrado/Não digitado")</f>
        <v>Código não encontrado/Não digitado</v>
      </c>
    </row>
    <row r="596" ht="15.75" hidden="1" customHeight="1">
      <c r="A596" s="11" t="s">
        <v>115</v>
      </c>
      <c r="B596" s="11" t="s">
        <v>137</v>
      </c>
      <c r="C596" s="11" t="s">
        <v>4929</v>
      </c>
      <c r="D596" s="11" t="s">
        <v>120</v>
      </c>
      <c r="E596" s="11" t="s">
        <v>121</v>
      </c>
      <c r="F596" s="11" t="s">
        <v>64</v>
      </c>
      <c r="G596" s="12" t="str">
        <f>IFERROR(VLOOKUP(F596, DADOS_RM_EVENTOS_original!A:B, 2, FALSE), "Código não encontrado/Não digitado")</f>
        <v>Salario Base em Dias</v>
      </c>
      <c r="H596" s="12" t="s">
        <v>68</v>
      </c>
      <c r="I596" s="12" t="str">
        <f>IFERROR(VLOOKUP(H596, DADOS_RM_EVENTOS_original!C:D, 2, FALSE), "Código não encontrado/Não digitado")</f>
        <v>Código não encontrado/Não digitado</v>
      </c>
      <c r="J596" s="12" t="s">
        <v>68</v>
      </c>
      <c r="K596" s="12" t="str">
        <f>IFERROR(VLOOKUP(J596, DADOS_RM_EVENTOS_original!E:J, 2, FALSE), "Código não encontrado/Não digitado")</f>
        <v>Código não encontrado/Não digitado</v>
      </c>
      <c r="L596" s="12" t="s">
        <v>68</v>
      </c>
      <c r="M596" s="12" t="str">
        <f>IFERROR(VLOOKUP(L596, DADOS_RM_EVENTOS_original!K:L, 2, FALSE), "Código não encontrado/Não digitado")</f>
        <v>Código não encontrado/Não digitado</v>
      </c>
    </row>
    <row r="597" ht="15.75" hidden="1" customHeight="1">
      <c r="A597" s="11" t="s">
        <v>172</v>
      </c>
      <c r="B597" s="11" t="s">
        <v>137</v>
      </c>
      <c r="C597" s="11" t="s">
        <v>4939</v>
      </c>
      <c r="D597" s="11" t="s">
        <v>120</v>
      </c>
      <c r="E597" s="11" t="s">
        <v>1029</v>
      </c>
      <c r="F597" s="11" t="s">
        <v>64</v>
      </c>
      <c r="G597" s="12" t="str">
        <f>IFERROR(VLOOKUP(F597, DADOS_RM_EVENTOS_original!A:B, 2, FALSE), "Código não encontrado/Não digitado")</f>
        <v>Salario Base em Dias</v>
      </c>
      <c r="H597" s="12" t="s">
        <v>68</v>
      </c>
      <c r="I597" s="12" t="str">
        <f>IFERROR(VLOOKUP(H597, DADOS_RM_EVENTOS_original!C:D, 2, FALSE), "Código não encontrado/Não digitado")</f>
        <v>Código não encontrado/Não digitado</v>
      </c>
      <c r="J597" s="12" t="s">
        <v>68</v>
      </c>
      <c r="K597" s="12" t="str">
        <f>IFERROR(VLOOKUP(J597, DADOS_RM_EVENTOS_original!E:J, 2, FALSE), "Código não encontrado/Não digitado")</f>
        <v>Código não encontrado/Não digitado</v>
      </c>
      <c r="L597" s="12" t="s">
        <v>68</v>
      </c>
      <c r="M597" s="12" t="str">
        <f>IFERROR(VLOOKUP(L597, DADOS_RM_EVENTOS_original!K:L, 2, FALSE), "Código não encontrado/Não digitado")</f>
        <v>Código não encontrado/Não digitado</v>
      </c>
    </row>
    <row r="598" ht="15.75" hidden="1" customHeight="1">
      <c r="A598" s="11" t="s">
        <v>97</v>
      </c>
      <c r="B598" s="11" t="s">
        <v>137</v>
      </c>
      <c r="C598" s="11" t="s">
        <v>4939</v>
      </c>
      <c r="D598" s="11" t="s">
        <v>120</v>
      </c>
      <c r="E598" s="11" t="s">
        <v>972</v>
      </c>
      <c r="F598" s="11" t="s">
        <v>64</v>
      </c>
      <c r="G598" s="12" t="str">
        <f>IFERROR(VLOOKUP(F598, DADOS_RM_EVENTOS_original!A:B, 2, FALSE), "Código não encontrado/Não digitado")</f>
        <v>Salario Base em Dias</v>
      </c>
      <c r="H598" s="12" t="s">
        <v>68</v>
      </c>
      <c r="I598" s="12" t="str">
        <f>IFERROR(VLOOKUP(H598, DADOS_RM_EVENTOS_original!C:D, 2, FALSE), "Código não encontrado/Não digitado")</f>
        <v>Código não encontrado/Não digitado</v>
      </c>
      <c r="J598" s="12" t="s">
        <v>68</v>
      </c>
      <c r="K598" s="12" t="str">
        <f>IFERROR(VLOOKUP(J598, DADOS_RM_EVENTOS_original!E:J, 2, FALSE), "Código não encontrado/Não digitado")</f>
        <v>Código não encontrado/Não digitado</v>
      </c>
      <c r="L598" s="12" t="s">
        <v>68</v>
      </c>
      <c r="M598" s="12" t="str">
        <f>IFERROR(VLOOKUP(L598, DADOS_RM_EVENTOS_original!K:L, 2, FALSE), "Código não encontrado/Não digitado")</f>
        <v>Código não encontrado/Não digitado</v>
      </c>
    </row>
    <row r="599" ht="15.75" hidden="1" customHeight="1">
      <c r="A599" s="11" t="s">
        <v>142</v>
      </c>
      <c r="B599" s="11" t="s">
        <v>137</v>
      </c>
      <c r="C599" s="11" t="s">
        <v>4939</v>
      </c>
      <c r="D599" s="11" t="s">
        <v>120</v>
      </c>
      <c r="E599" s="11" t="s">
        <v>985</v>
      </c>
      <c r="F599" s="11" t="s">
        <v>64</v>
      </c>
      <c r="G599" s="12" t="str">
        <f>IFERROR(VLOOKUP(F599, DADOS_RM_EVENTOS_original!A:B, 2, FALSE), "Código não encontrado/Não digitado")</f>
        <v>Salario Base em Dias</v>
      </c>
      <c r="H599" s="12" t="s">
        <v>68</v>
      </c>
      <c r="I599" s="12" t="str">
        <f>IFERROR(VLOOKUP(H599, DADOS_RM_EVENTOS_original!C:D, 2, FALSE), "Código não encontrado/Não digitado")</f>
        <v>Código não encontrado/Não digitado</v>
      </c>
      <c r="J599" s="12" t="s">
        <v>68</v>
      </c>
      <c r="K599" s="12" t="str">
        <f>IFERROR(VLOOKUP(J599, DADOS_RM_EVENTOS_original!E:J, 2, FALSE), "Código não encontrado/Não digitado")</f>
        <v>Código não encontrado/Não digitado</v>
      </c>
      <c r="L599" s="12" t="s">
        <v>68</v>
      </c>
      <c r="M599" s="12" t="str">
        <f>IFERROR(VLOOKUP(L599, DADOS_RM_EVENTOS_original!K:L, 2, FALSE), "Código não encontrado/Não digitado")</f>
        <v>Código não encontrado/Não digitado</v>
      </c>
    </row>
    <row r="600" ht="15.75" hidden="1" customHeight="1">
      <c r="A600" s="11" t="s">
        <v>199</v>
      </c>
      <c r="B600" s="11" t="s">
        <v>137</v>
      </c>
      <c r="C600" s="11" t="s">
        <v>4939</v>
      </c>
      <c r="D600" s="11" t="s">
        <v>120</v>
      </c>
      <c r="E600" s="11" t="s">
        <v>1074</v>
      </c>
      <c r="F600" s="11" t="s">
        <v>64</v>
      </c>
      <c r="G600" s="12" t="str">
        <f>IFERROR(VLOOKUP(F600, DADOS_RM_EVENTOS_original!A:B, 2, FALSE), "Código não encontrado/Não digitado")</f>
        <v>Salario Base em Dias</v>
      </c>
      <c r="H600" s="12" t="s">
        <v>68</v>
      </c>
      <c r="I600" s="12" t="str">
        <f>IFERROR(VLOOKUP(H600, DADOS_RM_EVENTOS_original!C:D, 2, FALSE), "Código não encontrado/Não digitado")</f>
        <v>Código não encontrado/Não digitado</v>
      </c>
      <c r="J600" s="12" t="s">
        <v>68</v>
      </c>
      <c r="K600" s="12" t="str">
        <f>IFERROR(VLOOKUP(J600, DADOS_RM_EVENTOS_original!E:J, 2, FALSE), "Código não encontrado/Não digitado")</f>
        <v>Código não encontrado/Não digitado</v>
      </c>
      <c r="L600" s="12" t="s">
        <v>68</v>
      </c>
      <c r="M600" s="12" t="str">
        <f>IFERROR(VLOOKUP(L600, DADOS_RM_EVENTOS_original!K:L, 2, FALSE), "Código não encontrado/Não digitado")</f>
        <v>Código não encontrado/Não digitado</v>
      </c>
    </row>
    <row r="601" ht="15.75" hidden="1" customHeight="1">
      <c r="A601" s="11" t="s">
        <v>38</v>
      </c>
      <c r="B601" s="11" t="s">
        <v>128</v>
      </c>
      <c r="C601" s="11" t="s">
        <v>4971</v>
      </c>
      <c r="D601" s="11" t="s">
        <v>120</v>
      </c>
      <c r="E601" s="11" t="s">
        <v>47</v>
      </c>
      <c r="F601" s="11" t="s">
        <v>97</v>
      </c>
      <c r="G601" s="12" t="str">
        <f>IFERROR(VLOOKUP(F601, DADOS_RM_EVENTOS_original!A:B, 2, FALSE), "Código não encontrado/Não digitado")</f>
        <v>Cota de Salario Familia</v>
      </c>
      <c r="H601" s="12" t="s">
        <v>68</v>
      </c>
      <c r="I601" s="12" t="str">
        <f>IFERROR(VLOOKUP(H601, DADOS_RM_EVENTOS_original!C:D, 2, FALSE), "Código não encontrado/Não digitado")</f>
        <v>Código não encontrado/Não digitado</v>
      </c>
      <c r="J601" s="12" t="s">
        <v>68</v>
      </c>
      <c r="K601" s="12" t="str">
        <f>IFERROR(VLOOKUP(J601, DADOS_RM_EVENTOS_original!E:J, 2, FALSE), "Código não encontrado/Não digitado")</f>
        <v>Código não encontrado/Não digitado</v>
      </c>
      <c r="L601" s="12" t="s">
        <v>68</v>
      </c>
      <c r="M601" s="12" t="str">
        <f>IFERROR(VLOOKUP(L601, DADOS_RM_EVENTOS_original!K:L, 2, FALSE), "Código não encontrado/Não digitado")</f>
        <v>Código não encontrado/Não digitado</v>
      </c>
    </row>
    <row r="602" ht="15.75" hidden="1" customHeight="1">
      <c r="A602" s="11" t="s">
        <v>115</v>
      </c>
      <c r="B602" s="11" t="s">
        <v>128</v>
      </c>
      <c r="C602" s="11" t="s">
        <v>4971</v>
      </c>
      <c r="D602" s="11" t="s">
        <v>120</v>
      </c>
      <c r="E602" s="11" t="s">
        <v>121</v>
      </c>
      <c r="F602" s="11" t="s">
        <v>97</v>
      </c>
      <c r="G602" s="12" t="str">
        <f>IFERROR(VLOOKUP(F602, DADOS_RM_EVENTOS_original!A:B, 2, FALSE), "Código não encontrado/Não digitado")</f>
        <v>Cota de Salario Familia</v>
      </c>
      <c r="H602" s="12" t="s">
        <v>68</v>
      </c>
      <c r="I602" s="12" t="str">
        <f>IFERROR(VLOOKUP(H602, DADOS_RM_EVENTOS_original!C:D, 2, FALSE), "Código não encontrado/Não digitado")</f>
        <v>Código não encontrado/Não digitado</v>
      </c>
      <c r="J602" s="12" t="s">
        <v>68</v>
      </c>
      <c r="K602" s="12" t="str">
        <f>IFERROR(VLOOKUP(J602, DADOS_RM_EVENTOS_original!E:J, 2, FALSE), "Código não encontrado/Não digitado")</f>
        <v>Código não encontrado/Não digitado</v>
      </c>
      <c r="L602" s="12" t="s">
        <v>68</v>
      </c>
      <c r="M602" s="12" t="str">
        <f>IFERROR(VLOOKUP(L602, DADOS_RM_EVENTOS_original!K:L, 2, FALSE), "Código não encontrado/Não digitado")</f>
        <v>Código não encontrado/Não digitado</v>
      </c>
    </row>
    <row r="603" ht="15.75" hidden="1" customHeight="1">
      <c r="A603" s="11" t="s">
        <v>172</v>
      </c>
      <c r="B603" s="11" t="s">
        <v>128</v>
      </c>
      <c r="C603" s="11" t="s">
        <v>4986</v>
      </c>
      <c r="D603" s="11" t="s">
        <v>120</v>
      </c>
      <c r="E603" s="11" t="s">
        <v>1029</v>
      </c>
      <c r="F603" s="11" t="s">
        <v>97</v>
      </c>
      <c r="G603" s="12" t="str">
        <f>IFERROR(VLOOKUP(F603, DADOS_RM_EVENTOS_original!A:B, 2, FALSE), "Código não encontrado/Não digitado")</f>
        <v>Cota de Salario Familia</v>
      </c>
      <c r="H603" s="12" t="s">
        <v>68</v>
      </c>
      <c r="I603" s="12" t="str">
        <f>IFERROR(VLOOKUP(H603, DADOS_RM_EVENTOS_original!C:D, 2, FALSE), "Código não encontrado/Não digitado")</f>
        <v>Código não encontrado/Não digitado</v>
      </c>
      <c r="J603" s="12" t="s">
        <v>68</v>
      </c>
      <c r="K603" s="12" t="str">
        <f>IFERROR(VLOOKUP(J603, DADOS_RM_EVENTOS_original!E:J, 2, FALSE), "Código não encontrado/Não digitado")</f>
        <v>Código não encontrado/Não digitado</v>
      </c>
      <c r="L603" s="12" t="s">
        <v>68</v>
      </c>
      <c r="M603" s="12" t="str">
        <f>IFERROR(VLOOKUP(L603, DADOS_RM_EVENTOS_original!K:L, 2, FALSE), "Código não encontrado/Não digitado")</f>
        <v>Código não encontrado/Não digitado</v>
      </c>
    </row>
    <row r="604" ht="15.75" hidden="1" customHeight="1">
      <c r="A604" s="11" t="s">
        <v>97</v>
      </c>
      <c r="B604" s="11" t="s">
        <v>128</v>
      </c>
      <c r="C604" s="11" t="s">
        <v>4986</v>
      </c>
      <c r="D604" s="11" t="s">
        <v>120</v>
      </c>
      <c r="E604" s="11" t="s">
        <v>972</v>
      </c>
      <c r="F604" s="11" t="s">
        <v>97</v>
      </c>
      <c r="G604" s="12" t="str">
        <f>IFERROR(VLOOKUP(F604, DADOS_RM_EVENTOS_original!A:B, 2, FALSE), "Código não encontrado/Não digitado")</f>
        <v>Cota de Salario Familia</v>
      </c>
      <c r="H604" s="12" t="s">
        <v>68</v>
      </c>
      <c r="I604" s="12" t="str">
        <f>IFERROR(VLOOKUP(H604, DADOS_RM_EVENTOS_original!C:D, 2, FALSE), "Código não encontrado/Não digitado")</f>
        <v>Código não encontrado/Não digitado</v>
      </c>
      <c r="J604" s="12" t="s">
        <v>68</v>
      </c>
      <c r="K604" s="12" t="str">
        <f>IFERROR(VLOOKUP(J604, DADOS_RM_EVENTOS_original!E:J, 2, FALSE), "Código não encontrado/Não digitado")</f>
        <v>Código não encontrado/Não digitado</v>
      </c>
      <c r="L604" s="12" t="s">
        <v>68</v>
      </c>
      <c r="M604" s="12" t="str">
        <f>IFERROR(VLOOKUP(L604, DADOS_RM_EVENTOS_original!K:L, 2, FALSE), "Código não encontrado/Não digitado")</f>
        <v>Código não encontrado/Não digitado</v>
      </c>
    </row>
    <row r="605" ht="15.75" hidden="1" customHeight="1">
      <c r="A605" s="11" t="s">
        <v>142</v>
      </c>
      <c r="B605" s="11" t="s">
        <v>128</v>
      </c>
      <c r="C605" s="11" t="s">
        <v>4986</v>
      </c>
      <c r="D605" s="11" t="s">
        <v>120</v>
      </c>
      <c r="E605" s="11" t="s">
        <v>985</v>
      </c>
      <c r="F605" s="11" t="s">
        <v>97</v>
      </c>
      <c r="G605" s="12" t="str">
        <f>IFERROR(VLOOKUP(F605, DADOS_RM_EVENTOS_original!A:B, 2, FALSE), "Código não encontrado/Não digitado")</f>
        <v>Cota de Salario Familia</v>
      </c>
      <c r="H605" s="12" t="s">
        <v>68</v>
      </c>
      <c r="I605" s="12" t="str">
        <f>IFERROR(VLOOKUP(H605, DADOS_RM_EVENTOS_original!C:D, 2, FALSE), "Código não encontrado/Não digitado")</f>
        <v>Código não encontrado/Não digitado</v>
      </c>
      <c r="J605" s="12" t="s">
        <v>68</v>
      </c>
      <c r="K605" s="12" t="str">
        <f>IFERROR(VLOOKUP(J605, DADOS_RM_EVENTOS_original!E:J, 2, FALSE), "Código não encontrado/Não digitado")</f>
        <v>Código não encontrado/Não digitado</v>
      </c>
      <c r="L605" s="12" t="s">
        <v>68</v>
      </c>
      <c r="M605" s="12" t="str">
        <f>IFERROR(VLOOKUP(L605, DADOS_RM_EVENTOS_original!K:L, 2, FALSE), "Código não encontrado/Não digitado")</f>
        <v>Código não encontrado/Não digitado</v>
      </c>
    </row>
    <row r="606" ht="15.75" hidden="1" customHeight="1">
      <c r="A606" s="11" t="s">
        <v>199</v>
      </c>
      <c r="B606" s="11" t="s">
        <v>128</v>
      </c>
      <c r="C606" s="11" t="s">
        <v>4986</v>
      </c>
      <c r="D606" s="11" t="s">
        <v>120</v>
      </c>
      <c r="E606" s="11" t="s">
        <v>1074</v>
      </c>
      <c r="F606" s="11" t="s">
        <v>97</v>
      </c>
      <c r="G606" s="12" t="str">
        <f>IFERROR(VLOOKUP(F606, DADOS_RM_EVENTOS_original!A:B, 2, FALSE), "Código não encontrado/Não digitado")</f>
        <v>Cota de Salario Familia</v>
      </c>
      <c r="H606" s="12" t="s">
        <v>68</v>
      </c>
      <c r="I606" s="12" t="str">
        <f>IFERROR(VLOOKUP(H606, DADOS_RM_EVENTOS_original!C:D, 2, FALSE), "Código não encontrado/Não digitado")</f>
        <v>Código não encontrado/Não digitado</v>
      </c>
      <c r="J606" s="12" t="s">
        <v>68</v>
      </c>
      <c r="K606" s="12" t="str">
        <f>IFERROR(VLOOKUP(J606, DADOS_RM_EVENTOS_original!E:J, 2, FALSE), "Código não encontrado/Não digitado")</f>
        <v>Código não encontrado/Não digitado</v>
      </c>
      <c r="L606" s="12" t="s">
        <v>68</v>
      </c>
      <c r="M606" s="12" t="str">
        <f>IFERROR(VLOOKUP(L606, DADOS_RM_EVENTOS_original!K:L, 2, FALSE), "Código não encontrado/Não digitado")</f>
        <v>Código não encontrado/Não digitado</v>
      </c>
    </row>
    <row r="607" ht="15.75" hidden="1" customHeight="1">
      <c r="A607" s="11" t="s">
        <v>172</v>
      </c>
      <c r="B607" s="11" t="s">
        <v>863</v>
      </c>
      <c r="C607" s="11" t="s">
        <v>5026</v>
      </c>
      <c r="D607" s="11" t="s">
        <v>96</v>
      </c>
      <c r="E607" s="11" t="s">
        <v>1029</v>
      </c>
      <c r="F607" s="11" t="s">
        <v>99</v>
      </c>
      <c r="G607" s="12" t="str">
        <f>IFERROR(VLOOKUP(F607, DADOS_RM_EVENTOS_original!A:B, 2, FALSE), "Código não encontrado/Não digitado")</f>
        <v>Código não encontrado/Não digitado</v>
      </c>
      <c r="H607" s="12" t="s">
        <v>68</v>
      </c>
      <c r="I607" s="12" t="str">
        <f>IFERROR(VLOOKUP(H607, DADOS_RM_EVENTOS_original!C:D, 2, FALSE), "Código não encontrado/Não digitado")</f>
        <v>Código não encontrado/Não digitado</v>
      </c>
      <c r="J607" s="12" t="s">
        <v>68</v>
      </c>
      <c r="K607" s="12" t="str">
        <f>IFERROR(VLOOKUP(J607, DADOS_RM_EVENTOS_original!E:J, 2, FALSE), "Código não encontrado/Não digitado")</f>
        <v>Código não encontrado/Não digitado</v>
      </c>
      <c r="L607" s="12" t="s">
        <v>68</v>
      </c>
      <c r="M607" s="12" t="str">
        <f>IFERROR(VLOOKUP(L607, DADOS_RM_EVENTOS_original!K:L, 2, FALSE), "Código não encontrado/Não digitado")</f>
        <v>Código não encontrado/Não digitado</v>
      </c>
    </row>
    <row r="608" ht="15.75" hidden="1" customHeight="1">
      <c r="A608" s="11" t="s">
        <v>97</v>
      </c>
      <c r="B608" s="11" t="s">
        <v>863</v>
      </c>
      <c r="C608" s="11" t="s">
        <v>5026</v>
      </c>
      <c r="D608" s="11" t="s">
        <v>96</v>
      </c>
      <c r="E608" s="11" t="s">
        <v>972</v>
      </c>
      <c r="F608" s="11" t="s">
        <v>99</v>
      </c>
      <c r="G608" s="12" t="str">
        <f>IFERROR(VLOOKUP(F608, DADOS_RM_EVENTOS_original!A:B, 2, FALSE), "Código não encontrado/Não digitado")</f>
        <v>Código não encontrado/Não digitado</v>
      </c>
      <c r="H608" s="12" t="s">
        <v>68</v>
      </c>
      <c r="I608" s="12" t="str">
        <f>IFERROR(VLOOKUP(H608, DADOS_RM_EVENTOS_original!C:D, 2, FALSE), "Código não encontrado/Não digitado")</f>
        <v>Código não encontrado/Não digitado</v>
      </c>
      <c r="J608" s="12" t="s">
        <v>68</v>
      </c>
      <c r="K608" s="12" t="str">
        <f>IFERROR(VLOOKUP(J608, DADOS_RM_EVENTOS_original!E:J, 2, FALSE), "Código não encontrado/Não digitado")</f>
        <v>Código não encontrado/Não digitado</v>
      </c>
      <c r="L608" s="12" t="s">
        <v>68</v>
      </c>
      <c r="M608" s="12" t="str">
        <f>IFERROR(VLOOKUP(L608, DADOS_RM_EVENTOS_original!K:L, 2, FALSE), "Código não encontrado/Não digitado")</f>
        <v>Código não encontrado/Não digitado</v>
      </c>
    </row>
    <row r="609" ht="15.75" hidden="1" customHeight="1">
      <c r="A609" s="11" t="s">
        <v>142</v>
      </c>
      <c r="B609" s="11" t="s">
        <v>863</v>
      </c>
      <c r="C609" s="11" t="s">
        <v>5026</v>
      </c>
      <c r="D609" s="11" t="s">
        <v>96</v>
      </c>
      <c r="E609" s="11" t="s">
        <v>985</v>
      </c>
      <c r="F609" s="11" t="s">
        <v>99</v>
      </c>
      <c r="G609" s="12" t="str">
        <f>IFERROR(VLOOKUP(F609, DADOS_RM_EVENTOS_original!A:B, 2, FALSE), "Código não encontrado/Não digitado")</f>
        <v>Código não encontrado/Não digitado</v>
      </c>
      <c r="H609" s="12" t="s">
        <v>68</v>
      </c>
      <c r="I609" s="12" t="str">
        <f>IFERROR(VLOOKUP(H609, DADOS_RM_EVENTOS_original!C:D, 2, FALSE), "Código não encontrado/Não digitado")</f>
        <v>Código não encontrado/Não digitado</v>
      </c>
      <c r="J609" s="12" t="s">
        <v>68</v>
      </c>
      <c r="K609" s="12" t="str">
        <f>IFERROR(VLOOKUP(J609, DADOS_RM_EVENTOS_original!E:J, 2, FALSE), "Código não encontrado/Não digitado")</f>
        <v>Código não encontrado/Não digitado</v>
      </c>
      <c r="L609" s="12" t="s">
        <v>68</v>
      </c>
      <c r="M609" s="12" t="str">
        <f>IFERROR(VLOOKUP(L609, DADOS_RM_EVENTOS_original!K:L, 2, FALSE), "Código não encontrado/Não digitado")</f>
        <v>Código não encontrado/Não digitado</v>
      </c>
    </row>
    <row r="610" ht="15.75" hidden="1" customHeight="1">
      <c r="A610" s="11" t="s">
        <v>199</v>
      </c>
      <c r="B610" s="11" t="s">
        <v>863</v>
      </c>
      <c r="C610" s="11" t="s">
        <v>5026</v>
      </c>
      <c r="D610" s="11" t="s">
        <v>96</v>
      </c>
      <c r="E610" s="11" t="s">
        <v>1074</v>
      </c>
      <c r="F610" s="11" t="s">
        <v>99</v>
      </c>
      <c r="G610" s="12" t="str">
        <f>IFERROR(VLOOKUP(F610, DADOS_RM_EVENTOS_original!A:B, 2, FALSE), "Código não encontrado/Não digitado")</f>
        <v>Código não encontrado/Não digitado</v>
      </c>
      <c r="H610" s="12" t="s">
        <v>68</v>
      </c>
      <c r="I610" s="12" t="str">
        <f>IFERROR(VLOOKUP(H610, DADOS_RM_EVENTOS_original!C:D, 2, FALSE), "Código não encontrado/Não digitado")</f>
        <v>Código não encontrado/Não digitado</v>
      </c>
      <c r="J610" s="12" t="s">
        <v>68</v>
      </c>
      <c r="K610" s="12" t="str">
        <f>IFERROR(VLOOKUP(J610, DADOS_RM_EVENTOS_original!E:J, 2, FALSE), "Código não encontrado/Não digitado")</f>
        <v>Código não encontrado/Não digitado</v>
      </c>
      <c r="L610" s="12" t="s">
        <v>68</v>
      </c>
      <c r="M610" s="12" t="str">
        <f>IFERROR(VLOOKUP(L610, DADOS_RM_EVENTOS_original!K:L, 2, FALSE), "Código não encontrado/Não digitado")</f>
        <v>Código não encontrado/Não digitado</v>
      </c>
    </row>
    <row r="611" ht="15.75" hidden="1" customHeight="1">
      <c r="A611" s="11" t="s">
        <v>38</v>
      </c>
      <c r="B611" s="11" t="s">
        <v>112</v>
      </c>
      <c r="C611" s="11" t="s">
        <v>5046</v>
      </c>
      <c r="D611" s="11" t="s">
        <v>120</v>
      </c>
      <c r="E611" s="11" t="s">
        <v>47</v>
      </c>
      <c r="F611" s="11" t="s">
        <v>172</v>
      </c>
      <c r="G611" s="12" t="str">
        <f>IFERROR(VLOOKUP(F611, DADOS_RM_EVENTOS_original!A:B, 2, FALSE), "Código não encontrado/Não digitado")</f>
        <v>Salario Maternidade</v>
      </c>
      <c r="H611" s="12" t="s">
        <v>68</v>
      </c>
      <c r="I611" s="12" t="str">
        <f>IFERROR(VLOOKUP(H611, DADOS_RM_EVENTOS_original!C:D, 2, FALSE), "Código não encontrado/Não digitado")</f>
        <v>Código não encontrado/Não digitado</v>
      </c>
      <c r="J611" s="12" t="s">
        <v>68</v>
      </c>
      <c r="K611" s="12" t="str">
        <f>IFERROR(VLOOKUP(J611, DADOS_RM_EVENTOS_original!E:J, 2, FALSE), "Código não encontrado/Não digitado")</f>
        <v>Código não encontrado/Não digitado</v>
      </c>
      <c r="L611" s="12" t="s">
        <v>68</v>
      </c>
      <c r="M611" s="12" t="str">
        <f>IFERROR(VLOOKUP(L611, DADOS_RM_EVENTOS_original!K:L, 2, FALSE), "Código não encontrado/Não digitado")</f>
        <v>Código não encontrado/Não digitado</v>
      </c>
    </row>
    <row r="612" ht="15.75" hidden="1" customHeight="1">
      <c r="A612" s="11" t="s">
        <v>97</v>
      </c>
      <c r="B612" s="11" t="s">
        <v>112</v>
      </c>
      <c r="C612" s="11" t="s">
        <v>5049</v>
      </c>
      <c r="D612" s="11" t="s">
        <v>120</v>
      </c>
      <c r="E612" s="11" t="s">
        <v>972</v>
      </c>
      <c r="F612" s="11" t="s">
        <v>172</v>
      </c>
      <c r="G612" s="12" t="str">
        <f>IFERROR(VLOOKUP(F612, DADOS_RM_EVENTOS_original!A:B, 2, FALSE), "Código não encontrado/Não digitado")</f>
        <v>Salario Maternidade</v>
      </c>
      <c r="H612" s="12" t="s">
        <v>68</v>
      </c>
      <c r="I612" s="12" t="str">
        <f>IFERROR(VLOOKUP(H612, DADOS_RM_EVENTOS_original!C:D, 2, FALSE), "Código não encontrado/Não digitado")</f>
        <v>Código não encontrado/Não digitado</v>
      </c>
      <c r="J612" s="12" t="s">
        <v>68</v>
      </c>
      <c r="K612" s="12" t="str">
        <f>IFERROR(VLOOKUP(J612, DADOS_RM_EVENTOS_original!E:J, 2, FALSE), "Código não encontrado/Não digitado")</f>
        <v>Código não encontrado/Não digitado</v>
      </c>
      <c r="L612" s="12" t="s">
        <v>68</v>
      </c>
      <c r="M612" s="12" t="str">
        <f>IFERROR(VLOOKUP(L612, DADOS_RM_EVENTOS_original!K:L, 2, FALSE), "Código não encontrado/Não digitado")</f>
        <v>Código não encontrado/Não digitado</v>
      </c>
    </row>
    <row r="613" ht="15.75" hidden="1" customHeight="1">
      <c r="A613" s="11" t="s">
        <v>97</v>
      </c>
      <c r="B613" s="11" t="s">
        <v>889</v>
      </c>
      <c r="C613" s="11" t="s">
        <v>5056</v>
      </c>
      <c r="D613" s="11" t="s">
        <v>96</v>
      </c>
      <c r="E613" s="11" t="s">
        <v>972</v>
      </c>
      <c r="F613" s="11" t="s">
        <v>99</v>
      </c>
      <c r="G613" s="12" t="str">
        <f>IFERROR(VLOOKUP(F613, DADOS_RM_EVENTOS_original!A:B, 2, FALSE), "Código não encontrado/Não digitado")</f>
        <v>Código não encontrado/Não digitado</v>
      </c>
      <c r="H613" s="12" t="s">
        <v>68</v>
      </c>
      <c r="I613" s="12" t="str">
        <f>IFERROR(VLOOKUP(H613, DADOS_RM_EVENTOS_original!C:D, 2, FALSE), "Código não encontrado/Não digitado")</f>
        <v>Código não encontrado/Não digitado</v>
      </c>
      <c r="J613" s="12" t="s">
        <v>68</v>
      </c>
      <c r="K613" s="12" t="str">
        <f>IFERROR(VLOOKUP(J613, DADOS_RM_EVENTOS_original!E:J, 2, FALSE), "Código não encontrado/Não digitado")</f>
        <v>Código não encontrado/Não digitado</v>
      </c>
      <c r="L613" s="12" t="s">
        <v>68</v>
      </c>
      <c r="M613" s="12" t="str">
        <f>IFERROR(VLOOKUP(L613, DADOS_RM_EVENTOS_original!K:L, 2, FALSE), "Código não encontrado/Não digitado")</f>
        <v>Código não encontrado/Não digitado</v>
      </c>
    </row>
    <row r="614" ht="15.75" hidden="1" customHeight="1">
      <c r="A614" s="11" t="s">
        <v>38</v>
      </c>
      <c r="B614" s="11" t="s">
        <v>38</v>
      </c>
      <c r="C614" s="11" t="s">
        <v>5062</v>
      </c>
      <c r="D614" s="11" t="s">
        <v>120</v>
      </c>
      <c r="E614" s="11" t="s">
        <v>47</v>
      </c>
      <c r="F614" s="11" t="s">
        <v>468</v>
      </c>
      <c r="G614" s="12" t="str">
        <f>IFERROR(VLOOKUP(F614, DADOS_RM_EVENTOS_original!A:B, 2, FALSE), "Código não encontrado/Não digitado")</f>
        <v>Dias Trabalhados em Rescisao</v>
      </c>
      <c r="H614" s="12" t="s">
        <v>68</v>
      </c>
      <c r="I614" s="12" t="str">
        <f>IFERROR(VLOOKUP(H614, DADOS_RM_EVENTOS_original!C:D, 2, FALSE), "Código não encontrado/Não digitado")</f>
        <v>Código não encontrado/Não digitado</v>
      </c>
      <c r="J614" s="12" t="s">
        <v>68</v>
      </c>
      <c r="K614" s="12" t="str">
        <f>IFERROR(VLOOKUP(J614, DADOS_RM_EVENTOS_original!E:J, 2, FALSE), "Código não encontrado/Não digitado")</f>
        <v>Código não encontrado/Não digitado</v>
      </c>
      <c r="L614" s="12" t="s">
        <v>68</v>
      </c>
      <c r="M614" s="12" t="str">
        <f>IFERROR(VLOOKUP(L614, DADOS_RM_EVENTOS_original!K:L, 2, FALSE), "Código não encontrado/Não digitado")</f>
        <v>Código não encontrado/Não digitado</v>
      </c>
    </row>
    <row r="615" ht="15.75" hidden="1" customHeight="1">
      <c r="A615" s="11" t="s">
        <v>115</v>
      </c>
      <c r="B615" s="11" t="s">
        <v>38</v>
      </c>
      <c r="C615" s="11" t="s">
        <v>5062</v>
      </c>
      <c r="D615" s="11" t="s">
        <v>120</v>
      </c>
      <c r="E615" s="11" t="s">
        <v>121</v>
      </c>
      <c r="F615" s="11" t="s">
        <v>468</v>
      </c>
      <c r="G615" s="12" t="str">
        <f>IFERROR(VLOOKUP(F615, DADOS_RM_EVENTOS_original!A:B, 2, FALSE), "Código não encontrado/Não digitado")</f>
        <v>Dias Trabalhados em Rescisao</v>
      </c>
      <c r="H615" s="12" t="s">
        <v>68</v>
      </c>
      <c r="I615" s="12" t="str">
        <f>IFERROR(VLOOKUP(H615, DADOS_RM_EVENTOS_original!C:D, 2, FALSE), "Código não encontrado/Não digitado")</f>
        <v>Código não encontrado/Não digitado</v>
      </c>
      <c r="J615" s="12" t="s">
        <v>68</v>
      </c>
      <c r="K615" s="12" t="str">
        <f>IFERROR(VLOOKUP(J615, DADOS_RM_EVENTOS_original!E:J, 2, FALSE), "Código não encontrado/Não digitado")</f>
        <v>Código não encontrado/Não digitado</v>
      </c>
      <c r="L615" s="12" t="s">
        <v>68</v>
      </c>
      <c r="M615" s="12" t="str">
        <f>IFERROR(VLOOKUP(L615, DADOS_RM_EVENTOS_original!K:L, 2, FALSE), "Código não encontrado/Não digitado")</f>
        <v>Código não encontrado/Não digitado</v>
      </c>
    </row>
    <row r="616" ht="15.75" hidden="1" customHeight="1">
      <c r="A616" s="11" t="s">
        <v>172</v>
      </c>
      <c r="B616" s="11" t="s">
        <v>41</v>
      </c>
      <c r="C616" s="11" t="s">
        <v>5069</v>
      </c>
      <c r="D616" s="11" t="s">
        <v>120</v>
      </c>
      <c r="E616" s="11" t="s">
        <v>1029</v>
      </c>
      <c r="F616" s="11" t="s">
        <v>468</v>
      </c>
      <c r="G616" s="12" t="str">
        <f>IFERROR(VLOOKUP(F616, DADOS_RM_EVENTOS_original!A:B, 2, FALSE), "Código não encontrado/Não digitado")</f>
        <v>Dias Trabalhados em Rescisao</v>
      </c>
      <c r="H616" s="12" t="s">
        <v>68</v>
      </c>
      <c r="I616" s="12" t="str">
        <f>IFERROR(VLOOKUP(H616, DADOS_RM_EVENTOS_original!C:D, 2, FALSE), "Código não encontrado/Não digitado")</f>
        <v>Código não encontrado/Não digitado</v>
      </c>
      <c r="J616" s="12" t="s">
        <v>68</v>
      </c>
      <c r="K616" s="12" t="str">
        <f>IFERROR(VLOOKUP(J616, DADOS_RM_EVENTOS_original!E:J, 2, FALSE), "Código não encontrado/Não digitado")</f>
        <v>Código não encontrado/Não digitado</v>
      </c>
      <c r="L616" s="12" t="s">
        <v>68</v>
      </c>
      <c r="M616" s="12" t="str">
        <f>IFERROR(VLOOKUP(L616, DADOS_RM_EVENTOS_original!K:L, 2, FALSE), "Código não encontrado/Não digitado")</f>
        <v>Código não encontrado/Não digitado</v>
      </c>
    </row>
    <row r="617" ht="15.75" hidden="1" customHeight="1">
      <c r="A617" s="11" t="s">
        <v>97</v>
      </c>
      <c r="B617" s="11" t="s">
        <v>38</v>
      </c>
      <c r="C617" s="11" t="s">
        <v>5069</v>
      </c>
      <c r="D617" s="11" t="s">
        <v>120</v>
      </c>
      <c r="E617" s="11" t="s">
        <v>972</v>
      </c>
      <c r="F617" s="11" t="s">
        <v>468</v>
      </c>
      <c r="G617" s="12" t="str">
        <f>IFERROR(VLOOKUP(F617, DADOS_RM_EVENTOS_original!A:B, 2, FALSE), "Código não encontrado/Não digitado")</f>
        <v>Dias Trabalhados em Rescisao</v>
      </c>
      <c r="H617" s="12" t="s">
        <v>68</v>
      </c>
      <c r="I617" s="12" t="str">
        <f>IFERROR(VLOOKUP(H617, DADOS_RM_EVENTOS_original!C:D, 2, FALSE), "Código não encontrado/Não digitado")</f>
        <v>Código não encontrado/Não digitado</v>
      </c>
      <c r="J617" s="12" t="s">
        <v>68</v>
      </c>
      <c r="K617" s="12" t="str">
        <f>IFERROR(VLOOKUP(J617, DADOS_RM_EVENTOS_original!E:J, 2, FALSE), "Código não encontrado/Não digitado")</f>
        <v>Código não encontrado/Não digitado</v>
      </c>
      <c r="L617" s="12" t="s">
        <v>68</v>
      </c>
      <c r="M617" s="12" t="str">
        <f>IFERROR(VLOOKUP(L617, DADOS_RM_EVENTOS_original!K:L, 2, FALSE), "Código não encontrado/Não digitado")</f>
        <v>Código não encontrado/Não digitado</v>
      </c>
    </row>
    <row r="618" ht="15.75" hidden="1" customHeight="1">
      <c r="A618" s="11" t="s">
        <v>142</v>
      </c>
      <c r="B618" s="11" t="s">
        <v>3089</v>
      </c>
      <c r="C618" s="11" t="s">
        <v>5069</v>
      </c>
      <c r="D618" s="11" t="s">
        <v>120</v>
      </c>
      <c r="E618" s="11" t="s">
        <v>985</v>
      </c>
      <c r="F618" s="11" t="s">
        <v>468</v>
      </c>
      <c r="G618" s="12" t="str">
        <f>IFERROR(VLOOKUP(F618, DADOS_RM_EVENTOS_original!A:B, 2, FALSE), "Código não encontrado/Não digitado")</f>
        <v>Dias Trabalhados em Rescisao</v>
      </c>
      <c r="H618" s="12" t="s">
        <v>68</v>
      </c>
      <c r="I618" s="12" t="str">
        <f>IFERROR(VLOOKUP(H618, DADOS_RM_EVENTOS_original!C:D, 2, FALSE), "Código não encontrado/Não digitado")</f>
        <v>Código não encontrado/Não digitado</v>
      </c>
      <c r="J618" s="12" t="s">
        <v>68</v>
      </c>
      <c r="K618" s="12" t="str">
        <f>IFERROR(VLOOKUP(J618, DADOS_RM_EVENTOS_original!E:J, 2, FALSE), "Código não encontrado/Não digitado")</f>
        <v>Código não encontrado/Não digitado</v>
      </c>
      <c r="L618" s="12" t="s">
        <v>68</v>
      </c>
      <c r="M618" s="12" t="str">
        <f>IFERROR(VLOOKUP(L618, DADOS_RM_EVENTOS_original!K:L, 2, FALSE), "Código não encontrado/Não digitado")</f>
        <v>Código não encontrado/Não digitado</v>
      </c>
    </row>
    <row r="619" ht="15.75" hidden="1" customHeight="1">
      <c r="A619" s="11" t="s">
        <v>199</v>
      </c>
      <c r="B619" s="11" t="s">
        <v>832</v>
      </c>
      <c r="C619" s="11" t="s">
        <v>5069</v>
      </c>
      <c r="D619" s="11" t="s">
        <v>120</v>
      </c>
      <c r="E619" s="11" t="s">
        <v>1074</v>
      </c>
      <c r="F619" s="11" t="s">
        <v>468</v>
      </c>
      <c r="G619" s="12" t="str">
        <f>IFERROR(VLOOKUP(F619, DADOS_RM_EVENTOS_original!A:B, 2, FALSE), "Código não encontrado/Não digitado")</f>
        <v>Dias Trabalhados em Rescisao</v>
      </c>
      <c r="H619" s="12" t="s">
        <v>68</v>
      </c>
      <c r="I619" s="12" t="str">
        <f>IFERROR(VLOOKUP(H619, DADOS_RM_EVENTOS_original!C:D, 2, FALSE), "Código não encontrado/Não digitado")</f>
        <v>Código não encontrado/Não digitado</v>
      </c>
      <c r="J619" s="12" t="s">
        <v>68</v>
      </c>
      <c r="K619" s="12" t="str">
        <f>IFERROR(VLOOKUP(J619, DADOS_RM_EVENTOS_original!E:J, 2, FALSE), "Código não encontrado/Não digitado")</f>
        <v>Código não encontrado/Não digitado</v>
      </c>
      <c r="L619" s="12" t="s">
        <v>68</v>
      </c>
      <c r="M619" s="12" t="str">
        <f>IFERROR(VLOOKUP(L619, DADOS_RM_EVENTOS_original!K:L, 2, FALSE), "Código não encontrado/Não digitado")</f>
        <v>Código não encontrado/Não digitado</v>
      </c>
    </row>
    <row r="620" ht="15.75" hidden="1" customHeight="1">
      <c r="A620" s="11" t="s">
        <v>172</v>
      </c>
      <c r="B620" s="11" t="s">
        <v>902</v>
      </c>
      <c r="C620" s="11" t="s">
        <v>5083</v>
      </c>
      <c r="D620" s="11" t="s">
        <v>96</v>
      </c>
      <c r="E620" s="11" t="s">
        <v>1029</v>
      </c>
      <c r="F620" s="11" t="s">
        <v>99</v>
      </c>
      <c r="G620" s="12" t="str">
        <f>IFERROR(VLOOKUP(F620, DADOS_RM_EVENTOS_original!A:B, 2, FALSE), "Código não encontrado/Não digitado")</f>
        <v>Código não encontrado/Não digitado</v>
      </c>
      <c r="H620" s="12" t="s">
        <v>68</v>
      </c>
      <c r="I620" s="12" t="str">
        <f>IFERROR(VLOOKUP(H620, DADOS_RM_EVENTOS_original!C:D, 2, FALSE), "Código não encontrado/Não digitado")</f>
        <v>Código não encontrado/Não digitado</v>
      </c>
      <c r="J620" s="12" t="s">
        <v>68</v>
      </c>
      <c r="K620" s="12" t="str">
        <f>IFERROR(VLOOKUP(J620, DADOS_RM_EVENTOS_original!E:J, 2, FALSE), "Código não encontrado/Não digitado")</f>
        <v>Código não encontrado/Não digitado</v>
      </c>
      <c r="L620" s="12" t="s">
        <v>68</v>
      </c>
      <c r="M620" s="12" t="str">
        <f>IFERROR(VLOOKUP(L620, DADOS_RM_EVENTOS_original!K:L, 2, FALSE), "Código não encontrado/Não digitado")</f>
        <v>Código não encontrado/Não digitado</v>
      </c>
    </row>
    <row r="621" ht="15.75" hidden="1" customHeight="1">
      <c r="A621" s="11" t="s">
        <v>97</v>
      </c>
      <c r="B621" s="11" t="s">
        <v>902</v>
      </c>
      <c r="C621" s="11" t="s">
        <v>5083</v>
      </c>
      <c r="D621" s="11" t="s">
        <v>96</v>
      </c>
      <c r="E621" s="11" t="s">
        <v>972</v>
      </c>
      <c r="F621" s="11" t="s">
        <v>99</v>
      </c>
      <c r="G621" s="12" t="str">
        <f>IFERROR(VLOOKUP(F621, DADOS_RM_EVENTOS_original!A:B, 2, FALSE), "Código não encontrado/Não digitado")</f>
        <v>Código não encontrado/Não digitado</v>
      </c>
      <c r="H621" s="12" t="s">
        <v>68</v>
      </c>
      <c r="I621" s="12" t="str">
        <f>IFERROR(VLOOKUP(H621, DADOS_RM_EVENTOS_original!C:D, 2, FALSE), "Código não encontrado/Não digitado")</f>
        <v>Código não encontrado/Não digitado</v>
      </c>
      <c r="J621" s="12" t="s">
        <v>68</v>
      </c>
      <c r="K621" s="12" t="str">
        <f>IFERROR(VLOOKUP(J621, DADOS_RM_EVENTOS_original!E:J, 2, FALSE), "Código não encontrado/Não digitado")</f>
        <v>Código não encontrado/Não digitado</v>
      </c>
      <c r="L621" s="12" t="s">
        <v>68</v>
      </c>
      <c r="M621" s="12" t="str">
        <f>IFERROR(VLOOKUP(L621, DADOS_RM_EVENTOS_original!K:L, 2, FALSE), "Código não encontrado/Não digitado")</f>
        <v>Código não encontrado/Não digitado</v>
      </c>
    </row>
    <row r="622" ht="15.75" hidden="1" customHeight="1">
      <c r="A622" s="11" t="s">
        <v>142</v>
      </c>
      <c r="B622" s="11" t="s">
        <v>902</v>
      </c>
      <c r="C622" s="11" t="s">
        <v>5083</v>
      </c>
      <c r="D622" s="11" t="s">
        <v>96</v>
      </c>
      <c r="E622" s="11" t="s">
        <v>985</v>
      </c>
      <c r="F622" s="11" t="s">
        <v>99</v>
      </c>
      <c r="G622" s="12" t="str">
        <f>IFERROR(VLOOKUP(F622, DADOS_RM_EVENTOS_original!A:B, 2, FALSE), "Código não encontrado/Não digitado")</f>
        <v>Código não encontrado/Não digitado</v>
      </c>
      <c r="H622" s="12" t="s">
        <v>68</v>
      </c>
      <c r="I622" s="12" t="str">
        <f>IFERROR(VLOOKUP(H622, DADOS_RM_EVENTOS_original!C:D, 2, FALSE), "Código não encontrado/Não digitado")</f>
        <v>Código não encontrado/Não digitado</v>
      </c>
      <c r="J622" s="12" t="s">
        <v>68</v>
      </c>
      <c r="K622" s="12" t="str">
        <f>IFERROR(VLOOKUP(J622, DADOS_RM_EVENTOS_original!E:J, 2, FALSE), "Código não encontrado/Não digitado")</f>
        <v>Código não encontrado/Não digitado</v>
      </c>
      <c r="L622" s="12" t="s">
        <v>68</v>
      </c>
      <c r="M622" s="12" t="str">
        <f>IFERROR(VLOOKUP(L622, DADOS_RM_EVENTOS_original!K:L, 2, FALSE), "Código não encontrado/Não digitado")</f>
        <v>Código não encontrado/Não digitado</v>
      </c>
    </row>
    <row r="623" ht="15.75" hidden="1" customHeight="1">
      <c r="A623" s="11" t="s">
        <v>199</v>
      </c>
      <c r="B623" s="11" t="s">
        <v>902</v>
      </c>
      <c r="C623" s="11" t="s">
        <v>5083</v>
      </c>
      <c r="D623" s="11" t="s">
        <v>96</v>
      </c>
      <c r="E623" s="11" t="s">
        <v>1074</v>
      </c>
      <c r="F623" s="11" t="s">
        <v>99</v>
      </c>
      <c r="G623" s="12" t="str">
        <f>IFERROR(VLOOKUP(F623, DADOS_RM_EVENTOS_original!A:B, 2, FALSE), "Código não encontrado/Não digitado")</f>
        <v>Código não encontrado/Não digitado</v>
      </c>
      <c r="H623" s="12" t="s">
        <v>68</v>
      </c>
      <c r="I623" s="12" t="str">
        <f>IFERROR(VLOOKUP(H623, DADOS_RM_EVENTOS_original!C:D, 2, FALSE), "Código não encontrado/Não digitado")</f>
        <v>Código não encontrado/Não digitado</v>
      </c>
      <c r="J623" s="12" t="s">
        <v>68</v>
      </c>
      <c r="K623" s="12" t="str">
        <f>IFERROR(VLOOKUP(J623, DADOS_RM_EVENTOS_original!E:J, 2, FALSE), "Código não encontrado/Não digitado")</f>
        <v>Código não encontrado/Não digitado</v>
      </c>
      <c r="L623" s="12" t="s">
        <v>68</v>
      </c>
      <c r="M623" s="12" t="str">
        <f>IFERROR(VLOOKUP(L623, DADOS_RM_EVENTOS_original!K:L, 2, FALSE), "Código não encontrado/Não digitado")</f>
        <v>Código não encontrado/Não digitado</v>
      </c>
    </row>
    <row r="624" ht="15.75" hidden="1" customHeight="1">
      <c r="A624" s="11" t="s">
        <v>38</v>
      </c>
      <c r="B624" s="11" t="s">
        <v>211</v>
      </c>
      <c r="C624" s="11" t="s">
        <v>5091</v>
      </c>
      <c r="D624" s="11" t="s">
        <v>44</v>
      </c>
      <c r="E624" s="11" t="s">
        <v>47</v>
      </c>
      <c r="F624" s="11" t="s">
        <v>593</v>
      </c>
      <c r="G624" s="12" t="str">
        <f>IFERROR(VLOOKUP(F624, DADOS_RM_EVENTOS_original!A:B, 2, FALSE), "Código não encontrado/Não digitado")</f>
        <v>Desc. Faltas X Suspensao (em Horas)</v>
      </c>
      <c r="H624" s="12" t="s">
        <v>68</v>
      </c>
      <c r="I624" s="12" t="str">
        <f>IFERROR(VLOOKUP(H624, DADOS_RM_EVENTOS_original!C:D, 2, FALSE), "Código não encontrado/Não digitado")</f>
        <v>Código não encontrado/Não digitado</v>
      </c>
      <c r="J624" s="12" t="s">
        <v>68</v>
      </c>
      <c r="K624" s="12" t="str">
        <f>IFERROR(VLOOKUP(J624, DADOS_RM_EVENTOS_original!E:J, 2, FALSE), "Código não encontrado/Não digitado")</f>
        <v>Código não encontrado/Não digitado</v>
      </c>
      <c r="L624" s="12" t="s">
        <v>68</v>
      </c>
      <c r="M624" s="12" t="str">
        <f>IFERROR(VLOOKUP(L624, DADOS_RM_EVENTOS_original!K:L, 2, FALSE), "Código não encontrado/Não digitado")</f>
        <v>Código não encontrado/Não digitado</v>
      </c>
    </row>
    <row r="625" ht="15.75" hidden="1" customHeight="1">
      <c r="A625" s="11" t="s">
        <v>38</v>
      </c>
      <c r="B625" s="11" t="s">
        <v>1210</v>
      </c>
      <c r="C625" s="11" t="s">
        <v>5096</v>
      </c>
      <c r="D625" s="11" t="s">
        <v>44</v>
      </c>
      <c r="E625" s="11" t="s">
        <v>47</v>
      </c>
      <c r="F625" s="11" t="s">
        <v>930</v>
      </c>
      <c r="G625" s="12" t="str">
        <f>IFERROR(VLOOKUP(F625, DADOS_RM_EVENTOS_original!A:B, 2, FALSE), "Código não encontrado/Não digitado")</f>
        <v>Desc. Contribuicao Assistencial</v>
      </c>
      <c r="H625" s="12" t="s">
        <v>68</v>
      </c>
      <c r="I625" s="12" t="str">
        <f>IFERROR(VLOOKUP(H625, DADOS_RM_EVENTOS_original!C:D, 2, FALSE), "Código não encontrado/Não digitado")</f>
        <v>Código não encontrado/Não digitado</v>
      </c>
      <c r="J625" s="12" t="s">
        <v>68</v>
      </c>
      <c r="K625" s="12" t="str">
        <f>IFERROR(VLOOKUP(J625, DADOS_RM_EVENTOS_original!E:J, 2, FALSE), "Código não encontrado/Não digitado")</f>
        <v>Código não encontrado/Não digitado</v>
      </c>
      <c r="L625" s="12" t="s">
        <v>68</v>
      </c>
      <c r="M625" s="12" t="str">
        <f>IFERROR(VLOOKUP(L625, DADOS_RM_EVENTOS_original!K:L, 2, FALSE), "Código não encontrado/Não digitado")</f>
        <v>Código não encontrado/Não digitado</v>
      </c>
    </row>
    <row r="626" ht="15.75" hidden="1" customHeight="1">
      <c r="A626" s="11" t="s">
        <v>97</v>
      </c>
      <c r="B626" s="11" t="s">
        <v>1210</v>
      </c>
      <c r="C626" s="11" t="s">
        <v>5099</v>
      </c>
      <c r="D626" s="11" t="s">
        <v>44</v>
      </c>
      <c r="E626" s="11" t="s">
        <v>972</v>
      </c>
      <c r="F626" s="11" t="s">
        <v>930</v>
      </c>
      <c r="G626" s="12" t="str">
        <f>IFERROR(VLOOKUP(F626, DADOS_RM_EVENTOS_original!A:B, 2, FALSE), "Código não encontrado/Não digitado")</f>
        <v>Desc. Contribuicao Assistencial</v>
      </c>
      <c r="H626" s="12" t="s">
        <v>68</v>
      </c>
      <c r="I626" s="12" t="str">
        <f>IFERROR(VLOOKUP(H626, DADOS_RM_EVENTOS_original!C:D, 2, FALSE), "Código não encontrado/Não digitado")</f>
        <v>Código não encontrado/Não digitado</v>
      </c>
      <c r="J626" s="12" t="s">
        <v>68</v>
      </c>
      <c r="K626" s="12" t="str">
        <f>IFERROR(VLOOKUP(J626, DADOS_RM_EVENTOS_original!E:J, 2, FALSE), "Código não encontrado/Não digitado")</f>
        <v>Código não encontrado/Não digitado</v>
      </c>
      <c r="L626" s="12" t="s">
        <v>68</v>
      </c>
      <c r="M626" s="12" t="str">
        <f>IFERROR(VLOOKUP(L626, DADOS_RM_EVENTOS_original!K:L, 2, FALSE), "Código não encontrado/Não digitado")</f>
        <v>Código não encontrado/Não digitado</v>
      </c>
    </row>
    <row r="627" ht="15.75" hidden="1" customHeight="1">
      <c r="A627" s="11" t="s">
        <v>142</v>
      </c>
      <c r="B627" s="11" t="s">
        <v>1210</v>
      </c>
      <c r="C627" s="11" t="s">
        <v>5099</v>
      </c>
      <c r="D627" s="11" t="s">
        <v>44</v>
      </c>
      <c r="E627" s="11" t="s">
        <v>985</v>
      </c>
      <c r="F627" s="11" t="s">
        <v>930</v>
      </c>
      <c r="G627" s="12" t="str">
        <f>IFERROR(VLOOKUP(F627, DADOS_RM_EVENTOS_original!A:B, 2, FALSE), "Código não encontrado/Não digitado")</f>
        <v>Desc. Contribuicao Assistencial</v>
      </c>
      <c r="H627" s="12" t="s">
        <v>68</v>
      </c>
      <c r="I627" s="12" t="str">
        <f>IFERROR(VLOOKUP(H627, DADOS_RM_EVENTOS_original!C:D, 2, FALSE), "Código não encontrado/Não digitado")</f>
        <v>Código não encontrado/Não digitado</v>
      </c>
      <c r="J627" s="12" t="s">
        <v>68</v>
      </c>
      <c r="K627" s="12" t="str">
        <f>IFERROR(VLOOKUP(J627, DADOS_RM_EVENTOS_original!E:J, 2, FALSE), "Código não encontrado/Não digitado")</f>
        <v>Código não encontrado/Não digitado</v>
      </c>
      <c r="L627" s="12" t="s">
        <v>68</v>
      </c>
      <c r="M627" s="12" t="str">
        <f>IFERROR(VLOOKUP(L627, DADOS_RM_EVENTOS_original!K:L, 2, FALSE), "Código não encontrado/Não digitado")</f>
        <v>Código não encontrado/Não digitado</v>
      </c>
    </row>
    <row r="628" ht="15.75" hidden="1" customHeight="1">
      <c r="A628" s="11" t="s">
        <v>38</v>
      </c>
      <c r="B628" s="11" t="s">
        <v>4891</v>
      </c>
      <c r="C628" s="11" t="s">
        <v>5101</v>
      </c>
      <c r="D628" s="11" t="s">
        <v>120</v>
      </c>
      <c r="E628" s="11" t="s">
        <v>47</v>
      </c>
      <c r="F628" s="11" t="s">
        <v>1486</v>
      </c>
      <c r="G628" s="12" t="str">
        <f>IFERROR(VLOOKUP(F628, DADOS_RM_EVENTOS_original!A:B, 2, FALSE), "Código não encontrado/Não digitado")</f>
        <v>Auxilio Alimentacao</v>
      </c>
      <c r="H628" s="12" t="s">
        <v>68</v>
      </c>
      <c r="I628" s="12" t="str">
        <f>IFERROR(VLOOKUP(H628, DADOS_RM_EVENTOS_original!C:D, 2, FALSE), "Código não encontrado/Não digitado")</f>
        <v>Código não encontrado/Não digitado</v>
      </c>
      <c r="J628" s="12" t="s">
        <v>68</v>
      </c>
      <c r="K628" s="12" t="str">
        <f>IFERROR(VLOOKUP(J628, DADOS_RM_EVENTOS_original!E:J, 2, FALSE), "Código não encontrado/Não digitado")</f>
        <v>Código não encontrado/Não digitado</v>
      </c>
      <c r="L628" s="12" t="s">
        <v>68</v>
      </c>
      <c r="M628" s="12" t="str">
        <f>IFERROR(VLOOKUP(L628, DADOS_RM_EVENTOS_original!K:L, 2, FALSE), "Código não encontrado/Não digitado")</f>
        <v>Código não encontrado/Não digitado</v>
      </c>
    </row>
    <row r="629" ht="15.75" hidden="1" customHeight="1">
      <c r="A629" s="11" t="s">
        <v>38</v>
      </c>
      <c r="B629" s="11" t="s">
        <v>5104</v>
      </c>
      <c r="C629" s="11" t="s">
        <v>5105</v>
      </c>
      <c r="D629" s="11" t="s">
        <v>120</v>
      </c>
      <c r="E629" s="11" t="s">
        <v>47</v>
      </c>
      <c r="F629" s="11" t="s">
        <v>5106</v>
      </c>
      <c r="G629" s="12" t="str">
        <f>IFERROR(VLOOKUP(F629, DADOS_RM_EVENTOS_original!A:B, 2, FALSE), "Código não encontrado/Não digitado")</f>
        <v>Código não encontrado/Não digitado</v>
      </c>
      <c r="H629" s="12" t="s">
        <v>68</v>
      </c>
      <c r="I629" s="12" t="str">
        <f>IFERROR(VLOOKUP(H629, DADOS_RM_EVENTOS_original!C:D, 2, FALSE), "Código não encontrado/Não digitado")</f>
        <v>Código não encontrado/Não digitado</v>
      </c>
      <c r="J629" s="12" t="s">
        <v>68</v>
      </c>
      <c r="K629" s="12" t="str">
        <f>IFERROR(VLOOKUP(J629, DADOS_RM_EVENTOS_original!E:J, 2, FALSE), "Código não encontrado/Não digitado")</f>
        <v>Código não encontrado/Não digitado</v>
      </c>
      <c r="L629" s="12" t="s">
        <v>68</v>
      </c>
      <c r="M629" s="12" t="str">
        <f>IFERROR(VLOOKUP(L629, DADOS_RM_EVENTOS_original!K:L, 2, FALSE), "Código não encontrado/Não digitado")</f>
        <v>Código não encontrado/Não digitado</v>
      </c>
    </row>
    <row r="630" ht="15.75" customHeight="1">
      <c r="A630" s="11" t="s">
        <v>38</v>
      </c>
      <c r="B630" s="11" t="s">
        <v>1264</v>
      </c>
      <c r="C630" s="11" t="s">
        <v>3314</v>
      </c>
      <c r="D630" s="11" t="s">
        <v>44</v>
      </c>
      <c r="E630" s="11" t="s">
        <v>47</v>
      </c>
      <c r="F630" s="11" t="s">
        <v>49</v>
      </c>
      <c r="G630" s="12" t="str">
        <f>IFERROR(VLOOKUP(F630, DADOS_RM_EVENTOS_original!A:B, 2, FALSE), "Código não encontrado/Não digitado")</f>
        <v>Código não encontrado/Não digitado</v>
      </c>
      <c r="H630" s="12" t="s">
        <v>68</v>
      </c>
      <c r="I630" s="12" t="str">
        <f>IFERROR(VLOOKUP(H630, DADOS_RM_EVENTOS_original!C:D, 2, FALSE), "Código não encontrado/Não digitado")</f>
        <v>Código não encontrado/Não digitado</v>
      </c>
      <c r="J630" s="12" t="s">
        <v>68</v>
      </c>
      <c r="K630" s="12" t="str">
        <f>IFERROR(VLOOKUP(J630, DADOS_RM_EVENTOS_original!E:J, 2, FALSE), "Código não encontrado/Não digitado")</f>
        <v>Código não encontrado/Não digitado</v>
      </c>
      <c r="L630" s="12" t="s">
        <v>68</v>
      </c>
      <c r="M630" s="12" t="str">
        <f>IFERROR(VLOOKUP(L630, DADOS_RM_EVENTOS_original!K:L, 2, FALSE), "Código não encontrado/Não digitado")</f>
        <v>Código não encontrado/Não digitado</v>
      </c>
    </row>
    <row r="631" ht="15.75" hidden="1" customHeight="1">
      <c r="A631" s="11" t="s">
        <v>97</v>
      </c>
      <c r="B631" s="11" t="s">
        <v>3050</v>
      </c>
      <c r="C631" s="11" t="s">
        <v>5111</v>
      </c>
      <c r="D631" s="11" t="s">
        <v>44</v>
      </c>
      <c r="E631" s="11" t="s">
        <v>972</v>
      </c>
      <c r="F631" s="11" t="s">
        <v>507</v>
      </c>
      <c r="G631" s="12" t="str">
        <f>IFERROR(VLOOKUP(F631, DADOS_RM_EVENTOS_original!A:B, 2, FALSE), "Código não encontrado/Não digitado")</f>
        <v>Desc. Vale Refeicao</v>
      </c>
      <c r="H631" s="12" t="s">
        <v>68</v>
      </c>
      <c r="I631" s="12" t="str">
        <f>IFERROR(VLOOKUP(H631, DADOS_RM_EVENTOS_original!C:D, 2, FALSE), "Código não encontrado/Não digitado")</f>
        <v>Código não encontrado/Não digitado</v>
      </c>
      <c r="J631" s="12" t="s">
        <v>68</v>
      </c>
      <c r="K631" s="12" t="str">
        <f>IFERROR(VLOOKUP(J631, DADOS_RM_EVENTOS_original!E:J, 2, FALSE), "Código não encontrado/Não digitado")</f>
        <v>Código não encontrado/Não digitado</v>
      </c>
      <c r="L631" s="12" t="s">
        <v>68</v>
      </c>
      <c r="M631" s="12" t="str">
        <f>IFERROR(VLOOKUP(L631, DADOS_RM_EVENTOS_original!K:L, 2, FALSE), "Código não encontrado/Não digitado")</f>
        <v>Código não encontrado/Não digitado</v>
      </c>
    </row>
    <row r="632" ht="15.75" hidden="1" customHeight="1">
      <c r="A632" s="11" t="s">
        <v>142</v>
      </c>
      <c r="B632" s="11" t="s">
        <v>3050</v>
      </c>
      <c r="C632" s="11" t="s">
        <v>5111</v>
      </c>
      <c r="D632" s="11" t="s">
        <v>44</v>
      </c>
      <c r="E632" s="11" t="s">
        <v>985</v>
      </c>
      <c r="F632" s="11" t="s">
        <v>507</v>
      </c>
      <c r="G632" s="12" t="str">
        <f>IFERROR(VLOOKUP(F632, DADOS_RM_EVENTOS_original!A:B, 2, FALSE), "Código não encontrado/Não digitado")</f>
        <v>Desc. Vale Refeicao</v>
      </c>
      <c r="H632" s="12" t="s">
        <v>68</v>
      </c>
      <c r="I632" s="12" t="str">
        <f>IFERROR(VLOOKUP(H632, DADOS_RM_EVENTOS_original!C:D, 2, FALSE), "Código não encontrado/Não digitado")</f>
        <v>Código não encontrado/Não digitado</v>
      </c>
      <c r="J632" s="12" t="s">
        <v>68</v>
      </c>
      <c r="K632" s="12" t="str">
        <f>IFERROR(VLOOKUP(J632, DADOS_RM_EVENTOS_original!E:J, 2, FALSE), "Código não encontrado/Não digitado")</f>
        <v>Código não encontrado/Não digitado</v>
      </c>
      <c r="L632" s="12" t="s">
        <v>68</v>
      </c>
      <c r="M632" s="12" t="str">
        <f>IFERROR(VLOOKUP(L632, DADOS_RM_EVENTOS_original!K:L, 2, FALSE), "Código não encontrado/Não digitado")</f>
        <v>Código não encontrado/Não digitado</v>
      </c>
    </row>
    <row r="633" ht="15.75" hidden="1" customHeight="1">
      <c r="A633" s="11" t="s">
        <v>38</v>
      </c>
      <c r="B633" s="11" t="s">
        <v>2541</v>
      </c>
      <c r="C633" s="11" t="s">
        <v>5113</v>
      </c>
      <c r="D633" s="11" t="s">
        <v>120</v>
      </c>
      <c r="E633" s="11" t="s">
        <v>47</v>
      </c>
      <c r="F633" s="11" t="s">
        <v>1486</v>
      </c>
      <c r="G633" s="12" t="str">
        <f>IFERROR(VLOOKUP(F633, DADOS_RM_EVENTOS_original!A:B, 2, FALSE), "Código não encontrado/Não digitado")</f>
        <v>Auxilio Alimentacao</v>
      </c>
      <c r="H633" s="12" t="s">
        <v>68</v>
      </c>
      <c r="I633" s="12" t="str">
        <f>IFERROR(VLOOKUP(H633, DADOS_RM_EVENTOS_original!C:D, 2, FALSE), "Código não encontrado/Não digitado")</f>
        <v>Código não encontrado/Não digitado</v>
      </c>
      <c r="J633" s="12" t="s">
        <v>68</v>
      </c>
      <c r="K633" s="12" t="str">
        <f>IFERROR(VLOOKUP(J633, DADOS_RM_EVENTOS_original!E:J, 2, FALSE), "Código não encontrado/Não digitado")</f>
        <v>Código não encontrado/Não digitado</v>
      </c>
      <c r="L633" s="12" t="s">
        <v>68</v>
      </c>
      <c r="M633" s="12" t="str">
        <f>IFERROR(VLOOKUP(L633, DADOS_RM_EVENTOS_original!K:L, 2, FALSE), "Código não encontrado/Não digitado")</f>
        <v>Código não encontrado/Não digitado</v>
      </c>
    </row>
    <row r="634" ht="15.75" hidden="1" customHeight="1">
      <c r="A634" s="11" t="s">
        <v>115</v>
      </c>
      <c r="B634" s="11" t="s">
        <v>2541</v>
      </c>
      <c r="C634" s="11" t="s">
        <v>5113</v>
      </c>
      <c r="D634" s="11" t="s">
        <v>120</v>
      </c>
      <c r="E634" s="11" t="s">
        <v>121</v>
      </c>
      <c r="F634" s="11" t="s">
        <v>1486</v>
      </c>
      <c r="G634" s="12" t="str">
        <f>IFERROR(VLOOKUP(F634, DADOS_RM_EVENTOS_original!A:B, 2, FALSE), "Código não encontrado/Não digitado")</f>
        <v>Auxilio Alimentacao</v>
      </c>
      <c r="H634" s="12" t="s">
        <v>68</v>
      </c>
      <c r="I634" s="12" t="str">
        <f>IFERROR(VLOOKUP(H634, DADOS_RM_EVENTOS_original!C:D, 2, FALSE), "Código não encontrado/Não digitado")</f>
        <v>Código não encontrado/Não digitado</v>
      </c>
      <c r="J634" s="12" t="s">
        <v>68</v>
      </c>
      <c r="K634" s="12" t="str">
        <f>IFERROR(VLOOKUP(J634, DADOS_RM_EVENTOS_original!E:J, 2, FALSE), "Código não encontrado/Não digitado")</f>
        <v>Código não encontrado/Não digitado</v>
      </c>
      <c r="L634" s="12" t="s">
        <v>68</v>
      </c>
      <c r="M634" s="12" t="str">
        <f>IFERROR(VLOOKUP(L634, DADOS_RM_EVENTOS_original!K:L, 2, FALSE), "Código não encontrado/Não digitado")</f>
        <v>Código não encontrado/Não digitado</v>
      </c>
    </row>
    <row r="635" ht="15.75" hidden="1" customHeight="1">
      <c r="A635" s="11" t="s">
        <v>142</v>
      </c>
      <c r="B635" s="11" t="s">
        <v>1141</v>
      </c>
      <c r="C635" s="11" t="s">
        <v>5113</v>
      </c>
      <c r="D635" s="11" t="s">
        <v>120</v>
      </c>
      <c r="E635" s="11" t="s">
        <v>985</v>
      </c>
      <c r="F635" s="11" t="s">
        <v>1486</v>
      </c>
      <c r="G635" s="12" t="str">
        <f>IFERROR(VLOOKUP(F635, DADOS_RM_EVENTOS_original!A:B, 2, FALSE), "Código não encontrado/Não digitado")</f>
        <v>Auxilio Alimentacao</v>
      </c>
      <c r="H635" s="12" t="s">
        <v>68</v>
      </c>
      <c r="I635" s="12" t="str">
        <f>IFERROR(VLOOKUP(H635, DADOS_RM_EVENTOS_original!C:D, 2, FALSE), "Código não encontrado/Não digitado")</f>
        <v>Código não encontrado/Não digitado</v>
      </c>
      <c r="J635" s="12" t="s">
        <v>68</v>
      </c>
      <c r="K635" s="12" t="str">
        <f>IFERROR(VLOOKUP(J635, DADOS_RM_EVENTOS_original!E:J, 2, FALSE), "Código não encontrado/Não digitado")</f>
        <v>Código não encontrado/Não digitado</v>
      </c>
      <c r="L635" s="12" t="s">
        <v>68</v>
      </c>
      <c r="M635" s="12" t="str">
        <f>IFERROR(VLOOKUP(L635, DADOS_RM_EVENTOS_original!K:L, 2, FALSE), "Código não encontrado/Não digitado")</f>
        <v>Código não encontrado/Não digitado</v>
      </c>
    </row>
    <row r="636" ht="15.75" hidden="1" customHeight="1">
      <c r="A636" s="11" t="s">
        <v>38</v>
      </c>
      <c r="B636" s="11" t="s">
        <v>3217</v>
      </c>
      <c r="C636" s="11" t="s">
        <v>5118</v>
      </c>
      <c r="D636" s="11" t="s">
        <v>120</v>
      </c>
      <c r="E636" s="11" t="s">
        <v>47</v>
      </c>
      <c r="F636" s="11" t="s">
        <v>1486</v>
      </c>
      <c r="G636" s="12" t="str">
        <f>IFERROR(VLOOKUP(F636, DADOS_RM_EVENTOS_original!A:B, 2, FALSE), "Código não encontrado/Não digitado")</f>
        <v>Auxilio Alimentacao</v>
      </c>
      <c r="H636" s="12" t="s">
        <v>68</v>
      </c>
      <c r="I636" s="12" t="str">
        <f>IFERROR(VLOOKUP(H636, DADOS_RM_EVENTOS_original!C:D, 2, FALSE), "Código não encontrado/Não digitado")</f>
        <v>Código não encontrado/Não digitado</v>
      </c>
      <c r="J636" s="12" t="s">
        <v>68</v>
      </c>
      <c r="K636" s="12" t="str">
        <f>IFERROR(VLOOKUP(J636, DADOS_RM_EVENTOS_original!E:J, 2, FALSE), "Código não encontrado/Não digitado")</f>
        <v>Código não encontrado/Não digitado</v>
      </c>
      <c r="L636" s="12" t="s">
        <v>68</v>
      </c>
      <c r="M636" s="12" t="str">
        <f>IFERROR(VLOOKUP(L636, DADOS_RM_EVENTOS_original!K:L, 2, FALSE), "Código não encontrado/Não digitado")</f>
        <v>Código não encontrado/Não digitado</v>
      </c>
    </row>
    <row r="637" ht="15.75" hidden="1" customHeight="1">
      <c r="A637" s="11" t="s">
        <v>172</v>
      </c>
      <c r="B637" s="11" t="s">
        <v>5121</v>
      </c>
      <c r="C637" s="11" t="s">
        <v>5122</v>
      </c>
      <c r="D637" s="11" t="s">
        <v>44</v>
      </c>
      <c r="E637" s="11" t="s">
        <v>1029</v>
      </c>
      <c r="F637" s="11" t="s">
        <v>1373</v>
      </c>
      <c r="G637" s="12" t="str">
        <f>IFERROR(VLOOKUP(F637, DADOS_RM_EVENTOS_original!A:B, 2, FALSE), "Código não encontrado/Não digitado")</f>
        <v>Auxilio Combustivel</v>
      </c>
      <c r="H637" s="12" t="s">
        <v>68</v>
      </c>
      <c r="I637" s="12" t="str">
        <f>IFERROR(VLOOKUP(H637, DADOS_RM_EVENTOS_original!C:D, 2, FALSE), "Código não encontrado/Não digitado")</f>
        <v>Código não encontrado/Não digitado</v>
      </c>
      <c r="J637" s="12" t="s">
        <v>68</v>
      </c>
      <c r="K637" s="12" t="str">
        <f>IFERROR(VLOOKUP(J637, DADOS_RM_EVENTOS_original!E:J, 2, FALSE), "Código não encontrado/Não digitado")</f>
        <v>Código não encontrado/Não digitado</v>
      </c>
      <c r="L637" s="12" t="s">
        <v>68</v>
      </c>
      <c r="M637" s="12" t="str">
        <f>IFERROR(VLOOKUP(L637, DADOS_RM_EVENTOS_original!K:L, 2, FALSE), "Código não encontrado/Não digitado")</f>
        <v>Código não encontrado/Não digitado</v>
      </c>
    </row>
    <row r="638" ht="15.75" hidden="1" customHeight="1">
      <c r="A638" s="11" t="s">
        <v>97</v>
      </c>
      <c r="B638" s="11" t="s">
        <v>1299</v>
      </c>
      <c r="C638" s="11" t="s">
        <v>5122</v>
      </c>
      <c r="D638" s="11" t="s">
        <v>44</v>
      </c>
      <c r="E638" s="11" t="s">
        <v>972</v>
      </c>
      <c r="F638" s="11" t="s">
        <v>1373</v>
      </c>
      <c r="G638" s="12" t="str">
        <f>IFERROR(VLOOKUP(F638, DADOS_RM_EVENTOS_original!A:B, 2, FALSE), "Código não encontrado/Não digitado")</f>
        <v>Auxilio Combustivel</v>
      </c>
      <c r="H638" s="12" t="s">
        <v>68</v>
      </c>
      <c r="I638" s="12" t="str">
        <f>IFERROR(VLOOKUP(H638, DADOS_RM_EVENTOS_original!C:D, 2, FALSE), "Código não encontrado/Não digitado")</f>
        <v>Código não encontrado/Não digitado</v>
      </c>
      <c r="J638" s="12" t="s">
        <v>68</v>
      </c>
      <c r="K638" s="12" t="str">
        <f>IFERROR(VLOOKUP(J638, DADOS_RM_EVENTOS_original!E:J, 2, FALSE), "Código não encontrado/Não digitado")</f>
        <v>Código não encontrado/Não digitado</v>
      </c>
      <c r="L638" s="12" t="s">
        <v>68</v>
      </c>
      <c r="M638" s="12" t="str">
        <f>IFERROR(VLOOKUP(L638, DADOS_RM_EVENTOS_original!K:L, 2, FALSE), "Código não encontrado/Não digitado")</f>
        <v>Código não encontrado/Não digitado</v>
      </c>
    </row>
    <row r="639" ht="15.75" hidden="1" customHeight="1">
      <c r="A639" s="11" t="s">
        <v>38</v>
      </c>
      <c r="B639" s="11" t="s">
        <v>5126</v>
      </c>
      <c r="C639" s="11" t="s">
        <v>5127</v>
      </c>
      <c r="D639" s="11" t="s">
        <v>44</v>
      </c>
      <c r="E639" s="11" t="s">
        <v>47</v>
      </c>
      <c r="F639" s="11" t="s">
        <v>507</v>
      </c>
      <c r="G639" s="12" t="str">
        <f>IFERROR(VLOOKUP(F639, DADOS_RM_EVENTOS_original!A:B, 2, FALSE), "Código não encontrado/Não digitado")</f>
        <v>Desc. Vale Refeicao</v>
      </c>
      <c r="H639" s="12" t="s">
        <v>68</v>
      </c>
      <c r="I639" s="12" t="str">
        <f>IFERROR(VLOOKUP(H639, DADOS_RM_EVENTOS_original!C:D, 2, FALSE), "Código não encontrado/Não digitado")</f>
        <v>Código não encontrado/Não digitado</v>
      </c>
      <c r="J639" s="12" t="s">
        <v>68</v>
      </c>
      <c r="K639" s="12" t="str">
        <f>IFERROR(VLOOKUP(J639, DADOS_RM_EVENTOS_original!E:J, 2, FALSE), "Código não encontrado/Não digitado")</f>
        <v>Código não encontrado/Não digitado</v>
      </c>
      <c r="L639" s="12" t="s">
        <v>68</v>
      </c>
      <c r="M639" s="12" t="str">
        <f>IFERROR(VLOOKUP(L639, DADOS_RM_EVENTOS_original!K:L, 2, FALSE), "Código não encontrado/Não digitado")</f>
        <v>Código não encontrado/Não digitado</v>
      </c>
    </row>
    <row r="640" ht="15.75" hidden="1" customHeight="1">
      <c r="A640" s="11" t="s">
        <v>115</v>
      </c>
      <c r="B640" s="11" t="s">
        <v>5126</v>
      </c>
      <c r="C640" s="11" t="s">
        <v>5127</v>
      </c>
      <c r="D640" s="11" t="s">
        <v>44</v>
      </c>
      <c r="E640" s="11" t="s">
        <v>121</v>
      </c>
      <c r="F640" s="11" t="s">
        <v>507</v>
      </c>
      <c r="G640" s="12" t="str">
        <f>IFERROR(VLOOKUP(F640, DADOS_RM_EVENTOS_original!A:B, 2, FALSE), "Código não encontrado/Não digitado")</f>
        <v>Desc. Vale Refeicao</v>
      </c>
      <c r="H640" s="12" t="s">
        <v>68</v>
      </c>
      <c r="I640" s="12" t="str">
        <f>IFERROR(VLOOKUP(H640, DADOS_RM_EVENTOS_original!C:D, 2, FALSE), "Código não encontrado/Não digitado")</f>
        <v>Código não encontrado/Não digitado</v>
      </c>
      <c r="J640" s="12" t="s">
        <v>68</v>
      </c>
      <c r="K640" s="12" t="str">
        <f>IFERROR(VLOOKUP(J640, DADOS_RM_EVENTOS_original!E:J, 2, FALSE), "Código não encontrado/Não digitado")</f>
        <v>Código não encontrado/Não digitado</v>
      </c>
      <c r="L640" s="12" t="s">
        <v>68</v>
      </c>
      <c r="M640" s="12" t="str">
        <f>IFERROR(VLOOKUP(L640, DADOS_RM_EVENTOS_original!K:L, 2, FALSE), "Código não encontrado/Não digitado")</f>
        <v>Código não encontrado/Não digitado</v>
      </c>
    </row>
    <row r="641" ht="15.75" hidden="1" customHeight="1">
      <c r="A641" s="11" t="s">
        <v>97</v>
      </c>
      <c r="B641" s="11" t="s">
        <v>5126</v>
      </c>
      <c r="C641" s="11" t="s">
        <v>5127</v>
      </c>
      <c r="D641" s="11" t="s">
        <v>44</v>
      </c>
      <c r="E641" s="11" t="s">
        <v>972</v>
      </c>
      <c r="F641" s="11" t="s">
        <v>507</v>
      </c>
      <c r="G641" s="12" t="str">
        <f>IFERROR(VLOOKUP(F641, DADOS_RM_EVENTOS_original!A:B, 2, FALSE), "Código não encontrado/Não digitado")</f>
        <v>Desc. Vale Refeicao</v>
      </c>
      <c r="H641" s="12" t="s">
        <v>68</v>
      </c>
      <c r="I641" s="12" t="str">
        <f>IFERROR(VLOOKUP(H641, DADOS_RM_EVENTOS_original!C:D, 2, FALSE), "Código não encontrado/Não digitado")</f>
        <v>Código não encontrado/Não digitado</v>
      </c>
      <c r="J641" s="12" t="s">
        <v>68</v>
      </c>
      <c r="K641" s="12" t="str">
        <f>IFERROR(VLOOKUP(J641, DADOS_RM_EVENTOS_original!E:J, 2, FALSE), "Código não encontrado/Não digitado")</f>
        <v>Código não encontrado/Não digitado</v>
      </c>
      <c r="L641" s="12" t="s">
        <v>68</v>
      </c>
      <c r="M641" s="12" t="str">
        <f>IFERROR(VLOOKUP(L641, DADOS_RM_EVENTOS_original!K:L, 2, FALSE), "Código não encontrado/Não digitado")</f>
        <v>Código não encontrado/Não digitado</v>
      </c>
    </row>
    <row r="642" ht="15.75" hidden="1" customHeight="1">
      <c r="A642" s="11" t="s">
        <v>38</v>
      </c>
      <c r="B642" s="11" t="s">
        <v>5131</v>
      </c>
      <c r="C642" s="11" t="s">
        <v>5132</v>
      </c>
      <c r="D642" s="11" t="s">
        <v>120</v>
      </c>
      <c r="E642" s="11" t="s">
        <v>47</v>
      </c>
      <c r="F642" s="11" t="s">
        <v>311</v>
      </c>
      <c r="G642" s="12" t="str">
        <f>IFERROR(VLOOKUP(F642, DADOS_RM_EVENTOS_original!A:B, 2, FALSE), "Código não encontrado/Não digitado")</f>
        <v>Reembolso Desc. Vale Transporte</v>
      </c>
      <c r="H642" s="12" t="s">
        <v>68</v>
      </c>
      <c r="I642" s="12" t="str">
        <f>IFERROR(VLOOKUP(H642, DADOS_RM_EVENTOS_original!C:D, 2, FALSE), "Código não encontrado/Não digitado")</f>
        <v>Código não encontrado/Não digitado</v>
      </c>
      <c r="J642" s="12" t="s">
        <v>68</v>
      </c>
      <c r="K642" s="12" t="str">
        <f>IFERROR(VLOOKUP(J642, DADOS_RM_EVENTOS_original!E:J, 2, FALSE), "Código não encontrado/Não digitado")</f>
        <v>Código não encontrado/Não digitado</v>
      </c>
      <c r="L642" s="12" t="s">
        <v>68</v>
      </c>
      <c r="M642" s="12" t="str">
        <f>IFERROR(VLOOKUP(L642, DADOS_RM_EVENTOS_original!K:L, 2, FALSE), "Código não encontrado/Não digitado")</f>
        <v>Código não encontrado/Não digitado</v>
      </c>
    </row>
    <row r="643" ht="15.75" hidden="1" customHeight="1">
      <c r="A643" s="11" t="s">
        <v>115</v>
      </c>
      <c r="B643" s="11" t="s">
        <v>5131</v>
      </c>
      <c r="C643" s="11" t="s">
        <v>5132</v>
      </c>
      <c r="D643" s="11" t="s">
        <v>120</v>
      </c>
      <c r="E643" s="11" t="s">
        <v>121</v>
      </c>
      <c r="F643" s="11" t="s">
        <v>311</v>
      </c>
      <c r="G643" s="12" t="str">
        <f>IFERROR(VLOOKUP(F643, DADOS_RM_EVENTOS_original!A:B, 2, FALSE), "Código não encontrado/Não digitado")</f>
        <v>Reembolso Desc. Vale Transporte</v>
      </c>
      <c r="H643" s="12" t="s">
        <v>68</v>
      </c>
      <c r="I643" s="12" t="str">
        <f>IFERROR(VLOOKUP(H643, DADOS_RM_EVENTOS_original!C:D, 2, FALSE), "Código não encontrado/Não digitado")</f>
        <v>Código não encontrado/Não digitado</v>
      </c>
      <c r="J643" s="12" t="s">
        <v>68</v>
      </c>
      <c r="K643" s="12" t="str">
        <f>IFERROR(VLOOKUP(J643, DADOS_RM_EVENTOS_original!E:J, 2, FALSE), "Código não encontrado/Não digitado")</f>
        <v>Código não encontrado/Não digitado</v>
      </c>
      <c r="L643" s="12" t="s">
        <v>68</v>
      </c>
      <c r="M643" s="12" t="str">
        <f>IFERROR(VLOOKUP(L643, DADOS_RM_EVENTOS_original!K:L, 2, FALSE), "Código não encontrado/Não digitado")</f>
        <v>Código não encontrado/Não digitado</v>
      </c>
    </row>
    <row r="644" ht="15.75" hidden="1" customHeight="1">
      <c r="A644" s="11" t="s">
        <v>172</v>
      </c>
      <c r="B644" s="11" t="s">
        <v>1141</v>
      </c>
      <c r="C644" s="11" t="s">
        <v>5132</v>
      </c>
      <c r="D644" s="11" t="s">
        <v>120</v>
      </c>
      <c r="E644" s="11" t="s">
        <v>1029</v>
      </c>
      <c r="F644" s="11" t="s">
        <v>311</v>
      </c>
      <c r="G644" s="12" t="str">
        <f>IFERROR(VLOOKUP(F644, DADOS_RM_EVENTOS_original!A:B, 2, FALSE), "Código não encontrado/Não digitado")</f>
        <v>Reembolso Desc. Vale Transporte</v>
      </c>
      <c r="H644" s="12" t="s">
        <v>68</v>
      </c>
      <c r="I644" s="12" t="str">
        <f>IFERROR(VLOOKUP(H644, DADOS_RM_EVENTOS_original!C:D, 2, FALSE), "Código não encontrado/Não digitado")</f>
        <v>Código não encontrado/Não digitado</v>
      </c>
      <c r="J644" s="12" t="s">
        <v>68</v>
      </c>
      <c r="K644" s="12" t="str">
        <f>IFERROR(VLOOKUP(J644, DADOS_RM_EVENTOS_original!E:J, 2, FALSE), "Código não encontrado/Não digitado")</f>
        <v>Código não encontrado/Não digitado</v>
      </c>
      <c r="L644" s="12" t="s">
        <v>68</v>
      </c>
      <c r="M644" s="12" t="str">
        <f>IFERROR(VLOOKUP(L644, DADOS_RM_EVENTOS_original!K:L, 2, FALSE), "Código não encontrado/Não digitado")</f>
        <v>Código não encontrado/Não digitado</v>
      </c>
    </row>
    <row r="645" ht="15.75" hidden="1" customHeight="1">
      <c r="A645" s="11" t="s">
        <v>142</v>
      </c>
      <c r="B645" s="11" t="s">
        <v>1249</v>
      </c>
      <c r="C645" s="11" t="s">
        <v>5133</v>
      </c>
      <c r="D645" s="11" t="s">
        <v>120</v>
      </c>
      <c r="E645" s="11" t="s">
        <v>985</v>
      </c>
      <c r="F645" s="11" t="s">
        <v>311</v>
      </c>
      <c r="G645" s="12" t="str">
        <f>IFERROR(VLOOKUP(F645, DADOS_RM_EVENTOS_original!A:B, 2, FALSE), "Código não encontrado/Não digitado")</f>
        <v>Reembolso Desc. Vale Transporte</v>
      </c>
      <c r="H645" s="12" t="s">
        <v>68</v>
      </c>
      <c r="I645" s="12" t="str">
        <f>IFERROR(VLOOKUP(H645, DADOS_RM_EVENTOS_original!C:D, 2, FALSE), "Código não encontrado/Não digitado")</f>
        <v>Código não encontrado/Não digitado</v>
      </c>
      <c r="J645" s="12" t="s">
        <v>68</v>
      </c>
      <c r="K645" s="12" t="str">
        <f>IFERROR(VLOOKUP(J645, DADOS_RM_EVENTOS_original!E:J, 2, FALSE), "Código não encontrado/Não digitado")</f>
        <v>Código não encontrado/Não digitado</v>
      </c>
      <c r="L645" s="12" t="s">
        <v>68</v>
      </c>
      <c r="M645" s="12" t="str">
        <f>IFERROR(VLOOKUP(L645, DADOS_RM_EVENTOS_original!K:L, 2, FALSE), "Código não encontrado/Não digitado")</f>
        <v>Código não encontrado/Não digitado</v>
      </c>
    </row>
    <row r="646" ht="15.75" hidden="1" customHeight="1">
      <c r="A646" s="11" t="s">
        <v>38</v>
      </c>
      <c r="B646" s="11" t="s">
        <v>1179</v>
      </c>
      <c r="C646" s="11" t="s">
        <v>5134</v>
      </c>
      <c r="D646" s="11" t="s">
        <v>44</v>
      </c>
      <c r="E646" s="11" t="s">
        <v>47</v>
      </c>
      <c r="F646" s="11" t="s">
        <v>102</v>
      </c>
      <c r="G646" s="12" t="str">
        <f>IFERROR(VLOOKUP(F646, DADOS_RM_EVENTOS_original!A:B, 2, FALSE), "Código não encontrado/Não digitado")</f>
        <v>Desc. Vale Transporte</v>
      </c>
      <c r="H646" s="12" t="s">
        <v>68</v>
      </c>
      <c r="I646" s="12" t="str">
        <f>IFERROR(VLOOKUP(H646, DADOS_RM_EVENTOS_original!C:D, 2, FALSE), "Código não encontrado/Não digitado")</f>
        <v>Código não encontrado/Não digitado</v>
      </c>
      <c r="J646" s="12" t="s">
        <v>68</v>
      </c>
      <c r="K646" s="12" t="str">
        <f>IFERROR(VLOOKUP(J646, DADOS_RM_EVENTOS_original!E:J, 2, FALSE), "Código não encontrado/Não digitado")</f>
        <v>Código não encontrado/Não digitado</v>
      </c>
      <c r="L646" s="12" t="s">
        <v>68</v>
      </c>
      <c r="M646" s="12" t="str">
        <f>IFERROR(VLOOKUP(L646, DADOS_RM_EVENTOS_original!K:L, 2, FALSE), "Código não encontrado/Não digitado")</f>
        <v>Código não encontrado/Não digitado</v>
      </c>
    </row>
    <row r="647" ht="15.75" hidden="1" customHeight="1">
      <c r="A647" s="11" t="s">
        <v>115</v>
      </c>
      <c r="B647" s="11" t="s">
        <v>1179</v>
      </c>
      <c r="C647" s="11" t="s">
        <v>5134</v>
      </c>
      <c r="D647" s="11" t="s">
        <v>44</v>
      </c>
      <c r="E647" s="11" t="s">
        <v>121</v>
      </c>
      <c r="F647" s="11" t="s">
        <v>102</v>
      </c>
      <c r="G647" s="12" t="str">
        <f>IFERROR(VLOOKUP(F647, DADOS_RM_EVENTOS_original!A:B, 2, FALSE), "Código não encontrado/Não digitado")</f>
        <v>Desc. Vale Transporte</v>
      </c>
      <c r="H647" s="12" t="s">
        <v>68</v>
      </c>
      <c r="I647" s="12" t="str">
        <f>IFERROR(VLOOKUP(H647, DADOS_RM_EVENTOS_original!C:D, 2, FALSE), "Código não encontrado/Não digitado")</f>
        <v>Código não encontrado/Não digitado</v>
      </c>
      <c r="J647" s="12" t="s">
        <v>68</v>
      </c>
      <c r="K647" s="12" t="str">
        <f>IFERROR(VLOOKUP(J647, DADOS_RM_EVENTOS_original!E:J, 2, FALSE), "Código não encontrado/Não digitado")</f>
        <v>Código não encontrado/Não digitado</v>
      </c>
      <c r="L647" s="12" t="s">
        <v>68</v>
      </c>
      <c r="M647" s="12" t="str">
        <f>IFERROR(VLOOKUP(L647, DADOS_RM_EVENTOS_original!K:L, 2, FALSE), "Código não encontrado/Não digitado")</f>
        <v>Código não encontrado/Não digitado</v>
      </c>
    </row>
    <row r="648" ht="15.75" hidden="1" customHeight="1">
      <c r="A648" s="11" t="s">
        <v>172</v>
      </c>
      <c r="B648" s="11" t="s">
        <v>1179</v>
      </c>
      <c r="C648" s="11" t="s">
        <v>5135</v>
      </c>
      <c r="D648" s="11" t="s">
        <v>44</v>
      </c>
      <c r="E648" s="11" t="s">
        <v>1029</v>
      </c>
      <c r="F648" s="11" t="s">
        <v>102</v>
      </c>
      <c r="G648" s="12" t="str">
        <f>IFERROR(VLOOKUP(F648, DADOS_RM_EVENTOS_original!A:B, 2, FALSE), "Código não encontrado/Não digitado")</f>
        <v>Desc. Vale Transporte</v>
      </c>
      <c r="H648" s="12" t="s">
        <v>68</v>
      </c>
      <c r="I648" s="12" t="str">
        <f>IFERROR(VLOOKUP(H648, DADOS_RM_EVENTOS_original!C:D, 2, FALSE), "Código não encontrado/Não digitado")</f>
        <v>Código não encontrado/Não digitado</v>
      </c>
      <c r="J648" s="12" t="s">
        <v>68</v>
      </c>
      <c r="K648" s="12" t="str">
        <f>IFERROR(VLOOKUP(J648, DADOS_RM_EVENTOS_original!E:J, 2, FALSE), "Código não encontrado/Não digitado")</f>
        <v>Código não encontrado/Não digitado</v>
      </c>
      <c r="L648" s="12" t="s">
        <v>68</v>
      </c>
      <c r="M648" s="12" t="str">
        <f>IFERROR(VLOOKUP(L648, DADOS_RM_EVENTOS_original!K:L, 2, FALSE), "Código não encontrado/Não digitado")</f>
        <v>Código não encontrado/Não digitado</v>
      </c>
    </row>
    <row r="649" ht="15.75" hidden="1" customHeight="1">
      <c r="A649" s="11" t="s">
        <v>97</v>
      </c>
      <c r="B649" s="11" t="s">
        <v>1179</v>
      </c>
      <c r="C649" s="11" t="s">
        <v>5135</v>
      </c>
      <c r="D649" s="11" t="s">
        <v>44</v>
      </c>
      <c r="E649" s="11" t="s">
        <v>972</v>
      </c>
      <c r="F649" s="11" t="s">
        <v>102</v>
      </c>
      <c r="G649" s="12" t="str">
        <f>IFERROR(VLOOKUP(F649, DADOS_RM_EVENTOS_original!A:B, 2, FALSE), "Código não encontrado/Não digitado")</f>
        <v>Desc. Vale Transporte</v>
      </c>
      <c r="H649" s="12" t="s">
        <v>68</v>
      </c>
      <c r="I649" s="12" t="str">
        <f>IFERROR(VLOOKUP(H649, DADOS_RM_EVENTOS_original!C:D, 2, FALSE), "Código não encontrado/Não digitado")</f>
        <v>Código não encontrado/Não digitado</v>
      </c>
      <c r="J649" s="12" t="s">
        <v>68</v>
      </c>
      <c r="K649" s="12" t="str">
        <f>IFERROR(VLOOKUP(J649, DADOS_RM_EVENTOS_original!E:J, 2, FALSE), "Código não encontrado/Não digitado")</f>
        <v>Código não encontrado/Não digitado</v>
      </c>
      <c r="L649" s="12" t="s">
        <v>68</v>
      </c>
      <c r="M649" s="12" t="str">
        <f>IFERROR(VLOOKUP(L649, DADOS_RM_EVENTOS_original!K:L, 2, FALSE), "Código não encontrado/Não digitado")</f>
        <v>Código não encontrado/Não digitado</v>
      </c>
    </row>
    <row r="650" ht="15.75" hidden="1" customHeight="1">
      <c r="A650" s="11" t="s">
        <v>142</v>
      </c>
      <c r="B650" s="11" t="s">
        <v>1179</v>
      </c>
      <c r="C650" s="11" t="s">
        <v>5135</v>
      </c>
      <c r="D650" s="11" t="s">
        <v>44</v>
      </c>
      <c r="E650" s="11" t="s">
        <v>985</v>
      </c>
      <c r="F650" s="11" t="s">
        <v>102</v>
      </c>
      <c r="G650" s="12" t="str">
        <f>IFERROR(VLOOKUP(F650, DADOS_RM_EVENTOS_original!A:B, 2, FALSE), "Código não encontrado/Não digitado")</f>
        <v>Desc. Vale Transporte</v>
      </c>
      <c r="H650" s="12" t="s">
        <v>68</v>
      </c>
      <c r="I650" s="12" t="str">
        <f>IFERROR(VLOOKUP(H650, DADOS_RM_EVENTOS_original!C:D, 2, FALSE), "Código não encontrado/Não digitado")</f>
        <v>Código não encontrado/Não digitado</v>
      </c>
      <c r="J650" s="12" t="s">
        <v>68</v>
      </c>
      <c r="K650" s="12" t="str">
        <f>IFERROR(VLOOKUP(J650, DADOS_RM_EVENTOS_original!E:J, 2, FALSE), "Código não encontrado/Não digitado")</f>
        <v>Código não encontrado/Não digitado</v>
      </c>
      <c r="L650" s="12" t="s">
        <v>68</v>
      </c>
      <c r="M650" s="12" t="str">
        <f>IFERROR(VLOOKUP(L650, DADOS_RM_EVENTOS_original!K:L, 2, FALSE), "Código não encontrado/Não digitado")</f>
        <v>Código não encontrado/Não digitado</v>
      </c>
    </row>
    <row r="651" ht="15.75" hidden="1" customHeight="1">
      <c r="A651" s="11" t="s">
        <v>199</v>
      </c>
      <c r="B651" s="11" t="s">
        <v>1179</v>
      </c>
      <c r="C651" s="11" t="s">
        <v>5135</v>
      </c>
      <c r="D651" s="11" t="s">
        <v>44</v>
      </c>
      <c r="E651" s="11" t="s">
        <v>1074</v>
      </c>
      <c r="F651" s="11" t="s">
        <v>102</v>
      </c>
      <c r="G651" s="12" t="str">
        <f>IFERROR(VLOOKUP(F651, DADOS_RM_EVENTOS_original!A:B, 2, FALSE), "Código não encontrado/Não digitado")</f>
        <v>Desc. Vale Transporte</v>
      </c>
      <c r="H651" s="12" t="s">
        <v>68</v>
      </c>
      <c r="I651" s="12" t="str">
        <f>IFERROR(VLOOKUP(H651, DADOS_RM_EVENTOS_original!C:D, 2, FALSE), "Código não encontrado/Não digitado")</f>
        <v>Código não encontrado/Não digitado</v>
      </c>
      <c r="J651" s="12" t="s">
        <v>68</v>
      </c>
      <c r="K651" s="12" t="str">
        <f>IFERROR(VLOOKUP(J651, DADOS_RM_EVENTOS_original!E:J, 2, FALSE), "Código não encontrado/Não digitado")</f>
        <v>Código não encontrado/Não digitado</v>
      </c>
      <c r="L651" s="12" t="s">
        <v>68</v>
      </c>
      <c r="M651" s="12" t="str">
        <f>IFERROR(VLOOKUP(L651, DADOS_RM_EVENTOS_original!K:L, 2, FALSE), "Código não encontrado/Não digitado")</f>
        <v>Código não encontrado/Não digitado</v>
      </c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</row>
  </sheetData>
  <autoFilter ref="$A$1:$M$651">
    <filterColumn colId="5">
      <filters>
        <filter val="CRIAR EVENTO"/>
      </filters>
    </filterColumn>
    <sortState ref="A1:M651">
      <sortCondition ref="C1:C651"/>
    </sortState>
  </autoFilter>
  <customSheetViews>
    <customSheetView guid="{D42415EC-BCD2-4837-8207-9828990F0E19}" filter="1" showAutoFilter="1">
      <autoFilter ref="$A$1:$M$651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46.25"/>
    <col customWidth="1" min="4" max="4" width="14.38"/>
    <col customWidth="1" min="5" max="5" width="16.88"/>
    <col customWidth="1" min="6" max="6" width="14.75"/>
    <col customWidth="1" min="7" max="7" width="31.88"/>
    <col customWidth="1" min="8" max="8" width="27.13"/>
    <col customWidth="1" min="9" max="9" width="28.13"/>
    <col customWidth="1" min="10" max="10" width="27.13"/>
    <col customWidth="1" min="11" max="11" width="28.13"/>
    <col customWidth="1" min="12" max="12" width="30.88"/>
    <col customWidth="1" min="13" max="13" width="28.13"/>
  </cols>
  <sheetData>
    <row r="1">
      <c r="A1" s="2" t="s">
        <v>1</v>
      </c>
      <c r="B1" s="2" t="s">
        <v>5</v>
      </c>
      <c r="C1" s="2" t="s">
        <v>9</v>
      </c>
      <c r="D1" s="2" t="s">
        <v>10</v>
      </c>
      <c r="E1" s="2" t="s">
        <v>11</v>
      </c>
      <c r="F1" s="6" t="s">
        <v>13</v>
      </c>
      <c r="G1" s="6" t="s">
        <v>18</v>
      </c>
      <c r="H1" s="6" t="s">
        <v>20</v>
      </c>
      <c r="I1" s="6" t="s">
        <v>24</v>
      </c>
      <c r="J1" s="6" t="s">
        <v>28</v>
      </c>
      <c r="K1" s="6" t="s">
        <v>31</v>
      </c>
      <c r="L1" s="6" t="s">
        <v>33</v>
      </c>
      <c r="M1" s="6" t="s">
        <v>36</v>
      </c>
    </row>
    <row r="2">
      <c r="A2" s="11" t="s">
        <v>38</v>
      </c>
      <c r="B2" s="11" t="s">
        <v>41</v>
      </c>
      <c r="C2" s="11" t="s">
        <v>43</v>
      </c>
      <c r="D2" s="11" t="s">
        <v>44</v>
      </c>
      <c r="E2" s="11" t="s">
        <v>47</v>
      </c>
      <c r="F2" s="11" t="s">
        <v>49</v>
      </c>
      <c r="G2" s="12" t="s">
        <v>63</v>
      </c>
      <c r="H2" s="12" t="s">
        <v>68</v>
      </c>
      <c r="I2" s="12" t="str">
        <f>IFERROR(VLOOKUP(H2, DADOS_RM_EVENTOS_original!C:D, 2, FALSE), "Código não encontrado/Não digitado")</f>
        <v>Código não encontrado/Não digitado</v>
      </c>
      <c r="J2" s="12" t="s">
        <v>68</v>
      </c>
      <c r="K2" s="12" t="str">
        <f>IFERROR(VLOOKUP(J2, DADOS_RM_EVENTOS_original!E:J, 2, FALSE), "Código não encontrado/Não digitado")</f>
        <v>Código não encontrado/Não digitado</v>
      </c>
      <c r="L2" s="12" t="s">
        <v>68</v>
      </c>
      <c r="M2" s="12" t="str">
        <f>IFERROR(VLOOKUP(L2, DADOS_RM_EVENTOS_original!K:L, 2, FALSE), "Código não encontrado/Não digitado")</f>
        <v>Código não encontrado/Não digitado</v>
      </c>
    </row>
    <row r="3" hidden="1">
      <c r="A3" s="11" t="s">
        <v>38</v>
      </c>
      <c r="B3" s="11" t="s">
        <v>93</v>
      </c>
      <c r="C3" s="11" t="s">
        <v>95</v>
      </c>
      <c r="D3" s="11" t="s">
        <v>96</v>
      </c>
      <c r="E3" s="11" t="s">
        <v>47</v>
      </c>
      <c r="F3" s="11" t="s">
        <v>99</v>
      </c>
      <c r="G3" s="12" t="s">
        <v>63</v>
      </c>
      <c r="H3" s="12" t="s">
        <v>68</v>
      </c>
      <c r="I3" s="12" t="str">
        <f>IFERROR(VLOOKUP(H3, DADOS_RM_EVENTOS_original!C:D, 2, FALSE), "Código não encontrado/Não digitado")</f>
        <v>Código não encontrado/Não digitado</v>
      </c>
      <c r="J3" s="12" t="s">
        <v>68</v>
      </c>
      <c r="K3" s="12" t="str">
        <f>IFERROR(VLOOKUP(J3, DADOS_RM_EVENTOS_original!E:J, 2, FALSE), "Código não encontrado/Não digitado")</f>
        <v>Código não encontrado/Não digitado</v>
      </c>
      <c r="L3" s="12" t="s">
        <v>68</v>
      </c>
      <c r="M3" s="12" t="str">
        <f>IFERROR(VLOOKUP(L3, DADOS_RM_EVENTOS_original!K:L, 2, FALSE), "Código não encontrado/Não digitado")</f>
        <v>Código não encontrado/Não digitado</v>
      </c>
    </row>
    <row r="4" hidden="1">
      <c r="A4" s="11" t="s">
        <v>115</v>
      </c>
      <c r="B4" s="11" t="s">
        <v>116</v>
      </c>
      <c r="C4" s="11" t="s">
        <v>119</v>
      </c>
      <c r="D4" s="11" t="s">
        <v>120</v>
      </c>
      <c r="E4" s="11" t="s">
        <v>121</v>
      </c>
      <c r="F4" s="11" t="s">
        <v>122</v>
      </c>
      <c r="G4" s="12" t="s">
        <v>131</v>
      </c>
      <c r="H4" s="12" t="s">
        <v>68</v>
      </c>
      <c r="I4" s="12" t="str">
        <f>IFERROR(VLOOKUP(H4, DADOS_RM_EVENTOS_original!C:D, 2, FALSE), "Código não encontrado/Não digitado")</f>
        <v>Código não encontrado/Não digitado</v>
      </c>
      <c r="J4" s="12" t="s">
        <v>68</v>
      </c>
      <c r="K4" s="12" t="str">
        <f>IFERROR(VLOOKUP(J4, DADOS_RM_EVENTOS_original!E:J, 2, FALSE), "Código não encontrado/Não digitado")</f>
        <v>Código não encontrado/Não digitado</v>
      </c>
      <c r="L4" s="12" t="s">
        <v>68</v>
      </c>
      <c r="M4" s="12" t="str">
        <f>IFERROR(VLOOKUP(L4, DADOS_RM_EVENTOS_original!K:L, 2, FALSE), "Código não encontrado/Não digitado")</f>
        <v>Código não encontrado/Não digitado</v>
      </c>
    </row>
    <row r="5" hidden="1">
      <c r="A5" s="11" t="s">
        <v>38</v>
      </c>
      <c r="B5" s="11" t="s">
        <v>134</v>
      </c>
      <c r="C5" s="11" t="s">
        <v>136</v>
      </c>
      <c r="D5" s="11" t="s">
        <v>44</v>
      </c>
      <c r="E5" s="11" t="s">
        <v>47</v>
      </c>
      <c r="F5" s="11" t="s">
        <v>139</v>
      </c>
      <c r="G5" s="12" t="s">
        <v>156</v>
      </c>
      <c r="H5" s="12" t="s">
        <v>68</v>
      </c>
      <c r="I5" s="12" t="str">
        <f>IFERROR(VLOOKUP(H5, DADOS_RM_EVENTOS_original!C:D, 2, FALSE), "Código não encontrado/Não digitado")</f>
        <v>Código não encontrado/Não digitado</v>
      </c>
      <c r="J5" s="12" t="s">
        <v>68</v>
      </c>
      <c r="K5" s="12" t="str">
        <f>IFERROR(VLOOKUP(J5, DADOS_RM_EVENTOS_original!E:J, 2, FALSE), "Código não encontrado/Não digitado")</f>
        <v>Código não encontrado/Não digitado</v>
      </c>
      <c r="L5" s="12" t="s">
        <v>68</v>
      </c>
      <c r="M5" s="12" t="str">
        <f>IFERROR(VLOOKUP(L5, DADOS_RM_EVENTOS_original!K:L, 2, FALSE), "Código não encontrado/Não digitado")</f>
        <v>Código não encontrado/Não digitado</v>
      </c>
    </row>
    <row r="6" hidden="1">
      <c r="A6" s="11" t="s">
        <v>38</v>
      </c>
      <c r="B6" s="11" t="s">
        <v>153</v>
      </c>
      <c r="C6" s="11" t="s">
        <v>154</v>
      </c>
      <c r="D6" s="11" t="s">
        <v>44</v>
      </c>
      <c r="E6" s="11" t="s">
        <v>47</v>
      </c>
      <c r="F6" s="11" t="s">
        <v>157</v>
      </c>
      <c r="G6" s="12" t="s">
        <v>176</v>
      </c>
      <c r="H6" s="12" t="s">
        <v>68</v>
      </c>
      <c r="I6" s="12" t="str">
        <f>IFERROR(VLOOKUP(H6, DADOS_RM_EVENTOS_original!C:D, 2, FALSE), "Código não encontrado/Não digitado")</f>
        <v>Código não encontrado/Não digitado</v>
      </c>
      <c r="J6" s="12" t="s">
        <v>68</v>
      </c>
      <c r="K6" s="12" t="str">
        <f>IFERROR(VLOOKUP(J6, DADOS_RM_EVENTOS_original!E:J, 2, FALSE), "Código não encontrado/Não digitado")</f>
        <v>Código não encontrado/Não digitado</v>
      </c>
      <c r="L6" s="12" t="s">
        <v>68</v>
      </c>
      <c r="M6" s="12" t="str">
        <f>IFERROR(VLOOKUP(L6, DADOS_RM_EVENTOS_original!K:L, 2, FALSE), "Código não encontrado/Não digitado")</f>
        <v>Código não encontrado/Não digitado</v>
      </c>
    </row>
    <row r="7" hidden="1">
      <c r="A7" s="11" t="s">
        <v>38</v>
      </c>
      <c r="B7" s="11" t="s">
        <v>169</v>
      </c>
      <c r="C7" s="11" t="s">
        <v>170</v>
      </c>
      <c r="D7" s="11" t="s">
        <v>44</v>
      </c>
      <c r="E7" s="11" t="s">
        <v>47</v>
      </c>
      <c r="F7" s="11" t="s">
        <v>173</v>
      </c>
      <c r="G7" s="12" t="s">
        <v>193</v>
      </c>
      <c r="H7" s="12" t="s">
        <v>68</v>
      </c>
      <c r="I7" s="12" t="str">
        <f>IFERROR(VLOOKUP(H7, DADOS_RM_EVENTOS_original!C:D, 2, FALSE), "Código não encontrado/Não digitado")</f>
        <v>Código não encontrado/Não digitado</v>
      </c>
      <c r="J7" s="12" t="s">
        <v>68</v>
      </c>
      <c r="K7" s="12" t="str">
        <f>IFERROR(VLOOKUP(J7, DADOS_RM_EVENTOS_original!E:J, 2, FALSE), "Código não encontrado/Não digitado")</f>
        <v>Código não encontrado/Não digitado</v>
      </c>
      <c r="L7" s="12" t="s">
        <v>68</v>
      </c>
      <c r="M7" s="12" t="str">
        <f>IFERROR(VLOOKUP(L7, DADOS_RM_EVENTOS_original!K:L, 2, FALSE), "Código não encontrado/Não digitado")</f>
        <v>Código não encontrado/Não digitado</v>
      </c>
    </row>
    <row r="8" hidden="1">
      <c r="A8" s="11" t="s">
        <v>38</v>
      </c>
      <c r="B8" s="11" t="s">
        <v>186</v>
      </c>
      <c r="C8" s="11" t="s">
        <v>188</v>
      </c>
      <c r="D8" s="11" t="s">
        <v>120</v>
      </c>
      <c r="E8" s="11" t="s">
        <v>47</v>
      </c>
      <c r="F8" s="11" t="s">
        <v>190</v>
      </c>
      <c r="G8" s="12" t="s">
        <v>213</v>
      </c>
      <c r="H8" s="12" t="s">
        <v>68</v>
      </c>
      <c r="I8" s="12" t="str">
        <f>IFERROR(VLOOKUP(H8, DADOS_RM_EVENTOS_original!C:D, 2, FALSE), "Código não encontrado/Não digitado")</f>
        <v>Código não encontrado/Não digitado</v>
      </c>
      <c r="J8" s="12" t="s">
        <v>68</v>
      </c>
      <c r="K8" s="12" t="str">
        <f>IFERROR(VLOOKUP(J8, DADOS_RM_EVENTOS_original!E:J, 2, FALSE), "Código não encontrado/Não digitado")</f>
        <v>Código não encontrado/Não digitado</v>
      </c>
      <c r="L8" s="12" t="s">
        <v>68</v>
      </c>
      <c r="M8" s="12" t="str">
        <f>IFERROR(VLOOKUP(L8, DADOS_RM_EVENTOS_original!K:L, 2, FALSE), "Código não encontrado/Não digitado")</f>
        <v>Código não encontrado/Não digitado</v>
      </c>
    </row>
    <row r="9" hidden="1">
      <c r="A9" s="11" t="s">
        <v>38</v>
      </c>
      <c r="B9" s="11" t="s">
        <v>202</v>
      </c>
      <c r="C9" s="11" t="s">
        <v>205</v>
      </c>
      <c r="D9" s="11" t="s">
        <v>44</v>
      </c>
      <c r="E9" s="11" t="s">
        <v>47</v>
      </c>
      <c r="F9" s="11" t="s">
        <v>173</v>
      </c>
      <c r="G9" s="12" t="s">
        <v>193</v>
      </c>
      <c r="H9" s="12" t="s">
        <v>68</v>
      </c>
      <c r="I9" s="12" t="str">
        <f>IFERROR(VLOOKUP(H9, DADOS_RM_EVENTOS_original!C:D, 2, FALSE), "Código não encontrado/Não digitado")</f>
        <v>Código não encontrado/Não digitado</v>
      </c>
      <c r="J9" s="12" t="s">
        <v>68</v>
      </c>
      <c r="K9" s="12" t="str">
        <f>IFERROR(VLOOKUP(J9, DADOS_RM_EVENTOS_original!E:J, 2, FALSE), "Código não encontrado/Não digitado")</f>
        <v>Código não encontrado/Não digitado</v>
      </c>
      <c r="L9" s="12" t="s">
        <v>68</v>
      </c>
      <c r="M9" s="12" t="str">
        <f>IFERROR(VLOOKUP(L9, DADOS_RM_EVENTOS_original!K:L, 2, FALSE), "Código não encontrado/Não digitado")</f>
        <v>Código não encontrado/Não digitado</v>
      </c>
    </row>
    <row r="10" hidden="1">
      <c r="A10" s="11" t="s">
        <v>38</v>
      </c>
      <c r="B10" s="11" t="s">
        <v>220</v>
      </c>
      <c r="C10" s="11" t="s">
        <v>221</v>
      </c>
      <c r="D10" s="11" t="s">
        <v>120</v>
      </c>
      <c r="E10" s="11" t="s">
        <v>47</v>
      </c>
      <c r="F10" s="11" t="s">
        <v>223</v>
      </c>
      <c r="G10" s="12" t="s">
        <v>248</v>
      </c>
      <c r="H10" s="12" t="s">
        <v>68</v>
      </c>
      <c r="I10" s="12" t="str">
        <f>IFERROR(VLOOKUP(H10, DADOS_RM_EVENTOS_original!C:D, 2, FALSE), "Código não encontrado/Não digitado")</f>
        <v>Código não encontrado/Não digitado</v>
      </c>
      <c r="J10" s="12" t="s">
        <v>68</v>
      </c>
      <c r="K10" s="12" t="str">
        <f>IFERROR(VLOOKUP(J10, DADOS_RM_EVENTOS_original!E:J, 2, FALSE), "Código não encontrado/Não digitado")</f>
        <v>Código não encontrado/Não digitado</v>
      </c>
      <c r="L10" s="12" t="s">
        <v>68</v>
      </c>
      <c r="M10" s="12" t="str">
        <f>IFERROR(VLOOKUP(L10, DADOS_RM_EVENTOS_original!K:L, 2, FALSE), "Código não encontrado/Não digitado")</f>
        <v>Código não encontrado/Não digitado</v>
      </c>
    </row>
    <row r="11" hidden="1">
      <c r="A11" s="11" t="s">
        <v>38</v>
      </c>
      <c r="B11" s="11" t="s">
        <v>242</v>
      </c>
      <c r="C11" s="11" t="s">
        <v>243</v>
      </c>
      <c r="D11" s="11" t="s">
        <v>44</v>
      </c>
      <c r="E11" s="11" t="s">
        <v>47</v>
      </c>
      <c r="F11" s="11" t="s">
        <v>245</v>
      </c>
      <c r="G11" s="12" t="s">
        <v>262</v>
      </c>
      <c r="H11" s="12" t="s">
        <v>68</v>
      </c>
      <c r="I11" s="12" t="str">
        <f>IFERROR(VLOOKUP(H11, DADOS_RM_EVENTOS_original!C:D, 2, FALSE), "Código não encontrado/Não digitado")</f>
        <v>Código não encontrado/Não digitado</v>
      </c>
      <c r="J11" s="12" t="s">
        <v>68</v>
      </c>
      <c r="K11" s="12" t="str">
        <f>IFERROR(VLOOKUP(J11, DADOS_RM_EVENTOS_original!E:J, 2, FALSE), "Código não encontrado/Não digitado")</f>
        <v>Código não encontrado/Não digitado</v>
      </c>
      <c r="L11" s="12" t="s">
        <v>68</v>
      </c>
      <c r="M11" s="12" t="str">
        <f>IFERROR(VLOOKUP(L11, DADOS_RM_EVENTOS_original!K:L, 2, FALSE), "Código não encontrado/Não digitado")</f>
        <v>Código não encontrado/Não digitado</v>
      </c>
    </row>
    <row r="12" hidden="1">
      <c r="A12" s="11" t="s">
        <v>38</v>
      </c>
      <c r="B12" s="11" t="s">
        <v>256</v>
      </c>
      <c r="C12" s="11" t="s">
        <v>257</v>
      </c>
      <c r="D12" s="11" t="s">
        <v>44</v>
      </c>
      <c r="E12" s="11" t="s">
        <v>47</v>
      </c>
      <c r="F12" s="11" t="s">
        <v>259</v>
      </c>
      <c r="G12" s="12" t="s">
        <v>282</v>
      </c>
      <c r="H12" s="12" t="s">
        <v>68</v>
      </c>
      <c r="I12" s="12" t="str">
        <f>IFERROR(VLOOKUP(H12, DADOS_RM_EVENTOS_original!C:D, 2, FALSE), "Código não encontrado/Não digitado")</f>
        <v>Código não encontrado/Não digitado</v>
      </c>
      <c r="J12" s="12" t="s">
        <v>68</v>
      </c>
      <c r="K12" s="12" t="str">
        <f>IFERROR(VLOOKUP(J12, DADOS_RM_EVENTOS_original!E:J, 2, FALSE), "Código não encontrado/Não digitado")</f>
        <v>Código não encontrado/Não digitado</v>
      </c>
      <c r="L12" s="12" t="s">
        <v>68</v>
      </c>
      <c r="M12" s="12" t="str">
        <f>IFERROR(VLOOKUP(L12, DADOS_RM_EVENTOS_original!K:L, 2, FALSE), "Código não encontrado/Não digitado")</f>
        <v>Código não encontrado/Não digitado</v>
      </c>
    </row>
    <row r="13" hidden="1">
      <c r="A13" s="11" t="s">
        <v>38</v>
      </c>
      <c r="B13" s="11" t="s">
        <v>272</v>
      </c>
      <c r="C13" s="11" t="s">
        <v>273</v>
      </c>
      <c r="D13" s="11" t="s">
        <v>120</v>
      </c>
      <c r="E13" s="11" t="s">
        <v>47</v>
      </c>
      <c r="F13" s="11" t="s">
        <v>274</v>
      </c>
      <c r="G13" s="12" t="s">
        <v>303</v>
      </c>
      <c r="H13" s="12" t="s">
        <v>68</v>
      </c>
      <c r="I13" s="12" t="str">
        <f>IFERROR(VLOOKUP(H13, DADOS_RM_EVENTOS_original!C:D, 2, FALSE), "Código não encontrado/Não digitado")</f>
        <v>Código não encontrado/Não digitado</v>
      </c>
      <c r="J13" s="12" t="s">
        <v>68</v>
      </c>
      <c r="K13" s="12" t="str">
        <f>IFERROR(VLOOKUP(J13, DADOS_RM_EVENTOS_original!E:J, 2, FALSE), "Código não encontrado/Não digitado")</f>
        <v>Código não encontrado/Não digitado</v>
      </c>
      <c r="L13" s="12" t="s">
        <v>68</v>
      </c>
      <c r="M13" s="12" t="str">
        <f>IFERROR(VLOOKUP(L13, DADOS_RM_EVENTOS_original!K:L, 2, FALSE), "Código não encontrado/Não digitado")</f>
        <v>Código não encontrado/Não digitado</v>
      </c>
    </row>
    <row r="14" hidden="1">
      <c r="A14" s="11" t="s">
        <v>38</v>
      </c>
      <c r="B14" s="11" t="s">
        <v>292</v>
      </c>
      <c r="C14" s="11" t="s">
        <v>293</v>
      </c>
      <c r="D14" s="11" t="s">
        <v>120</v>
      </c>
      <c r="E14" s="11" t="s">
        <v>47</v>
      </c>
      <c r="F14" s="11" t="s">
        <v>294</v>
      </c>
      <c r="G14" s="12" t="s">
        <v>323</v>
      </c>
      <c r="H14" s="12" t="s">
        <v>68</v>
      </c>
      <c r="I14" s="12" t="str">
        <f>IFERROR(VLOOKUP(H14, DADOS_RM_EVENTOS_original!C:D, 2, FALSE), "Código não encontrado/Não digitado")</f>
        <v>Código não encontrado/Não digitado</v>
      </c>
      <c r="J14" s="12" t="s">
        <v>68</v>
      </c>
      <c r="K14" s="12" t="str">
        <f>IFERROR(VLOOKUP(J14, DADOS_RM_EVENTOS_original!E:J, 2, FALSE), "Código não encontrado/Não digitado")</f>
        <v>Código não encontrado/Não digitado</v>
      </c>
      <c r="L14" s="12" t="s">
        <v>68</v>
      </c>
      <c r="M14" s="12" t="str">
        <f>IFERROR(VLOOKUP(L14, DADOS_RM_EVENTOS_original!K:L, 2, FALSE), "Código não encontrado/Não digitado")</f>
        <v>Código não encontrado/Não digitado</v>
      </c>
    </row>
    <row r="15" hidden="1">
      <c r="A15" s="11" t="s">
        <v>38</v>
      </c>
      <c r="B15" s="11" t="s">
        <v>307</v>
      </c>
      <c r="C15" s="11" t="s">
        <v>309</v>
      </c>
      <c r="D15" s="11" t="s">
        <v>120</v>
      </c>
      <c r="E15" s="11" t="s">
        <v>47</v>
      </c>
      <c r="F15" s="11" t="s">
        <v>311</v>
      </c>
      <c r="G15" s="12" t="s">
        <v>342</v>
      </c>
      <c r="H15" s="12" t="s">
        <v>68</v>
      </c>
      <c r="I15" s="12" t="str">
        <f>IFERROR(VLOOKUP(H15, DADOS_RM_EVENTOS_original!C:D, 2, FALSE), "Código não encontrado/Não digitado")</f>
        <v>Código não encontrado/Não digitado</v>
      </c>
      <c r="J15" s="12" t="s">
        <v>68</v>
      </c>
      <c r="K15" s="12" t="str">
        <f>IFERROR(VLOOKUP(J15, DADOS_RM_EVENTOS_original!E:J, 2, FALSE), "Código não encontrado/Não digitado")</f>
        <v>Código não encontrado/Não digitado</v>
      </c>
      <c r="L15" s="12" t="s">
        <v>68</v>
      </c>
      <c r="M15" s="12" t="str">
        <f>IFERROR(VLOOKUP(L15, DADOS_RM_EVENTOS_original!K:L, 2, FALSE), "Código não encontrado/Não digitado")</f>
        <v>Código não encontrado/Não digitado</v>
      </c>
    </row>
    <row r="16" hidden="1">
      <c r="A16" s="11" t="s">
        <v>38</v>
      </c>
      <c r="B16" s="11" t="s">
        <v>321</v>
      </c>
      <c r="C16" s="11" t="s">
        <v>322</v>
      </c>
      <c r="D16" s="11" t="s">
        <v>120</v>
      </c>
      <c r="E16" s="11" t="s">
        <v>47</v>
      </c>
      <c r="F16" s="11" t="s">
        <v>324</v>
      </c>
      <c r="G16" s="12" t="s">
        <v>369</v>
      </c>
      <c r="H16" s="12" t="s">
        <v>68</v>
      </c>
      <c r="I16" s="12" t="str">
        <f>IFERROR(VLOOKUP(H16, DADOS_RM_EVENTOS_original!C:D, 2, FALSE), "Código não encontrado/Não digitado")</f>
        <v>Código não encontrado/Não digitado</v>
      </c>
      <c r="J16" s="12" t="s">
        <v>68</v>
      </c>
      <c r="K16" s="12" t="str">
        <f>IFERROR(VLOOKUP(J16, DADOS_RM_EVENTOS_original!E:J, 2, FALSE), "Código não encontrado/Não digitado")</f>
        <v>Código não encontrado/Não digitado</v>
      </c>
      <c r="L16" s="12" t="s">
        <v>68</v>
      </c>
      <c r="M16" s="12" t="str">
        <f>IFERROR(VLOOKUP(L16, DADOS_RM_EVENTOS_original!K:L, 2, FALSE), "Código não encontrado/Não digitado")</f>
        <v>Código não encontrado/Não digitado</v>
      </c>
    </row>
    <row r="17" hidden="1">
      <c r="A17" s="11" t="s">
        <v>38</v>
      </c>
      <c r="B17" s="11" t="s">
        <v>337</v>
      </c>
      <c r="C17" s="11" t="s">
        <v>338</v>
      </c>
      <c r="D17" s="11" t="s">
        <v>120</v>
      </c>
      <c r="E17" s="11" t="s">
        <v>47</v>
      </c>
      <c r="F17" s="11" t="s">
        <v>340</v>
      </c>
      <c r="G17" s="12" t="s">
        <v>385</v>
      </c>
      <c r="H17" s="12" t="s">
        <v>68</v>
      </c>
      <c r="I17" s="12" t="str">
        <f>IFERROR(VLOOKUP(H17, DADOS_RM_EVENTOS_original!C:D, 2, FALSE), "Código não encontrado/Não digitado")</f>
        <v>Código não encontrado/Não digitado</v>
      </c>
      <c r="J17" s="12" t="s">
        <v>68</v>
      </c>
      <c r="K17" s="12" t="str">
        <f>IFERROR(VLOOKUP(J17, DADOS_RM_EVENTOS_original!E:J, 2, FALSE), "Código não encontrado/Não digitado")</f>
        <v>Código não encontrado/Não digitado</v>
      </c>
      <c r="L17" s="12" t="s">
        <v>68</v>
      </c>
      <c r="M17" s="12" t="str">
        <f>IFERROR(VLOOKUP(L17, DADOS_RM_EVENTOS_original!K:L, 2, FALSE), "Código não encontrado/Não digitado")</f>
        <v>Código não encontrado/Não digitado</v>
      </c>
    </row>
    <row r="18" hidden="1">
      <c r="A18" s="11" t="s">
        <v>38</v>
      </c>
      <c r="B18" s="11" t="s">
        <v>354</v>
      </c>
      <c r="C18" s="11" t="s">
        <v>355</v>
      </c>
      <c r="D18" s="11" t="s">
        <v>96</v>
      </c>
      <c r="E18" s="11" t="s">
        <v>47</v>
      </c>
      <c r="F18" s="11" t="s">
        <v>99</v>
      </c>
      <c r="G18" s="12" t="s">
        <v>63</v>
      </c>
      <c r="H18" s="12" t="s">
        <v>68</v>
      </c>
      <c r="I18" s="12" t="str">
        <f>IFERROR(VLOOKUP(H18, DADOS_RM_EVENTOS_original!C:D, 2, FALSE), "Código não encontrado/Não digitado")</f>
        <v>Código não encontrado/Não digitado</v>
      </c>
      <c r="J18" s="12" t="s">
        <v>68</v>
      </c>
      <c r="K18" s="12" t="str">
        <f>IFERROR(VLOOKUP(J18, DADOS_RM_EVENTOS_original!E:J, 2, FALSE), "Código não encontrado/Não digitado")</f>
        <v>Código não encontrado/Não digitado</v>
      </c>
      <c r="L18" s="12" t="s">
        <v>68</v>
      </c>
      <c r="M18" s="12" t="str">
        <f>IFERROR(VLOOKUP(L18, DADOS_RM_EVENTOS_original!K:L, 2, FALSE), "Código não encontrado/Não digitado")</f>
        <v>Código não encontrado/Não digitado</v>
      </c>
    </row>
    <row r="19" hidden="1">
      <c r="A19" s="11" t="s">
        <v>115</v>
      </c>
      <c r="B19" s="11" t="s">
        <v>354</v>
      </c>
      <c r="C19" s="11" t="s">
        <v>355</v>
      </c>
      <c r="D19" s="11" t="s">
        <v>96</v>
      </c>
      <c r="E19" s="11" t="s">
        <v>121</v>
      </c>
      <c r="F19" s="11" t="s">
        <v>99</v>
      </c>
      <c r="G19" s="12" t="s">
        <v>63</v>
      </c>
      <c r="H19" s="12" t="s">
        <v>68</v>
      </c>
      <c r="I19" s="12" t="str">
        <f>IFERROR(VLOOKUP(H19, DADOS_RM_EVENTOS_original!C:D, 2, FALSE), "Código não encontrado/Não digitado")</f>
        <v>Código não encontrado/Não digitado</v>
      </c>
      <c r="J19" s="12" t="s">
        <v>68</v>
      </c>
      <c r="K19" s="12" t="str">
        <f>IFERROR(VLOOKUP(J19, DADOS_RM_EVENTOS_original!E:J, 2, FALSE), "Código não encontrado/Não digitado")</f>
        <v>Código não encontrado/Não digitado</v>
      </c>
      <c r="L19" s="12" t="s">
        <v>68</v>
      </c>
      <c r="M19" s="12" t="str">
        <f>IFERROR(VLOOKUP(L19, DADOS_RM_EVENTOS_original!K:L, 2, FALSE), "Código não encontrado/Não digitado")</f>
        <v>Código não encontrado/Não digitado</v>
      </c>
    </row>
    <row r="20" hidden="1">
      <c r="A20" s="11" t="s">
        <v>38</v>
      </c>
      <c r="B20" s="11" t="s">
        <v>383</v>
      </c>
      <c r="C20" s="11" t="s">
        <v>384</v>
      </c>
      <c r="D20" s="11" t="s">
        <v>96</v>
      </c>
      <c r="E20" s="11" t="s">
        <v>47</v>
      </c>
      <c r="F20" s="11" t="s">
        <v>99</v>
      </c>
      <c r="G20" s="12" t="s">
        <v>63</v>
      </c>
      <c r="H20" s="12" t="s">
        <v>68</v>
      </c>
      <c r="I20" s="12" t="str">
        <f>IFERROR(VLOOKUP(H20, DADOS_RM_EVENTOS_original!C:D, 2, FALSE), "Código não encontrado/Não digitado")</f>
        <v>Código não encontrado/Não digitado</v>
      </c>
      <c r="J20" s="12" t="s">
        <v>68</v>
      </c>
      <c r="K20" s="12" t="str">
        <f>IFERROR(VLOOKUP(J20, DADOS_RM_EVENTOS_original!E:J, 2, FALSE), "Código não encontrado/Não digitado")</f>
        <v>Código não encontrado/Não digitado</v>
      </c>
      <c r="L20" s="12" t="s">
        <v>68</v>
      </c>
      <c r="M20" s="12" t="str">
        <f>IFERROR(VLOOKUP(L20, DADOS_RM_EVENTOS_original!K:L, 2, FALSE), "Código não encontrado/Não digitado")</f>
        <v>Código não encontrado/Não digitado</v>
      </c>
    </row>
    <row r="21" ht="15.75" hidden="1" customHeight="1">
      <c r="A21" s="11" t="s">
        <v>115</v>
      </c>
      <c r="B21" s="11" t="s">
        <v>383</v>
      </c>
      <c r="C21" s="11" t="s">
        <v>384</v>
      </c>
      <c r="D21" s="11" t="s">
        <v>96</v>
      </c>
      <c r="E21" s="11" t="s">
        <v>121</v>
      </c>
      <c r="F21" s="11" t="s">
        <v>99</v>
      </c>
      <c r="G21" s="12" t="s">
        <v>63</v>
      </c>
      <c r="H21" s="12" t="s">
        <v>68</v>
      </c>
      <c r="I21" s="12" t="str">
        <f>IFERROR(VLOOKUP(H21, DADOS_RM_EVENTOS_original!C:D, 2, FALSE), "Código não encontrado/Não digitado")</f>
        <v>Código não encontrado/Não digitado</v>
      </c>
      <c r="J21" s="12" t="s">
        <v>68</v>
      </c>
      <c r="K21" s="12" t="str">
        <f>IFERROR(VLOOKUP(J21, DADOS_RM_EVENTOS_original!E:J, 2, FALSE), "Código não encontrado/Não digitado")</f>
        <v>Código não encontrado/Não digitado</v>
      </c>
      <c r="L21" s="12" t="s">
        <v>68</v>
      </c>
      <c r="M21" s="12" t="str">
        <f>IFERROR(VLOOKUP(L21, DADOS_RM_EVENTOS_original!K:L, 2, FALSE), "Código não encontrado/Não digitado")</f>
        <v>Código não encontrado/Não digitado</v>
      </c>
    </row>
    <row r="22" ht="15.75" hidden="1" customHeight="1">
      <c r="A22" s="11" t="s">
        <v>38</v>
      </c>
      <c r="B22" s="11" t="s">
        <v>408</v>
      </c>
      <c r="C22" s="11" t="s">
        <v>409</v>
      </c>
      <c r="D22" s="11" t="s">
        <v>96</v>
      </c>
      <c r="E22" s="11" t="s">
        <v>47</v>
      </c>
      <c r="F22" s="11" t="s">
        <v>99</v>
      </c>
      <c r="G22" s="12" t="s">
        <v>63</v>
      </c>
      <c r="H22" s="12" t="s">
        <v>68</v>
      </c>
      <c r="I22" s="12" t="str">
        <f>IFERROR(VLOOKUP(H22, DADOS_RM_EVENTOS_original!C:D, 2, FALSE), "Código não encontrado/Não digitado")</f>
        <v>Código não encontrado/Não digitado</v>
      </c>
      <c r="J22" s="12" t="s">
        <v>68</v>
      </c>
      <c r="K22" s="12" t="str">
        <f>IFERROR(VLOOKUP(J22, DADOS_RM_EVENTOS_original!E:J, 2, FALSE), "Código não encontrado/Não digitado")</f>
        <v>Código não encontrado/Não digitado</v>
      </c>
      <c r="L22" s="12" t="s">
        <v>68</v>
      </c>
      <c r="M22" s="12" t="str">
        <f>IFERROR(VLOOKUP(L22, DADOS_RM_EVENTOS_original!K:L, 2, FALSE), "Código não encontrado/Não digitado")</f>
        <v>Código não encontrado/Não digitado</v>
      </c>
    </row>
    <row r="23" ht="15.75" hidden="1" customHeight="1">
      <c r="A23" s="11" t="s">
        <v>115</v>
      </c>
      <c r="B23" s="11" t="s">
        <v>408</v>
      </c>
      <c r="C23" s="11" t="s">
        <v>409</v>
      </c>
      <c r="D23" s="11" t="s">
        <v>96</v>
      </c>
      <c r="E23" s="11" t="s">
        <v>121</v>
      </c>
      <c r="F23" s="11" t="s">
        <v>99</v>
      </c>
      <c r="G23" s="12" t="s">
        <v>63</v>
      </c>
      <c r="H23" s="12" t="s">
        <v>68</v>
      </c>
      <c r="I23" s="12" t="str">
        <f>IFERROR(VLOOKUP(H23, DADOS_RM_EVENTOS_original!C:D, 2, FALSE), "Código não encontrado/Não digitado")</f>
        <v>Código não encontrado/Não digitado</v>
      </c>
      <c r="J23" s="12" t="s">
        <v>68</v>
      </c>
      <c r="K23" s="12" t="str">
        <f>IFERROR(VLOOKUP(J23, DADOS_RM_EVENTOS_original!E:J, 2, FALSE), "Código não encontrado/Não digitado")</f>
        <v>Código não encontrado/Não digitado</v>
      </c>
      <c r="L23" s="12" t="s">
        <v>68</v>
      </c>
      <c r="M23" s="12" t="str">
        <f>IFERROR(VLOOKUP(L23, DADOS_RM_EVENTOS_original!K:L, 2, FALSE), "Código não encontrado/Não digitado")</f>
        <v>Código não encontrado/Não digitado</v>
      </c>
    </row>
    <row r="24" ht="15.75" hidden="1" customHeight="1">
      <c r="A24" s="11" t="s">
        <v>38</v>
      </c>
      <c r="B24" s="11" t="s">
        <v>433</v>
      </c>
      <c r="C24" s="11" t="s">
        <v>434</v>
      </c>
      <c r="D24" s="11" t="s">
        <v>120</v>
      </c>
      <c r="E24" s="11" t="s">
        <v>47</v>
      </c>
      <c r="F24" s="11" t="s">
        <v>155</v>
      </c>
      <c r="G24" s="12" t="s">
        <v>158</v>
      </c>
      <c r="H24" s="12" t="s">
        <v>68</v>
      </c>
      <c r="I24" s="12" t="str">
        <f>IFERROR(VLOOKUP(H24, DADOS_RM_EVENTOS_original!C:D, 2, FALSE), "Código não encontrado/Não digitado")</f>
        <v>Código não encontrado/Não digitado</v>
      </c>
      <c r="J24" s="12" t="s">
        <v>68</v>
      </c>
      <c r="K24" s="12" t="str">
        <f>IFERROR(VLOOKUP(J24, DADOS_RM_EVENTOS_original!E:J, 2, FALSE), "Código não encontrado/Não digitado")</f>
        <v>Código não encontrado/Não digitado</v>
      </c>
      <c r="L24" s="12" t="s">
        <v>68</v>
      </c>
      <c r="M24" s="12" t="str">
        <f>IFERROR(VLOOKUP(L24, DADOS_RM_EVENTOS_original!K:L, 2, FALSE), "Código não encontrado/Não digitado")</f>
        <v>Código não encontrado/Não digitado</v>
      </c>
    </row>
    <row r="25" ht="15.75" hidden="1" customHeight="1">
      <c r="A25" s="11" t="s">
        <v>38</v>
      </c>
      <c r="B25" s="11" t="s">
        <v>452</v>
      </c>
      <c r="C25" s="11" t="s">
        <v>453</v>
      </c>
      <c r="D25" s="11" t="s">
        <v>96</v>
      </c>
      <c r="E25" s="11" t="s">
        <v>47</v>
      </c>
      <c r="F25" s="11" t="s">
        <v>99</v>
      </c>
      <c r="G25" s="12" t="s">
        <v>63</v>
      </c>
      <c r="H25" s="12" t="s">
        <v>68</v>
      </c>
      <c r="I25" s="12" t="str">
        <f>IFERROR(VLOOKUP(H25, DADOS_RM_EVENTOS_original!C:D, 2, FALSE), "Código não encontrado/Não digitado")</f>
        <v>Código não encontrado/Não digitado</v>
      </c>
      <c r="J25" s="12" t="s">
        <v>68</v>
      </c>
      <c r="K25" s="12" t="str">
        <f>IFERROR(VLOOKUP(J25, DADOS_RM_EVENTOS_original!E:J, 2, FALSE), "Código não encontrado/Não digitado")</f>
        <v>Código não encontrado/Não digitado</v>
      </c>
      <c r="L25" s="12" t="s">
        <v>68</v>
      </c>
      <c r="M25" s="12" t="str">
        <f>IFERROR(VLOOKUP(L25, DADOS_RM_EVENTOS_original!K:L, 2, FALSE), "Código não encontrado/Não digitado")</f>
        <v>Código não encontrado/Não digitado</v>
      </c>
    </row>
    <row r="26" ht="15.75" hidden="1" customHeight="1">
      <c r="A26" s="11" t="s">
        <v>115</v>
      </c>
      <c r="B26" s="11" t="s">
        <v>452</v>
      </c>
      <c r="C26" s="11" t="s">
        <v>453</v>
      </c>
      <c r="D26" s="11" t="s">
        <v>96</v>
      </c>
      <c r="E26" s="11" t="s">
        <v>121</v>
      </c>
      <c r="F26" s="11" t="s">
        <v>99</v>
      </c>
      <c r="G26" s="12" t="s">
        <v>63</v>
      </c>
      <c r="H26" s="12" t="s">
        <v>68</v>
      </c>
      <c r="I26" s="12" t="str">
        <f>IFERROR(VLOOKUP(H26, DADOS_RM_EVENTOS_original!C:D, 2, FALSE), "Código não encontrado/Não digitado")</f>
        <v>Código não encontrado/Não digitado</v>
      </c>
      <c r="J26" s="12" t="s">
        <v>68</v>
      </c>
      <c r="K26" s="12" t="str">
        <f>IFERROR(VLOOKUP(J26, DADOS_RM_EVENTOS_original!E:J, 2, FALSE), "Código não encontrado/Não digitado")</f>
        <v>Código não encontrado/Não digitado</v>
      </c>
      <c r="L26" s="12" t="s">
        <v>68</v>
      </c>
      <c r="M26" s="12" t="str">
        <f>IFERROR(VLOOKUP(L26, DADOS_RM_EVENTOS_original!K:L, 2, FALSE), "Código não encontrado/Não digitado")</f>
        <v>Código não encontrado/Não digitado</v>
      </c>
    </row>
    <row r="27" ht="15.75" hidden="1" customHeight="1">
      <c r="A27" s="11" t="s">
        <v>38</v>
      </c>
      <c r="B27" s="11" t="s">
        <v>482</v>
      </c>
      <c r="C27" s="11" t="s">
        <v>484</v>
      </c>
      <c r="D27" s="11" t="s">
        <v>96</v>
      </c>
      <c r="E27" s="11" t="s">
        <v>47</v>
      </c>
      <c r="F27" s="11" t="s">
        <v>99</v>
      </c>
      <c r="G27" s="12" t="s">
        <v>63</v>
      </c>
      <c r="H27" s="12" t="s">
        <v>68</v>
      </c>
      <c r="I27" s="12" t="str">
        <f>IFERROR(VLOOKUP(H27, DADOS_RM_EVENTOS_original!C:D, 2, FALSE), "Código não encontrado/Não digitado")</f>
        <v>Código não encontrado/Não digitado</v>
      </c>
      <c r="J27" s="12" t="s">
        <v>68</v>
      </c>
      <c r="K27" s="12" t="str">
        <f>IFERROR(VLOOKUP(J27, DADOS_RM_EVENTOS_original!E:J, 2, FALSE), "Código não encontrado/Não digitado")</f>
        <v>Código não encontrado/Não digitado</v>
      </c>
      <c r="L27" s="12" t="s">
        <v>68</v>
      </c>
      <c r="M27" s="12" t="str">
        <f>IFERROR(VLOOKUP(L27, DADOS_RM_EVENTOS_original!K:L, 2, FALSE), "Código não encontrado/Não digitado")</f>
        <v>Código não encontrado/Não digitado</v>
      </c>
    </row>
    <row r="28" ht="15.75" hidden="1" customHeight="1">
      <c r="A28" s="11" t="s">
        <v>115</v>
      </c>
      <c r="B28" s="11" t="s">
        <v>482</v>
      </c>
      <c r="C28" s="11" t="s">
        <v>484</v>
      </c>
      <c r="D28" s="11" t="s">
        <v>96</v>
      </c>
      <c r="E28" s="11" t="s">
        <v>121</v>
      </c>
      <c r="F28" s="11" t="s">
        <v>99</v>
      </c>
      <c r="G28" s="12" t="s">
        <v>63</v>
      </c>
      <c r="H28" s="12" t="s">
        <v>68</v>
      </c>
      <c r="I28" s="12" t="str">
        <f>IFERROR(VLOOKUP(H28, DADOS_RM_EVENTOS_original!C:D, 2, FALSE), "Código não encontrado/Não digitado")</f>
        <v>Código não encontrado/Não digitado</v>
      </c>
      <c r="J28" s="12" t="s">
        <v>68</v>
      </c>
      <c r="K28" s="12" t="str">
        <f>IFERROR(VLOOKUP(J28, DADOS_RM_EVENTOS_original!E:J, 2, FALSE), "Código não encontrado/Não digitado")</f>
        <v>Código não encontrado/Não digitado</v>
      </c>
      <c r="L28" s="12" t="s">
        <v>68</v>
      </c>
      <c r="M28" s="12" t="str">
        <f>IFERROR(VLOOKUP(L28, DADOS_RM_EVENTOS_original!K:L, 2, FALSE), "Código não encontrado/Não digitado")</f>
        <v>Código não encontrado/Não digitado</v>
      </c>
    </row>
    <row r="29" ht="15.75" hidden="1" customHeight="1">
      <c r="A29" s="11" t="s">
        <v>38</v>
      </c>
      <c r="B29" s="11" t="s">
        <v>517</v>
      </c>
      <c r="C29" s="11" t="s">
        <v>519</v>
      </c>
      <c r="D29" s="11" t="s">
        <v>44</v>
      </c>
      <c r="E29" s="11" t="s">
        <v>47</v>
      </c>
      <c r="F29" s="11" t="s">
        <v>246</v>
      </c>
      <c r="G29" s="12" t="s">
        <v>247</v>
      </c>
      <c r="H29" s="12" t="s">
        <v>68</v>
      </c>
      <c r="I29" s="12" t="str">
        <f>IFERROR(VLOOKUP(H29, DADOS_RM_EVENTOS_original!C:D, 2, FALSE), "Código não encontrado/Não digitado")</f>
        <v>Código não encontrado/Não digitado</v>
      </c>
      <c r="J29" s="12" t="s">
        <v>68</v>
      </c>
      <c r="K29" s="12" t="str">
        <f>IFERROR(VLOOKUP(J29, DADOS_RM_EVENTOS_original!E:J, 2, FALSE), "Código não encontrado/Não digitado")</f>
        <v>Código não encontrado/Não digitado</v>
      </c>
      <c r="L29" s="12" t="s">
        <v>68</v>
      </c>
      <c r="M29" s="12" t="str">
        <f>IFERROR(VLOOKUP(L29, DADOS_RM_EVENTOS_original!K:L, 2, FALSE), "Código não encontrado/Não digitado")</f>
        <v>Código não encontrado/Não digitado</v>
      </c>
    </row>
    <row r="30" ht="15.75" hidden="1" customHeight="1">
      <c r="A30" s="11" t="s">
        <v>38</v>
      </c>
      <c r="B30" s="11" t="s">
        <v>487</v>
      </c>
      <c r="C30" s="11" t="s">
        <v>535</v>
      </c>
      <c r="D30" s="11" t="s">
        <v>120</v>
      </c>
      <c r="E30" s="11" t="s">
        <v>47</v>
      </c>
      <c r="F30" s="11" t="s">
        <v>124</v>
      </c>
      <c r="G30" s="12" t="s">
        <v>125</v>
      </c>
      <c r="H30" s="12" t="s">
        <v>68</v>
      </c>
      <c r="I30" s="12" t="str">
        <f>IFERROR(VLOOKUP(H30, DADOS_RM_EVENTOS_original!C:D, 2, FALSE), "Código não encontrado/Não digitado")</f>
        <v>Código não encontrado/Não digitado</v>
      </c>
      <c r="J30" s="12" t="s">
        <v>68</v>
      </c>
      <c r="K30" s="12" t="str">
        <f>IFERROR(VLOOKUP(J30, DADOS_RM_EVENTOS_original!E:J, 2, FALSE), "Código não encontrado/Não digitado")</f>
        <v>Código não encontrado/Não digitado</v>
      </c>
      <c r="L30" s="12" t="s">
        <v>68</v>
      </c>
      <c r="M30" s="12" t="str">
        <f>IFERROR(VLOOKUP(L30, DADOS_RM_EVENTOS_original!K:L, 2, FALSE), "Código não encontrado/Não digitado")</f>
        <v>Código não encontrado/Não digitado</v>
      </c>
    </row>
    <row r="31" ht="15.75" hidden="1" customHeight="1">
      <c r="A31" s="11" t="s">
        <v>38</v>
      </c>
      <c r="B31" s="11" t="s">
        <v>609</v>
      </c>
      <c r="C31" s="11" t="s">
        <v>611</v>
      </c>
      <c r="D31" s="11" t="s">
        <v>44</v>
      </c>
      <c r="E31" s="11" t="s">
        <v>47</v>
      </c>
      <c r="F31" s="11" t="s">
        <v>612</v>
      </c>
      <c r="G31" s="12" t="s">
        <v>63</v>
      </c>
      <c r="H31" s="12" t="s">
        <v>68</v>
      </c>
      <c r="I31" s="12" t="str">
        <f>IFERROR(VLOOKUP(H31, DADOS_RM_EVENTOS_original!C:D, 2, FALSE), "Código não encontrado/Não digitado")</f>
        <v>Código não encontrado/Não digitado</v>
      </c>
      <c r="J31" s="12" t="s">
        <v>68</v>
      </c>
      <c r="K31" s="12" t="str">
        <f>IFERROR(VLOOKUP(J31, DADOS_RM_EVENTOS_original!E:J, 2, FALSE), "Código não encontrado/Não digitado")</f>
        <v>Código não encontrado/Não digitado</v>
      </c>
      <c r="L31" s="12" t="s">
        <v>68</v>
      </c>
      <c r="M31" s="12" t="str">
        <f>IFERROR(VLOOKUP(L31, DADOS_RM_EVENTOS_original!K:L, 2, FALSE), "Código não encontrado/Não digitado")</f>
        <v>Código não encontrado/Não digitado</v>
      </c>
    </row>
    <row r="32" ht="15.75" hidden="1" customHeight="1">
      <c r="A32" s="11" t="s">
        <v>38</v>
      </c>
      <c r="B32" s="11" t="s">
        <v>631</v>
      </c>
      <c r="C32" s="11" t="s">
        <v>633</v>
      </c>
      <c r="D32" s="11" t="s">
        <v>96</v>
      </c>
      <c r="E32" s="11" t="s">
        <v>47</v>
      </c>
      <c r="F32" s="11" t="s">
        <v>99</v>
      </c>
      <c r="G32" s="12" t="s">
        <v>63</v>
      </c>
      <c r="H32" s="12" t="s">
        <v>68</v>
      </c>
      <c r="I32" s="12" t="str">
        <f>IFERROR(VLOOKUP(H32, DADOS_RM_EVENTOS_original!C:D, 2, FALSE), "Código não encontrado/Não digitado")</f>
        <v>Código não encontrado/Não digitado</v>
      </c>
      <c r="J32" s="12" t="s">
        <v>68</v>
      </c>
      <c r="K32" s="12" t="str">
        <f>IFERROR(VLOOKUP(J32, DADOS_RM_EVENTOS_original!E:J, 2, FALSE), "Código não encontrado/Não digitado")</f>
        <v>Código não encontrado/Não digitado</v>
      </c>
      <c r="L32" s="12" t="s">
        <v>68</v>
      </c>
      <c r="M32" s="12" t="str">
        <f>IFERROR(VLOOKUP(L32, DADOS_RM_EVENTOS_original!K:L, 2, FALSE), "Código não encontrado/Não digitado")</f>
        <v>Código não encontrado/Não digitado</v>
      </c>
    </row>
    <row r="33" ht="15.75" hidden="1" customHeight="1">
      <c r="A33" s="11" t="s">
        <v>115</v>
      </c>
      <c r="B33" s="11" t="s">
        <v>631</v>
      </c>
      <c r="C33" s="11" t="s">
        <v>633</v>
      </c>
      <c r="D33" s="11" t="s">
        <v>96</v>
      </c>
      <c r="E33" s="11" t="s">
        <v>121</v>
      </c>
      <c r="F33" s="11" t="s">
        <v>99</v>
      </c>
      <c r="G33" s="12" t="s">
        <v>63</v>
      </c>
      <c r="H33" s="12" t="s">
        <v>68</v>
      </c>
      <c r="I33" s="12" t="str">
        <f>IFERROR(VLOOKUP(H33, DADOS_RM_EVENTOS_original!C:D, 2, FALSE), "Código não encontrado/Não digitado")</f>
        <v>Código não encontrado/Não digitado</v>
      </c>
      <c r="J33" s="12" t="s">
        <v>68</v>
      </c>
      <c r="K33" s="12" t="str">
        <f>IFERROR(VLOOKUP(J33, DADOS_RM_EVENTOS_original!E:J, 2, FALSE), "Código não encontrado/Não digitado")</f>
        <v>Código não encontrado/Não digitado</v>
      </c>
      <c r="L33" s="12" t="s">
        <v>68</v>
      </c>
      <c r="M33" s="12" t="str">
        <f>IFERROR(VLOOKUP(L33, DADOS_RM_EVENTOS_original!K:L, 2, FALSE), "Código não encontrado/Não digitado")</f>
        <v>Código não encontrado/Não digitado</v>
      </c>
    </row>
    <row r="34" ht="15.75" hidden="1" customHeight="1">
      <c r="A34" s="11" t="s">
        <v>38</v>
      </c>
      <c r="B34" s="11" t="s">
        <v>662</v>
      </c>
      <c r="C34" s="11" t="s">
        <v>664</v>
      </c>
      <c r="D34" s="11" t="s">
        <v>96</v>
      </c>
      <c r="E34" s="11" t="s">
        <v>47</v>
      </c>
      <c r="F34" s="11" t="s">
        <v>99</v>
      </c>
      <c r="G34" s="12" t="s">
        <v>63</v>
      </c>
      <c r="H34" s="12" t="s">
        <v>68</v>
      </c>
      <c r="I34" s="12" t="str">
        <f>IFERROR(VLOOKUP(H34, DADOS_RM_EVENTOS_original!C:D, 2, FALSE), "Código não encontrado/Não digitado")</f>
        <v>Código não encontrado/Não digitado</v>
      </c>
      <c r="J34" s="12" t="s">
        <v>68</v>
      </c>
      <c r="K34" s="12" t="str">
        <f>IFERROR(VLOOKUP(J34, DADOS_RM_EVENTOS_original!E:J, 2, FALSE), "Código não encontrado/Não digitado")</f>
        <v>Código não encontrado/Não digitado</v>
      </c>
      <c r="L34" s="12" t="s">
        <v>68</v>
      </c>
      <c r="M34" s="12" t="str">
        <f>IFERROR(VLOOKUP(L34, DADOS_RM_EVENTOS_original!K:L, 2, FALSE), "Código não encontrado/Não digitado")</f>
        <v>Código não encontrado/Não digitado</v>
      </c>
    </row>
    <row r="35" ht="15.75" customHeight="1">
      <c r="A35" s="11" t="s">
        <v>38</v>
      </c>
      <c r="B35" s="11" t="s">
        <v>679</v>
      </c>
      <c r="C35" s="11" t="s">
        <v>680</v>
      </c>
      <c r="D35" s="11" t="s">
        <v>120</v>
      </c>
      <c r="E35" s="11" t="s">
        <v>47</v>
      </c>
      <c r="F35" s="11" t="s">
        <v>49</v>
      </c>
      <c r="G35" s="12" t="s">
        <v>63</v>
      </c>
      <c r="H35" s="12" t="s">
        <v>68</v>
      </c>
      <c r="I35" s="12" t="str">
        <f>IFERROR(VLOOKUP(H35, DADOS_RM_EVENTOS_original!C:D, 2, FALSE), "Código não encontrado/Não digitado")</f>
        <v>Código não encontrado/Não digitado</v>
      </c>
      <c r="J35" s="12" t="s">
        <v>68</v>
      </c>
      <c r="K35" s="12" t="str">
        <f>IFERROR(VLOOKUP(J35, DADOS_RM_EVENTOS_original!E:J, 2, FALSE), "Código não encontrado/Não digitado")</f>
        <v>Código não encontrado/Não digitado</v>
      </c>
      <c r="L35" s="12" t="s">
        <v>68</v>
      </c>
      <c r="M35" s="12" t="str">
        <f>IFERROR(VLOOKUP(L35, DADOS_RM_EVENTOS_original!K:L, 2, FALSE), "Código não encontrado/Não digitado")</f>
        <v>Código não encontrado/Não digitado</v>
      </c>
    </row>
    <row r="36" ht="15.75" hidden="1" customHeight="1">
      <c r="A36" s="11" t="s">
        <v>38</v>
      </c>
      <c r="B36" s="11" t="s">
        <v>691</v>
      </c>
      <c r="C36" s="11" t="s">
        <v>693</v>
      </c>
      <c r="D36" s="11" t="s">
        <v>120</v>
      </c>
      <c r="E36" s="11" t="s">
        <v>47</v>
      </c>
      <c r="F36" s="11" t="s">
        <v>694</v>
      </c>
      <c r="G36" s="12" t="s">
        <v>696</v>
      </c>
      <c r="H36" s="12" t="s">
        <v>68</v>
      </c>
      <c r="I36" s="12" t="str">
        <f>IFERROR(VLOOKUP(H36, DADOS_RM_EVENTOS_original!C:D, 2, FALSE), "Código não encontrado/Não digitado")</f>
        <v>Código não encontrado/Não digitado</v>
      </c>
      <c r="J36" s="12" t="s">
        <v>68</v>
      </c>
      <c r="K36" s="12" t="str">
        <f>IFERROR(VLOOKUP(J36, DADOS_RM_EVENTOS_original!E:J, 2, FALSE), "Código não encontrado/Não digitado")</f>
        <v>Código não encontrado/Não digitado</v>
      </c>
      <c r="L36" s="12" t="s">
        <v>68</v>
      </c>
      <c r="M36" s="12" t="str">
        <f>IFERROR(VLOOKUP(L36, DADOS_RM_EVENTOS_original!K:L, 2, FALSE), "Código não encontrado/Não digitado")</f>
        <v>Código não encontrado/Não digitado</v>
      </c>
    </row>
    <row r="37" ht="15.75" hidden="1" customHeight="1">
      <c r="A37" s="11" t="s">
        <v>38</v>
      </c>
      <c r="B37" s="11" t="s">
        <v>710</v>
      </c>
      <c r="C37" s="11" t="s">
        <v>711</v>
      </c>
      <c r="D37" s="11" t="s">
        <v>44</v>
      </c>
      <c r="E37" s="11" t="s">
        <v>47</v>
      </c>
      <c r="F37" s="11" t="s">
        <v>147</v>
      </c>
      <c r="G37" s="12" t="s">
        <v>149</v>
      </c>
      <c r="H37" s="12" t="s">
        <v>68</v>
      </c>
      <c r="I37" s="12" t="str">
        <f>IFERROR(VLOOKUP(H37, DADOS_RM_EVENTOS_original!C:D, 2, FALSE), "Código não encontrado/Não digitado")</f>
        <v>Código não encontrado/Não digitado</v>
      </c>
      <c r="J37" s="12" t="s">
        <v>68</v>
      </c>
      <c r="K37" s="12" t="str">
        <f>IFERROR(VLOOKUP(J37, DADOS_RM_EVENTOS_original!E:J, 2, FALSE), "Código não encontrado/Não digitado")</f>
        <v>Código não encontrado/Não digitado</v>
      </c>
      <c r="L37" s="12" t="s">
        <v>68</v>
      </c>
      <c r="M37" s="12" t="str">
        <f>IFERROR(VLOOKUP(L37, DADOS_RM_EVENTOS_original!K:L, 2, FALSE), "Código não encontrado/Não digitado")</f>
        <v>Código não encontrado/Não digitado</v>
      </c>
    </row>
    <row r="38" ht="15.75" hidden="1" customHeight="1">
      <c r="A38" s="11" t="s">
        <v>38</v>
      </c>
      <c r="B38" s="11" t="s">
        <v>723</v>
      </c>
      <c r="C38" s="11" t="s">
        <v>725</v>
      </c>
      <c r="D38" s="11" t="s">
        <v>44</v>
      </c>
      <c r="E38" s="11" t="s">
        <v>47</v>
      </c>
      <c r="F38" s="11" t="s">
        <v>147</v>
      </c>
      <c r="G38" s="12" t="s">
        <v>149</v>
      </c>
      <c r="H38" s="12" t="s">
        <v>68</v>
      </c>
      <c r="I38" s="12" t="str">
        <f>IFERROR(VLOOKUP(H38, DADOS_RM_EVENTOS_original!C:D, 2, FALSE), "Código não encontrado/Não digitado")</f>
        <v>Código não encontrado/Não digitado</v>
      </c>
      <c r="J38" s="12" t="s">
        <v>68</v>
      </c>
      <c r="K38" s="12" t="str">
        <f>IFERROR(VLOOKUP(J38, DADOS_RM_EVENTOS_original!E:J, 2, FALSE), "Código não encontrado/Não digitado")</f>
        <v>Código não encontrado/Não digitado</v>
      </c>
      <c r="L38" s="12" t="s">
        <v>68</v>
      </c>
      <c r="M38" s="12" t="str">
        <f>IFERROR(VLOOKUP(L38, DADOS_RM_EVENTOS_original!K:L, 2, FALSE), "Código não encontrado/Não digitado")</f>
        <v>Código não encontrado/Não digitado</v>
      </c>
    </row>
    <row r="39" ht="15.75" hidden="1" customHeight="1">
      <c r="A39" s="11" t="s">
        <v>38</v>
      </c>
      <c r="B39" s="11" t="s">
        <v>739</v>
      </c>
      <c r="C39" s="11" t="s">
        <v>740</v>
      </c>
      <c r="D39" s="11" t="s">
        <v>44</v>
      </c>
      <c r="E39" s="11" t="s">
        <v>47</v>
      </c>
      <c r="F39" s="11" t="s">
        <v>147</v>
      </c>
      <c r="G39" s="12" t="s">
        <v>149</v>
      </c>
      <c r="H39" s="12" t="s">
        <v>68</v>
      </c>
      <c r="I39" s="12" t="str">
        <f>IFERROR(VLOOKUP(H39, DADOS_RM_EVENTOS_original!C:D, 2, FALSE), "Código não encontrado/Não digitado")</f>
        <v>Código não encontrado/Não digitado</v>
      </c>
      <c r="J39" s="12" t="s">
        <v>68</v>
      </c>
      <c r="K39" s="12" t="str">
        <f>IFERROR(VLOOKUP(J39, DADOS_RM_EVENTOS_original!E:J, 2, FALSE), "Código não encontrado/Não digitado")</f>
        <v>Código não encontrado/Não digitado</v>
      </c>
      <c r="L39" s="12" t="s">
        <v>68</v>
      </c>
      <c r="M39" s="12" t="str">
        <f>IFERROR(VLOOKUP(L39, DADOS_RM_EVENTOS_original!K:L, 2, FALSE), "Código não encontrado/Não digitado")</f>
        <v>Código não encontrado/Não digitado</v>
      </c>
    </row>
    <row r="40" ht="15.75" hidden="1" customHeight="1">
      <c r="A40" s="11" t="s">
        <v>38</v>
      </c>
      <c r="B40" s="11" t="s">
        <v>760</v>
      </c>
      <c r="C40" s="11" t="s">
        <v>762</v>
      </c>
      <c r="D40" s="11" t="s">
        <v>44</v>
      </c>
      <c r="E40" s="11" t="s">
        <v>47</v>
      </c>
      <c r="F40" s="11" t="s">
        <v>765</v>
      </c>
      <c r="G40" s="12" t="s">
        <v>766</v>
      </c>
      <c r="H40" s="12" t="s">
        <v>68</v>
      </c>
      <c r="I40" s="12" t="str">
        <f>IFERROR(VLOOKUP(H40, DADOS_RM_EVENTOS_original!C:D, 2, FALSE), "Código não encontrado/Não digitado")</f>
        <v>Código não encontrado/Não digitado</v>
      </c>
      <c r="J40" s="12" t="s">
        <v>68</v>
      </c>
      <c r="K40" s="12" t="str">
        <f>IFERROR(VLOOKUP(J40, DADOS_RM_EVENTOS_original!E:J, 2, FALSE), "Código não encontrado/Não digitado")</f>
        <v>Código não encontrado/Não digitado</v>
      </c>
      <c r="L40" s="12" t="s">
        <v>68</v>
      </c>
      <c r="M40" s="12" t="str">
        <f>IFERROR(VLOOKUP(L40, DADOS_RM_EVENTOS_original!K:L, 2, FALSE), "Código não encontrado/Não digitado")</f>
        <v>Código não encontrado/Não digitado</v>
      </c>
    </row>
    <row r="41" ht="15.75" hidden="1" customHeight="1">
      <c r="A41" s="11" t="s">
        <v>38</v>
      </c>
      <c r="B41" s="11" t="s">
        <v>778</v>
      </c>
      <c r="C41" s="11" t="s">
        <v>780</v>
      </c>
      <c r="D41" s="11" t="s">
        <v>44</v>
      </c>
      <c r="E41" s="11" t="s">
        <v>47</v>
      </c>
      <c r="F41" s="11" t="s">
        <v>782</v>
      </c>
      <c r="G41" s="12" t="s">
        <v>784</v>
      </c>
      <c r="H41" s="12" t="s">
        <v>68</v>
      </c>
      <c r="I41" s="12" t="str">
        <f>IFERROR(VLOOKUP(H41, DADOS_RM_EVENTOS_original!C:D, 2, FALSE), "Código não encontrado/Não digitado")</f>
        <v>Código não encontrado/Não digitado</v>
      </c>
      <c r="J41" s="12" t="s">
        <v>68</v>
      </c>
      <c r="K41" s="12" t="str">
        <f>IFERROR(VLOOKUP(J41, DADOS_RM_EVENTOS_original!E:J, 2, FALSE), "Código não encontrado/Não digitado")</f>
        <v>Código não encontrado/Não digitado</v>
      </c>
      <c r="L41" s="12" t="s">
        <v>68</v>
      </c>
      <c r="M41" s="12" t="str">
        <f>IFERROR(VLOOKUP(L41, DADOS_RM_EVENTOS_original!K:L, 2, FALSE), "Código não encontrado/Não digitado")</f>
        <v>Código não encontrado/Não digitado</v>
      </c>
    </row>
    <row r="42" ht="15.75" hidden="1" customHeight="1">
      <c r="A42" s="11" t="s">
        <v>38</v>
      </c>
      <c r="B42" s="11" t="s">
        <v>797</v>
      </c>
      <c r="C42" s="11" t="s">
        <v>799</v>
      </c>
      <c r="D42" s="11" t="s">
        <v>96</v>
      </c>
      <c r="E42" s="11" t="s">
        <v>47</v>
      </c>
      <c r="F42" s="11" t="s">
        <v>99</v>
      </c>
      <c r="G42" s="12" t="s">
        <v>63</v>
      </c>
      <c r="H42" s="12" t="s">
        <v>68</v>
      </c>
      <c r="I42" s="12" t="str">
        <f>IFERROR(VLOOKUP(H42, DADOS_RM_EVENTOS_original!C:D, 2, FALSE), "Código não encontrado/Não digitado")</f>
        <v>Código não encontrado/Não digitado</v>
      </c>
      <c r="J42" s="12" t="s">
        <v>68</v>
      </c>
      <c r="K42" s="12" t="str">
        <f>IFERROR(VLOOKUP(J42, DADOS_RM_EVENTOS_original!E:J, 2, FALSE), "Código não encontrado/Não digitado")</f>
        <v>Código não encontrado/Não digitado</v>
      </c>
      <c r="L42" s="12" t="s">
        <v>68</v>
      </c>
      <c r="M42" s="12" t="str">
        <f>IFERROR(VLOOKUP(L42, DADOS_RM_EVENTOS_original!K:L, 2, FALSE), "Código não encontrado/Não digitado")</f>
        <v>Código não encontrado/Não digitado</v>
      </c>
    </row>
    <row r="43" ht="15.75" hidden="1" customHeight="1">
      <c r="A43" s="11" t="s">
        <v>115</v>
      </c>
      <c r="B43" s="11" t="s">
        <v>797</v>
      </c>
      <c r="C43" s="11" t="s">
        <v>799</v>
      </c>
      <c r="D43" s="11" t="s">
        <v>96</v>
      </c>
      <c r="E43" s="11" t="s">
        <v>121</v>
      </c>
      <c r="F43" s="11" t="s">
        <v>99</v>
      </c>
      <c r="G43" s="12" t="s">
        <v>63</v>
      </c>
      <c r="H43" s="12" t="s">
        <v>68</v>
      </c>
      <c r="I43" s="12" t="str">
        <f>IFERROR(VLOOKUP(H43, DADOS_RM_EVENTOS_original!C:D, 2, FALSE), "Código não encontrado/Não digitado")</f>
        <v>Código não encontrado/Não digitado</v>
      </c>
      <c r="J43" s="12" t="s">
        <v>68</v>
      </c>
      <c r="K43" s="12" t="str">
        <f>IFERROR(VLOOKUP(J43, DADOS_RM_EVENTOS_original!E:J, 2, FALSE), "Código não encontrado/Não digitado")</f>
        <v>Código não encontrado/Não digitado</v>
      </c>
      <c r="L43" s="12" t="s">
        <v>68</v>
      </c>
      <c r="M43" s="12" t="str">
        <f>IFERROR(VLOOKUP(L43, DADOS_RM_EVENTOS_original!K:L, 2, FALSE), "Código não encontrado/Não digitado")</f>
        <v>Código não encontrado/Não digitado</v>
      </c>
    </row>
    <row r="44" ht="15.75" hidden="1" customHeight="1">
      <c r="A44" s="11" t="s">
        <v>38</v>
      </c>
      <c r="B44" s="11" t="s">
        <v>619</v>
      </c>
      <c r="C44" s="11" t="s">
        <v>823</v>
      </c>
      <c r="D44" s="11" t="s">
        <v>120</v>
      </c>
      <c r="E44" s="11" t="s">
        <v>47</v>
      </c>
      <c r="F44" s="11" t="s">
        <v>399</v>
      </c>
      <c r="G44" s="12" t="s">
        <v>420</v>
      </c>
      <c r="H44" s="12" t="s">
        <v>68</v>
      </c>
      <c r="I44" s="12" t="str">
        <f>IFERROR(VLOOKUP(H44, DADOS_RM_EVENTOS_original!C:D, 2, FALSE), "Código não encontrado/Não digitado")</f>
        <v>Código não encontrado/Não digitado</v>
      </c>
      <c r="J44" s="12" t="s">
        <v>68</v>
      </c>
      <c r="K44" s="12" t="str">
        <f>IFERROR(VLOOKUP(J44, DADOS_RM_EVENTOS_original!E:J, 2, FALSE), "Código não encontrado/Não digitado")</f>
        <v>Código não encontrado/Não digitado</v>
      </c>
      <c r="L44" s="12" t="s">
        <v>68</v>
      </c>
      <c r="M44" s="12" t="str">
        <f>IFERROR(VLOOKUP(L44, DADOS_RM_EVENTOS_original!K:L, 2, FALSE), "Código não encontrado/Não digitado")</f>
        <v>Código não encontrado/Não digitado</v>
      </c>
    </row>
    <row r="45" ht="15.75" hidden="1" customHeight="1">
      <c r="A45" s="11" t="s">
        <v>38</v>
      </c>
      <c r="B45" s="11" t="s">
        <v>834</v>
      </c>
      <c r="C45" s="11" t="s">
        <v>837</v>
      </c>
      <c r="D45" s="11" t="s">
        <v>96</v>
      </c>
      <c r="E45" s="11" t="s">
        <v>47</v>
      </c>
      <c r="F45" s="11" t="s">
        <v>99</v>
      </c>
      <c r="G45" s="12" t="s">
        <v>63</v>
      </c>
      <c r="H45" s="12" t="s">
        <v>68</v>
      </c>
      <c r="I45" s="12" t="str">
        <f>IFERROR(VLOOKUP(H45, DADOS_RM_EVENTOS_original!C:D, 2, FALSE), "Código não encontrado/Não digitado")</f>
        <v>Código não encontrado/Não digitado</v>
      </c>
      <c r="J45" s="12" t="s">
        <v>68</v>
      </c>
      <c r="K45" s="12" t="str">
        <f>IFERROR(VLOOKUP(J45, DADOS_RM_EVENTOS_original!E:J, 2, FALSE), "Código não encontrado/Não digitado")</f>
        <v>Código não encontrado/Não digitado</v>
      </c>
      <c r="L45" s="12" t="s">
        <v>68</v>
      </c>
      <c r="M45" s="12" t="str">
        <f>IFERROR(VLOOKUP(L45, DADOS_RM_EVENTOS_original!K:L, 2, FALSE), "Código não encontrado/Não digitado")</f>
        <v>Código não encontrado/Não digitado</v>
      </c>
    </row>
    <row r="46" ht="15.75" hidden="1" customHeight="1">
      <c r="A46" s="11" t="s">
        <v>115</v>
      </c>
      <c r="B46" s="11" t="s">
        <v>834</v>
      </c>
      <c r="C46" s="11" t="s">
        <v>837</v>
      </c>
      <c r="D46" s="11" t="s">
        <v>96</v>
      </c>
      <c r="E46" s="11" t="s">
        <v>121</v>
      </c>
      <c r="F46" s="11" t="s">
        <v>99</v>
      </c>
      <c r="G46" s="12" t="s">
        <v>63</v>
      </c>
      <c r="H46" s="12" t="s">
        <v>68</v>
      </c>
      <c r="I46" s="12" t="str">
        <f>IFERROR(VLOOKUP(H46, DADOS_RM_EVENTOS_original!C:D, 2, FALSE), "Código não encontrado/Não digitado")</f>
        <v>Código não encontrado/Não digitado</v>
      </c>
      <c r="J46" s="12" t="s">
        <v>68</v>
      </c>
      <c r="K46" s="12" t="str">
        <f>IFERROR(VLOOKUP(J46, DADOS_RM_EVENTOS_original!E:J, 2, FALSE), "Código não encontrado/Não digitado")</f>
        <v>Código não encontrado/Não digitado</v>
      </c>
      <c r="L46" s="12" t="s">
        <v>68</v>
      </c>
      <c r="M46" s="12" t="str">
        <f>IFERROR(VLOOKUP(L46, DADOS_RM_EVENTOS_original!K:L, 2, FALSE), "Código não encontrado/Não digitado")</f>
        <v>Código não encontrado/Não digitado</v>
      </c>
    </row>
    <row r="47" ht="15.75" hidden="1" customHeight="1">
      <c r="A47" s="11" t="s">
        <v>38</v>
      </c>
      <c r="B47" s="11" t="s">
        <v>863</v>
      </c>
      <c r="C47" s="11" t="s">
        <v>864</v>
      </c>
      <c r="D47" s="11" t="s">
        <v>96</v>
      </c>
      <c r="E47" s="11" t="s">
        <v>47</v>
      </c>
      <c r="F47" s="11" t="s">
        <v>99</v>
      </c>
      <c r="G47" s="12" t="s">
        <v>63</v>
      </c>
      <c r="H47" s="12" t="s">
        <v>68</v>
      </c>
      <c r="I47" s="12" t="str">
        <f>IFERROR(VLOOKUP(H47, DADOS_RM_EVENTOS_original!C:D, 2, FALSE), "Código não encontrado/Não digitado")</f>
        <v>Código não encontrado/Não digitado</v>
      </c>
      <c r="J47" s="12" t="s">
        <v>68</v>
      </c>
      <c r="K47" s="12" t="str">
        <f>IFERROR(VLOOKUP(J47, DADOS_RM_EVENTOS_original!E:J, 2, FALSE), "Código não encontrado/Não digitado")</f>
        <v>Código não encontrado/Não digitado</v>
      </c>
      <c r="L47" s="12" t="s">
        <v>68</v>
      </c>
      <c r="M47" s="12" t="str">
        <f>IFERROR(VLOOKUP(L47, DADOS_RM_EVENTOS_original!K:L, 2, FALSE), "Código não encontrado/Não digitado")</f>
        <v>Código não encontrado/Não digitado</v>
      </c>
    </row>
    <row r="48" ht="15.75" hidden="1" customHeight="1">
      <c r="A48" s="11" t="s">
        <v>115</v>
      </c>
      <c r="B48" s="11" t="s">
        <v>863</v>
      </c>
      <c r="C48" s="11" t="s">
        <v>864</v>
      </c>
      <c r="D48" s="11" t="s">
        <v>96</v>
      </c>
      <c r="E48" s="11" t="s">
        <v>121</v>
      </c>
      <c r="F48" s="11" t="s">
        <v>99</v>
      </c>
      <c r="G48" s="12" t="s">
        <v>63</v>
      </c>
      <c r="H48" s="12" t="s">
        <v>68</v>
      </c>
      <c r="I48" s="12" t="str">
        <f>IFERROR(VLOOKUP(H48, DADOS_RM_EVENTOS_original!C:D, 2, FALSE), "Código não encontrado/Não digitado")</f>
        <v>Código não encontrado/Não digitado</v>
      </c>
      <c r="J48" s="12" t="s">
        <v>68</v>
      </c>
      <c r="K48" s="12" t="str">
        <f>IFERROR(VLOOKUP(J48, DADOS_RM_EVENTOS_original!E:J, 2, FALSE), "Código não encontrado/Não digitado")</f>
        <v>Código não encontrado/Não digitado</v>
      </c>
      <c r="L48" s="12" t="s">
        <v>68</v>
      </c>
      <c r="M48" s="12" t="str">
        <f>IFERROR(VLOOKUP(L48, DADOS_RM_EVENTOS_original!K:L, 2, FALSE), "Código não encontrado/Não digitado")</f>
        <v>Código não encontrado/Não digitado</v>
      </c>
    </row>
    <row r="49" ht="15.75" hidden="1" customHeight="1">
      <c r="A49" s="11" t="s">
        <v>38</v>
      </c>
      <c r="B49" s="11" t="s">
        <v>889</v>
      </c>
      <c r="C49" s="11" t="s">
        <v>892</v>
      </c>
      <c r="D49" s="11" t="s">
        <v>96</v>
      </c>
      <c r="E49" s="11" t="s">
        <v>47</v>
      </c>
      <c r="F49" s="11" t="s">
        <v>99</v>
      </c>
      <c r="G49" s="12" t="s">
        <v>63</v>
      </c>
      <c r="H49" s="12" t="s">
        <v>68</v>
      </c>
      <c r="I49" s="12" t="str">
        <f>IFERROR(VLOOKUP(H49, DADOS_RM_EVENTOS_original!C:D, 2, FALSE), "Código não encontrado/Não digitado")</f>
        <v>Código não encontrado/Não digitado</v>
      </c>
      <c r="J49" s="12" t="s">
        <v>68</v>
      </c>
      <c r="K49" s="12" t="str">
        <f>IFERROR(VLOOKUP(J49, DADOS_RM_EVENTOS_original!E:J, 2, FALSE), "Código não encontrado/Não digitado")</f>
        <v>Código não encontrado/Não digitado</v>
      </c>
      <c r="L49" s="12" t="s">
        <v>68</v>
      </c>
      <c r="M49" s="12" t="str">
        <f>IFERROR(VLOOKUP(L49, DADOS_RM_EVENTOS_original!K:L, 2, FALSE), "Código não encontrado/Não digitado")</f>
        <v>Código não encontrado/Não digitado</v>
      </c>
    </row>
    <row r="50" ht="15.75" hidden="1" customHeight="1">
      <c r="A50" s="11" t="s">
        <v>38</v>
      </c>
      <c r="B50" s="11" t="s">
        <v>902</v>
      </c>
      <c r="C50" s="11" t="s">
        <v>905</v>
      </c>
      <c r="D50" s="11" t="s">
        <v>96</v>
      </c>
      <c r="E50" s="11" t="s">
        <v>47</v>
      </c>
      <c r="F50" s="11" t="s">
        <v>99</v>
      </c>
      <c r="G50" s="12" t="s">
        <v>63</v>
      </c>
      <c r="H50" s="12" t="s">
        <v>68</v>
      </c>
      <c r="I50" s="12" t="str">
        <f>IFERROR(VLOOKUP(H50, DADOS_RM_EVENTOS_original!C:D, 2, FALSE), "Código não encontrado/Não digitado")</f>
        <v>Código não encontrado/Não digitado</v>
      </c>
      <c r="J50" s="12" t="s">
        <v>68</v>
      </c>
      <c r="K50" s="12" t="str">
        <f>IFERROR(VLOOKUP(J50, DADOS_RM_EVENTOS_original!E:J, 2, FALSE), "Código não encontrado/Não digitado")</f>
        <v>Código não encontrado/Não digitado</v>
      </c>
      <c r="L50" s="12" t="s">
        <v>68</v>
      </c>
      <c r="M50" s="12" t="str">
        <f>IFERROR(VLOOKUP(L50, DADOS_RM_EVENTOS_original!K:L, 2, FALSE), "Código não encontrado/Não digitado")</f>
        <v>Código não encontrado/Não digitado</v>
      </c>
    </row>
    <row r="51" ht="15.75" hidden="1" customHeight="1">
      <c r="A51" s="11" t="s">
        <v>115</v>
      </c>
      <c r="B51" s="11" t="s">
        <v>902</v>
      </c>
      <c r="C51" s="11" t="s">
        <v>905</v>
      </c>
      <c r="D51" s="11" t="s">
        <v>96</v>
      </c>
      <c r="E51" s="11" t="s">
        <v>121</v>
      </c>
      <c r="F51" s="11" t="s">
        <v>99</v>
      </c>
      <c r="G51" s="12" t="s">
        <v>63</v>
      </c>
      <c r="H51" s="12" t="s">
        <v>68</v>
      </c>
      <c r="I51" s="12" t="str">
        <f>IFERROR(VLOOKUP(H51, DADOS_RM_EVENTOS_original!C:D, 2, FALSE), "Código não encontrado/Não digitado")</f>
        <v>Código não encontrado/Não digitado</v>
      </c>
      <c r="J51" s="12" t="s">
        <v>68</v>
      </c>
      <c r="K51" s="12" t="str">
        <f>IFERROR(VLOOKUP(J51, DADOS_RM_EVENTOS_original!E:J, 2, FALSE), "Código não encontrado/Não digitado")</f>
        <v>Código não encontrado/Não digitado</v>
      </c>
      <c r="L51" s="12" t="s">
        <v>68</v>
      </c>
      <c r="M51" s="12" t="str">
        <f>IFERROR(VLOOKUP(L51, DADOS_RM_EVENTOS_original!K:L, 2, FALSE), "Código não encontrado/Não digitado")</f>
        <v>Código não encontrado/Não digitado</v>
      </c>
    </row>
    <row r="52" ht="15.75" hidden="1" customHeight="1">
      <c r="A52" s="11" t="s">
        <v>38</v>
      </c>
      <c r="B52" s="11" t="s">
        <v>871</v>
      </c>
      <c r="C52" s="11" t="s">
        <v>928</v>
      </c>
      <c r="D52" s="11" t="s">
        <v>44</v>
      </c>
      <c r="E52" s="11" t="s">
        <v>47</v>
      </c>
      <c r="F52" s="11" t="s">
        <v>930</v>
      </c>
      <c r="G52" s="12" t="s">
        <v>931</v>
      </c>
      <c r="H52" s="12" t="s">
        <v>68</v>
      </c>
      <c r="I52" s="12" t="str">
        <f>IFERROR(VLOOKUP(H52, DADOS_RM_EVENTOS_original!C:D, 2, FALSE), "Código não encontrado/Não digitado")</f>
        <v>Código não encontrado/Não digitado</v>
      </c>
      <c r="J52" s="12" t="s">
        <v>68</v>
      </c>
      <c r="K52" s="12" t="str">
        <f>IFERROR(VLOOKUP(J52, DADOS_RM_EVENTOS_original!E:J, 2, FALSE), "Código não encontrado/Não digitado")</f>
        <v>Código não encontrado/Não digitado</v>
      </c>
      <c r="L52" s="12" t="s">
        <v>68</v>
      </c>
      <c r="M52" s="12" t="str">
        <f>IFERROR(VLOOKUP(L52, DADOS_RM_EVENTOS_original!K:L, 2, FALSE), "Código não encontrado/Não digitado")</f>
        <v>Código não encontrado/Não digitado</v>
      </c>
    </row>
    <row r="53" ht="15.75" customHeight="1">
      <c r="A53" s="11" t="s">
        <v>38</v>
      </c>
      <c r="B53" s="11" t="s">
        <v>804</v>
      </c>
      <c r="C53" s="11" t="s">
        <v>943</v>
      </c>
      <c r="D53" s="11" t="s">
        <v>120</v>
      </c>
      <c r="E53" s="11" t="s">
        <v>47</v>
      </c>
      <c r="F53" s="11" t="s">
        <v>49</v>
      </c>
      <c r="G53" s="12" t="s">
        <v>63</v>
      </c>
      <c r="H53" s="12" t="s">
        <v>68</v>
      </c>
      <c r="I53" s="12" t="str">
        <f>IFERROR(VLOOKUP(H53, DADOS_RM_EVENTOS_original!C:D, 2, FALSE), "Código não encontrado/Não digitado")</f>
        <v>Código não encontrado/Não digitado</v>
      </c>
      <c r="J53" s="12" t="s">
        <v>68</v>
      </c>
      <c r="K53" s="12" t="str">
        <f>IFERROR(VLOOKUP(J53, DADOS_RM_EVENTOS_original!E:J, 2, FALSE), "Código não encontrado/Não digitado")</f>
        <v>Código não encontrado/Não digitado</v>
      </c>
      <c r="L53" s="12" t="s">
        <v>68</v>
      </c>
      <c r="M53" s="12" t="str">
        <f>IFERROR(VLOOKUP(L53, DADOS_RM_EVENTOS_original!K:L, 2, FALSE), "Código não encontrado/Não digitado")</f>
        <v>Código não encontrado/Não digitado</v>
      </c>
    </row>
    <row r="54" ht="15.75" hidden="1" customHeight="1">
      <c r="A54" s="11" t="s">
        <v>38</v>
      </c>
      <c r="B54" s="11" t="s">
        <v>402</v>
      </c>
      <c r="C54" s="11" t="s">
        <v>957</v>
      </c>
      <c r="D54" s="11" t="s">
        <v>120</v>
      </c>
      <c r="E54" s="11" t="s">
        <v>47</v>
      </c>
      <c r="F54" s="11" t="s">
        <v>365</v>
      </c>
      <c r="G54" s="12" t="s">
        <v>386</v>
      </c>
      <c r="H54" s="12" t="s">
        <v>68</v>
      </c>
      <c r="I54" s="12" t="str">
        <f>IFERROR(VLOOKUP(H54, DADOS_RM_EVENTOS_original!C:D, 2, FALSE), "Código não encontrado/Não digitado")</f>
        <v>Código não encontrado/Não digitado</v>
      </c>
      <c r="J54" s="12" t="s">
        <v>68</v>
      </c>
      <c r="K54" s="12" t="str">
        <f>IFERROR(VLOOKUP(J54, DADOS_RM_EVENTOS_original!E:J, 2, FALSE), "Código não encontrado/Não digitado")</f>
        <v>Código não encontrado/Não digitado</v>
      </c>
      <c r="L54" s="12" t="s">
        <v>68</v>
      </c>
      <c r="M54" s="12" t="str">
        <f>IFERROR(VLOOKUP(L54, DADOS_RM_EVENTOS_original!K:L, 2, FALSE), "Código não encontrado/Não digitado")</f>
        <v>Código não encontrado/Não digitado</v>
      </c>
    </row>
    <row r="55" ht="15.75" hidden="1" customHeight="1">
      <c r="A55" s="11" t="s">
        <v>97</v>
      </c>
      <c r="B55" s="11" t="s">
        <v>970</v>
      </c>
      <c r="C55" s="11" t="s">
        <v>957</v>
      </c>
      <c r="D55" s="11" t="s">
        <v>120</v>
      </c>
      <c r="E55" s="11" t="s">
        <v>972</v>
      </c>
      <c r="F55" s="11" t="s">
        <v>365</v>
      </c>
      <c r="G55" s="12" t="s">
        <v>386</v>
      </c>
      <c r="H55" s="12" t="s">
        <v>68</v>
      </c>
      <c r="I55" s="12" t="str">
        <f>IFERROR(VLOOKUP(H55, DADOS_RM_EVENTOS_original!C:D, 2, FALSE), "Código não encontrado/Não digitado")</f>
        <v>Código não encontrado/Não digitado</v>
      </c>
      <c r="J55" s="12" t="s">
        <v>68</v>
      </c>
      <c r="K55" s="12" t="str">
        <f>IFERROR(VLOOKUP(J55, DADOS_RM_EVENTOS_original!E:J, 2, FALSE), "Código não encontrado/Não digitado")</f>
        <v>Código não encontrado/Não digitado</v>
      </c>
      <c r="L55" s="12" t="s">
        <v>68</v>
      </c>
      <c r="M55" s="12" t="str">
        <f>IFERROR(VLOOKUP(L55, DADOS_RM_EVENTOS_original!K:L, 2, FALSE), "Código não encontrado/Não digitado")</f>
        <v>Código não encontrado/Não digitado</v>
      </c>
    </row>
    <row r="56" ht="15.75" hidden="1" customHeight="1">
      <c r="A56" s="11" t="s">
        <v>142</v>
      </c>
      <c r="B56" s="11" t="s">
        <v>41</v>
      </c>
      <c r="C56" s="11" t="s">
        <v>957</v>
      </c>
      <c r="D56" s="11" t="s">
        <v>120</v>
      </c>
      <c r="E56" s="11" t="s">
        <v>985</v>
      </c>
      <c r="F56" s="11" t="s">
        <v>365</v>
      </c>
      <c r="G56" s="12" t="s">
        <v>386</v>
      </c>
      <c r="H56" s="12" t="s">
        <v>68</v>
      </c>
      <c r="I56" s="12" t="str">
        <f>IFERROR(VLOOKUP(H56, DADOS_RM_EVENTOS_original!C:D, 2, FALSE), "Código não encontrado/Não digitado")</f>
        <v>Código não encontrado/Não digitado</v>
      </c>
      <c r="J56" s="12" t="s">
        <v>68</v>
      </c>
      <c r="K56" s="12" t="str">
        <f>IFERROR(VLOOKUP(J56, DADOS_RM_EVENTOS_original!E:J, 2, FALSE), "Código não encontrado/Não digitado")</f>
        <v>Código não encontrado/Não digitado</v>
      </c>
      <c r="L56" s="12" t="s">
        <v>68</v>
      </c>
      <c r="M56" s="12" t="str">
        <f>IFERROR(VLOOKUP(L56, DADOS_RM_EVENTOS_original!K:L, 2, FALSE), "Código não encontrado/Não digitado")</f>
        <v>Código não encontrado/Não digitado</v>
      </c>
    </row>
    <row r="57" ht="15.75" hidden="1" customHeight="1">
      <c r="A57" s="11" t="s">
        <v>38</v>
      </c>
      <c r="B57" s="11" t="s">
        <v>554</v>
      </c>
      <c r="C57" s="11" t="s">
        <v>998</v>
      </c>
      <c r="D57" s="11" t="s">
        <v>120</v>
      </c>
      <c r="E57" s="11" t="s">
        <v>47</v>
      </c>
      <c r="F57" s="11" t="s">
        <v>443</v>
      </c>
      <c r="G57" s="12" t="s">
        <v>466</v>
      </c>
      <c r="H57" s="11" t="s">
        <v>443</v>
      </c>
      <c r="I57" s="12" t="str">
        <f>IFERROR(VLOOKUP(H57, DADOS_RM_EVENTOS_original!A:D, 2, FALSE), "Código não encontrado/Não digitado")</f>
        <v>1/3 Ferias no Mes</v>
      </c>
      <c r="J57" s="11" t="s">
        <v>447</v>
      </c>
      <c r="K57" s="12" t="str">
        <f>IFERROR(VLOOKUP(J57, DADOS_RM_EVENTOS_original!A:J, 2, FALSE), "Código não encontrado/Não digitado")</f>
        <v>1/3 Ferias no Proximo Mes</v>
      </c>
      <c r="L57" s="11" t="s">
        <v>296</v>
      </c>
      <c r="M57" s="12" t="str">
        <f>IFERROR(VLOOKUP(L57, DADOS_RM_EVENTOS_original!A:L, 2, FALSE), "Código não encontrado/Não digitado")</f>
        <v>1/3 de Ferias (Recibo)</v>
      </c>
    </row>
    <row r="58" ht="15.75" hidden="1" customHeight="1">
      <c r="A58" s="11" t="s">
        <v>115</v>
      </c>
      <c r="B58" s="11" t="s">
        <v>554</v>
      </c>
      <c r="C58" s="11" t="s">
        <v>998</v>
      </c>
      <c r="D58" s="11" t="s">
        <v>120</v>
      </c>
      <c r="E58" s="11" t="s">
        <v>121</v>
      </c>
      <c r="F58" s="11" t="s">
        <v>443</v>
      </c>
      <c r="G58" s="12" t="s">
        <v>466</v>
      </c>
      <c r="H58" s="11" t="s">
        <v>443</v>
      </c>
      <c r="I58" s="12" t="str">
        <f>IFERROR(VLOOKUP(H58, DADOS_RM_EVENTOS_original!A:D, 2, FALSE), "Código não encontrado/Não digitado")</f>
        <v>1/3 Ferias no Mes</v>
      </c>
      <c r="J58" s="11" t="s">
        <v>447</v>
      </c>
      <c r="K58" s="12" t="str">
        <f>IFERROR(VLOOKUP(J58, DADOS_RM_EVENTOS_original!A:J, 2, FALSE), "Código não encontrado/Não digitado")</f>
        <v>1/3 Ferias no Proximo Mes</v>
      </c>
      <c r="L58" s="11" t="s">
        <v>296</v>
      </c>
      <c r="M58" s="12" t="str">
        <f>IFERROR(VLOOKUP(L58, DADOS_RM_EVENTOS_original!A:L, 2, FALSE), "Código não encontrado/Não digitado")</f>
        <v>1/3 de Ferias (Recibo)</v>
      </c>
    </row>
    <row r="59" ht="15.75" hidden="1" customHeight="1">
      <c r="A59" s="11" t="s">
        <v>172</v>
      </c>
      <c r="B59" s="11" t="s">
        <v>554</v>
      </c>
      <c r="C59" s="11" t="s">
        <v>1028</v>
      </c>
      <c r="D59" s="11" t="s">
        <v>120</v>
      </c>
      <c r="E59" s="11" t="s">
        <v>1029</v>
      </c>
      <c r="F59" s="11" t="s">
        <v>443</v>
      </c>
      <c r="G59" s="12" t="s">
        <v>466</v>
      </c>
      <c r="H59" s="11" t="s">
        <v>443</v>
      </c>
      <c r="I59" s="12" t="str">
        <f>IFERROR(VLOOKUP(H59, DADOS_RM_EVENTOS_original!A:D, 2, FALSE), "Código não encontrado/Não digitado")</f>
        <v>1/3 Ferias no Mes</v>
      </c>
      <c r="J59" s="11" t="s">
        <v>447</v>
      </c>
      <c r="K59" s="12" t="str">
        <f>IFERROR(VLOOKUP(J59, DADOS_RM_EVENTOS_original!A:J, 2, FALSE), "Código não encontrado/Não digitado")</f>
        <v>1/3 Ferias no Proximo Mes</v>
      </c>
      <c r="L59" s="11" t="s">
        <v>296</v>
      </c>
      <c r="M59" s="12" t="str">
        <f>IFERROR(VLOOKUP(L59, DADOS_RM_EVENTOS_original!A:L, 2, FALSE), "Código não encontrado/Não digitado")</f>
        <v>1/3 de Ferias (Recibo)</v>
      </c>
    </row>
    <row r="60" ht="15.75" hidden="1" customHeight="1">
      <c r="A60" s="11" t="s">
        <v>97</v>
      </c>
      <c r="B60" s="11" t="s">
        <v>554</v>
      </c>
      <c r="C60" s="11" t="s">
        <v>1028</v>
      </c>
      <c r="D60" s="11" t="s">
        <v>120</v>
      </c>
      <c r="E60" s="11" t="s">
        <v>972</v>
      </c>
      <c r="F60" s="11" t="s">
        <v>443</v>
      </c>
      <c r="G60" s="12" t="s">
        <v>466</v>
      </c>
      <c r="H60" s="11" t="s">
        <v>443</v>
      </c>
      <c r="I60" s="12" t="str">
        <f>IFERROR(VLOOKUP(H60, DADOS_RM_EVENTOS_original!A:D, 2, FALSE), "Código não encontrado/Não digitado")</f>
        <v>1/3 Ferias no Mes</v>
      </c>
      <c r="J60" s="11" t="s">
        <v>447</v>
      </c>
      <c r="K60" s="12" t="str">
        <f>IFERROR(VLOOKUP(J60, DADOS_RM_EVENTOS_original!A:J, 2, FALSE), "Código não encontrado/Não digitado")</f>
        <v>1/3 Ferias no Proximo Mes</v>
      </c>
      <c r="L60" s="11" t="s">
        <v>296</v>
      </c>
      <c r="M60" s="12" t="str">
        <f>IFERROR(VLOOKUP(L60, DADOS_RM_EVENTOS_original!A:L, 2, FALSE), "Código não encontrado/Não digitado")</f>
        <v>1/3 de Ferias (Recibo)</v>
      </c>
    </row>
    <row r="61" ht="15.75" hidden="1" customHeight="1">
      <c r="A61" s="11" t="s">
        <v>142</v>
      </c>
      <c r="B61" s="11" t="s">
        <v>554</v>
      </c>
      <c r="C61" s="11" t="s">
        <v>1028</v>
      </c>
      <c r="D61" s="11" t="s">
        <v>120</v>
      </c>
      <c r="E61" s="11" t="s">
        <v>985</v>
      </c>
      <c r="F61" s="11" t="s">
        <v>443</v>
      </c>
      <c r="G61" s="12" t="s">
        <v>466</v>
      </c>
      <c r="H61" s="11" t="s">
        <v>443</v>
      </c>
      <c r="I61" s="12" t="str">
        <f>IFERROR(VLOOKUP(H61, DADOS_RM_EVENTOS_original!A:D, 2, FALSE), "Código não encontrado/Não digitado")</f>
        <v>1/3 Ferias no Mes</v>
      </c>
      <c r="J61" s="11" t="s">
        <v>447</v>
      </c>
      <c r="K61" s="12" t="str">
        <f>IFERROR(VLOOKUP(J61, DADOS_RM_EVENTOS_original!A:J, 2, FALSE), "Código não encontrado/Não digitado")</f>
        <v>1/3 Ferias no Proximo Mes</v>
      </c>
      <c r="L61" s="11" t="s">
        <v>296</v>
      </c>
      <c r="M61" s="12" t="str">
        <f>IFERROR(VLOOKUP(L61, DADOS_RM_EVENTOS_original!A:L, 2, FALSE), "Código não encontrado/Não digitado")</f>
        <v>1/3 de Ferias (Recibo)</v>
      </c>
    </row>
    <row r="62" ht="15.75" hidden="1" customHeight="1">
      <c r="A62" s="11" t="s">
        <v>199</v>
      </c>
      <c r="B62" s="11" t="s">
        <v>554</v>
      </c>
      <c r="C62" s="11" t="s">
        <v>1028</v>
      </c>
      <c r="D62" s="11" t="s">
        <v>120</v>
      </c>
      <c r="E62" s="11" t="s">
        <v>1074</v>
      </c>
      <c r="F62" s="11" t="s">
        <v>443</v>
      </c>
      <c r="G62" s="12" t="s">
        <v>466</v>
      </c>
      <c r="H62" s="11" t="s">
        <v>443</v>
      </c>
      <c r="I62" s="12" t="str">
        <f>IFERROR(VLOOKUP(H62, DADOS_RM_EVENTOS_original!A:D, 2, FALSE), "Código não encontrado/Não digitado")</f>
        <v>1/3 Ferias no Mes</v>
      </c>
      <c r="J62" s="11" t="s">
        <v>447</v>
      </c>
      <c r="K62" s="12" t="str">
        <f>IFERROR(VLOOKUP(J62, DADOS_RM_EVENTOS_original!A:J, 2, FALSE), "Código não encontrado/Não digitado")</f>
        <v>1/3 Ferias no Proximo Mes</v>
      </c>
      <c r="L62" s="11" t="s">
        <v>296</v>
      </c>
      <c r="M62" s="12" t="str">
        <f>IFERROR(VLOOKUP(L62, DADOS_RM_EVENTOS_original!A:L, 2, FALSE), "Código não encontrado/Não digitado")</f>
        <v>1/3 de Ferias (Recibo)</v>
      </c>
    </row>
    <row r="63" ht="15.75" hidden="1" customHeight="1">
      <c r="A63" s="11" t="s">
        <v>38</v>
      </c>
      <c r="B63" s="11" t="s">
        <v>854</v>
      </c>
      <c r="C63" s="11" t="s">
        <v>1090</v>
      </c>
      <c r="D63" s="11" t="s">
        <v>120</v>
      </c>
      <c r="E63" s="11" t="s">
        <v>47</v>
      </c>
      <c r="F63" s="11" t="s">
        <v>393</v>
      </c>
      <c r="G63" s="12" t="s">
        <v>413</v>
      </c>
      <c r="H63" s="12" t="s">
        <v>68</v>
      </c>
      <c r="I63" s="12" t="str">
        <f>IFERROR(VLOOKUP(H63, DADOS_RM_EVENTOS_original!C:D, 2, FALSE), "Código não encontrado/Não digitado")</f>
        <v>Código não encontrado/Não digitado</v>
      </c>
      <c r="J63" s="12" t="s">
        <v>68</v>
      </c>
      <c r="K63" s="12" t="str">
        <f>IFERROR(VLOOKUP(J63, DADOS_RM_EVENTOS_original!E:J, 2, FALSE), "Código não encontrado/Não digitado")</f>
        <v>Código não encontrado/Não digitado</v>
      </c>
      <c r="L63" s="12" t="s">
        <v>68</v>
      </c>
      <c r="M63" s="12" t="str">
        <f>IFERROR(VLOOKUP(L63, DADOS_RM_EVENTOS_original!K:L, 2, FALSE), "Código não encontrado/Não digitado")</f>
        <v>Código não encontrado/Não digitado</v>
      </c>
    </row>
    <row r="64" ht="15.75" hidden="1" customHeight="1">
      <c r="A64" s="11" t="s">
        <v>97</v>
      </c>
      <c r="B64" s="11" t="s">
        <v>854</v>
      </c>
      <c r="C64" s="11" t="s">
        <v>1108</v>
      </c>
      <c r="D64" s="11" t="s">
        <v>120</v>
      </c>
      <c r="E64" s="11" t="s">
        <v>972</v>
      </c>
      <c r="F64" s="11" t="s">
        <v>393</v>
      </c>
      <c r="G64" s="12" t="s">
        <v>413</v>
      </c>
      <c r="H64" s="12" t="s">
        <v>68</v>
      </c>
      <c r="I64" s="12" t="str">
        <f>IFERROR(VLOOKUP(H64, DADOS_RM_EVENTOS_original!C:D, 2, FALSE), "Código não encontrado/Não digitado")</f>
        <v>Código não encontrado/Não digitado</v>
      </c>
      <c r="J64" s="12" t="s">
        <v>68</v>
      </c>
      <c r="K64" s="12" t="str">
        <f>IFERROR(VLOOKUP(J64, DADOS_RM_EVENTOS_original!E:J, 2, FALSE), "Código não encontrado/Não digitado")</f>
        <v>Código não encontrado/Não digitado</v>
      </c>
      <c r="L64" s="12" t="s">
        <v>68</v>
      </c>
      <c r="M64" s="12" t="str">
        <f>IFERROR(VLOOKUP(L64, DADOS_RM_EVENTOS_original!K:L, 2, FALSE), "Código não encontrado/Não digitado")</f>
        <v>Código não encontrado/Não digitado</v>
      </c>
    </row>
    <row r="65" ht="15.75" hidden="1" customHeight="1">
      <c r="A65" s="11" t="s">
        <v>142</v>
      </c>
      <c r="B65" s="11" t="s">
        <v>854</v>
      </c>
      <c r="C65" s="11" t="s">
        <v>1108</v>
      </c>
      <c r="D65" s="11" t="s">
        <v>120</v>
      </c>
      <c r="E65" s="11" t="s">
        <v>985</v>
      </c>
      <c r="F65" s="11" t="s">
        <v>393</v>
      </c>
      <c r="G65" s="12" t="s">
        <v>413</v>
      </c>
      <c r="H65" s="12" t="s">
        <v>68</v>
      </c>
      <c r="I65" s="12" t="str">
        <f>IFERROR(VLOOKUP(H65, DADOS_RM_EVENTOS_original!C:D, 2, FALSE), "Código não encontrado/Não digitado")</f>
        <v>Código não encontrado/Não digitado</v>
      </c>
      <c r="J65" s="12" t="s">
        <v>68</v>
      </c>
      <c r="K65" s="12" t="str">
        <f>IFERROR(VLOOKUP(J65, DADOS_RM_EVENTOS_original!E:J, 2, FALSE), "Código não encontrado/Não digitado")</f>
        <v>Código não encontrado/Não digitado</v>
      </c>
      <c r="L65" s="12" t="s">
        <v>68</v>
      </c>
      <c r="M65" s="12" t="str">
        <f>IFERROR(VLOOKUP(L65, DADOS_RM_EVENTOS_original!K:L, 2, FALSE), "Código não encontrado/Não digitado")</f>
        <v>Código não encontrado/Não digitado</v>
      </c>
    </row>
    <row r="66" ht="15.75" hidden="1" customHeight="1">
      <c r="A66" s="11" t="s">
        <v>38</v>
      </c>
      <c r="B66" s="11" t="s">
        <v>1141</v>
      </c>
      <c r="C66" s="11" t="s">
        <v>1142</v>
      </c>
      <c r="D66" s="11" t="s">
        <v>120</v>
      </c>
      <c r="E66" s="11" t="s">
        <v>47</v>
      </c>
      <c r="F66" s="11" t="s">
        <v>393</v>
      </c>
      <c r="G66" s="12" t="s">
        <v>413</v>
      </c>
      <c r="H66" s="12" t="s">
        <v>68</v>
      </c>
      <c r="I66" s="12" t="str">
        <f>IFERROR(VLOOKUP(H66, DADOS_RM_EVENTOS_original!C:D, 2, FALSE), "Código não encontrado/Não digitado")</f>
        <v>Código não encontrado/Não digitado</v>
      </c>
      <c r="J66" s="12" t="s">
        <v>68</v>
      </c>
      <c r="K66" s="12" t="str">
        <f>IFERROR(VLOOKUP(J66, DADOS_RM_EVENTOS_original!E:J, 2, FALSE), "Código não encontrado/Não digitado")</f>
        <v>Código não encontrado/Não digitado</v>
      </c>
      <c r="L66" s="12" t="s">
        <v>68</v>
      </c>
      <c r="M66" s="12" t="str">
        <f>IFERROR(VLOOKUP(L66, DADOS_RM_EVENTOS_original!K:L, 2, FALSE), "Código não encontrado/Não digitado")</f>
        <v>Código não encontrado/Não digitado</v>
      </c>
    </row>
    <row r="67" ht="15.75" hidden="1" customHeight="1">
      <c r="A67" s="11" t="s">
        <v>172</v>
      </c>
      <c r="B67" s="11" t="s">
        <v>1159</v>
      </c>
      <c r="C67" s="11" t="s">
        <v>1160</v>
      </c>
      <c r="D67" s="11" t="s">
        <v>120</v>
      </c>
      <c r="E67" s="11" t="s">
        <v>1029</v>
      </c>
      <c r="F67" s="11" t="s">
        <v>393</v>
      </c>
      <c r="G67" s="12" t="s">
        <v>413</v>
      </c>
      <c r="H67" s="12" t="s">
        <v>68</v>
      </c>
      <c r="I67" s="12" t="str">
        <f>IFERROR(VLOOKUP(H67, DADOS_RM_EVENTOS_original!C:D, 2, FALSE), "Código não encontrado/Não digitado")</f>
        <v>Código não encontrado/Não digitado</v>
      </c>
      <c r="J67" s="12" t="s">
        <v>68</v>
      </c>
      <c r="K67" s="12" t="str">
        <f>IFERROR(VLOOKUP(J67, DADOS_RM_EVENTOS_original!E:J, 2, FALSE), "Código não encontrado/Não digitado")</f>
        <v>Código não encontrado/Não digitado</v>
      </c>
      <c r="L67" s="12" t="s">
        <v>68</v>
      </c>
      <c r="M67" s="12" t="str">
        <f>IFERROR(VLOOKUP(L67, DADOS_RM_EVENTOS_original!K:L, 2, FALSE), "Código não encontrado/Não digitado")</f>
        <v>Código não encontrado/Não digitado</v>
      </c>
    </row>
    <row r="68" ht="15.75" hidden="1" customHeight="1">
      <c r="A68" s="11" t="s">
        <v>97</v>
      </c>
      <c r="B68" s="11" t="s">
        <v>1175</v>
      </c>
      <c r="C68" s="11" t="s">
        <v>1160</v>
      </c>
      <c r="D68" s="11" t="s">
        <v>120</v>
      </c>
      <c r="E68" s="11" t="s">
        <v>972</v>
      </c>
      <c r="F68" s="11" t="s">
        <v>393</v>
      </c>
      <c r="G68" s="12" t="s">
        <v>413</v>
      </c>
      <c r="H68" s="12" t="s">
        <v>68</v>
      </c>
      <c r="I68" s="12" t="str">
        <f>IFERROR(VLOOKUP(H68, DADOS_RM_EVENTOS_original!C:D, 2, FALSE), "Código não encontrado/Não digitado")</f>
        <v>Código não encontrado/Não digitado</v>
      </c>
      <c r="J68" s="12" t="s">
        <v>68</v>
      </c>
      <c r="K68" s="12" t="str">
        <f>IFERROR(VLOOKUP(J68, DADOS_RM_EVENTOS_original!E:J, 2, FALSE), "Código não encontrado/Não digitado")</f>
        <v>Código não encontrado/Não digitado</v>
      </c>
      <c r="L68" s="12" t="s">
        <v>68</v>
      </c>
      <c r="M68" s="12" t="str">
        <f>IFERROR(VLOOKUP(L68, DADOS_RM_EVENTOS_original!K:L, 2, FALSE), "Código não encontrado/Não digitado")</f>
        <v>Código não encontrado/Não digitado</v>
      </c>
    </row>
    <row r="69" ht="15.75" hidden="1" customHeight="1">
      <c r="A69" s="11" t="s">
        <v>142</v>
      </c>
      <c r="B69" s="11" t="s">
        <v>1192</v>
      </c>
      <c r="C69" s="11" t="s">
        <v>1160</v>
      </c>
      <c r="D69" s="11" t="s">
        <v>120</v>
      </c>
      <c r="E69" s="11" t="s">
        <v>985</v>
      </c>
      <c r="F69" s="11" t="s">
        <v>393</v>
      </c>
      <c r="G69" s="12" t="s">
        <v>413</v>
      </c>
      <c r="H69" s="12" t="s">
        <v>68</v>
      </c>
      <c r="I69" s="12" t="str">
        <f>IFERROR(VLOOKUP(H69, DADOS_RM_EVENTOS_original!C:D, 2, FALSE), "Código não encontrado/Não digitado")</f>
        <v>Código não encontrado/Não digitado</v>
      </c>
      <c r="J69" s="12" t="s">
        <v>68</v>
      </c>
      <c r="K69" s="12" t="str">
        <f>IFERROR(VLOOKUP(J69, DADOS_RM_EVENTOS_original!E:J, 2, FALSE), "Código não encontrado/Não digitado")</f>
        <v>Código não encontrado/Não digitado</v>
      </c>
      <c r="L69" s="12" t="s">
        <v>68</v>
      </c>
      <c r="M69" s="12" t="str">
        <f>IFERROR(VLOOKUP(L69, DADOS_RM_EVENTOS_original!K:L, 2, FALSE), "Código não encontrado/Não digitado")</f>
        <v>Código não encontrado/Não digitado</v>
      </c>
    </row>
    <row r="70" ht="15.75" hidden="1" customHeight="1">
      <c r="A70" s="11" t="s">
        <v>199</v>
      </c>
      <c r="B70" s="11" t="s">
        <v>869</v>
      </c>
      <c r="C70" s="11" t="s">
        <v>1160</v>
      </c>
      <c r="D70" s="11" t="s">
        <v>120</v>
      </c>
      <c r="E70" s="11" t="s">
        <v>1074</v>
      </c>
      <c r="F70" s="11" t="s">
        <v>393</v>
      </c>
      <c r="G70" s="12" t="s">
        <v>413</v>
      </c>
      <c r="H70" s="12" t="s">
        <v>68</v>
      </c>
      <c r="I70" s="12" t="str">
        <f>IFERROR(VLOOKUP(H70, DADOS_RM_EVENTOS_original!C:D, 2, FALSE), "Código não encontrado/Não digitado")</f>
        <v>Código não encontrado/Não digitado</v>
      </c>
      <c r="J70" s="12" t="s">
        <v>68</v>
      </c>
      <c r="K70" s="12" t="str">
        <f>IFERROR(VLOOKUP(J70, DADOS_RM_EVENTOS_original!E:J, 2, FALSE), "Código não encontrado/Não digitado")</f>
        <v>Código não encontrado/Não digitado</v>
      </c>
      <c r="L70" s="12" t="s">
        <v>68</v>
      </c>
      <c r="M70" s="12" t="str">
        <f>IFERROR(VLOOKUP(L70, DADOS_RM_EVENTOS_original!K:L, 2, FALSE), "Código não encontrado/Não digitado")</f>
        <v>Código não encontrado/Não digitado</v>
      </c>
    </row>
    <row r="71" ht="15.75" hidden="1" customHeight="1">
      <c r="A71" s="11" t="s">
        <v>38</v>
      </c>
      <c r="B71" s="11" t="s">
        <v>1221</v>
      </c>
      <c r="C71" s="11" t="s">
        <v>1223</v>
      </c>
      <c r="D71" s="11" t="s">
        <v>120</v>
      </c>
      <c r="E71" s="11" t="s">
        <v>47</v>
      </c>
      <c r="F71" s="11" t="s">
        <v>393</v>
      </c>
      <c r="G71" s="12" t="s">
        <v>413</v>
      </c>
      <c r="H71" s="12" t="s">
        <v>68</v>
      </c>
      <c r="I71" s="12" t="str">
        <f>IFERROR(VLOOKUP(H71, DADOS_RM_EVENTOS_original!C:D, 2, FALSE), "Código não encontrado/Não digitado")</f>
        <v>Código não encontrado/Não digitado</v>
      </c>
      <c r="J71" s="12" t="s">
        <v>68</v>
      </c>
      <c r="K71" s="12" t="str">
        <f>IFERROR(VLOOKUP(J71, DADOS_RM_EVENTOS_original!E:J, 2, FALSE), "Código não encontrado/Não digitado")</f>
        <v>Código não encontrado/Não digitado</v>
      </c>
      <c r="L71" s="12" t="s">
        <v>68</v>
      </c>
      <c r="M71" s="12" t="str">
        <f>IFERROR(VLOOKUP(L71, DADOS_RM_EVENTOS_original!K:L, 2, FALSE), "Código não encontrado/Não digitado")</f>
        <v>Código não encontrado/Não digitado</v>
      </c>
    </row>
    <row r="72" ht="15.75" hidden="1" customHeight="1">
      <c r="A72" s="11" t="s">
        <v>115</v>
      </c>
      <c r="B72" s="11" t="s">
        <v>1221</v>
      </c>
      <c r="C72" s="11" t="s">
        <v>1223</v>
      </c>
      <c r="D72" s="11" t="s">
        <v>120</v>
      </c>
      <c r="E72" s="11" t="s">
        <v>121</v>
      </c>
      <c r="F72" s="11" t="s">
        <v>393</v>
      </c>
      <c r="G72" s="12" t="s">
        <v>413</v>
      </c>
      <c r="H72" s="12" t="s">
        <v>68</v>
      </c>
      <c r="I72" s="12" t="str">
        <f>IFERROR(VLOOKUP(H72, DADOS_RM_EVENTOS_original!C:D, 2, FALSE), "Código não encontrado/Não digitado")</f>
        <v>Código não encontrado/Não digitado</v>
      </c>
      <c r="J72" s="12" t="s">
        <v>68</v>
      </c>
      <c r="K72" s="12" t="str">
        <f>IFERROR(VLOOKUP(J72, DADOS_RM_EVENTOS_original!E:J, 2, FALSE), "Código não encontrado/Não digitado")</f>
        <v>Código não encontrado/Não digitado</v>
      </c>
      <c r="L72" s="12" t="s">
        <v>68</v>
      </c>
      <c r="M72" s="12" t="str">
        <f>IFERROR(VLOOKUP(L72, DADOS_RM_EVENTOS_original!K:L, 2, FALSE), "Código não encontrado/Não digitado")</f>
        <v>Código não encontrado/Não digitado</v>
      </c>
    </row>
    <row r="73" ht="15.75" hidden="1" customHeight="1">
      <c r="A73" s="11" t="s">
        <v>172</v>
      </c>
      <c r="B73" s="11" t="s">
        <v>1249</v>
      </c>
      <c r="C73" s="11" t="s">
        <v>1250</v>
      </c>
      <c r="D73" s="11" t="s">
        <v>120</v>
      </c>
      <c r="E73" s="11" t="s">
        <v>1029</v>
      </c>
      <c r="F73" s="11" t="s">
        <v>1252</v>
      </c>
      <c r="G73" s="12" t="s">
        <v>1254</v>
      </c>
      <c r="H73" s="12" t="s">
        <v>68</v>
      </c>
      <c r="I73" s="12" t="str">
        <f>IFERROR(VLOOKUP(H73, DADOS_RM_EVENTOS_original!C:D, 2, FALSE), "Código não encontrado/Não digitado")</f>
        <v>Código não encontrado/Não digitado</v>
      </c>
      <c r="J73" s="12" t="s">
        <v>68</v>
      </c>
      <c r="K73" s="12" t="str">
        <f>IFERROR(VLOOKUP(J73, DADOS_RM_EVENTOS_original!E:J, 2, FALSE), "Código não encontrado/Não digitado")</f>
        <v>Código não encontrado/Não digitado</v>
      </c>
      <c r="L73" s="12" t="s">
        <v>68</v>
      </c>
      <c r="M73" s="12" t="str">
        <f>IFERROR(VLOOKUP(L73, DADOS_RM_EVENTOS_original!K:L, 2, FALSE), "Código não encontrado/Não digitado")</f>
        <v>Código não encontrado/Não digitado</v>
      </c>
    </row>
    <row r="74" ht="15.75" hidden="1" customHeight="1">
      <c r="A74" s="11" t="s">
        <v>97</v>
      </c>
      <c r="B74" s="11" t="s">
        <v>1264</v>
      </c>
      <c r="C74" s="11" t="s">
        <v>1250</v>
      </c>
      <c r="D74" s="11" t="s">
        <v>120</v>
      </c>
      <c r="E74" s="11" t="s">
        <v>972</v>
      </c>
      <c r="F74" s="11" t="s">
        <v>1252</v>
      </c>
      <c r="G74" s="12" t="s">
        <v>1254</v>
      </c>
      <c r="H74" s="12" t="s">
        <v>68</v>
      </c>
      <c r="I74" s="12" t="str">
        <f>IFERROR(VLOOKUP(H74, DADOS_RM_EVENTOS_original!C:D, 2, FALSE), "Código não encontrado/Não digitado")</f>
        <v>Código não encontrado/Não digitado</v>
      </c>
      <c r="J74" s="12" t="s">
        <v>68</v>
      </c>
      <c r="K74" s="12" t="str">
        <f>IFERROR(VLOOKUP(J74, DADOS_RM_EVENTOS_original!E:J, 2, FALSE), "Código não encontrado/Não digitado")</f>
        <v>Código não encontrado/Não digitado</v>
      </c>
      <c r="L74" s="12" t="s">
        <v>68</v>
      </c>
      <c r="M74" s="12" t="str">
        <f>IFERROR(VLOOKUP(L74, DADOS_RM_EVENTOS_original!K:L, 2, FALSE), "Código não encontrado/Não digitado")</f>
        <v>Código não encontrado/Não digitado</v>
      </c>
    </row>
    <row r="75" ht="15.75" hidden="1" customHeight="1">
      <c r="A75" s="11" t="s">
        <v>142</v>
      </c>
      <c r="B75" s="11" t="s">
        <v>1175</v>
      </c>
      <c r="C75" s="11" t="s">
        <v>1250</v>
      </c>
      <c r="D75" s="11" t="s">
        <v>120</v>
      </c>
      <c r="E75" s="11" t="s">
        <v>985</v>
      </c>
      <c r="F75" s="11" t="s">
        <v>1252</v>
      </c>
      <c r="G75" s="12" t="s">
        <v>1254</v>
      </c>
      <c r="H75" s="12" t="s">
        <v>68</v>
      </c>
      <c r="I75" s="12" t="str">
        <f>IFERROR(VLOOKUP(H75, DADOS_RM_EVENTOS_original!C:D, 2, FALSE), "Código não encontrado/Não digitado")</f>
        <v>Código não encontrado/Não digitado</v>
      </c>
      <c r="J75" s="12" t="s">
        <v>68</v>
      </c>
      <c r="K75" s="12" t="str">
        <f>IFERROR(VLOOKUP(J75, DADOS_RM_EVENTOS_original!E:J, 2, FALSE), "Código não encontrado/Não digitado")</f>
        <v>Código não encontrado/Não digitado</v>
      </c>
      <c r="L75" s="12" t="s">
        <v>68</v>
      </c>
      <c r="M75" s="12" t="str">
        <f>IFERROR(VLOOKUP(L75, DADOS_RM_EVENTOS_original!K:L, 2, FALSE), "Código não encontrado/Não digitado")</f>
        <v>Código não encontrado/Não digitado</v>
      </c>
    </row>
    <row r="76" ht="15.75" hidden="1" customHeight="1">
      <c r="A76" s="11" t="s">
        <v>38</v>
      </c>
      <c r="B76" s="11" t="s">
        <v>1299</v>
      </c>
      <c r="C76" s="11" t="s">
        <v>1301</v>
      </c>
      <c r="D76" s="11" t="s">
        <v>120</v>
      </c>
      <c r="E76" s="11" t="s">
        <v>47</v>
      </c>
      <c r="F76" s="11" t="s">
        <v>1252</v>
      </c>
      <c r="G76" s="12" t="s">
        <v>1254</v>
      </c>
      <c r="H76" s="12" t="s">
        <v>68</v>
      </c>
      <c r="I76" s="12" t="str">
        <f>IFERROR(VLOOKUP(H76, DADOS_RM_EVENTOS_original!C:D, 2, FALSE), "Código não encontrado/Não digitado")</f>
        <v>Código não encontrado/Não digitado</v>
      </c>
      <c r="J76" s="12" t="s">
        <v>68</v>
      </c>
      <c r="K76" s="12" t="str">
        <f>IFERROR(VLOOKUP(J76, DADOS_RM_EVENTOS_original!E:J, 2, FALSE), "Código não encontrado/Não digitado")</f>
        <v>Código não encontrado/Não digitado</v>
      </c>
      <c r="L76" s="12" t="s">
        <v>68</v>
      </c>
      <c r="M76" s="12" t="str">
        <f>IFERROR(VLOOKUP(L76, DADOS_RM_EVENTOS_original!K:L, 2, FALSE), "Código não encontrado/Não digitado")</f>
        <v>Código não encontrado/Não digitado</v>
      </c>
    </row>
    <row r="77" ht="15.75" hidden="1" customHeight="1">
      <c r="A77" s="11" t="s">
        <v>115</v>
      </c>
      <c r="B77" s="11" t="s">
        <v>1299</v>
      </c>
      <c r="C77" s="11" t="s">
        <v>1301</v>
      </c>
      <c r="D77" s="11" t="s">
        <v>120</v>
      </c>
      <c r="E77" s="11" t="s">
        <v>121</v>
      </c>
      <c r="F77" s="11" t="s">
        <v>1252</v>
      </c>
      <c r="G77" s="12" t="s">
        <v>1254</v>
      </c>
      <c r="H77" s="12" t="s">
        <v>68</v>
      </c>
      <c r="I77" s="12" t="str">
        <f>IFERROR(VLOOKUP(H77, DADOS_RM_EVENTOS_original!C:D, 2, FALSE), "Código não encontrado/Não digitado")</f>
        <v>Código não encontrado/Não digitado</v>
      </c>
      <c r="J77" s="12" t="s">
        <v>68</v>
      </c>
      <c r="K77" s="12" t="str">
        <f>IFERROR(VLOOKUP(J77, DADOS_RM_EVENTOS_original!E:J, 2, FALSE), "Código não encontrado/Não digitado")</f>
        <v>Código não encontrado/Não digitado</v>
      </c>
      <c r="L77" s="12" t="s">
        <v>68</v>
      </c>
      <c r="M77" s="12" t="str">
        <f>IFERROR(VLOOKUP(L77, DADOS_RM_EVENTOS_original!K:L, 2, FALSE), "Código não encontrado/Não digitado")</f>
        <v>Código não encontrado/Não digitado</v>
      </c>
    </row>
    <row r="78" ht="15.75" hidden="1" customHeight="1">
      <c r="A78" s="11" t="s">
        <v>38</v>
      </c>
      <c r="B78" s="11" t="s">
        <v>698</v>
      </c>
      <c r="C78" s="11" t="s">
        <v>1324</v>
      </c>
      <c r="D78" s="11" t="s">
        <v>120</v>
      </c>
      <c r="E78" s="11" t="s">
        <v>47</v>
      </c>
      <c r="F78" s="11" t="s">
        <v>603</v>
      </c>
      <c r="G78" s="12" t="s">
        <v>749</v>
      </c>
      <c r="H78" s="12" t="s">
        <v>68</v>
      </c>
      <c r="I78" s="12" t="str">
        <f>IFERROR(VLOOKUP(H78, DADOS_RM_EVENTOS_original!C:D, 2, FALSE), "Código não encontrado/Não digitado")</f>
        <v>Código não encontrado/Não digitado</v>
      </c>
      <c r="J78" s="12" t="s">
        <v>68</v>
      </c>
      <c r="K78" s="12" t="str">
        <f>IFERROR(VLOOKUP(J78, DADOS_RM_EVENTOS_original!E:J, 2, FALSE), "Código não encontrado/Não digitado")</f>
        <v>Código não encontrado/Não digitado</v>
      </c>
      <c r="L78" s="12" t="s">
        <v>68</v>
      </c>
      <c r="M78" s="12" t="str">
        <f>IFERROR(VLOOKUP(L78, DADOS_RM_EVENTOS_original!K:L, 2, FALSE), "Código não encontrado/Não digitado")</f>
        <v>Código não encontrado/Não digitado</v>
      </c>
    </row>
    <row r="79" ht="15.75" hidden="1" customHeight="1">
      <c r="A79" s="11" t="s">
        <v>115</v>
      </c>
      <c r="B79" s="11" t="s">
        <v>698</v>
      </c>
      <c r="C79" s="11" t="s">
        <v>1324</v>
      </c>
      <c r="D79" s="11" t="s">
        <v>120</v>
      </c>
      <c r="E79" s="11" t="s">
        <v>121</v>
      </c>
      <c r="F79" s="11" t="s">
        <v>603</v>
      </c>
      <c r="G79" s="12" t="s">
        <v>749</v>
      </c>
      <c r="H79" s="12" t="s">
        <v>68</v>
      </c>
      <c r="I79" s="12" t="str">
        <f>IFERROR(VLOOKUP(H79, DADOS_RM_EVENTOS_original!C:D, 2, FALSE), "Código não encontrado/Não digitado")</f>
        <v>Código não encontrado/Não digitado</v>
      </c>
      <c r="J79" s="12" t="s">
        <v>68</v>
      </c>
      <c r="K79" s="12" t="str">
        <f>IFERROR(VLOOKUP(J79, DADOS_RM_EVENTOS_original!E:J, 2, FALSE), "Código não encontrado/Não digitado")</f>
        <v>Código não encontrado/Não digitado</v>
      </c>
      <c r="L79" s="12" t="s">
        <v>68</v>
      </c>
      <c r="M79" s="12" t="str">
        <f>IFERROR(VLOOKUP(L79, DADOS_RM_EVENTOS_original!K:L, 2, FALSE), "Código não encontrado/Não digitado")</f>
        <v>Código não encontrado/Não digitado</v>
      </c>
    </row>
    <row r="80" ht="15.75" hidden="1" customHeight="1">
      <c r="A80" s="11" t="s">
        <v>172</v>
      </c>
      <c r="B80" s="11" t="s">
        <v>698</v>
      </c>
      <c r="C80" s="11" t="s">
        <v>1348</v>
      </c>
      <c r="D80" s="11" t="s">
        <v>120</v>
      </c>
      <c r="E80" s="11" t="s">
        <v>1029</v>
      </c>
      <c r="F80" s="11" t="s">
        <v>603</v>
      </c>
      <c r="G80" s="12" t="s">
        <v>749</v>
      </c>
      <c r="H80" s="12" t="s">
        <v>68</v>
      </c>
      <c r="I80" s="12" t="str">
        <f>IFERROR(VLOOKUP(H80, DADOS_RM_EVENTOS_original!C:D, 2, FALSE), "Código não encontrado/Não digitado")</f>
        <v>Código não encontrado/Não digitado</v>
      </c>
      <c r="J80" s="12" t="s">
        <v>68</v>
      </c>
      <c r="K80" s="12" t="str">
        <f>IFERROR(VLOOKUP(J80, DADOS_RM_EVENTOS_original!E:J, 2, FALSE), "Código não encontrado/Não digitado")</f>
        <v>Código não encontrado/Não digitado</v>
      </c>
      <c r="L80" s="12" t="s">
        <v>68</v>
      </c>
      <c r="M80" s="12" t="str">
        <f>IFERROR(VLOOKUP(L80, DADOS_RM_EVENTOS_original!K:L, 2, FALSE), "Código não encontrado/Não digitado")</f>
        <v>Código não encontrado/Não digitado</v>
      </c>
    </row>
    <row r="81" ht="15.75" hidden="1" customHeight="1">
      <c r="A81" s="11" t="s">
        <v>97</v>
      </c>
      <c r="B81" s="11" t="s">
        <v>698</v>
      </c>
      <c r="C81" s="11" t="s">
        <v>1348</v>
      </c>
      <c r="D81" s="11" t="s">
        <v>120</v>
      </c>
      <c r="E81" s="11" t="s">
        <v>972</v>
      </c>
      <c r="F81" s="11" t="s">
        <v>603</v>
      </c>
      <c r="G81" s="12" t="s">
        <v>749</v>
      </c>
      <c r="H81" s="12" t="s">
        <v>68</v>
      </c>
      <c r="I81" s="12" t="str">
        <f>IFERROR(VLOOKUP(H81, DADOS_RM_EVENTOS_original!C:D, 2, FALSE), "Código não encontrado/Não digitado")</f>
        <v>Código não encontrado/Não digitado</v>
      </c>
      <c r="J81" s="12" t="s">
        <v>68</v>
      </c>
      <c r="K81" s="12" t="str">
        <f>IFERROR(VLOOKUP(J81, DADOS_RM_EVENTOS_original!E:J, 2, FALSE), "Código não encontrado/Não digitado")</f>
        <v>Código não encontrado/Não digitado</v>
      </c>
      <c r="L81" s="12" t="s">
        <v>68</v>
      </c>
      <c r="M81" s="12" t="str">
        <f>IFERROR(VLOOKUP(L81, DADOS_RM_EVENTOS_original!K:L, 2, FALSE), "Código não encontrado/Não digitado")</f>
        <v>Código não encontrado/Não digitado</v>
      </c>
    </row>
    <row r="82" ht="15.75" hidden="1" customHeight="1">
      <c r="A82" s="11" t="s">
        <v>142</v>
      </c>
      <c r="B82" s="11" t="s">
        <v>698</v>
      </c>
      <c r="C82" s="11" t="s">
        <v>1348</v>
      </c>
      <c r="D82" s="11" t="s">
        <v>120</v>
      </c>
      <c r="E82" s="11" t="s">
        <v>985</v>
      </c>
      <c r="F82" s="11" t="s">
        <v>603</v>
      </c>
      <c r="G82" s="12" t="s">
        <v>749</v>
      </c>
      <c r="H82" s="12" t="s">
        <v>68</v>
      </c>
      <c r="I82" s="12" t="str">
        <f>IFERROR(VLOOKUP(H82, DADOS_RM_EVENTOS_original!C:D, 2, FALSE), "Código não encontrado/Não digitado")</f>
        <v>Código não encontrado/Não digitado</v>
      </c>
      <c r="J82" s="12" t="s">
        <v>68</v>
      </c>
      <c r="K82" s="12" t="str">
        <f>IFERROR(VLOOKUP(J82, DADOS_RM_EVENTOS_original!E:J, 2, FALSE), "Código não encontrado/Não digitado")</f>
        <v>Código não encontrado/Não digitado</v>
      </c>
      <c r="L82" s="12" t="s">
        <v>68</v>
      </c>
      <c r="M82" s="12" t="str">
        <f>IFERROR(VLOOKUP(L82, DADOS_RM_EVENTOS_original!K:L, 2, FALSE), "Código não encontrado/Não digitado")</f>
        <v>Código não encontrado/Não digitado</v>
      </c>
    </row>
    <row r="83" ht="15.75" hidden="1" customHeight="1">
      <c r="A83" s="11" t="s">
        <v>199</v>
      </c>
      <c r="B83" s="11" t="s">
        <v>698</v>
      </c>
      <c r="C83" s="11" t="s">
        <v>1348</v>
      </c>
      <c r="D83" s="11" t="s">
        <v>120</v>
      </c>
      <c r="E83" s="11" t="s">
        <v>1074</v>
      </c>
      <c r="F83" s="11" t="s">
        <v>603</v>
      </c>
      <c r="G83" s="12" t="s">
        <v>749</v>
      </c>
      <c r="H83" s="12" t="s">
        <v>68</v>
      </c>
      <c r="I83" s="12" t="str">
        <f>IFERROR(VLOOKUP(H83, DADOS_RM_EVENTOS_original!C:D, 2, FALSE), "Código não encontrado/Não digitado")</f>
        <v>Código não encontrado/Não digitado</v>
      </c>
      <c r="J83" s="12" t="s">
        <v>68</v>
      </c>
      <c r="K83" s="12" t="str">
        <f>IFERROR(VLOOKUP(J83, DADOS_RM_EVENTOS_original!E:J, 2, FALSE), "Código não encontrado/Não digitado")</f>
        <v>Código não encontrado/Não digitado</v>
      </c>
      <c r="L83" s="12" t="s">
        <v>68</v>
      </c>
      <c r="M83" s="12" t="str">
        <f>IFERROR(VLOOKUP(L83, DADOS_RM_EVENTOS_original!K:L, 2, FALSE), "Código não encontrado/Não digitado")</f>
        <v>Código não encontrado/Não digitado</v>
      </c>
    </row>
    <row r="84" ht="15.75" hidden="1" customHeight="1">
      <c r="A84" s="11" t="s">
        <v>38</v>
      </c>
      <c r="B84" s="11" t="s">
        <v>1390</v>
      </c>
      <c r="C84" s="11" t="s">
        <v>1391</v>
      </c>
      <c r="D84" s="11" t="s">
        <v>120</v>
      </c>
      <c r="E84" s="11" t="s">
        <v>47</v>
      </c>
      <c r="F84" s="11" t="s">
        <v>422</v>
      </c>
      <c r="G84" s="12" t="s">
        <v>444</v>
      </c>
      <c r="H84" s="12" t="s">
        <v>68</v>
      </c>
      <c r="I84" s="12" t="str">
        <f>IFERROR(VLOOKUP(H84, DADOS_RM_EVENTOS_original!C:D, 2, FALSE), "Código não encontrado/Não digitado")</f>
        <v>Código não encontrado/Não digitado</v>
      </c>
      <c r="J84" s="12" t="s">
        <v>68</v>
      </c>
      <c r="K84" s="12" t="str">
        <f>IFERROR(VLOOKUP(J84, DADOS_RM_EVENTOS_original!E:J, 2, FALSE), "Código não encontrado/Não digitado")</f>
        <v>Código não encontrado/Não digitado</v>
      </c>
      <c r="L84" s="12" t="s">
        <v>68</v>
      </c>
      <c r="M84" s="12" t="str">
        <f>IFERROR(VLOOKUP(L84, DADOS_RM_EVENTOS_original!K:L, 2, FALSE), "Código não encontrado/Não digitado")</f>
        <v>Código não encontrado/Não digitado</v>
      </c>
    </row>
    <row r="85" ht="15.75" hidden="1" customHeight="1">
      <c r="A85" s="11" t="s">
        <v>38</v>
      </c>
      <c r="B85" s="11" t="s">
        <v>1126</v>
      </c>
      <c r="C85" s="11" t="s">
        <v>1402</v>
      </c>
      <c r="D85" s="11" t="s">
        <v>120</v>
      </c>
      <c r="E85" s="11" t="s">
        <v>47</v>
      </c>
      <c r="F85" s="11" t="s">
        <v>422</v>
      </c>
      <c r="G85" s="12" t="s">
        <v>444</v>
      </c>
      <c r="H85" s="12" t="s">
        <v>68</v>
      </c>
      <c r="I85" s="12" t="str">
        <f>IFERROR(VLOOKUP(H85, DADOS_RM_EVENTOS_original!C:D, 2, FALSE), "Código não encontrado/Não digitado")</f>
        <v>Código não encontrado/Não digitado</v>
      </c>
      <c r="J85" s="12" t="s">
        <v>68</v>
      </c>
      <c r="K85" s="12" t="str">
        <f>IFERROR(VLOOKUP(J85, DADOS_RM_EVENTOS_original!E:J, 2, FALSE), "Código não encontrado/Não digitado")</f>
        <v>Código não encontrado/Não digitado</v>
      </c>
      <c r="L85" s="12" t="s">
        <v>68</v>
      </c>
      <c r="M85" s="12" t="str">
        <f>IFERROR(VLOOKUP(L85, DADOS_RM_EVENTOS_original!K:L, 2, FALSE), "Código não encontrado/Não digitado")</f>
        <v>Código não encontrado/Não digitado</v>
      </c>
    </row>
    <row r="86" ht="15.75" hidden="1" customHeight="1">
      <c r="A86" s="11" t="s">
        <v>115</v>
      </c>
      <c r="B86" s="11" t="s">
        <v>1126</v>
      </c>
      <c r="C86" s="11" t="s">
        <v>1402</v>
      </c>
      <c r="D86" s="11" t="s">
        <v>120</v>
      </c>
      <c r="E86" s="11" t="s">
        <v>121</v>
      </c>
      <c r="F86" s="11" t="s">
        <v>422</v>
      </c>
      <c r="G86" s="12" t="s">
        <v>444</v>
      </c>
      <c r="H86" s="12" t="s">
        <v>68</v>
      </c>
      <c r="I86" s="12" t="str">
        <f>IFERROR(VLOOKUP(H86, DADOS_RM_EVENTOS_original!C:D, 2, FALSE), "Código não encontrado/Não digitado")</f>
        <v>Código não encontrado/Não digitado</v>
      </c>
      <c r="J86" s="12" t="s">
        <v>68</v>
      </c>
      <c r="K86" s="12" t="str">
        <f>IFERROR(VLOOKUP(J86, DADOS_RM_EVENTOS_original!E:J, 2, FALSE), "Código não encontrado/Não digitado")</f>
        <v>Código não encontrado/Não digitado</v>
      </c>
      <c r="L86" s="12" t="s">
        <v>68</v>
      </c>
      <c r="M86" s="12" t="str">
        <f>IFERROR(VLOOKUP(L86, DADOS_RM_EVENTOS_original!K:L, 2, FALSE), "Código não encontrado/Não digitado")</f>
        <v>Código não encontrado/Não digitado</v>
      </c>
    </row>
    <row r="87" ht="15.75" hidden="1" customHeight="1">
      <c r="A87" s="11" t="s">
        <v>172</v>
      </c>
      <c r="B87" s="11" t="s">
        <v>1126</v>
      </c>
      <c r="C87" s="11" t="s">
        <v>1423</v>
      </c>
      <c r="D87" s="11" t="s">
        <v>120</v>
      </c>
      <c r="E87" s="11" t="s">
        <v>1029</v>
      </c>
      <c r="F87" s="11" t="s">
        <v>422</v>
      </c>
      <c r="G87" s="12" t="s">
        <v>444</v>
      </c>
      <c r="H87" s="12" t="s">
        <v>68</v>
      </c>
      <c r="I87" s="12" t="str">
        <f>IFERROR(VLOOKUP(H87, DADOS_RM_EVENTOS_original!C:D, 2, FALSE), "Código não encontrado/Não digitado")</f>
        <v>Código não encontrado/Não digitado</v>
      </c>
      <c r="J87" s="12" t="s">
        <v>68</v>
      </c>
      <c r="K87" s="12" t="str">
        <f>IFERROR(VLOOKUP(J87, DADOS_RM_EVENTOS_original!E:J, 2, FALSE), "Código não encontrado/Não digitado")</f>
        <v>Código não encontrado/Não digitado</v>
      </c>
      <c r="L87" s="12" t="s">
        <v>68</v>
      </c>
      <c r="M87" s="12" t="str">
        <f>IFERROR(VLOOKUP(L87, DADOS_RM_EVENTOS_original!K:L, 2, FALSE), "Código não encontrado/Não digitado")</f>
        <v>Código não encontrado/Não digitado</v>
      </c>
    </row>
    <row r="88" ht="15.75" hidden="1" customHeight="1">
      <c r="A88" s="11" t="s">
        <v>97</v>
      </c>
      <c r="B88" s="11" t="s">
        <v>1126</v>
      </c>
      <c r="C88" s="11" t="s">
        <v>1423</v>
      </c>
      <c r="D88" s="11" t="s">
        <v>120</v>
      </c>
      <c r="E88" s="11" t="s">
        <v>972</v>
      </c>
      <c r="F88" s="11" t="s">
        <v>422</v>
      </c>
      <c r="G88" s="12" t="s">
        <v>444</v>
      </c>
      <c r="H88" s="12" t="s">
        <v>68</v>
      </c>
      <c r="I88" s="12" t="str">
        <f>IFERROR(VLOOKUP(H88, DADOS_RM_EVENTOS_original!C:D, 2, FALSE), "Código não encontrado/Não digitado")</f>
        <v>Código não encontrado/Não digitado</v>
      </c>
      <c r="J88" s="12" t="s">
        <v>68</v>
      </c>
      <c r="K88" s="12" t="str">
        <f>IFERROR(VLOOKUP(J88, DADOS_RM_EVENTOS_original!E:J, 2, FALSE), "Código não encontrado/Não digitado")</f>
        <v>Código não encontrado/Não digitado</v>
      </c>
      <c r="L88" s="12" t="s">
        <v>68</v>
      </c>
      <c r="M88" s="12" t="str">
        <f>IFERROR(VLOOKUP(L88, DADOS_RM_EVENTOS_original!K:L, 2, FALSE), "Código não encontrado/Não digitado")</f>
        <v>Código não encontrado/Não digitado</v>
      </c>
    </row>
    <row r="89" ht="15.75" hidden="1" customHeight="1">
      <c r="A89" s="11" t="s">
        <v>142</v>
      </c>
      <c r="B89" s="11" t="s">
        <v>1126</v>
      </c>
      <c r="C89" s="11" t="s">
        <v>1423</v>
      </c>
      <c r="D89" s="11" t="s">
        <v>120</v>
      </c>
      <c r="E89" s="11" t="s">
        <v>985</v>
      </c>
      <c r="F89" s="11" t="s">
        <v>422</v>
      </c>
      <c r="G89" s="12" t="s">
        <v>444</v>
      </c>
      <c r="H89" s="12" t="s">
        <v>68</v>
      </c>
      <c r="I89" s="12" t="str">
        <f>IFERROR(VLOOKUP(H89, DADOS_RM_EVENTOS_original!C:D, 2, FALSE), "Código não encontrado/Não digitado")</f>
        <v>Código não encontrado/Não digitado</v>
      </c>
      <c r="J89" s="12" t="s">
        <v>68</v>
      </c>
      <c r="K89" s="12" t="str">
        <f>IFERROR(VLOOKUP(J89, DADOS_RM_EVENTOS_original!E:J, 2, FALSE), "Código não encontrado/Não digitado")</f>
        <v>Código não encontrado/Não digitado</v>
      </c>
      <c r="L89" s="12" t="s">
        <v>68</v>
      </c>
      <c r="M89" s="12" t="str">
        <f>IFERROR(VLOOKUP(L89, DADOS_RM_EVENTOS_original!K:L, 2, FALSE), "Código não encontrado/Não digitado")</f>
        <v>Código não encontrado/Não digitado</v>
      </c>
    </row>
    <row r="90" ht="15.75" hidden="1" customHeight="1">
      <c r="A90" s="11" t="s">
        <v>38</v>
      </c>
      <c r="B90" s="11" t="s">
        <v>857</v>
      </c>
      <c r="C90" s="11" t="s">
        <v>1459</v>
      </c>
      <c r="D90" s="11" t="s">
        <v>120</v>
      </c>
      <c r="E90" s="11" t="s">
        <v>47</v>
      </c>
      <c r="F90" s="11" t="s">
        <v>329</v>
      </c>
      <c r="G90" s="12" t="s">
        <v>346</v>
      </c>
      <c r="H90" s="12" t="s">
        <v>68</v>
      </c>
      <c r="I90" s="12" t="str">
        <f>IFERROR(VLOOKUP(H90, DADOS_RM_EVENTOS_original!C:D, 2, FALSE), "Código não encontrado/Não digitado")</f>
        <v>Código não encontrado/Não digitado</v>
      </c>
      <c r="J90" s="12" t="s">
        <v>68</v>
      </c>
      <c r="K90" s="12" t="str">
        <f>IFERROR(VLOOKUP(J90, DADOS_RM_EVENTOS_original!E:J, 2, FALSE), "Código não encontrado/Não digitado")</f>
        <v>Código não encontrado/Não digitado</v>
      </c>
      <c r="L90" s="12" t="s">
        <v>68</v>
      </c>
      <c r="M90" s="12" t="str">
        <f>IFERROR(VLOOKUP(L90, DADOS_RM_EVENTOS_original!K:L, 2, FALSE), "Código não encontrado/Não digitado")</f>
        <v>Código não encontrado/Não digitado</v>
      </c>
    </row>
    <row r="91" ht="15.75" hidden="1" customHeight="1">
      <c r="A91" s="11" t="s">
        <v>115</v>
      </c>
      <c r="B91" s="11" t="s">
        <v>857</v>
      </c>
      <c r="C91" s="11" t="s">
        <v>1459</v>
      </c>
      <c r="D91" s="11" t="s">
        <v>120</v>
      </c>
      <c r="E91" s="11" t="s">
        <v>121</v>
      </c>
      <c r="F91" s="11" t="s">
        <v>329</v>
      </c>
      <c r="G91" s="12" t="s">
        <v>346</v>
      </c>
      <c r="H91" s="12" t="s">
        <v>68</v>
      </c>
      <c r="I91" s="12" t="str">
        <f>IFERROR(VLOOKUP(H91, DADOS_RM_EVENTOS_original!C:D, 2, FALSE), "Código não encontrado/Não digitado")</f>
        <v>Código não encontrado/Não digitado</v>
      </c>
      <c r="J91" s="12" t="s">
        <v>68</v>
      </c>
      <c r="K91" s="12" t="str">
        <f>IFERROR(VLOOKUP(J91, DADOS_RM_EVENTOS_original!E:J, 2, FALSE), "Código não encontrado/Não digitado")</f>
        <v>Código não encontrado/Não digitado</v>
      </c>
      <c r="L91" s="12" t="s">
        <v>68</v>
      </c>
      <c r="M91" s="12" t="str">
        <f>IFERROR(VLOOKUP(L91, DADOS_RM_EVENTOS_original!K:L, 2, FALSE), "Código não encontrado/Não digitado")</f>
        <v>Código não encontrado/Não digitado</v>
      </c>
    </row>
    <row r="92" ht="15.75" hidden="1" customHeight="1">
      <c r="A92" s="11" t="s">
        <v>172</v>
      </c>
      <c r="B92" s="11" t="s">
        <v>857</v>
      </c>
      <c r="C92" s="11" t="s">
        <v>1483</v>
      </c>
      <c r="D92" s="11" t="s">
        <v>120</v>
      </c>
      <c r="E92" s="11" t="s">
        <v>1029</v>
      </c>
      <c r="F92" s="11" t="s">
        <v>329</v>
      </c>
      <c r="G92" s="12" t="s">
        <v>346</v>
      </c>
      <c r="H92" s="12" t="s">
        <v>68</v>
      </c>
      <c r="I92" s="12" t="str">
        <f>IFERROR(VLOOKUP(H92, DADOS_RM_EVENTOS_original!C:D, 2, FALSE), "Código não encontrado/Não digitado")</f>
        <v>Código não encontrado/Não digitado</v>
      </c>
      <c r="J92" s="12" t="s">
        <v>68</v>
      </c>
      <c r="K92" s="12" t="str">
        <f>IFERROR(VLOOKUP(J92, DADOS_RM_EVENTOS_original!E:J, 2, FALSE), "Código não encontrado/Não digitado")</f>
        <v>Código não encontrado/Não digitado</v>
      </c>
      <c r="L92" s="12" t="s">
        <v>68</v>
      </c>
      <c r="M92" s="12" t="str">
        <f>IFERROR(VLOOKUP(L92, DADOS_RM_EVENTOS_original!K:L, 2, FALSE), "Código não encontrado/Não digitado")</f>
        <v>Código não encontrado/Não digitado</v>
      </c>
    </row>
    <row r="93" ht="15.75" hidden="1" customHeight="1">
      <c r="A93" s="11" t="s">
        <v>97</v>
      </c>
      <c r="B93" s="11" t="s">
        <v>857</v>
      </c>
      <c r="C93" s="11" t="s">
        <v>1483</v>
      </c>
      <c r="D93" s="11" t="s">
        <v>120</v>
      </c>
      <c r="E93" s="11" t="s">
        <v>972</v>
      </c>
      <c r="F93" s="11" t="s">
        <v>329</v>
      </c>
      <c r="G93" s="12" t="s">
        <v>346</v>
      </c>
      <c r="H93" s="12" t="s">
        <v>68</v>
      </c>
      <c r="I93" s="12" t="str">
        <f>IFERROR(VLOOKUP(H93, DADOS_RM_EVENTOS_original!C:D, 2, FALSE), "Código não encontrado/Não digitado")</f>
        <v>Código não encontrado/Não digitado</v>
      </c>
      <c r="J93" s="12" t="s">
        <v>68</v>
      </c>
      <c r="K93" s="12" t="str">
        <f>IFERROR(VLOOKUP(J93, DADOS_RM_EVENTOS_original!E:J, 2, FALSE), "Código não encontrado/Não digitado")</f>
        <v>Código não encontrado/Não digitado</v>
      </c>
      <c r="L93" s="12" t="s">
        <v>68</v>
      </c>
      <c r="M93" s="12" t="str">
        <f>IFERROR(VLOOKUP(L93, DADOS_RM_EVENTOS_original!K:L, 2, FALSE), "Código não encontrado/Não digitado")</f>
        <v>Código não encontrado/Não digitado</v>
      </c>
    </row>
    <row r="94" ht="15.75" hidden="1" customHeight="1">
      <c r="A94" s="11" t="s">
        <v>142</v>
      </c>
      <c r="B94" s="11" t="s">
        <v>857</v>
      </c>
      <c r="C94" s="11" t="s">
        <v>1483</v>
      </c>
      <c r="D94" s="11" t="s">
        <v>120</v>
      </c>
      <c r="E94" s="11" t="s">
        <v>985</v>
      </c>
      <c r="F94" s="11" t="s">
        <v>329</v>
      </c>
      <c r="G94" s="12" t="s">
        <v>346</v>
      </c>
      <c r="H94" s="12" t="s">
        <v>68</v>
      </c>
      <c r="I94" s="12" t="str">
        <f>IFERROR(VLOOKUP(H94, DADOS_RM_EVENTOS_original!C:D, 2, FALSE), "Código não encontrado/Não digitado")</f>
        <v>Código não encontrado/Não digitado</v>
      </c>
      <c r="J94" s="12" t="s">
        <v>68</v>
      </c>
      <c r="K94" s="12" t="str">
        <f>IFERROR(VLOOKUP(J94, DADOS_RM_EVENTOS_original!E:J, 2, FALSE), "Código não encontrado/Não digitado")</f>
        <v>Código não encontrado/Não digitado</v>
      </c>
      <c r="L94" s="12" t="s">
        <v>68</v>
      </c>
      <c r="M94" s="12" t="str">
        <f>IFERROR(VLOOKUP(L94, DADOS_RM_EVENTOS_original!K:L, 2, FALSE), "Código não encontrado/Não digitado")</f>
        <v>Código não encontrado/Não digitado</v>
      </c>
    </row>
    <row r="95" ht="15.75" hidden="1" customHeight="1">
      <c r="A95" s="11" t="s">
        <v>199</v>
      </c>
      <c r="B95" s="11" t="s">
        <v>857</v>
      </c>
      <c r="C95" s="11" t="s">
        <v>1483</v>
      </c>
      <c r="D95" s="11" t="s">
        <v>120</v>
      </c>
      <c r="E95" s="11" t="s">
        <v>1074</v>
      </c>
      <c r="F95" s="11" t="s">
        <v>329</v>
      </c>
      <c r="G95" s="12" t="s">
        <v>346</v>
      </c>
      <c r="H95" s="12" t="s">
        <v>68</v>
      </c>
      <c r="I95" s="12" t="str">
        <f>IFERROR(VLOOKUP(H95, DADOS_RM_EVENTOS_original!C:D, 2, FALSE), "Código não encontrado/Não digitado")</f>
        <v>Código não encontrado/Não digitado</v>
      </c>
      <c r="J95" s="12" t="s">
        <v>68</v>
      </c>
      <c r="K95" s="12" t="str">
        <f>IFERROR(VLOOKUP(J95, DADOS_RM_EVENTOS_original!E:J, 2, FALSE), "Código não encontrado/Não digitado")</f>
        <v>Código não encontrado/Não digitado</v>
      </c>
      <c r="L95" s="12" t="s">
        <v>68</v>
      </c>
      <c r="M95" s="12" t="str">
        <f>IFERROR(VLOOKUP(L95, DADOS_RM_EVENTOS_original!K:L, 2, FALSE), "Código não encontrado/Não digitado")</f>
        <v>Código não encontrado/Não digitado</v>
      </c>
    </row>
    <row r="96" ht="15.75" customHeight="1">
      <c r="A96" s="11" t="s">
        <v>38</v>
      </c>
      <c r="B96" s="11" t="s">
        <v>984</v>
      </c>
      <c r="C96" s="11" t="s">
        <v>1542</v>
      </c>
      <c r="D96" s="11" t="s">
        <v>44</v>
      </c>
      <c r="E96" s="11" t="s">
        <v>47</v>
      </c>
      <c r="F96" s="11" t="s">
        <v>49</v>
      </c>
      <c r="G96" s="12" t="s">
        <v>63</v>
      </c>
      <c r="H96" s="12" t="s">
        <v>68</v>
      </c>
      <c r="I96" s="12" t="str">
        <f>IFERROR(VLOOKUP(H96, DADOS_RM_EVENTOS_original!C:D, 2, FALSE), "Código não encontrado/Não digitado")</f>
        <v>Código não encontrado/Não digitado</v>
      </c>
      <c r="J96" s="12" t="s">
        <v>68</v>
      </c>
      <c r="K96" s="12" t="str">
        <f>IFERROR(VLOOKUP(J96, DADOS_RM_EVENTOS_original!E:J, 2, FALSE), "Código não encontrado/Não digitado")</f>
        <v>Código não encontrado/Não digitado</v>
      </c>
      <c r="L96" s="12" t="s">
        <v>68</v>
      </c>
      <c r="M96" s="12" t="str">
        <f>IFERROR(VLOOKUP(L96, DADOS_RM_EVENTOS_original!K:L, 2, FALSE), "Código não encontrado/Não digitado")</f>
        <v>Código não encontrado/Não digitado</v>
      </c>
    </row>
    <row r="97" ht="15.75" customHeight="1">
      <c r="A97" s="11" t="s">
        <v>172</v>
      </c>
      <c r="B97" s="11" t="s">
        <v>984</v>
      </c>
      <c r="C97" s="11" t="s">
        <v>1555</v>
      </c>
      <c r="D97" s="11" t="s">
        <v>44</v>
      </c>
      <c r="E97" s="11" t="s">
        <v>1029</v>
      </c>
      <c r="F97" s="11" t="s">
        <v>49</v>
      </c>
      <c r="G97" s="12" t="s">
        <v>63</v>
      </c>
      <c r="H97" s="12" t="s">
        <v>68</v>
      </c>
      <c r="I97" s="12" t="str">
        <f>IFERROR(VLOOKUP(H97, DADOS_RM_EVENTOS_original!C:D, 2, FALSE), "Código não encontrado/Não digitado")</f>
        <v>Código não encontrado/Não digitado</v>
      </c>
      <c r="J97" s="12" t="s">
        <v>68</v>
      </c>
      <c r="K97" s="12" t="str">
        <f>IFERROR(VLOOKUP(J97, DADOS_RM_EVENTOS_original!E:J, 2, FALSE), "Código não encontrado/Não digitado")</f>
        <v>Código não encontrado/Não digitado</v>
      </c>
      <c r="L97" s="12" t="s">
        <v>68</v>
      </c>
      <c r="M97" s="12" t="str">
        <f>IFERROR(VLOOKUP(L97, DADOS_RM_EVENTOS_original!K:L, 2, FALSE), "Código não encontrado/Não digitado")</f>
        <v>Código não encontrado/Não digitado</v>
      </c>
    </row>
    <row r="98" ht="15.75" customHeight="1">
      <c r="A98" s="11" t="s">
        <v>97</v>
      </c>
      <c r="B98" s="11" t="s">
        <v>984</v>
      </c>
      <c r="C98" s="11" t="s">
        <v>1555</v>
      </c>
      <c r="D98" s="11" t="s">
        <v>44</v>
      </c>
      <c r="E98" s="11" t="s">
        <v>972</v>
      </c>
      <c r="F98" s="11" t="s">
        <v>49</v>
      </c>
      <c r="G98" s="12" t="s">
        <v>63</v>
      </c>
      <c r="H98" s="12" t="s">
        <v>68</v>
      </c>
      <c r="I98" s="12" t="str">
        <f>IFERROR(VLOOKUP(H98, DADOS_RM_EVENTOS_original!C:D, 2, FALSE), "Código não encontrado/Não digitado")</f>
        <v>Código não encontrado/Não digitado</v>
      </c>
      <c r="J98" s="12" t="s">
        <v>68</v>
      </c>
      <c r="K98" s="12" t="str">
        <f>IFERROR(VLOOKUP(J98, DADOS_RM_EVENTOS_original!E:J, 2, FALSE), "Código não encontrado/Não digitado")</f>
        <v>Código não encontrado/Não digitado</v>
      </c>
      <c r="L98" s="12" t="s">
        <v>68</v>
      </c>
      <c r="M98" s="12" t="str">
        <f>IFERROR(VLOOKUP(L98, DADOS_RM_EVENTOS_original!K:L, 2, FALSE), "Código não encontrado/Não digitado")</f>
        <v>Código não encontrado/Não digitado</v>
      </c>
    </row>
    <row r="99" ht="15.75" customHeight="1">
      <c r="A99" s="11" t="s">
        <v>38</v>
      </c>
      <c r="B99" s="11" t="s">
        <v>970</v>
      </c>
      <c r="C99" s="11" t="s">
        <v>1577</v>
      </c>
      <c r="D99" s="11" t="s">
        <v>44</v>
      </c>
      <c r="E99" s="11" t="s">
        <v>47</v>
      </c>
      <c r="F99" s="11" t="s">
        <v>49</v>
      </c>
      <c r="G99" s="12" t="s">
        <v>63</v>
      </c>
      <c r="H99" s="12" t="s">
        <v>68</v>
      </c>
      <c r="I99" s="12" t="str">
        <f>IFERROR(VLOOKUP(H99, DADOS_RM_EVENTOS_original!C:D, 2, FALSE), "Código não encontrado/Não digitado")</f>
        <v>Código não encontrado/Não digitado</v>
      </c>
      <c r="J99" s="12" t="s">
        <v>68</v>
      </c>
      <c r="K99" s="12" t="str">
        <f>IFERROR(VLOOKUP(J99, DADOS_RM_EVENTOS_original!E:J, 2, FALSE), "Código não encontrado/Não digitado")</f>
        <v>Código não encontrado/Não digitado</v>
      </c>
      <c r="L99" s="12" t="s">
        <v>68</v>
      </c>
      <c r="M99" s="12" t="str">
        <f>IFERROR(VLOOKUP(L99, DADOS_RM_EVENTOS_original!K:L, 2, FALSE), "Código não encontrado/Não digitado")</f>
        <v>Código não encontrado/Não digitado</v>
      </c>
    </row>
    <row r="100" ht="15.75" hidden="1" customHeight="1">
      <c r="A100" s="11" t="s">
        <v>172</v>
      </c>
      <c r="B100" s="11" t="s">
        <v>1221</v>
      </c>
      <c r="C100" s="11" t="s">
        <v>1595</v>
      </c>
      <c r="D100" s="11" t="s">
        <v>44</v>
      </c>
      <c r="E100" s="11" t="s">
        <v>1029</v>
      </c>
      <c r="F100" s="11" t="s">
        <v>259</v>
      </c>
      <c r="G100" s="12" t="s">
        <v>282</v>
      </c>
      <c r="H100" s="12" t="s">
        <v>68</v>
      </c>
      <c r="I100" s="12" t="str">
        <f>IFERROR(VLOOKUP(H100, DADOS_RM_EVENTOS_original!C:D, 2, FALSE), "Código não encontrado/Não digitado")</f>
        <v>Código não encontrado/Não digitado</v>
      </c>
      <c r="J100" s="12" t="s">
        <v>68</v>
      </c>
      <c r="K100" s="12" t="str">
        <f>IFERROR(VLOOKUP(J100, DADOS_RM_EVENTOS_original!E:J, 2, FALSE), "Código não encontrado/Não digitado")</f>
        <v>Código não encontrado/Não digitado</v>
      </c>
      <c r="L100" s="12" t="s">
        <v>68</v>
      </c>
      <c r="M100" s="12" t="str">
        <f>IFERROR(VLOOKUP(L100, DADOS_RM_EVENTOS_original!K:L, 2, FALSE), "Código não encontrado/Não digitado")</f>
        <v>Código não encontrado/Não digitado</v>
      </c>
    </row>
    <row r="101" ht="15.75" hidden="1" customHeight="1">
      <c r="A101" s="11" t="s">
        <v>38</v>
      </c>
      <c r="B101" s="11" t="s">
        <v>781</v>
      </c>
      <c r="C101" s="11" t="s">
        <v>1608</v>
      </c>
      <c r="D101" s="11" t="s">
        <v>44</v>
      </c>
      <c r="E101" s="11" t="s">
        <v>47</v>
      </c>
      <c r="F101" s="11" t="s">
        <v>259</v>
      </c>
      <c r="G101" s="12" t="s">
        <v>282</v>
      </c>
      <c r="H101" s="12" t="s">
        <v>68</v>
      </c>
      <c r="I101" s="12" t="str">
        <f>IFERROR(VLOOKUP(H101, DADOS_RM_EVENTOS_original!C:D, 2, FALSE), "Código não encontrado/Não digitado")</f>
        <v>Código não encontrado/Não digitado</v>
      </c>
      <c r="J101" s="12" t="s">
        <v>68</v>
      </c>
      <c r="K101" s="12" t="str">
        <f>IFERROR(VLOOKUP(J101, DADOS_RM_EVENTOS_original!E:J, 2, FALSE), "Código não encontrado/Não digitado")</f>
        <v>Código não encontrado/Não digitado</v>
      </c>
      <c r="L101" s="12" t="s">
        <v>68</v>
      </c>
      <c r="M101" s="12" t="str">
        <f>IFERROR(VLOOKUP(L101, DADOS_RM_EVENTOS_original!K:L, 2, FALSE), "Código não encontrado/Não digitado")</f>
        <v>Código não encontrado/Não digitado</v>
      </c>
    </row>
    <row r="102" ht="15.75" hidden="1" customHeight="1">
      <c r="A102" s="11" t="s">
        <v>38</v>
      </c>
      <c r="B102" s="11" t="s">
        <v>560</v>
      </c>
      <c r="C102" s="11" t="s">
        <v>1620</v>
      </c>
      <c r="D102" s="11" t="s">
        <v>120</v>
      </c>
      <c r="E102" s="11" t="s">
        <v>47</v>
      </c>
      <c r="F102" s="11" t="s">
        <v>289</v>
      </c>
      <c r="G102" s="12" t="s">
        <v>298</v>
      </c>
      <c r="H102" s="12" t="s">
        <v>68</v>
      </c>
      <c r="I102" s="12" t="str">
        <f>IFERROR(VLOOKUP(H102, DADOS_RM_EVENTOS_original!C:D, 2, FALSE), "Código não encontrado/Não digitado")</f>
        <v>Código não encontrado/Não digitado</v>
      </c>
      <c r="J102" s="12" t="s">
        <v>68</v>
      </c>
      <c r="K102" s="12" t="str">
        <f>IFERROR(VLOOKUP(J102, DADOS_RM_EVENTOS_original!E:J, 2, FALSE), "Código não encontrado/Não digitado")</f>
        <v>Código não encontrado/Não digitado</v>
      </c>
      <c r="L102" s="12" t="s">
        <v>68</v>
      </c>
      <c r="M102" s="12" t="str">
        <f>IFERROR(VLOOKUP(L102, DADOS_RM_EVENTOS_original!K:L, 2, FALSE), "Código não encontrado/Não digitado")</f>
        <v>Código não encontrado/Não digitado</v>
      </c>
    </row>
    <row r="103" ht="15.75" hidden="1" customHeight="1">
      <c r="A103" s="11" t="s">
        <v>97</v>
      </c>
      <c r="B103" s="11" t="s">
        <v>560</v>
      </c>
      <c r="C103" s="11" t="s">
        <v>1633</v>
      </c>
      <c r="D103" s="11" t="s">
        <v>120</v>
      </c>
      <c r="E103" s="11" t="s">
        <v>972</v>
      </c>
      <c r="F103" s="11" t="s">
        <v>289</v>
      </c>
      <c r="G103" s="12" t="s">
        <v>298</v>
      </c>
      <c r="H103" s="12" t="s">
        <v>68</v>
      </c>
      <c r="I103" s="12" t="str">
        <f>IFERROR(VLOOKUP(H103, DADOS_RM_EVENTOS_original!C:D, 2, FALSE), "Código não encontrado/Não digitado")</f>
        <v>Código não encontrado/Não digitado</v>
      </c>
      <c r="J103" s="12" t="s">
        <v>68</v>
      </c>
      <c r="K103" s="12" t="str">
        <f>IFERROR(VLOOKUP(J103, DADOS_RM_EVENTOS_original!E:J, 2, FALSE), "Código não encontrado/Não digitado")</f>
        <v>Código não encontrado/Não digitado</v>
      </c>
      <c r="L103" s="12" t="s">
        <v>68</v>
      </c>
      <c r="M103" s="12" t="str">
        <f>IFERROR(VLOOKUP(L103, DADOS_RM_EVENTOS_original!K:L, 2, FALSE), "Código não encontrado/Não digitado")</f>
        <v>Código não encontrado/Não digitado</v>
      </c>
    </row>
    <row r="104" ht="15.75" hidden="1" customHeight="1">
      <c r="A104" s="11" t="s">
        <v>142</v>
      </c>
      <c r="B104" s="11" t="s">
        <v>560</v>
      </c>
      <c r="C104" s="11" t="s">
        <v>1633</v>
      </c>
      <c r="D104" s="11" t="s">
        <v>120</v>
      </c>
      <c r="E104" s="11" t="s">
        <v>985</v>
      </c>
      <c r="F104" s="11" t="s">
        <v>289</v>
      </c>
      <c r="G104" s="12" t="s">
        <v>298</v>
      </c>
      <c r="H104" s="12" t="s">
        <v>68</v>
      </c>
      <c r="I104" s="12" t="str">
        <f>IFERROR(VLOOKUP(H104, DADOS_RM_EVENTOS_original!C:D, 2, FALSE), "Código não encontrado/Não digitado")</f>
        <v>Código não encontrado/Não digitado</v>
      </c>
      <c r="J104" s="12" t="s">
        <v>68</v>
      </c>
      <c r="K104" s="12" t="str">
        <f>IFERROR(VLOOKUP(J104, DADOS_RM_EVENTOS_original!E:J, 2, FALSE), "Código não encontrado/Não digitado")</f>
        <v>Código não encontrado/Não digitado</v>
      </c>
      <c r="L104" s="12" t="s">
        <v>68</v>
      </c>
      <c r="M104" s="12" t="str">
        <f>IFERROR(VLOOKUP(L104, DADOS_RM_EVENTOS_original!K:L, 2, FALSE), "Código não encontrado/Não digitado")</f>
        <v>Código não encontrado/Não digitado</v>
      </c>
    </row>
    <row r="105" ht="15.75" customHeight="1">
      <c r="A105" s="11" t="s">
        <v>38</v>
      </c>
      <c r="B105" s="11" t="s">
        <v>1638</v>
      </c>
      <c r="C105" s="11" t="s">
        <v>1658</v>
      </c>
      <c r="D105" s="11" t="s">
        <v>44</v>
      </c>
      <c r="E105" s="11" t="s">
        <v>47</v>
      </c>
      <c r="F105" s="11" t="s">
        <v>49</v>
      </c>
      <c r="G105" s="12" t="s">
        <v>63</v>
      </c>
      <c r="H105" s="12" t="s">
        <v>68</v>
      </c>
      <c r="I105" s="12" t="str">
        <f>IFERROR(VLOOKUP(H105, DADOS_RM_EVENTOS_original!C:D, 2, FALSE), "Código não encontrado/Não digitado")</f>
        <v>Código não encontrado/Não digitado</v>
      </c>
      <c r="J105" s="12" t="s">
        <v>68</v>
      </c>
      <c r="K105" s="12" t="str">
        <f>IFERROR(VLOOKUP(J105, DADOS_RM_EVENTOS_original!E:J, 2, FALSE), "Código não encontrado/Não digitado")</f>
        <v>Código não encontrado/Não digitado</v>
      </c>
      <c r="L105" s="12" t="s">
        <v>68</v>
      </c>
      <c r="M105" s="12" t="str">
        <f>IFERROR(VLOOKUP(L105, DADOS_RM_EVENTOS_original!K:L, 2, FALSE), "Código não encontrado/Não digitado")</f>
        <v>Código não encontrado/Não digitado</v>
      </c>
    </row>
    <row r="106" ht="15.75" hidden="1" customHeight="1">
      <c r="A106" s="11" t="s">
        <v>38</v>
      </c>
      <c r="B106" s="11" t="s">
        <v>860</v>
      </c>
      <c r="C106" s="11" t="s">
        <v>1673</v>
      </c>
      <c r="D106" s="11" t="s">
        <v>44</v>
      </c>
      <c r="E106" s="11" t="s">
        <v>47</v>
      </c>
      <c r="F106" s="11" t="s">
        <v>139</v>
      </c>
      <c r="G106" s="12" t="s">
        <v>156</v>
      </c>
      <c r="H106" s="12" t="s">
        <v>68</v>
      </c>
      <c r="I106" s="12" t="str">
        <f>IFERROR(VLOOKUP(H106, DADOS_RM_EVENTOS_original!C:D, 2, FALSE), "Código não encontrado/Não digitado")</f>
        <v>Código não encontrado/Não digitado</v>
      </c>
      <c r="J106" s="12" t="s">
        <v>68</v>
      </c>
      <c r="K106" s="12" t="str">
        <f>IFERROR(VLOOKUP(J106, DADOS_RM_EVENTOS_original!E:J, 2, FALSE), "Código não encontrado/Não digitado")</f>
        <v>Código não encontrado/Não digitado</v>
      </c>
      <c r="L106" s="12" t="s">
        <v>68</v>
      </c>
      <c r="M106" s="12" t="str">
        <f>IFERROR(VLOOKUP(L106, DADOS_RM_EVENTOS_original!K:L, 2, FALSE), "Código não encontrado/Não digitado")</f>
        <v>Código não encontrado/Não digitado</v>
      </c>
    </row>
    <row r="107" ht="15.75" hidden="1" customHeight="1">
      <c r="A107" s="11" t="s">
        <v>38</v>
      </c>
      <c r="B107" s="11" t="s">
        <v>16</v>
      </c>
      <c r="C107" s="11" t="s">
        <v>1692</v>
      </c>
      <c r="D107" s="11" t="s">
        <v>120</v>
      </c>
      <c r="E107" s="11" t="s">
        <v>47</v>
      </c>
      <c r="F107" s="11" t="s">
        <v>263</v>
      </c>
      <c r="G107" s="12" t="s">
        <v>264</v>
      </c>
      <c r="H107" s="12" t="s">
        <v>68</v>
      </c>
      <c r="I107" s="12" t="str">
        <f>IFERROR(VLOOKUP(H107, DADOS_RM_EVENTOS_original!C:D, 2, FALSE), "Código não encontrado/Não digitado")</f>
        <v>Código não encontrado/Não digitado</v>
      </c>
      <c r="J107" s="12" t="s">
        <v>68</v>
      </c>
      <c r="K107" s="12" t="str">
        <f>IFERROR(VLOOKUP(J107, DADOS_RM_EVENTOS_original!E:J, 2, FALSE), "Código não encontrado/Não digitado")</f>
        <v>Código não encontrado/Não digitado</v>
      </c>
      <c r="L107" s="12" t="s">
        <v>68</v>
      </c>
      <c r="M107" s="12" t="str">
        <f>IFERROR(VLOOKUP(L107, DADOS_RM_EVENTOS_original!K:L, 2, FALSE), "Código não encontrado/Não digitado")</f>
        <v>Código não encontrado/Não digitado</v>
      </c>
    </row>
    <row r="108" ht="15.75" hidden="1" customHeight="1">
      <c r="A108" s="11" t="s">
        <v>172</v>
      </c>
      <c r="B108" s="11" t="s">
        <v>16</v>
      </c>
      <c r="C108" s="11" t="s">
        <v>1673</v>
      </c>
      <c r="D108" s="11" t="s">
        <v>120</v>
      </c>
      <c r="E108" s="11" t="s">
        <v>1029</v>
      </c>
      <c r="F108" s="11" t="s">
        <v>263</v>
      </c>
      <c r="G108" s="12" t="s">
        <v>264</v>
      </c>
      <c r="H108" s="12" t="s">
        <v>68</v>
      </c>
      <c r="I108" s="12" t="str">
        <f>IFERROR(VLOOKUP(H108, DADOS_RM_EVENTOS_original!C:D, 2, FALSE), "Código não encontrado/Não digitado")</f>
        <v>Código não encontrado/Não digitado</v>
      </c>
      <c r="J108" s="12" t="s">
        <v>68</v>
      </c>
      <c r="K108" s="12" t="str">
        <f>IFERROR(VLOOKUP(J108, DADOS_RM_EVENTOS_original!E:J, 2, FALSE), "Código não encontrado/Não digitado")</f>
        <v>Código não encontrado/Não digitado</v>
      </c>
      <c r="L108" s="12" t="s">
        <v>68</v>
      </c>
      <c r="M108" s="12" t="str">
        <f>IFERROR(VLOOKUP(L108, DADOS_RM_EVENTOS_original!K:L, 2, FALSE), "Código não encontrado/Não digitado")</f>
        <v>Código não encontrado/Não digitado</v>
      </c>
    </row>
    <row r="109" ht="15.75" hidden="1" customHeight="1">
      <c r="A109" s="11" t="s">
        <v>97</v>
      </c>
      <c r="B109" s="11" t="s">
        <v>860</v>
      </c>
      <c r="C109" s="11" t="s">
        <v>1692</v>
      </c>
      <c r="D109" s="11" t="s">
        <v>44</v>
      </c>
      <c r="E109" s="11" t="s">
        <v>972</v>
      </c>
      <c r="F109" s="11" t="s">
        <v>139</v>
      </c>
      <c r="G109" s="12" t="s">
        <v>156</v>
      </c>
      <c r="H109" s="12" t="s">
        <v>68</v>
      </c>
      <c r="I109" s="12" t="str">
        <f>IFERROR(VLOOKUP(H109, DADOS_RM_EVENTOS_original!C:D, 2, FALSE), "Código não encontrado/Não digitado")</f>
        <v>Código não encontrado/Não digitado</v>
      </c>
      <c r="J109" s="12" t="s">
        <v>68</v>
      </c>
      <c r="K109" s="12" t="str">
        <f>IFERROR(VLOOKUP(J109, DADOS_RM_EVENTOS_original!E:J, 2, FALSE), "Código não encontrado/Não digitado")</f>
        <v>Código não encontrado/Não digitado</v>
      </c>
      <c r="L109" s="12" t="s">
        <v>68</v>
      </c>
      <c r="M109" s="12" t="str">
        <f>IFERROR(VLOOKUP(L109, DADOS_RM_EVENTOS_original!K:L, 2, FALSE), "Código não encontrado/Não digitado")</f>
        <v>Código não encontrado/Não digitado</v>
      </c>
    </row>
    <row r="110" ht="15.75" hidden="1" customHeight="1">
      <c r="A110" s="11" t="s">
        <v>97</v>
      </c>
      <c r="B110" s="11" t="s">
        <v>16</v>
      </c>
      <c r="C110" s="11" t="s">
        <v>1673</v>
      </c>
      <c r="D110" s="11" t="s">
        <v>120</v>
      </c>
      <c r="E110" s="11" t="s">
        <v>972</v>
      </c>
      <c r="F110" s="11" t="s">
        <v>263</v>
      </c>
      <c r="G110" s="12" t="s">
        <v>264</v>
      </c>
      <c r="H110" s="12" t="s">
        <v>68</v>
      </c>
      <c r="I110" s="12" t="str">
        <f>IFERROR(VLOOKUP(H110, DADOS_RM_EVENTOS_original!C:D, 2, FALSE), "Código não encontrado/Não digitado")</f>
        <v>Código não encontrado/Não digitado</v>
      </c>
      <c r="J110" s="12" t="s">
        <v>68</v>
      </c>
      <c r="K110" s="12" t="str">
        <f>IFERROR(VLOOKUP(J110, DADOS_RM_EVENTOS_original!E:J, 2, FALSE), "Código não encontrado/Não digitado")</f>
        <v>Código não encontrado/Não digitado</v>
      </c>
      <c r="L110" s="12" t="s">
        <v>68</v>
      </c>
      <c r="M110" s="12" t="str">
        <f>IFERROR(VLOOKUP(L110, DADOS_RM_EVENTOS_original!K:L, 2, FALSE), "Código não encontrado/Não digitado")</f>
        <v>Código não encontrado/Não digitado</v>
      </c>
    </row>
    <row r="111" ht="15.75" hidden="1" customHeight="1">
      <c r="A111" s="11" t="s">
        <v>142</v>
      </c>
      <c r="B111" s="11" t="s">
        <v>860</v>
      </c>
      <c r="C111" s="11" t="s">
        <v>1692</v>
      </c>
      <c r="D111" s="11" t="s">
        <v>44</v>
      </c>
      <c r="E111" s="11" t="s">
        <v>985</v>
      </c>
      <c r="F111" s="11" t="s">
        <v>139</v>
      </c>
      <c r="G111" s="12" t="s">
        <v>156</v>
      </c>
      <c r="H111" s="12" t="s">
        <v>68</v>
      </c>
      <c r="I111" s="12" t="str">
        <f>IFERROR(VLOOKUP(H111, DADOS_RM_EVENTOS_original!C:D, 2, FALSE), "Código não encontrado/Não digitado")</f>
        <v>Código não encontrado/Não digitado</v>
      </c>
      <c r="J111" s="12" t="s">
        <v>68</v>
      </c>
      <c r="K111" s="12" t="str">
        <f>IFERROR(VLOOKUP(J111, DADOS_RM_EVENTOS_original!E:J, 2, FALSE), "Código não encontrado/Não digitado")</f>
        <v>Código não encontrado/Não digitado</v>
      </c>
      <c r="L111" s="12" t="s">
        <v>68</v>
      </c>
      <c r="M111" s="12" t="str">
        <f>IFERROR(VLOOKUP(L111, DADOS_RM_EVENTOS_original!K:L, 2, FALSE), "Código não encontrado/Não digitado")</f>
        <v>Código não encontrado/Não digitado</v>
      </c>
    </row>
    <row r="112" ht="15.75" hidden="1" customHeight="1">
      <c r="A112" s="11" t="s">
        <v>38</v>
      </c>
      <c r="B112" s="11" t="s">
        <v>750</v>
      </c>
      <c r="C112" s="11" t="s">
        <v>1749</v>
      </c>
      <c r="D112" s="11" t="s">
        <v>44</v>
      </c>
      <c r="E112" s="11" t="s">
        <v>47</v>
      </c>
      <c r="F112" s="11" t="s">
        <v>267</v>
      </c>
      <c r="G112" s="12" t="s">
        <v>268</v>
      </c>
      <c r="H112" s="12" t="s">
        <v>68</v>
      </c>
      <c r="I112" s="12" t="str">
        <f>IFERROR(VLOOKUP(H112, DADOS_RM_EVENTOS_original!C:D, 2, FALSE), "Código não encontrado/Não digitado")</f>
        <v>Código não encontrado/Não digitado</v>
      </c>
      <c r="J112" s="12" t="s">
        <v>68</v>
      </c>
      <c r="K112" s="12" t="str">
        <f>IFERROR(VLOOKUP(J112, DADOS_RM_EVENTOS_original!E:J, 2, FALSE), "Código não encontrado/Não digitado")</f>
        <v>Código não encontrado/Não digitado</v>
      </c>
      <c r="L112" s="12" t="s">
        <v>68</v>
      </c>
      <c r="M112" s="12" t="str">
        <f>IFERROR(VLOOKUP(L112, DADOS_RM_EVENTOS_original!K:L, 2, FALSE), "Código não encontrado/Não digitado")</f>
        <v>Código não encontrado/Não digitado</v>
      </c>
    </row>
    <row r="113" ht="15.75" hidden="1" customHeight="1">
      <c r="A113" s="11" t="s">
        <v>38</v>
      </c>
      <c r="B113" s="11" t="s">
        <v>694</v>
      </c>
      <c r="C113" s="11" t="s">
        <v>1761</v>
      </c>
      <c r="D113" s="11" t="s">
        <v>44</v>
      </c>
      <c r="E113" s="11" t="s">
        <v>47</v>
      </c>
      <c r="F113" s="11" t="s">
        <v>267</v>
      </c>
      <c r="G113" s="12" t="s">
        <v>268</v>
      </c>
      <c r="H113" s="12" t="s">
        <v>68</v>
      </c>
      <c r="I113" s="12" t="str">
        <f>IFERROR(VLOOKUP(H113, DADOS_RM_EVENTOS_original!C:D, 2, FALSE), "Código não encontrado/Não digitado")</f>
        <v>Código não encontrado/Não digitado</v>
      </c>
      <c r="J113" s="12" t="s">
        <v>68</v>
      </c>
      <c r="K113" s="12" t="str">
        <f>IFERROR(VLOOKUP(J113, DADOS_RM_EVENTOS_original!E:J, 2, FALSE), "Código não encontrado/Não digitado")</f>
        <v>Código não encontrado/Não digitado</v>
      </c>
      <c r="L113" s="12" t="s">
        <v>68</v>
      </c>
      <c r="M113" s="12" t="str">
        <f>IFERROR(VLOOKUP(L113, DADOS_RM_EVENTOS_original!K:L, 2, FALSE), "Código não encontrado/Não digitado")</f>
        <v>Código não encontrado/Não digitado</v>
      </c>
    </row>
    <row r="114" ht="15.75" hidden="1" customHeight="1">
      <c r="A114" s="11" t="s">
        <v>172</v>
      </c>
      <c r="B114" s="11" t="s">
        <v>93</v>
      </c>
      <c r="C114" s="11" t="s">
        <v>1773</v>
      </c>
      <c r="D114" s="11" t="s">
        <v>96</v>
      </c>
      <c r="E114" s="11" t="s">
        <v>1029</v>
      </c>
      <c r="F114" s="11" t="s">
        <v>99</v>
      </c>
      <c r="G114" s="12" t="s">
        <v>63</v>
      </c>
      <c r="H114" s="12" t="s">
        <v>68</v>
      </c>
      <c r="I114" s="12" t="str">
        <f>IFERROR(VLOOKUP(H114, DADOS_RM_EVENTOS_original!C:D, 2, FALSE), "Código não encontrado/Não digitado")</f>
        <v>Código não encontrado/Não digitado</v>
      </c>
      <c r="J114" s="12" t="s">
        <v>68</v>
      </c>
      <c r="K114" s="12" t="str">
        <f>IFERROR(VLOOKUP(J114, DADOS_RM_EVENTOS_original!E:J, 2, FALSE), "Código não encontrado/Não digitado")</f>
        <v>Código não encontrado/Não digitado</v>
      </c>
      <c r="L114" s="12" t="s">
        <v>68</v>
      </c>
      <c r="M114" s="12" t="str">
        <f>IFERROR(VLOOKUP(L114, DADOS_RM_EVENTOS_original!K:L, 2, FALSE), "Código não encontrado/Não digitado")</f>
        <v>Código não encontrado/Não digitado</v>
      </c>
    </row>
    <row r="115" ht="15.75" hidden="1" customHeight="1">
      <c r="A115" s="11" t="s">
        <v>97</v>
      </c>
      <c r="B115" s="11" t="s">
        <v>93</v>
      </c>
      <c r="C115" s="11" t="s">
        <v>1773</v>
      </c>
      <c r="D115" s="11" t="s">
        <v>96</v>
      </c>
      <c r="E115" s="11" t="s">
        <v>972</v>
      </c>
      <c r="F115" s="11" t="s">
        <v>99</v>
      </c>
      <c r="G115" s="12" t="s">
        <v>63</v>
      </c>
      <c r="H115" s="12" t="s">
        <v>68</v>
      </c>
      <c r="I115" s="12" t="str">
        <f>IFERROR(VLOOKUP(H115, DADOS_RM_EVENTOS_original!C:D, 2, FALSE), "Código não encontrado/Não digitado")</f>
        <v>Código não encontrado/Não digitado</v>
      </c>
      <c r="J115" s="12" t="s">
        <v>68</v>
      </c>
      <c r="K115" s="12" t="str">
        <f>IFERROR(VLOOKUP(J115, DADOS_RM_EVENTOS_original!E:J, 2, FALSE), "Código não encontrado/Não digitado")</f>
        <v>Código não encontrado/Não digitado</v>
      </c>
      <c r="L115" s="12" t="s">
        <v>68</v>
      </c>
      <c r="M115" s="12" t="str">
        <f>IFERROR(VLOOKUP(L115, DADOS_RM_EVENTOS_original!K:L, 2, FALSE), "Código não encontrado/Não digitado")</f>
        <v>Código não encontrado/Não digitado</v>
      </c>
    </row>
    <row r="116" ht="15.75" hidden="1" customHeight="1">
      <c r="A116" s="11" t="s">
        <v>199</v>
      </c>
      <c r="B116" s="11" t="s">
        <v>93</v>
      </c>
      <c r="C116" s="11" t="s">
        <v>1773</v>
      </c>
      <c r="D116" s="11" t="s">
        <v>96</v>
      </c>
      <c r="E116" s="11" t="s">
        <v>1074</v>
      </c>
      <c r="F116" s="11" t="s">
        <v>99</v>
      </c>
      <c r="G116" s="12" t="s">
        <v>63</v>
      </c>
      <c r="H116" s="12" t="s">
        <v>68</v>
      </c>
      <c r="I116" s="12" t="str">
        <f>IFERROR(VLOOKUP(H116, DADOS_RM_EVENTOS_original!C:D, 2, FALSE), "Código não encontrado/Não digitado")</f>
        <v>Código não encontrado/Não digitado</v>
      </c>
      <c r="J116" s="12" t="s">
        <v>68</v>
      </c>
      <c r="K116" s="12" t="str">
        <f>IFERROR(VLOOKUP(J116, DADOS_RM_EVENTOS_original!E:J, 2, FALSE), "Código não encontrado/Não digitado")</f>
        <v>Código não encontrado/Não digitado</v>
      </c>
      <c r="L116" s="12" t="s">
        <v>68</v>
      </c>
      <c r="M116" s="12" t="str">
        <f>IFERROR(VLOOKUP(L116, DADOS_RM_EVENTOS_original!K:L, 2, FALSE), "Código não encontrado/Não digitado")</f>
        <v>Código não encontrado/Não digitado</v>
      </c>
    </row>
    <row r="117" ht="15.75" hidden="1" customHeight="1">
      <c r="A117" s="11" t="s">
        <v>38</v>
      </c>
      <c r="B117" s="11" t="s">
        <v>1121</v>
      </c>
      <c r="C117" s="11" t="s">
        <v>1808</v>
      </c>
      <c r="D117" s="11" t="s">
        <v>44</v>
      </c>
      <c r="E117" s="11" t="s">
        <v>47</v>
      </c>
      <c r="F117" s="11" t="s">
        <v>139</v>
      </c>
      <c r="G117" s="12" t="s">
        <v>156</v>
      </c>
      <c r="H117" s="12" t="s">
        <v>68</v>
      </c>
      <c r="I117" s="12" t="str">
        <f>IFERROR(VLOOKUP(H117, DADOS_RM_EVENTOS_original!C:D, 2, FALSE), "Código não encontrado/Não digitado")</f>
        <v>Código não encontrado/Não digitado</v>
      </c>
      <c r="J117" s="12" t="s">
        <v>68</v>
      </c>
      <c r="K117" s="12" t="str">
        <f>IFERROR(VLOOKUP(J117, DADOS_RM_EVENTOS_original!E:J, 2, FALSE), "Código não encontrado/Não digitado")</f>
        <v>Código não encontrado/Não digitado</v>
      </c>
      <c r="L117" s="12" t="s">
        <v>68</v>
      </c>
      <c r="M117" s="12" t="str">
        <f>IFERROR(VLOOKUP(L117, DADOS_RM_EVENTOS_original!K:L, 2, FALSE), "Código não encontrado/Não digitado")</f>
        <v>Código não encontrado/Não digitado</v>
      </c>
    </row>
    <row r="118" ht="15.75" hidden="1" customHeight="1">
      <c r="A118" s="11" t="s">
        <v>172</v>
      </c>
      <c r="B118" s="11" t="s">
        <v>1121</v>
      </c>
      <c r="C118" s="11" t="s">
        <v>1819</v>
      </c>
      <c r="D118" s="11" t="s">
        <v>44</v>
      </c>
      <c r="E118" s="11" t="s">
        <v>1029</v>
      </c>
      <c r="F118" s="11" t="s">
        <v>139</v>
      </c>
      <c r="G118" s="12" t="s">
        <v>156</v>
      </c>
      <c r="H118" s="12" t="s">
        <v>68</v>
      </c>
      <c r="I118" s="12" t="str">
        <f>IFERROR(VLOOKUP(H118, DADOS_RM_EVENTOS_original!C:D, 2, FALSE), "Código não encontrado/Não digitado")</f>
        <v>Código não encontrado/Não digitado</v>
      </c>
      <c r="J118" s="12" t="s">
        <v>68</v>
      </c>
      <c r="K118" s="12" t="str">
        <f>IFERROR(VLOOKUP(J118, DADOS_RM_EVENTOS_original!E:J, 2, FALSE), "Código não encontrado/Não digitado")</f>
        <v>Código não encontrado/Não digitado</v>
      </c>
      <c r="L118" s="12" t="s">
        <v>68</v>
      </c>
      <c r="M118" s="12" t="str">
        <f>IFERROR(VLOOKUP(L118, DADOS_RM_EVENTOS_original!K:L, 2, FALSE), "Código não encontrado/Não digitado")</f>
        <v>Código não encontrado/Não digitado</v>
      </c>
    </row>
    <row r="119" ht="15.75" hidden="1" customHeight="1">
      <c r="A119" s="11" t="s">
        <v>97</v>
      </c>
      <c r="B119" s="11" t="s">
        <v>1121</v>
      </c>
      <c r="C119" s="11" t="s">
        <v>1819</v>
      </c>
      <c r="D119" s="11" t="s">
        <v>44</v>
      </c>
      <c r="E119" s="11" t="s">
        <v>972</v>
      </c>
      <c r="F119" s="11" t="s">
        <v>139</v>
      </c>
      <c r="G119" s="12" t="s">
        <v>156</v>
      </c>
      <c r="H119" s="12" t="s">
        <v>68</v>
      </c>
      <c r="I119" s="12" t="str">
        <f>IFERROR(VLOOKUP(H119, DADOS_RM_EVENTOS_original!C:D, 2, FALSE), "Código não encontrado/Não digitado")</f>
        <v>Código não encontrado/Não digitado</v>
      </c>
      <c r="J119" s="12" t="s">
        <v>68</v>
      </c>
      <c r="K119" s="12" t="str">
        <f>IFERROR(VLOOKUP(J119, DADOS_RM_EVENTOS_original!E:J, 2, FALSE), "Código não encontrado/Não digitado")</f>
        <v>Código não encontrado/Não digitado</v>
      </c>
      <c r="L119" s="12" t="s">
        <v>68</v>
      </c>
      <c r="M119" s="12" t="str">
        <f>IFERROR(VLOOKUP(L119, DADOS_RM_EVENTOS_original!K:L, 2, FALSE), "Código não encontrado/Não digitado")</f>
        <v>Código não encontrado/Não digitado</v>
      </c>
    </row>
    <row r="120" ht="15.75" hidden="1" customHeight="1">
      <c r="A120" s="11" t="s">
        <v>199</v>
      </c>
      <c r="B120" s="11" t="s">
        <v>1121</v>
      </c>
      <c r="C120" s="11" t="s">
        <v>1819</v>
      </c>
      <c r="D120" s="11" t="s">
        <v>44</v>
      </c>
      <c r="E120" s="11" t="s">
        <v>1074</v>
      </c>
      <c r="F120" s="11" t="s">
        <v>139</v>
      </c>
      <c r="G120" s="12" t="s">
        <v>156</v>
      </c>
      <c r="H120" s="12" t="s">
        <v>68</v>
      </c>
      <c r="I120" s="12" t="str">
        <f>IFERROR(VLOOKUP(H120, DADOS_RM_EVENTOS_original!C:D, 2, FALSE), "Código não encontrado/Não digitado")</f>
        <v>Código não encontrado/Não digitado</v>
      </c>
      <c r="J120" s="12" t="s">
        <v>68</v>
      </c>
      <c r="K120" s="12" t="str">
        <f>IFERROR(VLOOKUP(J120, DADOS_RM_EVENTOS_original!E:J, 2, FALSE), "Código não encontrado/Não digitado")</f>
        <v>Código não encontrado/Não digitado</v>
      </c>
      <c r="L120" s="12" t="s">
        <v>68</v>
      </c>
      <c r="M120" s="12" t="str">
        <f>IFERROR(VLOOKUP(L120, DADOS_RM_EVENTOS_original!K:L, 2, FALSE), "Código não encontrado/Não digitado")</f>
        <v>Código não encontrado/Não digitado</v>
      </c>
    </row>
    <row r="121" ht="15.75" hidden="1" customHeight="1">
      <c r="A121" s="11" t="s">
        <v>38</v>
      </c>
      <c r="B121" s="11" t="s">
        <v>658</v>
      </c>
      <c r="C121" s="11" t="s">
        <v>1854</v>
      </c>
      <c r="D121" s="11" t="s">
        <v>120</v>
      </c>
      <c r="E121" s="11" t="s">
        <v>47</v>
      </c>
      <c r="F121" s="11" t="s">
        <v>124</v>
      </c>
      <c r="G121" s="12" t="s">
        <v>125</v>
      </c>
      <c r="H121" s="12" t="s">
        <v>68</v>
      </c>
      <c r="I121" s="12" t="str">
        <f>IFERROR(VLOOKUP(H121, DADOS_RM_EVENTOS_original!C:D, 2, FALSE), "Código não encontrado/Não digitado")</f>
        <v>Código não encontrado/Não digitado</v>
      </c>
      <c r="J121" s="12" t="s">
        <v>68</v>
      </c>
      <c r="K121" s="12" t="str">
        <f>IFERROR(VLOOKUP(J121, DADOS_RM_EVENTOS_original!E:J, 2, FALSE), "Código não encontrado/Não digitado")</f>
        <v>Código não encontrado/Não digitado</v>
      </c>
      <c r="L121" s="12" t="s">
        <v>68</v>
      </c>
      <c r="M121" s="12" t="str">
        <f>IFERROR(VLOOKUP(L121, DADOS_RM_EVENTOS_original!K:L, 2, FALSE), "Código não encontrado/Não digitado")</f>
        <v>Código não encontrado/Não digitado</v>
      </c>
    </row>
    <row r="122" ht="15.75" hidden="1" customHeight="1">
      <c r="A122" s="11" t="s">
        <v>115</v>
      </c>
      <c r="B122" s="11" t="s">
        <v>658</v>
      </c>
      <c r="C122" s="11" t="s">
        <v>1854</v>
      </c>
      <c r="D122" s="11" t="s">
        <v>120</v>
      </c>
      <c r="E122" s="11" t="s">
        <v>121</v>
      </c>
      <c r="F122" s="11" t="s">
        <v>124</v>
      </c>
      <c r="G122" s="12" t="s">
        <v>125</v>
      </c>
      <c r="H122" s="12" t="s">
        <v>68</v>
      </c>
      <c r="I122" s="12" t="str">
        <f>IFERROR(VLOOKUP(H122, DADOS_RM_EVENTOS_original!C:D, 2, FALSE), "Código não encontrado/Não digitado")</f>
        <v>Código não encontrado/Não digitado</v>
      </c>
      <c r="J122" s="12" t="s">
        <v>68</v>
      </c>
      <c r="K122" s="12" t="str">
        <f>IFERROR(VLOOKUP(J122, DADOS_RM_EVENTOS_original!E:J, 2, FALSE), "Código não encontrado/Não digitado")</f>
        <v>Código não encontrado/Não digitado</v>
      </c>
      <c r="L122" s="12" t="s">
        <v>68</v>
      </c>
      <c r="M122" s="12" t="str">
        <f>IFERROR(VLOOKUP(L122, DADOS_RM_EVENTOS_original!K:L, 2, FALSE), "Código não encontrado/Não digitado")</f>
        <v>Código não encontrado/Não digitado</v>
      </c>
    </row>
    <row r="123" ht="15.75" hidden="1" customHeight="1">
      <c r="A123" s="11" t="s">
        <v>172</v>
      </c>
      <c r="B123" s="11" t="s">
        <v>658</v>
      </c>
      <c r="C123" s="11" t="s">
        <v>1879</v>
      </c>
      <c r="D123" s="11" t="s">
        <v>120</v>
      </c>
      <c r="E123" s="11" t="s">
        <v>1029</v>
      </c>
      <c r="F123" s="11" t="s">
        <v>124</v>
      </c>
      <c r="G123" s="12" t="s">
        <v>125</v>
      </c>
      <c r="H123" s="12" t="s">
        <v>68</v>
      </c>
      <c r="I123" s="12" t="str">
        <f>IFERROR(VLOOKUP(H123, DADOS_RM_EVENTOS_original!C:D, 2, FALSE), "Código não encontrado/Não digitado")</f>
        <v>Código não encontrado/Não digitado</v>
      </c>
      <c r="J123" s="12" t="s">
        <v>68</v>
      </c>
      <c r="K123" s="12" t="str">
        <f>IFERROR(VLOOKUP(J123, DADOS_RM_EVENTOS_original!E:J, 2, FALSE), "Código não encontrado/Não digitado")</f>
        <v>Código não encontrado/Não digitado</v>
      </c>
      <c r="L123" s="12" t="s">
        <v>68</v>
      </c>
      <c r="M123" s="12" t="str">
        <f>IFERROR(VLOOKUP(L123, DADOS_RM_EVENTOS_original!K:L, 2, FALSE), "Código não encontrado/Não digitado")</f>
        <v>Código não encontrado/Não digitado</v>
      </c>
    </row>
    <row r="124" ht="15.75" hidden="1" customHeight="1">
      <c r="A124" s="11" t="s">
        <v>97</v>
      </c>
      <c r="B124" s="11" t="s">
        <v>658</v>
      </c>
      <c r="C124" s="11" t="s">
        <v>1879</v>
      </c>
      <c r="D124" s="11" t="s">
        <v>120</v>
      </c>
      <c r="E124" s="11" t="s">
        <v>972</v>
      </c>
      <c r="F124" s="11" t="s">
        <v>124</v>
      </c>
      <c r="G124" s="12" t="s">
        <v>125</v>
      </c>
      <c r="H124" s="12" t="s">
        <v>68</v>
      </c>
      <c r="I124" s="12" t="str">
        <f>IFERROR(VLOOKUP(H124, DADOS_RM_EVENTOS_original!C:D, 2, FALSE), "Código não encontrado/Não digitado")</f>
        <v>Código não encontrado/Não digitado</v>
      </c>
      <c r="J124" s="12" t="s">
        <v>68</v>
      </c>
      <c r="K124" s="12" t="str">
        <f>IFERROR(VLOOKUP(J124, DADOS_RM_EVENTOS_original!E:J, 2, FALSE), "Código não encontrado/Não digitado")</f>
        <v>Código não encontrado/Não digitado</v>
      </c>
      <c r="L124" s="12" t="s">
        <v>68</v>
      </c>
      <c r="M124" s="12" t="str">
        <f>IFERROR(VLOOKUP(L124, DADOS_RM_EVENTOS_original!K:L, 2, FALSE), "Código não encontrado/Não digitado")</f>
        <v>Código não encontrado/Não digitado</v>
      </c>
    </row>
    <row r="125" ht="15.75" hidden="1" customHeight="1">
      <c r="A125" s="11" t="s">
        <v>142</v>
      </c>
      <c r="B125" s="11" t="s">
        <v>658</v>
      </c>
      <c r="C125" s="11" t="s">
        <v>1879</v>
      </c>
      <c r="D125" s="11" t="s">
        <v>120</v>
      </c>
      <c r="E125" s="11" t="s">
        <v>985</v>
      </c>
      <c r="F125" s="11" t="s">
        <v>124</v>
      </c>
      <c r="G125" s="12" t="s">
        <v>125</v>
      </c>
      <c r="H125" s="12" t="s">
        <v>68</v>
      </c>
      <c r="I125" s="12" t="str">
        <f>IFERROR(VLOOKUP(H125, DADOS_RM_EVENTOS_original!C:D, 2, FALSE), "Código não encontrado/Não digitado")</f>
        <v>Código não encontrado/Não digitado</v>
      </c>
      <c r="J125" s="12" t="s">
        <v>68</v>
      </c>
      <c r="K125" s="12" t="str">
        <f>IFERROR(VLOOKUP(J125, DADOS_RM_EVENTOS_original!E:J, 2, FALSE), "Código não encontrado/Não digitado")</f>
        <v>Código não encontrado/Não digitado</v>
      </c>
      <c r="L125" s="12" t="s">
        <v>68</v>
      </c>
      <c r="M125" s="12" t="str">
        <f>IFERROR(VLOOKUP(L125, DADOS_RM_EVENTOS_original!K:L, 2, FALSE), "Código não encontrado/Não digitado")</f>
        <v>Código não encontrado/Não digitado</v>
      </c>
    </row>
    <row r="126" ht="15.75" hidden="1" customHeight="1">
      <c r="A126" s="11" t="s">
        <v>199</v>
      </c>
      <c r="B126" s="11" t="s">
        <v>658</v>
      </c>
      <c r="C126" s="11" t="s">
        <v>1879</v>
      </c>
      <c r="D126" s="11" t="s">
        <v>120</v>
      </c>
      <c r="E126" s="11" t="s">
        <v>1074</v>
      </c>
      <c r="F126" s="11" t="s">
        <v>124</v>
      </c>
      <c r="G126" s="12" t="s">
        <v>125</v>
      </c>
      <c r="H126" s="12" t="s">
        <v>68</v>
      </c>
      <c r="I126" s="12" t="str">
        <f>IFERROR(VLOOKUP(H126, DADOS_RM_EVENTOS_original!C:D, 2, FALSE), "Código não encontrado/Não digitado")</f>
        <v>Código não encontrado/Não digitado</v>
      </c>
      <c r="J126" s="12" t="s">
        <v>68</v>
      </c>
      <c r="K126" s="12" t="str">
        <f>IFERROR(VLOOKUP(J126, DADOS_RM_EVENTOS_original!E:J, 2, FALSE), "Código não encontrado/Não digitado")</f>
        <v>Código não encontrado/Não digitado</v>
      </c>
      <c r="L126" s="12" t="s">
        <v>68</v>
      </c>
      <c r="M126" s="12" t="str">
        <f>IFERROR(VLOOKUP(L126, DADOS_RM_EVENTOS_original!K:L, 2, FALSE), "Código não encontrado/Não digitado")</f>
        <v>Código não encontrado/Não digitado</v>
      </c>
    </row>
    <row r="127" ht="15.75" hidden="1" customHeight="1">
      <c r="A127" s="11" t="s">
        <v>172</v>
      </c>
      <c r="B127" s="11" t="s">
        <v>116</v>
      </c>
      <c r="C127" s="11" t="s">
        <v>1927</v>
      </c>
      <c r="D127" s="11" t="s">
        <v>120</v>
      </c>
      <c r="E127" s="11" t="s">
        <v>1029</v>
      </c>
      <c r="F127" s="11" t="s">
        <v>122</v>
      </c>
      <c r="G127" s="12" t="s">
        <v>131</v>
      </c>
      <c r="H127" s="12" t="s">
        <v>68</v>
      </c>
      <c r="I127" s="12" t="str">
        <f>IFERROR(VLOOKUP(H127, DADOS_RM_EVENTOS_original!C:D, 2, FALSE), "Código não encontrado/Não digitado")</f>
        <v>Código não encontrado/Não digitado</v>
      </c>
      <c r="J127" s="12" t="s">
        <v>68</v>
      </c>
      <c r="K127" s="12" t="str">
        <f>IFERROR(VLOOKUP(J127, DADOS_RM_EVENTOS_original!E:J, 2, FALSE), "Código não encontrado/Não digitado")</f>
        <v>Código não encontrado/Não digitado</v>
      </c>
      <c r="L127" s="12" t="s">
        <v>68</v>
      </c>
      <c r="M127" s="12" t="str">
        <f>IFERROR(VLOOKUP(L127, DADOS_RM_EVENTOS_original!K:L, 2, FALSE), "Código não encontrado/Não digitado")</f>
        <v>Código não encontrado/Não digitado</v>
      </c>
    </row>
    <row r="128" ht="15.75" hidden="1" customHeight="1">
      <c r="A128" s="11" t="s">
        <v>142</v>
      </c>
      <c r="B128" s="11" t="s">
        <v>116</v>
      </c>
      <c r="C128" s="11" t="s">
        <v>1927</v>
      </c>
      <c r="D128" s="11" t="s">
        <v>120</v>
      </c>
      <c r="E128" s="11" t="s">
        <v>985</v>
      </c>
      <c r="F128" s="11" t="s">
        <v>122</v>
      </c>
      <c r="G128" s="12" t="s">
        <v>131</v>
      </c>
      <c r="H128" s="12" t="s">
        <v>68</v>
      </c>
      <c r="I128" s="12" t="str">
        <f>IFERROR(VLOOKUP(H128, DADOS_RM_EVENTOS_original!C:D, 2, FALSE), "Código não encontrado/Não digitado")</f>
        <v>Código não encontrado/Não digitado</v>
      </c>
      <c r="J128" s="12" t="s">
        <v>68</v>
      </c>
      <c r="K128" s="12" t="str">
        <f>IFERROR(VLOOKUP(J128, DADOS_RM_EVENTOS_original!E:J, 2, FALSE), "Código não encontrado/Não digitado")</f>
        <v>Código não encontrado/Não digitado</v>
      </c>
      <c r="L128" s="12" t="s">
        <v>68</v>
      </c>
      <c r="M128" s="12" t="str">
        <f>IFERROR(VLOOKUP(L128, DADOS_RM_EVENTOS_original!K:L, 2, FALSE), "Código não encontrado/Não digitado")</f>
        <v>Código não encontrado/Não digitado</v>
      </c>
    </row>
    <row r="129" ht="15.75" hidden="1" customHeight="1">
      <c r="A129" s="11" t="s">
        <v>38</v>
      </c>
      <c r="B129" s="11" t="s">
        <v>1554</v>
      </c>
      <c r="C129" s="11" t="s">
        <v>1952</v>
      </c>
      <c r="D129" s="11" t="s">
        <v>44</v>
      </c>
      <c r="E129" s="11" t="s">
        <v>47</v>
      </c>
      <c r="F129" s="11" t="s">
        <v>267</v>
      </c>
      <c r="G129" s="12" t="s">
        <v>268</v>
      </c>
      <c r="H129" s="12" t="s">
        <v>68</v>
      </c>
      <c r="I129" s="12" t="str">
        <f>IFERROR(VLOOKUP(H129, DADOS_RM_EVENTOS_original!C:D, 2, FALSE), "Código não encontrado/Não digitado")</f>
        <v>Código não encontrado/Não digitado</v>
      </c>
      <c r="J129" s="12" t="s">
        <v>68</v>
      </c>
      <c r="K129" s="12" t="str">
        <f>IFERROR(VLOOKUP(J129, DADOS_RM_EVENTOS_original!E:J, 2, FALSE), "Código não encontrado/Não digitado")</f>
        <v>Código não encontrado/Não digitado</v>
      </c>
      <c r="L129" s="12" t="s">
        <v>68</v>
      </c>
      <c r="M129" s="12" t="str">
        <f>IFERROR(VLOOKUP(L129, DADOS_RM_EVENTOS_original!K:L, 2, FALSE), "Código não encontrado/Não digitado")</f>
        <v>Código não encontrado/Não digitado</v>
      </c>
    </row>
    <row r="130" ht="15.75" hidden="1" customHeight="1">
      <c r="A130" s="11" t="s">
        <v>115</v>
      </c>
      <c r="B130" s="11" t="s">
        <v>1554</v>
      </c>
      <c r="C130" s="11" t="s">
        <v>1952</v>
      </c>
      <c r="D130" s="11" t="s">
        <v>44</v>
      </c>
      <c r="E130" s="11" t="s">
        <v>121</v>
      </c>
      <c r="F130" s="11" t="s">
        <v>267</v>
      </c>
      <c r="G130" s="12" t="s">
        <v>268</v>
      </c>
      <c r="H130" s="12" t="s">
        <v>68</v>
      </c>
      <c r="I130" s="12" t="str">
        <f>IFERROR(VLOOKUP(H130, DADOS_RM_EVENTOS_original!C:D, 2, FALSE), "Código não encontrado/Não digitado")</f>
        <v>Código não encontrado/Não digitado</v>
      </c>
      <c r="J130" s="12" t="s">
        <v>68</v>
      </c>
      <c r="K130" s="12" t="str">
        <f>IFERROR(VLOOKUP(J130, DADOS_RM_EVENTOS_original!E:J, 2, FALSE), "Código não encontrado/Não digitado")</f>
        <v>Código não encontrado/Não digitado</v>
      </c>
      <c r="L130" s="12" t="s">
        <v>68</v>
      </c>
      <c r="M130" s="12" t="str">
        <f>IFERROR(VLOOKUP(L130, DADOS_RM_EVENTOS_original!K:L, 2, FALSE), "Código não encontrado/Não digitado")</f>
        <v>Código não encontrado/Não digitado</v>
      </c>
    </row>
    <row r="131" ht="15.75" hidden="1" customHeight="1">
      <c r="A131" s="11" t="s">
        <v>172</v>
      </c>
      <c r="B131" s="11" t="s">
        <v>1554</v>
      </c>
      <c r="C131" s="11" t="s">
        <v>1974</v>
      </c>
      <c r="D131" s="11" t="s">
        <v>44</v>
      </c>
      <c r="E131" s="11" t="s">
        <v>1029</v>
      </c>
      <c r="F131" s="11" t="s">
        <v>267</v>
      </c>
      <c r="G131" s="12" t="s">
        <v>268</v>
      </c>
      <c r="H131" s="12" t="s">
        <v>68</v>
      </c>
      <c r="I131" s="12" t="str">
        <f>IFERROR(VLOOKUP(H131, DADOS_RM_EVENTOS_original!C:D, 2, FALSE), "Código não encontrado/Não digitado")</f>
        <v>Código não encontrado/Não digitado</v>
      </c>
      <c r="J131" s="12" t="s">
        <v>68</v>
      </c>
      <c r="K131" s="12" t="str">
        <f>IFERROR(VLOOKUP(J131, DADOS_RM_EVENTOS_original!E:J, 2, FALSE), "Código não encontrado/Não digitado")</f>
        <v>Código não encontrado/Não digitado</v>
      </c>
      <c r="L131" s="12" t="s">
        <v>68</v>
      </c>
      <c r="M131" s="12" t="str">
        <f>IFERROR(VLOOKUP(L131, DADOS_RM_EVENTOS_original!K:L, 2, FALSE), "Código não encontrado/Não digitado")</f>
        <v>Código não encontrado/Não digitado</v>
      </c>
    </row>
    <row r="132" ht="15.75" hidden="1" customHeight="1">
      <c r="A132" s="11" t="s">
        <v>97</v>
      </c>
      <c r="B132" s="11" t="s">
        <v>1554</v>
      </c>
      <c r="C132" s="11" t="s">
        <v>1974</v>
      </c>
      <c r="D132" s="11" t="s">
        <v>44</v>
      </c>
      <c r="E132" s="11" t="s">
        <v>972</v>
      </c>
      <c r="F132" s="11" t="s">
        <v>267</v>
      </c>
      <c r="G132" s="12" t="s">
        <v>268</v>
      </c>
      <c r="H132" s="12" t="s">
        <v>68</v>
      </c>
      <c r="I132" s="12" t="str">
        <f>IFERROR(VLOOKUP(H132, DADOS_RM_EVENTOS_original!C:D, 2, FALSE), "Código não encontrado/Não digitado")</f>
        <v>Código não encontrado/Não digitado</v>
      </c>
      <c r="J132" s="12" t="s">
        <v>68</v>
      </c>
      <c r="K132" s="12" t="str">
        <f>IFERROR(VLOOKUP(J132, DADOS_RM_EVENTOS_original!E:J, 2, FALSE), "Código não encontrado/Não digitado")</f>
        <v>Código não encontrado/Não digitado</v>
      </c>
      <c r="L132" s="12" t="s">
        <v>68</v>
      </c>
      <c r="M132" s="12" t="str">
        <f>IFERROR(VLOOKUP(L132, DADOS_RM_EVENTOS_original!K:L, 2, FALSE), "Código não encontrado/Não digitado")</f>
        <v>Código não encontrado/Não digitado</v>
      </c>
    </row>
    <row r="133" ht="15.75" hidden="1" customHeight="1">
      <c r="A133" s="11" t="s">
        <v>142</v>
      </c>
      <c r="B133" s="11" t="s">
        <v>1554</v>
      </c>
      <c r="C133" s="11" t="s">
        <v>1974</v>
      </c>
      <c r="D133" s="11" t="s">
        <v>44</v>
      </c>
      <c r="E133" s="11" t="s">
        <v>985</v>
      </c>
      <c r="F133" s="11" t="s">
        <v>267</v>
      </c>
      <c r="G133" s="12" t="s">
        <v>268</v>
      </c>
      <c r="H133" s="12" t="s">
        <v>68</v>
      </c>
      <c r="I133" s="12" t="str">
        <f>IFERROR(VLOOKUP(H133, DADOS_RM_EVENTOS_original!C:D, 2, FALSE), "Código não encontrado/Não digitado")</f>
        <v>Código não encontrado/Não digitado</v>
      </c>
      <c r="J133" s="12" t="s">
        <v>68</v>
      </c>
      <c r="K133" s="12" t="str">
        <f>IFERROR(VLOOKUP(J133, DADOS_RM_EVENTOS_original!E:J, 2, FALSE), "Código não encontrado/Não digitado")</f>
        <v>Código não encontrado/Não digitado</v>
      </c>
      <c r="L133" s="12" t="s">
        <v>68</v>
      </c>
      <c r="M133" s="12" t="str">
        <f>IFERROR(VLOOKUP(L133, DADOS_RM_EVENTOS_original!K:L, 2, FALSE), "Código não encontrado/Não digitado")</f>
        <v>Código não encontrado/Não digitado</v>
      </c>
    </row>
    <row r="134" ht="15.75" hidden="1" customHeight="1">
      <c r="A134" s="11" t="s">
        <v>199</v>
      </c>
      <c r="B134" s="11" t="s">
        <v>1554</v>
      </c>
      <c r="C134" s="11" t="s">
        <v>1974</v>
      </c>
      <c r="D134" s="11" t="s">
        <v>44</v>
      </c>
      <c r="E134" s="11" t="s">
        <v>1074</v>
      </c>
      <c r="F134" s="11" t="s">
        <v>267</v>
      </c>
      <c r="G134" s="12" t="s">
        <v>268</v>
      </c>
      <c r="H134" s="12" t="s">
        <v>68</v>
      </c>
      <c r="I134" s="12" t="str">
        <f>IFERROR(VLOOKUP(H134, DADOS_RM_EVENTOS_original!C:D, 2, FALSE), "Código não encontrado/Não digitado")</f>
        <v>Código não encontrado/Não digitado</v>
      </c>
      <c r="J134" s="12" t="s">
        <v>68</v>
      </c>
      <c r="K134" s="12" t="str">
        <f>IFERROR(VLOOKUP(J134, DADOS_RM_EVENTOS_original!E:J, 2, FALSE), "Código não encontrado/Não digitado")</f>
        <v>Código não encontrado/Não digitado</v>
      </c>
      <c r="L134" s="12" t="s">
        <v>68</v>
      </c>
      <c r="M134" s="12" t="str">
        <f>IFERROR(VLOOKUP(L134, DADOS_RM_EVENTOS_original!K:L, 2, FALSE), "Código não encontrado/Não digitado")</f>
        <v>Código não encontrado/Não digitado</v>
      </c>
    </row>
    <row r="135" ht="15.75" hidden="1" customHeight="1">
      <c r="A135" s="11" t="s">
        <v>199</v>
      </c>
      <c r="B135" s="11" t="s">
        <v>16</v>
      </c>
      <c r="C135" s="11" t="s">
        <v>2015</v>
      </c>
      <c r="D135" s="11" t="s">
        <v>120</v>
      </c>
      <c r="E135" s="11" t="s">
        <v>1074</v>
      </c>
      <c r="F135" s="11" t="s">
        <v>263</v>
      </c>
      <c r="G135" s="12" t="s">
        <v>264</v>
      </c>
      <c r="H135" s="12" t="s">
        <v>68</v>
      </c>
      <c r="I135" s="12" t="str">
        <f>IFERROR(VLOOKUP(H135, DADOS_RM_EVENTOS_original!C:D, 2, FALSE), "Código não encontrado/Não digitado")</f>
        <v>Código não encontrado/Não digitado</v>
      </c>
      <c r="J135" s="12" t="s">
        <v>68</v>
      </c>
      <c r="K135" s="12" t="str">
        <f>IFERROR(VLOOKUP(J135, DADOS_RM_EVENTOS_original!E:J, 2, FALSE), "Código não encontrado/Não digitado")</f>
        <v>Código não encontrado/Não digitado</v>
      </c>
      <c r="L135" s="12" t="s">
        <v>68</v>
      </c>
      <c r="M135" s="12" t="str">
        <f>IFERROR(VLOOKUP(L135, DADOS_RM_EVENTOS_original!K:L, 2, FALSE), "Código não encontrado/Não digitado")</f>
        <v>Código não encontrado/Não digitado</v>
      </c>
    </row>
    <row r="136" ht="15.75" customHeight="1">
      <c r="A136" s="11" t="s">
        <v>38</v>
      </c>
      <c r="B136" s="11" t="s">
        <v>1175</v>
      </c>
      <c r="C136" s="11" t="s">
        <v>2026</v>
      </c>
      <c r="D136" s="11" t="s">
        <v>44</v>
      </c>
      <c r="E136" s="11" t="s">
        <v>47</v>
      </c>
      <c r="F136" s="11" t="s">
        <v>49</v>
      </c>
      <c r="G136" s="12" t="s">
        <v>63</v>
      </c>
      <c r="H136" s="12" t="s">
        <v>68</v>
      </c>
      <c r="I136" s="12" t="str">
        <f>IFERROR(VLOOKUP(H136, DADOS_RM_EVENTOS_original!C:D, 2, FALSE), "Código não encontrado/Não digitado")</f>
        <v>Código não encontrado/Não digitado</v>
      </c>
      <c r="J136" s="12" t="s">
        <v>68</v>
      </c>
      <c r="K136" s="12" t="str">
        <f>IFERROR(VLOOKUP(J136, DADOS_RM_EVENTOS_original!E:J, 2, FALSE), "Código não encontrado/Não digitado")</f>
        <v>Código não encontrado/Não digitado</v>
      </c>
      <c r="L136" s="12" t="s">
        <v>68</v>
      </c>
      <c r="M136" s="12" t="str">
        <f>IFERROR(VLOOKUP(L136, DADOS_RM_EVENTOS_original!K:L, 2, FALSE), "Código não encontrado/Não digitado")</f>
        <v>Código não encontrado/Não digitado</v>
      </c>
    </row>
    <row r="137" ht="15.75" hidden="1" customHeight="1">
      <c r="A137" s="11" t="s">
        <v>97</v>
      </c>
      <c r="B137" s="11" t="s">
        <v>134</v>
      </c>
      <c r="C137" s="11" t="s">
        <v>2037</v>
      </c>
      <c r="D137" s="11" t="s">
        <v>44</v>
      </c>
      <c r="E137" s="11" t="s">
        <v>972</v>
      </c>
      <c r="F137" s="11" t="s">
        <v>139</v>
      </c>
      <c r="G137" s="12" t="s">
        <v>156</v>
      </c>
      <c r="H137" s="12" t="s">
        <v>68</v>
      </c>
      <c r="I137" s="12" t="str">
        <f>IFERROR(VLOOKUP(H137, DADOS_RM_EVENTOS_original!C:D, 2, FALSE), "Código não encontrado/Não digitado")</f>
        <v>Código não encontrado/Não digitado</v>
      </c>
      <c r="J137" s="12" t="s">
        <v>68</v>
      </c>
      <c r="K137" s="12" t="str">
        <f>IFERROR(VLOOKUP(J137, DADOS_RM_EVENTOS_original!E:J, 2, FALSE), "Código não encontrado/Não digitado")</f>
        <v>Código não encontrado/Não digitado</v>
      </c>
      <c r="L137" s="12" t="s">
        <v>68</v>
      </c>
      <c r="M137" s="12" t="str">
        <f>IFERROR(VLOOKUP(L137, DADOS_RM_EVENTOS_original!K:L, 2, FALSE), "Código não encontrado/Não digitado")</f>
        <v>Código não encontrado/Não digitado</v>
      </c>
    </row>
    <row r="138" ht="15.75" hidden="1" customHeight="1">
      <c r="A138" s="11" t="s">
        <v>38</v>
      </c>
      <c r="B138" s="11" t="s">
        <v>116</v>
      </c>
      <c r="C138" s="11" t="s">
        <v>2049</v>
      </c>
      <c r="D138" s="11" t="s">
        <v>120</v>
      </c>
      <c r="E138" s="11" t="s">
        <v>47</v>
      </c>
      <c r="F138" s="11" t="s">
        <v>122</v>
      </c>
      <c r="G138" s="12" t="s">
        <v>131</v>
      </c>
      <c r="H138" s="12" t="s">
        <v>68</v>
      </c>
      <c r="I138" s="12" t="str">
        <f>IFERROR(VLOOKUP(H138, DADOS_RM_EVENTOS_original!C:D, 2, FALSE), "Código não encontrado/Não digitado")</f>
        <v>Código não encontrado/Não digitado</v>
      </c>
      <c r="J138" s="12" t="s">
        <v>68</v>
      </c>
      <c r="K138" s="12" t="str">
        <f>IFERROR(VLOOKUP(J138, DADOS_RM_EVENTOS_original!E:J, 2, FALSE), "Código não encontrado/Não digitado")</f>
        <v>Código não encontrado/Não digitado</v>
      </c>
      <c r="L138" s="12" t="s">
        <v>68</v>
      </c>
      <c r="M138" s="12" t="str">
        <f>IFERROR(VLOOKUP(L138, DADOS_RM_EVENTOS_original!K:L, 2, FALSE), "Código não encontrado/Não digitado")</f>
        <v>Código não encontrado/Não digitado</v>
      </c>
    </row>
    <row r="139" ht="15.75" customHeight="1">
      <c r="A139" s="11" t="s">
        <v>38</v>
      </c>
      <c r="B139" s="11" t="s">
        <v>142</v>
      </c>
      <c r="C139" s="11" t="s">
        <v>2060</v>
      </c>
      <c r="D139" s="11" t="s">
        <v>120</v>
      </c>
      <c r="E139" s="11" t="s">
        <v>47</v>
      </c>
      <c r="F139" s="11" t="s">
        <v>49</v>
      </c>
      <c r="G139" s="12" t="s">
        <v>63</v>
      </c>
      <c r="H139" s="12" t="s">
        <v>68</v>
      </c>
      <c r="I139" s="12" t="str">
        <f>IFERROR(VLOOKUP(H139, DADOS_RM_EVENTOS_original!C:D, 2, FALSE), "Código não encontrado/Não digitado")</f>
        <v>Código não encontrado/Não digitado</v>
      </c>
      <c r="J139" s="12" t="s">
        <v>68</v>
      </c>
      <c r="K139" s="12" t="str">
        <f>IFERROR(VLOOKUP(J139, DADOS_RM_EVENTOS_original!E:J, 2, FALSE), "Código não encontrado/Não digitado")</f>
        <v>Código não encontrado/Não digitado</v>
      </c>
      <c r="L139" s="12" t="s">
        <v>68</v>
      </c>
      <c r="M139" s="12" t="str">
        <f>IFERROR(VLOOKUP(L139, DADOS_RM_EVENTOS_original!K:L, 2, FALSE), "Código não encontrado/Não digitado")</f>
        <v>Código não encontrado/Não digitado</v>
      </c>
    </row>
    <row r="140" ht="15.75" customHeight="1">
      <c r="A140" s="11" t="s">
        <v>97</v>
      </c>
      <c r="B140" s="11" t="s">
        <v>142</v>
      </c>
      <c r="C140" s="11" t="s">
        <v>2071</v>
      </c>
      <c r="D140" s="11" t="s">
        <v>120</v>
      </c>
      <c r="E140" s="11" t="s">
        <v>972</v>
      </c>
      <c r="F140" s="11" t="s">
        <v>49</v>
      </c>
      <c r="G140" s="12" t="s">
        <v>63</v>
      </c>
      <c r="H140" s="12" t="s">
        <v>68</v>
      </c>
      <c r="I140" s="12" t="str">
        <f>IFERROR(VLOOKUP(H140, DADOS_RM_EVENTOS_original!C:D, 2, FALSE), "Código não encontrado/Não digitado")</f>
        <v>Código não encontrado/Não digitado</v>
      </c>
      <c r="J140" s="12" t="s">
        <v>68</v>
      </c>
      <c r="K140" s="12" t="str">
        <f>IFERROR(VLOOKUP(J140, DADOS_RM_EVENTOS_original!E:J, 2, FALSE), "Código não encontrado/Não digitado")</f>
        <v>Código não encontrado/Não digitado</v>
      </c>
      <c r="L140" s="12" t="s">
        <v>68</v>
      </c>
      <c r="M140" s="12" t="str">
        <f>IFERROR(VLOOKUP(L140, DADOS_RM_EVENTOS_original!K:L, 2, FALSE), "Código não encontrado/Não digitado")</f>
        <v>Código não encontrado/Não digitado</v>
      </c>
    </row>
    <row r="141" ht="15.75" customHeight="1">
      <c r="A141" s="11" t="s">
        <v>142</v>
      </c>
      <c r="B141" s="11" t="s">
        <v>142</v>
      </c>
      <c r="C141" s="11" t="s">
        <v>2071</v>
      </c>
      <c r="D141" s="11" t="s">
        <v>120</v>
      </c>
      <c r="E141" s="11" t="s">
        <v>985</v>
      </c>
      <c r="F141" s="11" t="s">
        <v>49</v>
      </c>
      <c r="G141" s="12" t="s">
        <v>63</v>
      </c>
      <c r="H141" s="12" t="s">
        <v>68</v>
      </c>
      <c r="I141" s="12" t="str">
        <f>IFERROR(VLOOKUP(H141, DADOS_RM_EVENTOS_original!C:D, 2, FALSE), "Código não encontrado/Não digitado")</f>
        <v>Código não encontrado/Não digitado</v>
      </c>
      <c r="J141" s="12" t="s">
        <v>68</v>
      </c>
      <c r="K141" s="12" t="str">
        <f>IFERROR(VLOOKUP(J141, DADOS_RM_EVENTOS_original!E:J, 2, FALSE), "Código não encontrado/Não digitado")</f>
        <v>Código não encontrado/Não digitado</v>
      </c>
      <c r="L141" s="12" t="s">
        <v>68</v>
      </c>
      <c r="M141" s="12" t="str">
        <f>IFERROR(VLOOKUP(L141, DADOS_RM_EVENTOS_original!K:L, 2, FALSE), "Código não encontrado/Não digitado")</f>
        <v>Código não encontrado/Não digitado</v>
      </c>
    </row>
    <row r="142" ht="15.75" hidden="1" customHeight="1">
      <c r="A142" s="11" t="s">
        <v>38</v>
      </c>
      <c r="B142" s="11" t="s">
        <v>339</v>
      </c>
      <c r="C142" s="11" t="s">
        <v>1764</v>
      </c>
      <c r="D142" s="11" t="s">
        <v>120</v>
      </c>
      <c r="E142" s="11" t="s">
        <v>47</v>
      </c>
      <c r="F142" s="11" t="s">
        <v>1763</v>
      </c>
      <c r="G142" s="12" t="s">
        <v>2105</v>
      </c>
      <c r="H142" s="12" t="s">
        <v>68</v>
      </c>
      <c r="I142" s="12" t="str">
        <f>IFERROR(VLOOKUP(H142, DADOS_RM_EVENTOS_original!C:D, 2, FALSE), "Código não encontrado/Não digitado")</f>
        <v>Código não encontrado/Não digitado</v>
      </c>
      <c r="J142" s="12" t="s">
        <v>68</v>
      </c>
      <c r="K142" s="12" t="str">
        <f>IFERROR(VLOOKUP(J142, DADOS_RM_EVENTOS_original!E:J, 2, FALSE), "Código não encontrado/Não digitado")</f>
        <v>Código não encontrado/Não digitado</v>
      </c>
      <c r="L142" s="12" t="s">
        <v>68</v>
      </c>
      <c r="M142" s="12" t="str">
        <f>IFERROR(VLOOKUP(L142, DADOS_RM_EVENTOS_original!K:L, 2, FALSE), "Código não encontrado/Não digitado")</f>
        <v>Código não encontrado/Não digitado</v>
      </c>
    </row>
    <row r="143" ht="15.75" hidden="1" customHeight="1">
      <c r="A143" s="11" t="s">
        <v>172</v>
      </c>
      <c r="B143" s="11" t="s">
        <v>339</v>
      </c>
      <c r="C143" s="11" t="s">
        <v>2105</v>
      </c>
      <c r="D143" s="11" t="s">
        <v>120</v>
      </c>
      <c r="E143" s="11" t="s">
        <v>1029</v>
      </c>
      <c r="F143" s="11" t="s">
        <v>1763</v>
      </c>
      <c r="G143" s="12" t="s">
        <v>2105</v>
      </c>
      <c r="H143" s="12" t="s">
        <v>68</v>
      </c>
      <c r="I143" s="12" t="str">
        <f>IFERROR(VLOOKUP(H143, DADOS_RM_EVENTOS_original!C:D, 2, FALSE), "Código não encontrado/Não digitado")</f>
        <v>Código não encontrado/Não digitado</v>
      </c>
      <c r="J143" s="12" t="s">
        <v>68</v>
      </c>
      <c r="K143" s="12" t="str">
        <f>IFERROR(VLOOKUP(J143, DADOS_RM_EVENTOS_original!E:J, 2, FALSE), "Código não encontrado/Não digitado")</f>
        <v>Código não encontrado/Não digitado</v>
      </c>
      <c r="L143" s="12" t="s">
        <v>68</v>
      </c>
      <c r="M143" s="12" t="str">
        <f>IFERROR(VLOOKUP(L143, DADOS_RM_EVENTOS_original!K:L, 2, FALSE), "Código não encontrado/Não digitado")</f>
        <v>Código não encontrado/Não digitado</v>
      </c>
    </row>
    <row r="144" ht="15.75" hidden="1" customHeight="1">
      <c r="A144" s="11" t="s">
        <v>97</v>
      </c>
      <c r="B144" s="11" t="s">
        <v>339</v>
      </c>
      <c r="C144" s="11" t="s">
        <v>2105</v>
      </c>
      <c r="D144" s="11" t="s">
        <v>120</v>
      </c>
      <c r="E144" s="11" t="s">
        <v>972</v>
      </c>
      <c r="F144" s="11" t="s">
        <v>1763</v>
      </c>
      <c r="G144" s="12" t="s">
        <v>2105</v>
      </c>
      <c r="H144" s="12" t="s">
        <v>68</v>
      </c>
      <c r="I144" s="12" t="str">
        <f>IFERROR(VLOOKUP(H144, DADOS_RM_EVENTOS_original!C:D, 2, FALSE), "Código não encontrado/Não digitado")</f>
        <v>Código não encontrado/Não digitado</v>
      </c>
      <c r="J144" s="12" t="s">
        <v>68</v>
      </c>
      <c r="K144" s="12" t="str">
        <f>IFERROR(VLOOKUP(J144, DADOS_RM_EVENTOS_original!E:J, 2, FALSE), "Código não encontrado/Não digitado")</f>
        <v>Código não encontrado/Não digitado</v>
      </c>
      <c r="L144" s="12" t="s">
        <v>68</v>
      </c>
      <c r="M144" s="12" t="str">
        <f>IFERROR(VLOOKUP(L144, DADOS_RM_EVENTOS_original!K:L, 2, FALSE), "Código não encontrado/Não digitado")</f>
        <v>Código não encontrado/Não digitado</v>
      </c>
    </row>
    <row r="145" ht="15.75" hidden="1" customHeight="1">
      <c r="A145" s="11" t="s">
        <v>142</v>
      </c>
      <c r="B145" s="11" t="s">
        <v>339</v>
      </c>
      <c r="C145" s="11" t="s">
        <v>2105</v>
      </c>
      <c r="D145" s="11" t="s">
        <v>120</v>
      </c>
      <c r="E145" s="11" t="s">
        <v>985</v>
      </c>
      <c r="F145" s="11" t="s">
        <v>1763</v>
      </c>
      <c r="G145" s="12" t="s">
        <v>2105</v>
      </c>
      <c r="H145" s="12" t="s">
        <v>68</v>
      </c>
      <c r="I145" s="12" t="str">
        <f>IFERROR(VLOOKUP(H145, DADOS_RM_EVENTOS_original!C:D, 2, FALSE), "Código não encontrado/Não digitado")</f>
        <v>Código não encontrado/Não digitado</v>
      </c>
      <c r="J145" s="12" t="s">
        <v>68</v>
      </c>
      <c r="K145" s="12" t="str">
        <f>IFERROR(VLOOKUP(J145, DADOS_RM_EVENTOS_original!E:J, 2, FALSE), "Código não encontrado/Não digitado")</f>
        <v>Código não encontrado/Não digitado</v>
      </c>
      <c r="L145" s="12" t="s">
        <v>68</v>
      </c>
      <c r="M145" s="12" t="str">
        <f>IFERROR(VLOOKUP(L145, DADOS_RM_EVENTOS_original!K:L, 2, FALSE), "Código não encontrado/Não digitado")</f>
        <v>Código não encontrado/Não digitado</v>
      </c>
    </row>
    <row r="146" ht="15.75" customHeight="1">
      <c r="A146" s="11" t="s">
        <v>38</v>
      </c>
      <c r="B146" s="11" t="s">
        <v>347</v>
      </c>
      <c r="C146" s="11" t="s">
        <v>2144</v>
      </c>
      <c r="D146" s="11" t="s">
        <v>120</v>
      </c>
      <c r="E146" s="11" t="s">
        <v>47</v>
      </c>
      <c r="F146" s="11" t="s">
        <v>49</v>
      </c>
      <c r="G146" s="12" t="s">
        <v>63</v>
      </c>
      <c r="H146" s="12" t="s">
        <v>68</v>
      </c>
      <c r="I146" s="12" t="str">
        <f>IFERROR(VLOOKUP(H146, DADOS_RM_EVENTOS_original!C:D, 2, FALSE), "Código não encontrado/Não digitado")</f>
        <v>Código não encontrado/Não digitado</v>
      </c>
      <c r="J146" s="12" t="s">
        <v>68</v>
      </c>
      <c r="K146" s="12" t="str">
        <f>IFERROR(VLOOKUP(J146, DADOS_RM_EVENTOS_original!E:J, 2, FALSE), "Código não encontrado/Não digitado")</f>
        <v>Código não encontrado/Não digitado</v>
      </c>
      <c r="L146" s="12" t="s">
        <v>68</v>
      </c>
      <c r="M146" s="12" t="str">
        <f>IFERROR(VLOOKUP(L146, DADOS_RM_EVENTOS_original!K:L, 2, FALSE), "Código não encontrado/Não digitado")</f>
        <v>Código não encontrado/Não digitado</v>
      </c>
    </row>
    <row r="147" ht="15.75" customHeight="1">
      <c r="A147" s="11" t="s">
        <v>97</v>
      </c>
      <c r="B147" s="11" t="s">
        <v>347</v>
      </c>
      <c r="C147" s="11" t="s">
        <v>2156</v>
      </c>
      <c r="D147" s="11" t="s">
        <v>120</v>
      </c>
      <c r="E147" s="11" t="s">
        <v>972</v>
      </c>
      <c r="F147" s="11" t="s">
        <v>49</v>
      </c>
      <c r="G147" s="12" t="s">
        <v>63</v>
      </c>
      <c r="H147" s="12" t="s">
        <v>68</v>
      </c>
      <c r="I147" s="12" t="str">
        <f>IFERROR(VLOOKUP(H147, DADOS_RM_EVENTOS_original!C:D, 2, FALSE), "Código não encontrado/Não digitado")</f>
        <v>Código não encontrado/Não digitado</v>
      </c>
      <c r="J147" s="12" t="s">
        <v>68</v>
      </c>
      <c r="K147" s="12" t="str">
        <f>IFERROR(VLOOKUP(J147, DADOS_RM_EVENTOS_original!E:J, 2, FALSE), "Código não encontrado/Não digitado")</f>
        <v>Código não encontrado/Não digitado</v>
      </c>
      <c r="L147" s="12" t="s">
        <v>68</v>
      </c>
      <c r="M147" s="12" t="str">
        <f>IFERROR(VLOOKUP(L147, DADOS_RM_EVENTOS_original!K:L, 2, FALSE), "Código não encontrado/Não digitado")</f>
        <v>Código não encontrado/Não digitado</v>
      </c>
    </row>
    <row r="148" ht="15.75" customHeight="1">
      <c r="A148" s="11" t="s">
        <v>142</v>
      </c>
      <c r="B148" s="11" t="s">
        <v>347</v>
      </c>
      <c r="C148" s="11" t="s">
        <v>2156</v>
      </c>
      <c r="D148" s="11" t="s">
        <v>120</v>
      </c>
      <c r="E148" s="11" t="s">
        <v>985</v>
      </c>
      <c r="F148" s="11" t="s">
        <v>49</v>
      </c>
      <c r="G148" s="12" t="s">
        <v>63</v>
      </c>
      <c r="H148" s="12" t="s">
        <v>68</v>
      </c>
      <c r="I148" s="12" t="str">
        <f>IFERROR(VLOOKUP(H148, DADOS_RM_EVENTOS_original!C:D, 2, FALSE), "Código não encontrado/Não digitado")</f>
        <v>Código não encontrado/Não digitado</v>
      </c>
      <c r="J148" s="12" t="s">
        <v>68</v>
      </c>
      <c r="K148" s="12" t="str">
        <f>IFERROR(VLOOKUP(J148, DADOS_RM_EVENTOS_original!E:J, 2, FALSE), "Código não encontrado/Não digitado")</f>
        <v>Código não encontrado/Não digitado</v>
      </c>
      <c r="L148" s="12" t="s">
        <v>68</v>
      </c>
      <c r="M148" s="12" t="str">
        <f>IFERROR(VLOOKUP(L148, DADOS_RM_EVENTOS_original!K:L, 2, FALSE), "Código não encontrado/Não digitado")</f>
        <v>Código não encontrado/Não digitado</v>
      </c>
    </row>
    <row r="149" ht="15.75" hidden="1" customHeight="1">
      <c r="A149" s="11" t="s">
        <v>38</v>
      </c>
      <c r="B149" s="11" t="s">
        <v>786</v>
      </c>
      <c r="C149" s="11" t="s">
        <v>1779</v>
      </c>
      <c r="D149" s="11" t="s">
        <v>120</v>
      </c>
      <c r="E149" s="11" t="s">
        <v>47</v>
      </c>
      <c r="F149" s="11" t="s">
        <v>1777</v>
      </c>
      <c r="G149" s="12" t="s">
        <v>2396</v>
      </c>
      <c r="H149" s="12" t="s">
        <v>68</v>
      </c>
      <c r="I149" s="12" t="str">
        <f>IFERROR(VLOOKUP(H149, DADOS_RM_EVENTOS_original!C:D, 2, FALSE), "Código não encontrado/Não digitado")</f>
        <v>Código não encontrado/Não digitado</v>
      </c>
      <c r="J149" s="12" t="s">
        <v>68</v>
      </c>
      <c r="K149" s="12" t="str">
        <f>IFERROR(VLOOKUP(J149, DADOS_RM_EVENTOS_original!E:J, 2, FALSE), "Código não encontrado/Não digitado")</f>
        <v>Código não encontrado/Não digitado</v>
      </c>
      <c r="L149" s="12" t="s">
        <v>68</v>
      </c>
      <c r="M149" s="12" t="str">
        <f>IFERROR(VLOOKUP(L149, DADOS_RM_EVENTOS_original!K:L, 2, FALSE), "Código não encontrado/Não digitado")</f>
        <v>Código não encontrado/Não digitado</v>
      </c>
    </row>
    <row r="150" ht="15.75" hidden="1" customHeight="1">
      <c r="A150" s="11" t="s">
        <v>38</v>
      </c>
      <c r="B150" s="11" t="s">
        <v>97</v>
      </c>
      <c r="C150" s="11" t="s">
        <v>2191</v>
      </c>
      <c r="D150" s="11" t="s">
        <v>96</v>
      </c>
      <c r="E150" s="11" t="s">
        <v>47</v>
      </c>
      <c r="F150" s="11" t="s">
        <v>99</v>
      </c>
      <c r="G150" s="12" t="s">
        <v>63</v>
      </c>
      <c r="H150" s="12" t="s">
        <v>68</v>
      </c>
      <c r="I150" s="12" t="str">
        <f>IFERROR(VLOOKUP(H150, DADOS_RM_EVENTOS_original!C:D, 2, FALSE), "Código não encontrado/Não digitado")</f>
        <v>Código não encontrado/Não digitado</v>
      </c>
      <c r="J150" s="12" t="s">
        <v>68</v>
      </c>
      <c r="K150" s="12" t="str">
        <f>IFERROR(VLOOKUP(J150, DADOS_RM_EVENTOS_original!E:J, 2, FALSE), "Código não encontrado/Não digitado")</f>
        <v>Código não encontrado/Não digitado</v>
      </c>
      <c r="L150" s="12" t="s">
        <v>68</v>
      </c>
      <c r="M150" s="12" t="str">
        <f>IFERROR(VLOOKUP(L150, DADOS_RM_EVENTOS_original!K:L, 2, FALSE), "Código não encontrado/Não digitado")</f>
        <v>Código não encontrado/Não digitado</v>
      </c>
    </row>
    <row r="151" ht="15.75" hidden="1" customHeight="1">
      <c r="A151" s="11" t="s">
        <v>97</v>
      </c>
      <c r="B151" s="11" t="s">
        <v>2200</v>
      </c>
      <c r="C151" s="11" t="s">
        <v>2202</v>
      </c>
      <c r="D151" s="11" t="s">
        <v>96</v>
      </c>
      <c r="E151" s="11" t="s">
        <v>972</v>
      </c>
      <c r="F151" s="11" t="s">
        <v>99</v>
      </c>
      <c r="G151" s="12" t="s">
        <v>63</v>
      </c>
      <c r="H151" s="12" t="s">
        <v>68</v>
      </c>
      <c r="I151" s="12" t="str">
        <f>IFERROR(VLOOKUP(H151, DADOS_RM_EVENTOS_original!C:D, 2, FALSE), "Código não encontrado/Não digitado")</f>
        <v>Código não encontrado/Não digitado</v>
      </c>
      <c r="J151" s="12" t="s">
        <v>68</v>
      </c>
      <c r="K151" s="12" t="str">
        <f>IFERROR(VLOOKUP(J151, DADOS_RM_EVENTOS_original!E:J, 2, FALSE), "Código não encontrado/Não digitado")</f>
        <v>Código não encontrado/Não digitado</v>
      </c>
      <c r="L151" s="12" t="s">
        <v>68</v>
      </c>
      <c r="M151" s="12" t="str">
        <f>IFERROR(VLOOKUP(L151, DADOS_RM_EVENTOS_original!K:L, 2, FALSE), "Código não encontrado/Não digitado")</f>
        <v>Código não encontrado/Não digitado</v>
      </c>
    </row>
    <row r="152" ht="15.75" hidden="1" customHeight="1">
      <c r="A152" s="11" t="s">
        <v>38</v>
      </c>
      <c r="B152" s="11" t="s">
        <v>2214</v>
      </c>
      <c r="C152" s="11" t="s">
        <v>2215</v>
      </c>
      <c r="D152" s="11" t="s">
        <v>120</v>
      </c>
      <c r="E152" s="11" t="s">
        <v>47</v>
      </c>
      <c r="F152" s="11" t="s">
        <v>2217</v>
      </c>
      <c r="G152" s="12" t="s">
        <v>2444</v>
      </c>
      <c r="H152" s="12" t="s">
        <v>68</v>
      </c>
      <c r="I152" s="12" t="str">
        <f>IFERROR(VLOOKUP(H152, DADOS_RM_EVENTOS_original!C:D, 2, FALSE), "Código não encontrado/Não digitado")</f>
        <v>Código não encontrado/Não digitado</v>
      </c>
      <c r="J152" s="12" t="s">
        <v>68</v>
      </c>
      <c r="K152" s="12" t="str">
        <f>IFERROR(VLOOKUP(J152, DADOS_RM_EVENTOS_original!E:J, 2, FALSE), "Código não encontrado/Não digitado")</f>
        <v>Código não encontrado/Não digitado</v>
      </c>
      <c r="L152" s="12" t="s">
        <v>68</v>
      </c>
      <c r="M152" s="12" t="str">
        <f>IFERROR(VLOOKUP(L152, DADOS_RM_EVENTOS_original!K:L, 2, FALSE), "Código não encontrado/Não digitado")</f>
        <v>Código não encontrado/Não digitado</v>
      </c>
    </row>
    <row r="153" ht="15.75" hidden="1" customHeight="1">
      <c r="A153" s="11" t="s">
        <v>38</v>
      </c>
      <c r="B153" s="11" t="s">
        <v>2226</v>
      </c>
      <c r="C153" s="11" t="s">
        <v>2227</v>
      </c>
      <c r="D153" s="11" t="s">
        <v>120</v>
      </c>
      <c r="E153" s="11" t="s">
        <v>47</v>
      </c>
      <c r="F153" s="11" t="s">
        <v>2217</v>
      </c>
      <c r="G153" s="12" t="s">
        <v>2444</v>
      </c>
      <c r="H153" s="12" t="s">
        <v>68</v>
      </c>
      <c r="I153" s="12" t="str">
        <f>IFERROR(VLOOKUP(H153, DADOS_RM_EVENTOS_original!C:D, 2, FALSE), "Código não encontrado/Não digitado")</f>
        <v>Código não encontrado/Não digitado</v>
      </c>
      <c r="J153" s="12" t="s">
        <v>68</v>
      </c>
      <c r="K153" s="12" t="str">
        <f>IFERROR(VLOOKUP(J153, DADOS_RM_EVENTOS_original!E:J, 2, FALSE), "Código não encontrado/Não digitado")</f>
        <v>Código não encontrado/Não digitado</v>
      </c>
      <c r="L153" s="12" t="s">
        <v>68</v>
      </c>
      <c r="M153" s="12" t="str">
        <f>IFERROR(VLOOKUP(L153, DADOS_RM_EVENTOS_original!K:L, 2, FALSE), "Código não encontrado/Não digitado")</f>
        <v>Código não encontrado/Não digitado</v>
      </c>
    </row>
    <row r="154" ht="15.75" customHeight="1">
      <c r="A154" s="11" t="s">
        <v>38</v>
      </c>
      <c r="B154" s="11" t="s">
        <v>789</v>
      </c>
      <c r="C154" s="11" t="s">
        <v>2237</v>
      </c>
      <c r="D154" s="11" t="s">
        <v>120</v>
      </c>
      <c r="E154" s="11" t="s">
        <v>47</v>
      </c>
      <c r="F154" s="11" t="s">
        <v>49</v>
      </c>
      <c r="G154" s="12" t="s">
        <v>63</v>
      </c>
      <c r="H154" s="12" t="s">
        <v>68</v>
      </c>
      <c r="I154" s="12" t="str">
        <f>IFERROR(VLOOKUP(H154, DADOS_RM_EVENTOS_original!C:D, 2, FALSE), "Código não encontrado/Não digitado")</f>
        <v>Código não encontrado/Não digitado</v>
      </c>
      <c r="J154" s="12" t="s">
        <v>68</v>
      </c>
      <c r="K154" s="12" t="str">
        <f>IFERROR(VLOOKUP(J154, DADOS_RM_EVENTOS_original!E:J, 2, FALSE), "Código não encontrado/Não digitado")</f>
        <v>Código não encontrado/Não digitado</v>
      </c>
      <c r="L154" s="12" t="s">
        <v>68</v>
      </c>
      <c r="M154" s="12" t="str">
        <f>IFERROR(VLOOKUP(L154, DADOS_RM_EVENTOS_original!K:L, 2, FALSE), "Código não encontrado/Não digitado")</f>
        <v>Código não encontrado/Não digitado</v>
      </c>
    </row>
    <row r="155" ht="15.75" hidden="1" customHeight="1">
      <c r="A155" s="11" t="s">
        <v>38</v>
      </c>
      <c r="B155" s="11" t="s">
        <v>2246</v>
      </c>
      <c r="C155" s="11" t="s">
        <v>2247</v>
      </c>
      <c r="D155" s="11" t="s">
        <v>120</v>
      </c>
      <c r="E155" s="11" t="s">
        <v>47</v>
      </c>
      <c r="F155" s="11" t="s">
        <v>115</v>
      </c>
      <c r="G155" s="12" t="s">
        <v>161</v>
      </c>
      <c r="H155" s="12" t="s">
        <v>68</v>
      </c>
      <c r="I155" s="12" t="str">
        <f>IFERROR(VLOOKUP(H155, DADOS_RM_EVENTOS_original!C:D, 2, FALSE), "Código não encontrado/Não digitado")</f>
        <v>Código não encontrado/Não digitado</v>
      </c>
      <c r="J155" s="12" t="s">
        <v>68</v>
      </c>
      <c r="K155" s="12" t="str">
        <f>IFERROR(VLOOKUP(J155, DADOS_RM_EVENTOS_original!E:J, 2, FALSE), "Código não encontrado/Não digitado")</f>
        <v>Código não encontrado/Não digitado</v>
      </c>
      <c r="L155" s="12" t="s">
        <v>68</v>
      </c>
      <c r="M155" s="12" t="str">
        <f>IFERROR(VLOOKUP(L155, DADOS_RM_EVENTOS_original!K:L, 2, FALSE), "Código não encontrado/Não digitado")</f>
        <v>Código não encontrado/Não digitado</v>
      </c>
    </row>
    <row r="156" ht="15.75" hidden="1" customHeight="1">
      <c r="A156" s="11" t="s">
        <v>97</v>
      </c>
      <c r="B156" s="11" t="s">
        <v>804</v>
      </c>
      <c r="C156" s="11" t="s">
        <v>2261</v>
      </c>
      <c r="D156" s="11" t="s">
        <v>120</v>
      </c>
      <c r="E156" s="11" t="s">
        <v>972</v>
      </c>
      <c r="F156" s="11" t="s">
        <v>1486</v>
      </c>
      <c r="G156" s="12" t="s">
        <v>2007</v>
      </c>
      <c r="H156" s="12" t="s">
        <v>68</v>
      </c>
      <c r="I156" s="12" t="str">
        <f>IFERROR(VLOOKUP(H156, DADOS_RM_EVENTOS_original!C:D, 2, FALSE), "Código não encontrado/Não digitado")</f>
        <v>Código não encontrado/Não digitado</v>
      </c>
      <c r="J156" s="12" t="s">
        <v>68</v>
      </c>
      <c r="K156" s="12" t="str">
        <f>IFERROR(VLOOKUP(J156, DADOS_RM_EVENTOS_original!E:J, 2, FALSE), "Código não encontrado/Não digitado")</f>
        <v>Código não encontrado/Não digitado</v>
      </c>
      <c r="L156" s="12" t="s">
        <v>68</v>
      </c>
      <c r="M156" s="12" t="str">
        <f>IFERROR(VLOOKUP(L156, DADOS_RM_EVENTOS_original!K:L, 2, FALSE), "Código não encontrado/Não digitado")</f>
        <v>Código não encontrado/Não digitado</v>
      </c>
    </row>
    <row r="157" ht="15.75" hidden="1" customHeight="1">
      <c r="A157" s="11" t="s">
        <v>142</v>
      </c>
      <c r="B157" s="11" t="s">
        <v>583</v>
      </c>
      <c r="C157" s="11" t="s">
        <v>2271</v>
      </c>
      <c r="D157" s="11" t="s">
        <v>44</v>
      </c>
      <c r="E157" s="11" t="s">
        <v>985</v>
      </c>
      <c r="F157" s="11" t="s">
        <v>157</v>
      </c>
      <c r="G157" s="12" t="s">
        <v>176</v>
      </c>
      <c r="H157" s="12" t="s">
        <v>68</v>
      </c>
      <c r="I157" s="12" t="str">
        <f>IFERROR(VLOOKUP(H157, DADOS_RM_EVENTOS_original!C:D, 2, FALSE), "Código não encontrado/Não digitado")</f>
        <v>Código não encontrado/Não digitado</v>
      </c>
      <c r="J157" s="12" t="s">
        <v>68</v>
      </c>
      <c r="K157" s="12" t="str">
        <f>IFERROR(VLOOKUP(J157, DADOS_RM_EVENTOS_original!E:J, 2, FALSE), "Código não encontrado/Não digitado")</f>
        <v>Código não encontrado/Não digitado</v>
      </c>
      <c r="L157" s="12" t="s">
        <v>68</v>
      </c>
      <c r="M157" s="12" t="str">
        <f>IFERROR(VLOOKUP(L157, DADOS_RM_EVENTOS_original!K:L, 2, FALSE), "Código não encontrado/Não digitado")</f>
        <v>Código não encontrado/Não digitado</v>
      </c>
    </row>
    <row r="158" ht="15.75" hidden="1" customHeight="1">
      <c r="A158" s="11" t="s">
        <v>172</v>
      </c>
      <c r="B158" s="11" t="s">
        <v>630</v>
      </c>
      <c r="C158" s="11" t="s">
        <v>2286</v>
      </c>
      <c r="D158" s="11" t="s">
        <v>44</v>
      </c>
      <c r="E158" s="11" t="s">
        <v>1029</v>
      </c>
      <c r="F158" s="11" t="s">
        <v>521</v>
      </c>
      <c r="G158" s="12" t="s">
        <v>599</v>
      </c>
      <c r="H158" s="12" t="s">
        <v>68</v>
      </c>
      <c r="I158" s="12" t="str">
        <f>IFERROR(VLOOKUP(H158, DADOS_RM_EVENTOS_original!C:D, 2, FALSE), "Código não encontrado/Não digitado")</f>
        <v>Código não encontrado/Não digitado</v>
      </c>
      <c r="J158" s="12" t="s">
        <v>68</v>
      </c>
      <c r="K158" s="12" t="str">
        <f>IFERROR(VLOOKUP(J158, DADOS_RM_EVENTOS_original!E:J, 2, FALSE), "Código não encontrado/Não digitado")</f>
        <v>Código não encontrado/Não digitado</v>
      </c>
      <c r="L158" s="12" t="s">
        <v>68</v>
      </c>
      <c r="M158" s="12" t="str">
        <f>IFERROR(VLOOKUP(L158, DADOS_RM_EVENTOS_original!K:L, 2, FALSE), "Código não encontrado/Não digitado")</f>
        <v>Código não encontrado/Não digitado</v>
      </c>
    </row>
    <row r="159" ht="15.75" hidden="1" customHeight="1">
      <c r="A159" s="11" t="s">
        <v>38</v>
      </c>
      <c r="B159" s="11" t="s">
        <v>583</v>
      </c>
      <c r="C159" s="11" t="s">
        <v>2298</v>
      </c>
      <c r="D159" s="11" t="s">
        <v>44</v>
      </c>
      <c r="E159" s="11" t="s">
        <v>47</v>
      </c>
      <c r="F159" s="11" t="s">
        <v>157</v>
      </c>
      <c r="G159" s="12" t="s">
        <v>176</v>
      </c>
      <c r="H159" s="12" t="s">
        <v>68</v>
      </c>
      <c r="I159" s="12" t="str">
        <f>IFERROR(VLOOKUP(H159, DADOS_RM_EVENTOS_original!C:D, 2, FALSE), "Código não encontrado/Não digitado")</f>
        <v>Código não encontrado/Não digitado</v>
      </c>
      <c r="J159" s="12" t="s">
        <v>68</v>
      </c>
      <c r="K159" s="12" t="str">
        <f>IFERROR(VLOOKUP(J159, DADOS_RM_EVENTOS_original!E:J, 2, FALSE), "Código não encontrado/Não digitado")</f>
        <v>Código não encontrado/Não digitado</v>
      </c>
      <c r="L159" s="12" t="s">
        <v>68</v>
      </c>
      <c r="M159" s="12" t="str">
        <f>IFERROR(VLOOKUP(L159, DADOS_RM_EVENTOS_original!K:L, 2, FALSE), "Código não encontrado/Não digitado")</f>
        <v>Código não encontrado/Não digitado</v>
      </c>
    </row>
    <row r="160" ht="15.75" hidden="1" customHeight="1">
      <c r="A160" s="11" t="s">
        <v>115</v>
      </c>
      <c r="B160" s="11" t="s">
        <v>583</v>
      </c>
      <c r="C160" s="11" t="s">
        <v>2298</v>
      </c>
      <c r="D160" s="11" t="s">
        <v>44</v>
      </c>
      <c r="E160" s="11" t="s">
        <v>121</v>
      </c>
      <c r="F160" s="11" t="s">
        <v>157</v>
      </c>
      <c r="G160" s="12" t="s">
        <v>176</v>
      </c>
      <c r="H160" s="12" t="s">
        <v>68</v>
      </c>
      <c r="I160" s="12" t="str">
        <f>IFERROR(VLOOKUP(H160, DADOS_RM_EVENTOS_original!C:D, 2, FALSE), "Código não encontrado/Não digitado")</f>
        <v>Código não encontrado/Não digitado</v>
      </c>
      <c r="J160" s="12" t="s">
        <v>68</v>
      </c>
      <c r="K160" s="12" t="str">
        <f>IFERROR(VLOOKUP(J160, DADOS_RM_EVENTOS_original!E:J, 2, FALSE), "Código não encontrado/Não digitado")</f>
        <v>Código não encontrado/Não digitado</v>
      </c>
      <c r="L160" s="12" t="s">
        <v>68</v>
      </c>
      <c r="M160" s="12" t="str">
        <f>IFERROR(VLOOKUP(L160, DADOS_RM_EVENTOS_original!K:L, 2, FALSE), "Código não encontrado/Não digitado")</f>
        <v>Código não encontrado/Não digitado</v>
      </c>
    </row>
    <row r="161" ht="15.75" hidden="1" customHeight="1">
      <c r="A161" s="11" t="s">
        <v>199</v>
      </c>
      <c r="B161" s="11" t="s">
        <v>211</v>
      </c>
      <c r="C161" s="11" t="s">
        <v>2298</v>
      </c>
      <c r="D161" s="11" t="s">
        <v>44</v>
      </c>
      <c r="E161" s="11" t="s">
        <v>1074</v>
      </c>
      <c r="F161" s="11" t="s">
        <v>157</v>
      </c>
      <c r="G161" s="12" t="s">
        <v>176</v>
      </c>
      <c r="H161" s="12" t="s">
        <v>68</v>
      </c>
      <c r="I161" s="12" t="str">
        <f>IFERROR(VLOOKUP(H161, DADOS_RM_EVENTOS_original!C:D, 2, FALSE), "Código não encontrado/Não digitado")</f>
        <v>Código não encontrado/Não digitado</v>
      </c>
      <c r="J161" s="12" t="s">
        <v>68</v>
      </c>
      <c r="K161" s="12" t="str">
        <f>IFERROR(VLOOKUP(J161, DADOS_RM_EVENTOS_original!E:J, 2, FALSE), "Código não encontrado/Não digitado")</f>
        <v>Código não encontrado/Não digitado</v>
      </c>
      <c r="L161" s="12" t="s">
        <v>68</v>
      </c>
      <c r="M161" s="12" t="str">
        <f>IFERROR(VLOOKUP(L161, DADOS_RM_EVENTOS_original!K:L, 2, FALSE), "Código não encontrado/Não digitado")</f>
        <v>Código não encontrado/Não digitado</v>
      </c>
    </row>
    <row r="162" ht="15.75" hidden="1" customHeight="1">
      <c r="A162" s="11" t="s">
        <v>38</v>
      </c>
      <c r="B162" s="11" t="s">
        <v>1665</v>
      </c>
      <c r="C162" s="11" t="s">
        <v>2324</v>
      </c>
      <c r="D162" s="11" t="s">
        <v>44</v>
      </c>
      <c r="E162" s="11" t="s">
        <v>47</v>
      </c>
      <c r="F162" s="11" t="s">
        <v>718</v>
      </c>
      <c r="G162" s="12" t="s">
        <v>940</v>
      </c>
      <c r="H162" s="12" t="s">
        <v>68</v>
      </c>
      <c r="I162" s="12" t="str">
        <f>IFERROR(VLOOKUP(H162, DADOS_RM_EVENTOS_original!C:D, 2, FALSE), "Código não encontrado/Não digitado")</f>
        <v>Código não encontrado/Não digitado</v>
      </c>
      <c r="J162" s="12" t="s">
        <v>68</v>
      </c>
      <c r="K162" s="12" t="str">
        <f>IFERROR(VLOOKUP(J162, DADOS_RM_EVENTOS_original!E:J, 2, FALSE), "Código não encontrado/Não digitado")</f>
        <v>Código não encontrado/Não digitado</v>
      </c>
      <c r="L162" s="12" t="s">
        <v>68</v>
      </c>
      <c r="M162" s="12" t="str">
        <f>IFERROR(VLOOKUP(L162, DADOS_RM_EVENTOS_original!K:L, 2, FALSE), "Código não encontrado/Não digitado")</f>
        <v>Código não encontrado/Não digitado</v>
      </c>
    </row>
    <row r="163" ht="15.75" hidden="1" customHeight="1">
      <c r="A163" s="11" t="s">
        <v>115</v>
      </c>
      <c r="B163" s="11" t="s">
        <v>1665</v>
      </c>
      <c r="C163" s="11" t="s">
        <v>2324</v>
      </c>
      <c r="D163" s="11" t="s">
        <v>44</v>
      </c>
      <c r="E163" s="11" t="s">
        <v>121</v>
      </c>
      <c r="F163" s="11" t="s">
        <v>718</v>
      </c>
      <c r="G163" s="12" t="s">
        <v>940</v>
      </c>
      <c r="H163" s="12" t="s">
        <v>68</v>
      </c>
      <c r="I163" s="12" t="str">
        <f>IFERROR(VLOOKUP(H163, DADOS_RM_EVENTOS_original!C:D, 2, FALSE), "Código não encontrado/Não digitado")</f>
        <v>Código não encontrado/Não digitado</v>
      </c>
      <c r="J163" s="12" t="s">
        <v>68</v>
      </c>
      <c r="K163" s="12" t="str">
        <f>IFERROR(VLOOKUP(J163, DADOS_RM_EVENTOS_original!E:J, 2, FALSE), "Código não encontrado/Não digitado")</f>
        <v>Código não encontrado/Não digitado</v>
      </c>
      <c r="L163" s="12" t="s">
        <v>68</v>
      </c>
      <c r="M163" s="12" t="str">
        <f>IFERROR(VLOOKUP(L163, DADOS_RM_EVENTOS_original!K:L, 2, FALSE), "Código não encontrado/Não digitado")</f>
        <v>Código não encontrado/Não digitado</v>
      </c>
    </row>
    <row r="164" ht="15.75" hidden="1" customHeight="1">
      <c r="A164" s="11" t="s">
        <v>142</v>
      </c>
      <c r="B164" s="11" t="s">
        <v>1665</v>
      </c>
      <c r="C164" s="11" t="s">
        <v>2345</v>
      </c>
      <c r="D164" s="11" t="s">
        <v>44</v>
      </c>
      <c r="E164" s="11" t="s">
        <v>985</v>
      </c>
      <c r="F164" s="11" t="s">
        <v>718</v>
      </c>
      <c r="G164" s="12" t="s">
        <v>940</v>
      </c>
      <c r="H164" s="12" t="s">
        <v>68</v>
      </c>
      <c r="I164" s="12" t="str">
        <f>IFERROR(VLOOKUP(H164, DADOS_RM_EVENTOS_original!C:D, 2, FALSE), "Código não encontrado/Não digitado")</f>
        <v>Código não encontrado/Não digitado</v>
      </c>
      <c r="J164" s="12" t="s">
        <v>68</v>
      </c>
      <c r="K164" s="12" t="str">
        <f>IFERROR(VLOOKUP(J164, DADOS_RM_EVENTOS_original!E:J, 2, FALSE), "Código não encontrado/Não digitado")</f>
        <v>Código não encontrado/Não digitado</v>
      </c>
      <c r="L164" s="12" t="s">
        <v>68</v>
      </c>
      <c r="M164" s="12" t="str">
        <f>IFERROR(VLOOKUP(L164, DADOS_RM_EVENTOS_original!K:L, 2, FALSE), "Código não encontrado/Não digitado")</f>
        <v>Código não encontrado/Não digitado</v>
      </c>
    </row>
    <row r="165" ht="15.75" hidden="1" customHeight="1">
      <c r="A165" s="11" t="s">
        <v>97</v>
      </c>
      <c r="B165" s="11" t="s">
        <v>153</v>
      </c>
      <c r="C165" s="11" t="s">
        <v>2358</v>
      </c>
      <c r="D165" s="11" t="s">
        <v>44</v>
      </c>
      <c r="E165" s="11" t="s">
        <v>972</v>
      </c>
      <c r="F165" s="11" t="s">
        <v>507</v>
      </c>
      <c r="G165" s="12" t="s">
        <v>582</v>
      </c>
      <c r="H165" s="12" t="s">
        <v>68</v>
      </c>
      <c r="I165" s="12" t="str">
        <f>IFERROR(VLOOKUP(H165, DADOS_RM_EVENTOS_original!C:D, 2, FALSE), "Código não encontrado/Não digitado")</f>
        <v>Código não encontrado/Não digitado</v>
      </c>
      <c r="J165" s="12" t="s">
        <v>68</v>
      </c>
      <c r="K165" s="12" t="str">
        <f>IFERROR(VLOOKUP(J165, DADOS_RM_EVENTOS_original!E:J, 2, FALSE), "Código não encontrado/Não digitado")</f>
        <v>Código não encontrado/Não digitado</v>
      </c>
      <c r="L165" s="12" t="s">
        <v>68</v>
      </c>
      <c r="M165" s="12" t="str">
        <f>IFERROR(VLOOKUP(L165, DADOS_RM_EVENTOS_original!K:L, 2, FALSE), "Código não encontrado/Não digitado")</f>
        <v>Código não encontrado/Não digitado</v>
      </c>
    </row>
    <row r="166" ht="15.75" hidden="1" customHeight="1">
      <c r="A166" s="11" t="s">
        <v>142</v>
      </c>
      <c r="B166" s="11" t="s">
        <v>153</v>
      </c>
      <c r="C166" s="11" t="s">
        <v>2370</v>
      </c>
      <c r="D166" s="11" t="s">
        <v>120</v>
      </c>
      <c r="E166" s="11" t="s">
        <v>985</v>
      </c>
      <c r="F166" s="11" t="s">
        <v>844</v>
      </c>
      <c r="G166" s="12" t="s">
        <v>846</v>
      </c>
      <c r="H166" s="12" t="s">
        <v>68</v>
      </c>
      <c r="I166" s="12" t="str">
        <f>IFERROR(VLOOKUP(H166, DADOS_RM_EVENTOS_original!C:D, 2, FALSE), "Código não encontrado/Não digitado")</f>
        <v>Código não encontrado/Não digitado</v>
      </c>
      <c r="J166" s="12" t="s">
        <v>68</v>
      </c>
      <c r="K166" s="12" t="str">
        <f>IFERROR(VLOOKUP(J166, DADOS_RM_EVENTOS_original!E:J, 2, FALSE), "Código não encontrado/Não digitado")</f>
        <v>Código não encontrado/Não digitado</v>
      </c>
      <c r="L166" s="12" t="s">
        <v>68</v>
      </c>
      <c r="M166" s="12" t="str">
        <f>IFERROR(VLOOKUP(L166, DADOS_RM_EVENTOS_original!K:L, 2, FALSE), "Código não encontrado/Não digitado")</f>
        <v>Código não encontrado/Não digitado</v>
      </c>
    </row>
    <row r="167" ht="15.75" hidden="1" customHeight="1">
      <c r="A167" s="11" t="s">
        <v>38</v>
      </c>
      <c r="B167" s="11" t="s">
        <v>172</v>
      </c>
      <c r="C167" s="11" t="s">
        <v>2379</v>
      </c>
      <c r="D167" s="11" t="s">
        <v>120</v>
      </c>
      <c r="E167" s="11" t="s">
        <v>47</v>
      </c>
      <c r="F167" s="11" t="s">
        <v>220</v>
      </c>
      <c r="G167" s="12" t="s">
        <v>961</v>
      </c>
      <c r="H167" s="12" t="s">
        <v>68</v>
      </c>
      <c r="I167" s="12" t="str">
        <f>IFERROR(VLOOKUP(H167, DADOS_RM_EVENTOS_original!C:D, 2, FALSE), "Código não encontrado/Não digitado")</f>
        <v>Código não encontrado/Não digitado</v>
      </c>
      <c r="J167" s="12" t="s">
        <v>68</v>
      </c>
      <c r="K167" s="12" t="str">
        <f>IFERROR(VLOOKUP(J167, DADOS_RM_EVENTOS_original!E:J, 2, FALSE), "Código não encontrado/Não digitado")</f>
        <v>Código não encontrado/Não digitado</v>
      </c>
      <c r="L167" s="12" t="s">
        <v>68</v>
      </c>
      <c r="M167" s="12" t="str">
        <f>IFERROR(VLOOKUP(L167, DADOS_RM_EVENTOS_original!K:L, 2, FALSE), "Código não encontrado/Não digitado")</f>
        <v>Código não encontrado/Não digitado</v>
      </c>
    </row>
    <row r="168" ht="15.75" hidden="1" customHeight="1">
      <c r="A168" s="11" t="s">
        <v>38</v>
      </c>
      <c r="B168" s="11" t="s">
        <v>523</v>
      </c>
      <c r="C168" s="11" t="s">
        <v>2395</v>
      </c>
      <c r="D168" s="11" t="s">
        <v>96</v>
      </c>
      <c r="E168" s="11" t="s">
        <v>47</v>
      </c>
      <c r="F168" s="11" t="s">
        <v>99</v>
      </c>
      <c r="G168" s="12" t="s">
        <v>63</v>
      </c>
      <c r="H168" s="12" t="s">
        <v>68</v>
      </c>
      <c r="I168" s="12" t="str">
        <f>IFERROR(VLOOKUP(H168, DADOS_RM_EVENTOS_original!C:D, 2, FALSE), "Código não encontrado/Não digitado")</f>
        <v>Código não encontrado/Não digitado</v>
      </c>
      <c r="J168" s="12" t="s">
        <v>68</v>
      </c>
      <c r="K168" s="12" t="str">
        <f>IFERROR(VLOOKUP(J168, DADOS_RM_EVENTOS_original!E:J, 2, FALSE), "Código não encontrado/Não digitado")</f>
        <v>Código não encontrado/Não digitado</v>
      </c>
      <c r="L168" s="12" t="s">
        <v>68</v>
      </c>
      <c r="M168" s="12" t="str">
        <f>IFERROR(VLOOKUP(L168, DADOS_RM_EVENTOS_original!K:L, 2, FALSE), "Código não encontrado/Não digitado")</f>
        <v>Código não encontrado/Não digitado</v>
      </c>
    </row>
    <row r="169" ht="15.75" hidden="1" customHeight="1">
      <c r="A169" s="11" t="s">
        <v>97</v>
      </c>
      <c r="B169" s="11" t="s">
        <v>2409</v>
      </c>
      <c r="C169" s="11" t="s">
        <v>2395</v>
      </c>
      <c r="D169" s="11" t="s">
        <v>96</v>
      </c>
      <c r="E169" s="11" t="s">
        <v>972</v>
      </c>
      <c r="F169" s="11" t="s">
        <v>99</v>
      </c>
      <c r="G169" s="12" t="s">
        <v>63</v>
      </c>
      <c r="H169" s="12" t="s">
        <v>68</v>
      </c>
      <c r="I169" s="12" t="str">
        <f>IFERROR(VLOOKUP(H169, DADOS_RM_EVENTOS_original!C:D, 2, FALSE), "Código não encontrado/Não digitado")</f>
        <v>Código não encontrado/Não digitado</v>
      </c>
      <c r="J169" s="12" t="s">
        <v>68</v>
      </c>
      <c r="K169" s="12" t="str">
        <f>IFERROR(VLOOKUP(J169, DADOS_RM_EVENTOS_original!E:J, 2, FALSE), "Código não encontrado/Não digitado")</f>
        <v>Código não encontrado/Não digitado</v>
      </c>
      <c r="L169" s="12" t="s">
        <v>68</v>
      </c>
      <c r="M169" s="12" t="str">
        <f>IFERROR(VLOOKUP(L169, DADOS_RM_EVENTOS_original!K:L, 2, FALSE), "Código não encontrado/Não digitado")</f>
        <v>Código não encontrado/Não digitado</v>
      </c>
    </row>
    <row r="170" ht="15.75" hidden="1" customHeight="1">
      <c r="A170" s="11" t="s">
        <v>142</v>
      </c>
      <c r="B170" s="11" t="s">
        <v>1299</v>
      </c>
      <c r="C170" s="11" t="s">
        <v>2395</v>
      </c>
      <c r="D170" s="11" t="s">
        <v>96</v>
      </c>
      <c r="E170" s="11" t="s">
        <v>985</v>
      </c>
      <c r="F170" s="11" t="s">
        <v>99</v>
      </c>
      <c r="G170" s="12" t="s">
        <v>63</v>
      </c>
      <c r="H170" s="12" t="s">
        <v>68</v>
      </c>
      <c r="I170" s="12" t="str">
        <f>IFERROR(VLOOKUP(H170, DADOS_RM_EVENTOS_original!C:D, 2, FALSE), "Código não encontrado/Não digitado")</f>
        <v>Código não encontrado/Não digitado</v>
      </c>
      <c r="J170" s="12" t="s">
        <v>68</v>
      </c>
      <c r="K170" s="12" t="str">
        <f>IFERROR(VLOOKUP(J170, DADOS_RM_EVENTOS_original!E:J, 2, FALSE), "Código não encontrado/Não digitado")</f>
        <v>Código não encontrado/Não digitado</v>
      </c>
      <c r="L170" s="12" t="s">
        <v>68</v>
      </c>
      <c r="M170" s="12" t="str">
        <f>IFERROR(VLOOKUP(L170, DADOS_RM_EVENTOS_original!K:L, 2, FALSE), "Código não encontrado/Não digitado")</f>
        <v>Código não encontrado/Não digitado</v>
      </c>
    </row>
    <row r="171" ht="15.75" hidden="1" customHeight="1">
      <c r="A171" s="11" t="s">
        <v>199</v>
      </c>
      <c r="B171" s="11" t="s">
        <v>2440</v>
      </c>
      <c r="C171" s="11" t="s">
        <v>2395</v>
      </c>
      <c r="D171" s="11" t="s">
        <v>96</v>
      </c>
      <c r="E171" s="11" t="s">
        <v>1074</v>
      </c>
      <c r="F171" s="11" t="s">
        <v>99</v>
      </c>
      <c r="G171" s="12" t="s">
        <v>63</v>
      </c>
      <c r="H171" s="12" t="s">
        <v>68</v>
      </c>
      <c r="I171" s="12" t="str">
        <f>IFERROR(VLOOKUP(H171, DADOS_RM_EVENTOS_original!C:D, 2, FALSE), "Código não encontrado/Não digitado")</f>
        <v>Código não encontrado/Não digitado</v>
      </c>
      <c r="J171" s="12" t="s">
        <v>68</v>
      </c>
      <c r="K171" s="12" t="str">
        <f>IFERROR(VLOOKUP(J171, DADOS_RM_EVENTOS_original!E:J, 2, FALSE), "Código não encontrado/Não digitado")</f>
        <v>Código não encontrado/Não digitado</v>
      </c>
      <c r="L171" s="12" t="s">
        <v>68</v>
      </c>
      <c r="M171" s="12" t="str">
        <f>IFERROR(VLOOKUP(L171, DADOS_RM_EVENTOS_original!K:L, 2, FALSE), "Código não encontrado/Não digitado")</f>
        <v>Código não encontrado/Não digitado</v>
      </c>
    </row>
    <row r="172" ht="15.75" hidden="1" customHeight="1">
      <c r="A172" s="11" t="s">
        <v>38</v>
      </c>
      <c r="B172" s="11" t="s">
        <v>526</v>
      </c>
      <c r="C172" s="11" t="s">
        <v>2453</v>
      </c>
      <c r="D172" s="11" t="s">
        <v>96</v>
      </c>
      <c r="E172" s="11" t="s">
        <v>47</v>
      </c>
      <c r="F172" s="11" t="s">
        <v>99</v>
      </c>
      <c r="G172" s="12" t="s">
        <v>63</v>
      </c>
      <c r="H172" s="12" t="s">
        <v>68</v>
      </c>
      <c r="I172" s="12" t="str">
        <f>IFERROR(VLOOKUP(H172, DADOS_RM_EVENTOS_original!C:D, 2, FALSE), "Código não encontrado/Não digitado")</f>
        <v>Código não encontrado/Não digitado</v>
      </c>
      <c r="J172" s="12" t="s">
        <v>68</v>
      </c>
      <c r="K172" s="12" t="str">
        <f>IFERROR(VLOOKUP(J172, DADOS_RM_EVENTOS_original!E:J, 2, FALSE), "Código não encontrado/Não digitado")</f>
        <v>Código não encontrado/Não digitado</v>
      </c>
      <c r="L172" s="12" t="s">
        <v>68</v>
      </c>
      <c r="M172" s="12" t="str">
        <f>IFERROR(VLOOKUP(L172, DADOS_RM_EVENTOS_original!K:L, 2, FALSE), "Código não encontrado/Não digitado")</f>
        <v>Código não encontrado/Não digitado</v>
      </c>
    </row>
    <row r="173" ht="15.75" hidden="1" customHeight="1">
      <c r="A173" s="11" t="s">
        <v>115</v>
      </c>
      <c r="B173" s="11" t="s">
        <v>412</v>
      </c>
      <c r="C173" s="11" t="s">
        <v>2453</v>
      </c>
      <c r="D173" s="11" t="s">
        <v>96</v>
      </c>
      <c r="E173" s="11" t="s">
        <v>121</v>
      </c>
      <c r="F173" s="11" t="s">
        <v>99</v>
      </c>
      <c r="G173" s="12" t="s">
        <v>63</v>
      </c>
      <c r="H173" s="12" t="s">
        <v>68</v>
      </c>
      <c r="I173" s="12" t="str">
        <f>IFERROR(VLOOKUP(H173, DADOS_RM_EVENTOS_original!C:D, 2, FALSE), "Código não encontrado/Não digitado")</f>
        <v>Código não encontrado/Não digitado</v>
      </c>
      <c r="J173" s="12" t="s">
        <v>68</v>
      </c>
      <c r="K173" s="12" t="str">
        <f>IFERROR(VLOOKUP(J173, DADOS_RM_EVENTOS_original!E:J, 2, FALSE), "Código não encontrado/Não digitado")</f>
        <v>Código não encontrado/Não digitado</v>
      </c>
      <c r="L173" s="12" t="s">
        <v>68</v>
      </c>
      <c r="M173" s="12" t="str">
        <f>IFERROR(VLOOKUP(L173, DADOS_RM_EVENTOS_original!K:L, 2, FALSE), "Código não encontrado/Não digitado")</f>
        <v>Código não encontrado/Não digitado</v>
      </c>
    </row>
    <row r="174" ht="15.75" hidden="1" customHeight="1">
      <c r="A174" s="11" t="s">
        <v>38</v>
      </c>
      <c r="B174" s="11" t="s">
        <v>1193</v>
      </c>
      <c r="C174" s="11" t="s">
        <v>2473</v>
      </c>
      <c r="D174" s="11" t="s">
        <v>44</v>
      </c>
      <c r="E174" s="11" t="s">
        <v>47</v>
      </c>
      <c r="F174" s="11" t="s">
        <v>838</v>
      </c>
      <c r="G174" s="12" t="s">
        <v>1094</v>
      </c>
      <c r="H174" s="12" t="s">
        <v>68</v>
      </c>
      <c r="I174" s="12" t="str">
        <f>IFERROR(VLOOKUP(H174, DADOS_RM_EVENTOS_original!C:D, 2, FALSE), "Código não encontrado/Não digitado")</f>
        <v>Código não encontrado/Não digitado</v>
      </c>
      <c r="J174" s="12" t="s">
        <v>68</v>
      </c>
      <c r="K174" s="12" t="str">
        <f>IFERROR(VLOOKUP(J174, DADOS_RM_EVENTOS_original!E:J, 2, FALSE), "Código não encontrado/Não digitado")</f>
        <v>Código não encontrado/Não digitado</v>
      </c>
      <c r="L174" s="12" t="s">
        <v>68</v>
      </c>
      <c r="M174" s="12" t="str">
        <f>IFERROR(VLOOKUP(L174, DADOS_RM_EVENTOS_original!K:L, 2, FALSE), "Código não encontrado/Não digitado")</f>
        <v>Código não encontrado/Não digitado</v>
      </c>
    </row>
    <row r="175" ht="15.75" customHeight="1">
      <c r="A175" s="11" t="s">
        <v>38</v>
      </c>
      <c r="B175" s="11" t="s">
        <v>274</v>
      </c>
      <c r="C175" s="11" t="s">
        <v>2485</v>
      </c>
      <c r="D175" s="11" t="s">
        <v>44</v>
      </c>
      <c r="E175" s="11" t="s">
        <v>47</v>
      </c>
      <c r="F175" s="11" t="s">
        <v>49</v>
      </c>
      <c r="G175" s="12" t="s">
        <v>63</v>
      </c>
      <c r="H175" s="12" t="s">
        <v>68</v>
      </c>
      <c r="I175" s="12" t="str">
        <f>IFERROR(VLOOKUP(H175, DADOS_RM_EVENTOS_original!C:D, 2, FALSE), "Código não encontrado/Não digitado")</f>
        <v>Código não encontrado/Não digitado</v>
      </c>
      <c r="J175" s="12" t="s">
        <v>68</v>
      </c>
      <c r="K175" s="12" t="str">
        <f>IFERROR(VLOOKUP(J175, DADOS_RM_EVENTOS_original!E:J, 2, FALSE), "Código não encontrado/Não digitado")</f>
        <v>Código não encontrado/Não digitado</v>
      </c>
      <c r="L175" s="12" t="s">
        <v>68</v>
      </c>
      <c r="M175" s="12" t="str">
        <f>IFERROR(VLOOKUP(L175, DADOS_RM_EVENTOS_original!K:L, 2, FALSE), "Código não encontrado/Não digitado")</f>
        <v>Código não encontrado/Não digitado</v>
      </c>
    </row>
    <row r="176" ht="15.75" hidden="1" customHeight="1">
      <c r="A176" s="11" t="s">
        <v>38</v>
      </c>
      <c r="B176" s="11" t="s">
        <v>2498</v>
      </c>
      <c r="C176" s="11" t="s">
        <v>2499</v>
      </c>
      <c r="D176" s="11" t="s">
        <v>44</v>
      </c>
      <c r="E176" s="11" t="s">
        <v>47</v>
      </c>
      <c r="F176" s="11" t="s">
        <v>1162</v>
      </c>
      <c r="G176" s="12" t="s">
        <v>1553</v>
      </c>
      <c r="H176" s="12" t="s">
        <v>68</v>
      </c>
      <c r="I176" s="12" t="str">
        <f>IFERROR(VLOOKUP(H176, DADOS_RM_EVENTOS_original!C:D, 2, FALSE), "Código não encontrado/Não digitado")</f>
        <v>Código não encontrado/Não digitado</v>
      </c>
      <c r="J176" s="12" t="s">
        <v>68</v>
      </c>
      <c r="K176" s="12" t="str">
        <f>IFERROR(VLOOKUP(J176, DADOS_RM_EVENTOS_original!E:J, 2, FALSE), "Código não encontrado/Não digitado")</f>
        <v>Código não encontrado/Não digitado</v>
      </c>
      <c r="L176" s="12" t="s">
        <v>68</v>
      </c>
      <c r="M176" s="12" t="str">
        <f>IFERROR(VLOOKUP(L176, DADOS_RM_EVENTOS_original!K:L, 2, FALSE), "Código não encontrado/Não digitado")</f>
        <v>Código não encontrado/Não digitado</v>
      </c>
    </row>
    <row r="177" ht="15.75" hidden="1" customHeight="1">
      <c r="A177" s="11" t="s">
        <v>115</v>
      </c>
      <c r="B177" s="11" t="s">
        <v>2498</v>
      </c>
      <c r="C177" s="11" t="s">
        <v>2499</v>
      </c>
      <c r="D177" s="11" t="s">
        <v>44</v>
      </c>
      <c r="E177" s="11" t="s">
        <v>121</v>
      </c>
      <c r="F177" s="11" t="s">
        <v>1162</v>
      </c>
      <c r="G177" s="12" t="s">
        <v>1553</v>
      </c>
      <c r="H177" s="12" t="s">
        <v>68</v>
      </c>
      <c r="I177" s="12" t="str">
        <f>IFERROR(VLOOKUP(H177, DADOS_RM_EVENTOS_original!C:D, 2, FALSE), "Código não encontrado/Não digitado")</f>
        <v>Código não encontrado/Não digitado</v>
      </c>
      <c r="J177" s="12" t="s">
        <v>68</v>
      </c>
      <c r="K177" s="12" t="str">
        <f>IFERROR(VLOOKUP(J177, DADOS_RM_EVENTOS_original!E:J, 2, FALSE), "Código não encontrado/Não digitado")</f>
        <v>Código não encontrado/Não digitado</v>
      </c>
      <c r="L177" s="12" t="s">
        <v>68</v>
      </c>
      <c r="M177" s="12" t="str">
        <f>IFERROR(VLOOKUP(L177, DADOS_RM_EVENTOS_original!K:L, 2, FALSE), "Código não encontrado/Não digitado")</f>
        <v>Código não encontrado/Não digitado</v>
      </c>
    </row>
    <row r="178" ht="15.75" hidden="1" customHeight="1">
      <c r="A178" s="11" t="s">
        <v>172</v>
      </c>
      <c r="B178" s="11" t="s">
        <v>2498</v>
      </c>
      <c r="C178" s="11" t="s">
        <v>2519</v>
      </c>
      <c r="D178" s="11" t="s">
        <v>44</v>
      </c>
      <c r="E178" s="11" t="s">
        <v>1029</v>
      </c>
      <c r="F178" s="11" t="s">
        <v>1162</v>
      </c>
      <c r="G178" s="12" t="s">
        <v>1553</v>
      </c>
      <c r="H178" s="12" t="s">
        <v>68</v>
      </c>
      <c r="I178" s="12" t="str">
        <f>IFERROR(VLOOKUP(H178, DADOS_RM_EVENTOS_original!C:D, 2, FALSE), "Código não encontrado/Não digitado")</f>
        <v>Código não encontrado/Não digitado</v>
      </c>
      <c r="J178" s="12" t="s">
        <v>68</v>
      </c>
      <c r="K178" s="12" t="str">
        <f>IFERROR(VLOOKUP(J178, DADOS_RM_EVENTOS_original!E:J, 2, FALSE), "Código não encontrado/Não digitado")</f>
        <v>Código não encontrado/Não digitado</v>
      </c>
      <c r="L178" s="12" t="s">
        <v>68</v>
      </c>
      <c r="M178" s="12" t="str">
        <f>IFERROR(VLOOKUP(L178, DADOS_RM_EVENTOS_original!K:L, 2, FALSE), "Código não encontrado/Não digitado")</f>
        <v>Código não encontrado/Não digitado</v>
      </c>
    </row>
    <row r="179" ht="15.75" hidden="1" customHeight="1">
      <c r="A179" s="11" t="s">
        <v>142</v>
      </c>
      <c r="B179" s="11" t="s">
        <v>2498</v>
      </c>
      <c r="C179" s="11" t="s">
        <v>2519</v>
      </c>
      <c r="D179" s="11" t="s">
        <v>44</v>
      </c>
      <c r="E179" s="11" t="s">
        <v>985</v>
      </c>
      <c r="F179" s="11" t="s">
        <v>1162</v>
      </c>
      <c r="G179" s="12" t="s">
        <v>1553</v>
      </c>
      <c r="H179" s="12" t="s">
        <v>68</v>
      </c>
      <c r="I179" s="12" t="str">
        <f>IFERROR(VLOOKUP(H179, DADOS_RM_EVENTOS_original!C:D, 2, FALSE), "Código não encontrado/Não digitado")</f>
        <v>Código não encontrado/Não digitado</v>
      </c>
      <c r="J179" s="12" t="s">
        <v>68</v>
      </c>
      <c r="K179" s="12" t="str">
        <f>IFERROR(VLOOKUP(J179, DADOS_RM_EVENTOS_original!E:J, 2, FALSE), "Código não encontrado/Não digitado")</f>
        <v>Código não encontrado/Não digitado</v>
      </c>
      <c r="L179" s="12" t="s">
        <v>68</v>
      </c>
      <c r="M179" s="12" t="str">
        <f>IFERROR(VLOOKUP(L179, DADOS_RM_EVENTOS_original!K:L, 2, FALSE), "Código não encontrado/Não digitado")</f>
        <v>Código não encontrado/Não digitado</v>
      </c>
    </row>
    <row r="180" ht="15.75" hidden="1" customHeight="1">
      <c r="A180" s="11" t="s">
        <v>172</v>
      </c>
      <c r="B180" s="11" t="s">
        <v>2541</v>
      </c>
      <c r="C180" s="11" t="s">
        <v>2543</v>
      </c>
      <c r="D180" s="11" t="s">
        <v>120</v>
      </c>
      <c r="E180" s="11" t="s">
        <v>1029</v>
      </c>
      <c r="F180" s="11" t="s">
        <v>1486</v>
      </c>
      <c r="G180" s="12" t="s">
        <v>2007</v>
      </c>
      <c r="H180" s="12" t="s">
        <v>68</v>
      </c>
      <c r="I180" s="12" t="str">
        <f>IFERROR(VLOOKUP(H180, DADOS_RM_EVENTOS_original!C:D, 2, FALSE), "Código não encontrado/Não digitado")</f>
        <v>Código não encontrado/Não digitado</v>
      </c>
      <c r="J180" s="12" t="s">
        <v>68</v>
      </c>
      <c r="K180" s="12" t="str">
        <f>IFERROR(VLOOKUP(J180, DADOS_RM_EVENTOS_original!E:J, 2, FALSE), "Código não encontrado/Não digitado")</f>
        <v>Código não encontrado/Não digitado</v>
      </c>
      <c r="L180" s="12" t="s">
        <v>68</v>
      </c>
      <c r="M180" s="12" t="str">
        <f>IFERROR(VLOOKUP(L180, DADOS_RM_EVENTOS_original!K:L, 2, FALSE), "Código não encontrado/Não digitado")</f>
        <v>Código não encontrado/Não digitado</v>
      </c>
    </row>
    <row r="181" ht="15.75" hidden="1" customHeight="1">
      <c r="A181" s="11" t="s">
        <v>38</v>
      </c>
      <c r="B181" s="11" t="s">
        <v>652</v>
      </c>
      <c r="C181" s="11" t="s">
        <v>2556</v>
      </c>
      <c r="D181" s="11" t="s">
        <v>120</v>
      </c>
      <c r="E181" s="11" t="s">
        <v>47</v>
      </c>
      <c r="F181" s="11" t="s">
        <v>1603</v>
      </c>
      <c r="G181" s="12" t="s">
        <v>2189</v>
      </c>
      <c r="H181" s="12" t="s">
        <v>68</v>
      </c>
      <c r="I181" s="12" t="str">
        <f>IFERROR(VLOOKUP(H181, DADOS_RM_EVENTOS_original!C:D, 2, FALSE), "Código não encontrado/Não digitado")</f>
        <v>Código não encontrado/Não digitado</v>
      </c>
      <c r="J181" s="12" t="s">
        <v>68</v>
      </c>
      <c r="K181" s="12" t="str">
        <f>IFERROR(VLOOKUP(J181, DADOS_RM_EVENTOS_original!E:J, 2, FALSE), "Código não encontrado/Não digitado")</f>
        <v>Código não encontrado/Não digitado</v>
      </c>
      <c r="L181" s="12" t="s">
        <v>68</v>
      </c>
      <c r="M181" s="12" t="str">
        <f>IFERROR(VLOOKUP(L181, DADOS_RM_EVENTOS_original!K:L, 2, FALSE), "Código não encontrado/Não digitado")</f>
        <v>Código não encontrado/Não digitado</v>
      </c>
    </row>
    <row r="182" ht="15.75" hidden="1" customHeight="1">
      <c r="A182" s="11" t="s">
        <v>38</v>
      </c>
      <c r="B182" s="11" t="s">
        <v>2567</v>
      </c>
      <c r="C182" s="11" t="s">
        <v>2568</v>
      </c>
      <c r="D182" s="11" t="s">
        <v>120</v>
      </c>
      <c r="E182" s="11" t="s">
        <v>47</v>
      </c>
      <c r="F182" s="11" t="s">
        <v>1603</v>
      </c>
      <c r="G182" s="12" t="s">
        <v>2189</v>
      </c>
      <c r="H182" s="12" t="s">
        <v>68</v>
      </c>
      <c r="I182" s="12" t="str">
        <f>IFERROR(VLOOKUP(H182, DADOS_RM_EVENTOS_original!C:D, 2, FALSE), "Código não encontrado/Não digitado")</f>
        <v>Código não encontrado/Não digitado</v>
      </c>
      <c r="J182" s="12" t="s">
        <v>68</v>
      </c>
      <c r="K182" s="12" t="str">
        <f>IFERROR(VLOOKUP(J182, DADOS_RM_EVENTOS_original!E:J, 2, FALSE), "Código não encontrado/Não digitado")</f>
        <v>Código não encontrado/Não digitado</v>
      </c>
      <c r="L182" s="12" t="s">
        <v>68</v>
      </c>
      <c r="M182" s="12" t="str">
        <f>IFERROR(VLOOKUP(L182, DADOS_RM_EVENTOS_original!K:L, 2, FALSE), "Código não encontrado/Não digitado")</f>
        <v>Código não encontrado/Não digitado</v>
      </c>
    </row>
    <row r="183" ht="15.75" hidden="1" customHeight="1">
      <c r="A183" s="11" t="s">
        <v>38</v>
      </c>
      <c r="B183" s="11" t="s">
        <v>775</v>
      </c>
      <c r="C183" s="11" t="s">
        <v>2584</v>
      </c>
      <c r="D183" s="11" t="s">
        <v>120</v>
      </c>
      <c r="E183" s="11" t="s">
        <v>47</v>
      </c>
      <c r="F183" s="11" t="s">
        <v>115</v>
      </c>
      <c r="G183" s="12" t="s">
        <v>161</v>
      </c>
      <c r="H183" s="12" t="s">
        <v>68</v>
      </c>
      <c r="I183" s="12" t="str">
        <f>IFERROR(VLOOKUP(H183, DADOS_RM_EVENTOS_original!C:D, 2, FALSE), "Código não encontrado/Não digitado")</f>
        <v>Código não encontrado/Não digitado</v>
      </c>
      <c r="J183" s="12" t="s">
        <v>68</v>
      </c>
      <c r="K183" s="12" t="str">
        <f>IFERROR(VLOOKUP(J183, DADOS_RM_EVENTOS_original!E:J, 2, FALSE), "Código não encontrado/Não digitado")</f>
        <v>Código não encontrado/Não digitado</v>
      </c>
      <c r="L183" s="12" t="s">
        <v>68</v>
      </c>
      <c r="M183" s="12" t="str">
        <f>IFERROR(VLOOKUP(L183, DADOS_RM_EVENTOS_original!K:L, 2, FALSE), "Código não encontrado/Não digitado")</f>
        <v>Código não encontrado/Não digitado</v>
      </c>
    </row>
    <row r="184" ht="15.75" hidden="1" customHeight="1">
      <c r="A184" s="11" t="s">
        <v>38</v>
      </c>
      <c r="B184" s="11" t="s">
        <v>124</v>
      </c>
      <c r="C184" s="11" t="s">
        <v>2595</v>
      </c>
      <c r="D184" s="11" t="s">
        <v>120</v>
      </c>
      <c r="E184" s="11" t="s">
        <v>47</v>
      </c>
      <c r="F184" s="11" t="s">
        <v>1365</v>
      </c>
      <c r="G184" s="12" t="s">
        <v>1852</v>
      </c>
      <c r="H184" s="12" t="s">
        <v>68</v>
      </c>
      <c r="I184" s="12" t="str">
        <f>IFERROR(VLOOKUP(H184, DADOS_RM_EVENTOS_original!C:D, 2, FALSE), "Código não encontrado/Não digitado")</f>
        <v>Código não encontrado/Não digitado</v>
      </c>
      <c r="J184" s="12" t="s">
        <v>68</v>
      </c>
      <c r="K184" s="12" t="str">
        <f>IFERROR(VLOOKUP(J184, DADOS_RM_EVENTOS_original!E:J, 2, FALSE), "Código não encontrado/Não digitado")</f>
        <v>Código não encontrado/Não digitado</v>
      </c>
      <c r="L184" s="12" t="s">
        <v>68</v>
      </c>
      <c r="M184" s="12" t="str">
        <f>IFERROR(VLOOKUP(L184, DADOS_RM_EVENTOS_original!K:L, 2, FALSE), "Código não encontrado/Não digitado")</f>
        <v>Código não encontrado/Não digitado</v>
      </c>
    </row>
    <row r="185" ht="15.75" hidden="1" customHeight="1">
      <c r="A185" s="11" t="s">
        <v>97</v>
      </c>
      <c r="B185" s="11" t="s">
        <v>124</v>
      </c>
      <c r="C185" s="11" t="s">
        <v>2607</v>
      </c>
      <c r="D185" s="11" t="s">
        <v>120</v>
      </c>
      <c r="E185" s="11" t="s">
        <v>972</v>
      </c>
      <c r="F185" s="11" t="s">
        <v>1365</v>
      </c>
      <c r="G185" s="12" t="s">
        <v>1852</v>
      </c>
      <c r="H185" s="12" t="s">
        <v>68</v>
      </c>
      <c r="I185" s="12" t="str">
        <f>IFERROR(VLOOKUP(H185, DADOS_RM_EVENTOS_original!C:D, 2, FALSE), "Código não encontrado/Não digitado")</f>
        <v>Código não encontrado/Não digitado</v>
      </c>
      <c r="J185" s="12" t="s">
        <v>68</v>
      </c>
      <c r="K185" s="12" t="str">
        <f>IFERROR(VLOOKUP(J185, DADOS_RM_EVENTOS_original!E:J, 2, FALSE), "Código não encontrado/Não digitado")</f>
        <v>Código não encontrado/Não digitado</v>
      </c>
      <c r="L185" s="12" t="s">
        <v>68</v>
      </c>
      <c r="M185" s="12" t="str">
        <f>IFERROR(VLOOKUP(L185, DADOS_RM_EVENTOS_original!K:L, 2, FALSE), "Código não encontrado/Não digitado")</f>
        <v>Código não encontrado/Não digitado</v>
      </c>
    </row>
    <row r="186" ht="15.75" hidden="1" customHeight="1">
      <c r="A186" s="11" t="s">
        <v>38</v>
      </c>
      <c r="B186" s="11" t="s">
        <v>2337</v>
      </c>
      <c r="C186" s="11" t="s">
        <v>2619</v>
      </c>
      <c r="D186" s="11" t="s">
        <v>44</v>
      </c>
      <c r="E186" s="11" t="s">
        <v>47</v>
      </c>
      <c r="F186" s="11" t="s">
        <v>860</v>
      </c>
      <c r="G186" s="12" t="s">
        <v>1132</v>
      </c>
      <c r="H186" s="12" t="s">
        <v>68</v>
      </c>
      <c r="I186" s="12" t="str">
        <f>IFERROR(VLOOKUP(H186, DADOS_RM_EVENTOS_original!C:D, 2, FALSE), "Código não encontrado/Não digitado")</f>
        <v>Código não encontrado/Não digitado</v>
      </c>
      <c r="J186" s="12" t="s">
        <v>68</v>
      </c>
      <c r="K186" s="12" t="str">
        <f>IFERROR(VLOOKUP(J186, DADOS_RM_EVENTOS_original!E:J, 2, FALSE), "Código não encontrado/Não digitado")</f>
        <v>Código não encontrado/Não digitado</v>
      </c>
      <c r="L186" s="12" t="s">
        <v>68</v>
      </c>
      <c r="M186" s="12" t="str">
        <f>IFERROR(VLOOKUP(L186, DADOS_RM_EVENTOS_original!K:L, 2, FALSE), "Código não encontrado/Não digitado")</f>
        <v>Código não encontrado/Não digitado</v>
      </c>
    </row>
    <row r="187" ht="15.75" hidden="1" customHeight="1">
      <c r="A187" s="11" t="s">
        <v>172</v>
      </c>
      <c r="B187" s="11" t="s">
        <v>2337</v>
      </c>
      <c r="C187" s="11" t="s">
        <v>2628</v>
      </c>
      <c r="D187" s="11" t="s">
        <v>44</v>
      </c>
      <c r="E187" s="11" t="s">
        <v>1029</v>
      </c>
      <c r="F187" s="11" t="s">
        <v>860</v>
      </c>
      <c r="G187" s="12" t="s">
        <v>1132</v>
      </c>
      <c r="H187" s="12" t="s">
        <v>68</v>
      </c>
      <c r="I187" s="12" t="str">
        <f>IFERROR(VLOOKUP(H187, DADOS_RM_EVENTOS_original!C:D, 2, FALSE), "Código não encontrado/Não digitado")</f>
        <v>Código não encontrado/Não digitado</v>
      </c>
      <c r="J187" s="12" t="s">
        <v>68</v>
      </c>
      <c r="K187" s="12" t="str">
        <f>IFERROR(VLOOKUP(J187, DADOS_RM_EVENTOS_original!E:J, 2, FALSE), "Código não encontrado/Não digitado")</f>
        <v>Código não encontrado/Não digitado</v>
      </c>
      <c r="L187" s="12" t="s">
        <v>68</v>
      </c>
      <c r="M187" s="12" t="str">
        <f>IFERROR(VLOOKUP(L187, DADOS_RM_EVENTOS_original!K:L, 2, FALSE), "Código não encontrado/Não digitado")</f>
        <v>Código não encontrado/Não digitado</v>
      </c>
    </row>
    <row r="188" ht="15.75" hidden="1" customHeight="1">
      <c r="A188" s="11" t="s">
        <v>97</v>
      </c>
      <c r="B188" s="11" t="s">
        <v>2337</v>
      </c>
      <c r="C188" s="11" t="s">
        <v>2628</v>
      </c>
      <c r="D188" s="11" t="s">
        <v>44</v>
      </c>
      <c r="E188" s="11" t="s">
        <v>972</v>
      </c>
      <c r="F188" s="11" t="s">
        <v>860</v>
      </c>
      <c r="G188" s="12" t="s">
        <v>1132</v>
      </c>
      <c r="H188" s="12" t="s">
        <v>68</v>
      </c>
      <c r="I188" s="12" t="str">
        <f>IFERROR(VLOOKUP(H188, DADOS_RM_EVENTOS_original!C:D, 2, FALSE), "Código não encontrado/Não digitado")</f>
        <v>Código não encontrado/Não digitado</v>
      </c>
      <c r="J188" s="12" t="s">
        <v>68</v>
      </c>
      <c r="K188" s="12" t="str">
        <f>IFERROR(VLOOKUP(J188, DADOS_RM_EVENTOS_original!E:J, 2, FALSE), "Código não encontrado/Não digitado")</f>
        <v>Código não encontrado/Não digitado</v>
      </c>
      <c r="L188" s="12" t="s">
        <v>68</v>
      </c>
      <c r="M188" s="12" t="str">
        <f>IFERROR(VLOOKUP(L188, DADOS_RM_EVENTOS_original!K:L, 2, FALSE), "Código não encontrado/Não digitado")</f>
        <v>Código não encontrado/Não digitado</v>
      </c>
    </row>
    <row r="189" ht="15.75" hidden="1" customHeight="1">
      <c r="A189" s="11" t="s">
        <v>142</v>
      </c>
      <c r="B189" s="11" t="s">
        <v>2337</v>
      </c>
      <c r="C189" s="11" t="s">
        <v>2628</v>
      </c>
      <c r="D189" s="11" t="s">
        <v>44</v>
      </c>
      <c r="E189" s="11" t="s">
        <v>985</v>
      </c>
      <c r="F189" s="11" t="s">
        <v>860</v>
      </c>
      <c r="G189" s="12" t="s">
        <v>1132</v>
      </c>
      <c r="H189" s="12" t="s">
        <v>68</v>
      </c>
      <c r="I189" s="12" t="str">
        <f>IFERROR(VLOOKUP(H189, DADOS_RM_EVENTOS_original!C:D, 2, FALSE), "Código não encontrado/Não digitado")</f>
        <v>Código não encontrado/Não digitado</v>
      </c>
      <c r="J189" s="12" t="s">
        <v>68</v>
      </c>
      <c r="K189" s="12" t="str">
        <f>IFERROR(VLOOKUP(J189, DADOS_RM_EVENTOS_original!E:J, 2, FALSE), "Código não encontrado/Não digitado")</f>
        <v>Código não encontrado/Não digitado</v>
      </c>
      <c r="L189" s="12" t="s">
        <v>68</v>
      </c>
      <c r="M189" s="12" t="str">
        <f>IFERROR(VLOOKUP(L189, DADOS_RM_EVENTOS_original!K:L, 2, FALSE), "Código não encontrado/Não digitado")</f>
        <v>Código não encontrado/Não digitado</v>
      </c>
    </row>
    <row r="190" ht="15.75" hidden="1" customHeight="1">
      <c r="A190" s="11" t="s">
        <v>38</v>
      </c>
      <c r="B190" s="11" t="s">
        <v>838</v>
      </c>
      <c r="C190" s="11" t="s">
        <v>2661</v>
      </c>
      <c r="D190" s="11" t="s">
        <v>120</v>
      </c>
      <c r="E190" s="11" t="s">
        <v>47</v>
      </c>
      <c r="F190" s="11" t="s">
        <v>390</v>
      </c>
      <c r="G190" s="12" t="s">
        <v>406</v>
      </c>
      <c r="H190" s="12" t="s">
        <v>68</v>
      </c>
      <c r="I190" s="12" t="str">
        <f>IFERROR(VLOOKUP(H190, DADOS_RM_EVENTOS_original!C:D, 2, FALSE), "Código não encontrado/Não digitado")</f>
        <v>Código não encontrado/Não digitado</v>
      </c>
      <c r="J190" s="12" t="s">
        <v>68</v>
      </c>
      <c r="K190" s="12" t="str">
        <f>IFERROR(VLOOKUP(J190, DADOS_RM_EVENTOS_original!E:J, 2, FALSE), "Código não encontrado/Não digitado")</f>
        <v>Código não encontrado/Não digitado</v>
      </c>
      <c r="L190" s="12" t="s">
        <v>68</v>
      </c>
      <c r="M190" s="12" t="str">
        <f>IFERROR(VLOOKUP(L190, DADOS_RM_EVENTOS_original!K:L, 2, FALSE), "Código não encontrado/Não digitado")</f>
        <v>Código não encontrado/Não digitado</v>
      </c>
    </row>
    <row r="191" ht="15.75" hidden="1" customHeight="1">
      <c r="A191" s="11" t="s">
        <v>115</v>
      </c>
      <c r="B191" s="11" t="s">
        <v>838</v>
      </c>
      <c r="C191" s="11" t="s">
        <v>2661</v>
      </c>
      <c r="D191" s="11" t="s">
        <v>120</v>
      </c>
      <c r="E191" s="11" t="s">
        <v>121</v>
      </c>
      <c r="F191" s="11" t="s">
        <v>390</v>
      </c>
      <c r="G191" s="12" t="s">
        <v>406</v>
      </c>
      <c r="H191" s="12" t="s">
        <v>68</v>
      </c>
      <c r="I191" s="12" t="str">
        <f>IFERROR(VLOOKUP(H191, DADOS_RM_EVENTOS_original!C:D, 2, FALSE), "Código não encontrado/Não digitado")</f>
        <v>Código não encontrado/Não digitado</v>
      </c>
      <c r="J191" s="12" t="s">
        <v>68</v>
      </c>
      <c r="K191" s="12" t="str">
        <f>IFERROR(VLOOKUP(J191, DADOS_RM_EVENTOS_original!E:J, 2, FALSE), "Código não encontrado/Não digitado")</f>
        <v>Código não encontrado/Não digitado</v>
      </c>
      <c r="L191" s="12" t="s">
        <v>68</v>
      </c>
      <c r="M191" s="12" t="str">
        <f>IFERROR(VLOOKUP(L191, DADOS_RM_EVENTOS_original!K:L, 2, FALSE), "Código não encontrado/Não digitado")</f>
        <v>Código não encontrado/Não digitado</v>
      </c>
    </row>
    <row r="192" ht="15.75" hidden="1" customHeight="1">
      <c r="A192" s="11" t="s">
        <v>172</v>
      </c>
      <c r="B192" s="11" t="s">
        <v>838</v>
      </c>
      <c r="C192" s="11" t="s">
        <v>2682</v>
      </c>
      <c r="D192" s="11" t="s">
        <v>120</v>
      </c>
      <c r="E192" s="11" t="s">
        <v>1029</v>
      </c>
      <c r="F192" s="11" t="s">
        <v>390</v>
      </c>
      <c r="G192" s="12" t="s">
        <v>406</v>
      </c>
      <c r="H192" s="12" t="s">
        <v>68</v>
      </c>
      <c r="I192" s="12" t="str">
        <f>IFERROR(VLOOKUP(H192, DADOS_RM_EVENTOS_original!C:D, 2, FALSE), "Código não encontrado/Não digitado")</f>
        <v>Código não encontrado/Não digitado</v>
      </c>
      <c r="J192" s="12" t="s">
        <v>68</v>
      </c>
      <c r="K192" s="12" t="str">
        <f>IFERROR(VLOOKUP(J192, DADOS_RM_EVENTOS_original!E:J, 2, FALSE), "Código não encontrado/Não digitado")</f>
        <v>Código não encontrado/Não digitado</v>
      </c>
      <c r="L192" s="12" t="s">
        <v>68</v>
      </c>
      <c r="M192" s="12" t="str">
        <f>IFERROR(VLOOKUP(L192, DADOS_RM_EVENTOS_original!K:L, 2, FALSE), "Código não encontrado/Não digitado")</f>
        <v>Código não encontrado/Não digitado</v>
      </c>
    </row>
    <row r="193" ht="15.75" hidden="1" customHeight="1">
      <c r="A193" s="11" t="s">
        <v>97</v>
      </c>
      <c r="B193" s="11" t="s">
        <v>838</v>
      </c>
      <c r="C193" s="11" t="s">
        <v>2682</v>
      </c>
      <c r="D193" s="11" t="s">
        <v>120</v>
      </c>
      <c r="E193" s="11" t="s">
        <v>972</v>
      </c>
      <c r="F193" s="11" t="s">
        <v>390</v>
      </c>
      <c r="G193" s="12" t="s">
        <v>406</v>
      </c>
      <c r="H193" s="12" t="s">
        <v>68</v>
      </c>
      <c r="I193" s="12" t="str">
        <f>IFERROR(VLOOKUP(H193, DADOS_RM_EVENTOS_original!C:D, 2, FALSE), "Código não encontrado/Não digitado")</f>
        <v>Código não encontrado/Não digitado</v>
      </c>
      <c r="J193" s="12" t="s">
        <v>68</v>
      </c>
      <c r="K193" s="12" t="str">
        <f>IFERROR(VLOOKUP(J193, DADOS_RM_EVENTOS_original!E:J, 2, FALSE), "Código não encontrado/Não digitado")</f>
        <v>Código não encontrado/Não digitado</v>
      </c>
      <c r="L193" s="12" t="s">
        <v>68</v>
      </c>
      <c r="M193" s="12" t="str">
        <f>IFERROR(VLOOKUP(L193, DADOS_RM_EVENTOS_original!K:L, 2, FALSE), "Código não encontrado/Não digitado")</f>
        <v>Código não encontrado/Não digitado</v>
      </c>
    </row>
    <row r="194" ht="15.75" hidden="1" customHeight="1">
      <c r="A194" s="11" t="s">
        <v>142</v>
      </c>
      <c r="B194" s="11" t="s">
        <v>838</v>
      </c>
      <c r="C194" s="11" t="s">
        <v>2682</v>
      </c>
      <c r="D194" s="11" t="s">
        <v>120</v>
      </c>
      <c r="E194" s="11" t="s">
        <v>985</v>
      </c>
      <c r="F194" s="11" t="s">
        <v>390</v>
      </c>
      <c r="G194" s="12" t="s">
        <v>406</v>
      </c>
      <c r="H194" s="12" t="s">
        <v>68</v>
      </c>
      <c r="I194" s="12" t="str">
        <f>IFERROR(VLOOKUP(H194, DADOS_RM_EVENTOS_original!C:D, 2, FALSE), "Código não encontrado/Não digitado")</f>
        <v>Código não encontrado/Não digitado</v>
      </c>
      <c r="J194" s="12" t="s">
        <v>68</v>
      </c>
      <c r="K194" s="12" t="str">
        <f>IFERROR(VLOOKUP(J194, DADOS_RM_EVENTOS_original!E:J, 2, FALSE), "Código não encontrado/Não digitado")</f>
        <v>Código não encontrado/Não digitado</v>
      </c>
      <c r="L194" s="12" t="s">
        <v>68</v>
      </c>
      <c r="M194" s="12" t="str">
        <f>IFERROR(VLOOKUP(L194, DADOS_RM_EVENTOS_original!K:L, 2, FALSE), "Código não encontrado/Não digitado")</f>
        <v>Código não encontrado/Não digitado</v>
      </c>
    </row>
    <row r="195" ht="15.75" hidden="1" customHeight="1">
      <c r="A195" s="11" t="s">
        <v>38</v>
      </c>
      <c r="B195" s="11" t="s">
        <v>258</v>
      </c>
      <c r="C195" s="11" t="s">
        <v>2713</v>
      </c>
      <c r="D195" s="11" t="s">
        <v>44</v>
      </c>
      <c r="E195" s="11" t="s">
        <v>47</v>
      </c>
      <c r="F195" s="11" t="s">
        <v>1829</v>
      </c>
      <c r="G195" s="12" t="s">
        <v>2515</v>
      </c>
      <c r="H195" s="12" t="s">
        <v>68</v>
      </c>
      <c r="I195" s="12" t="str">
        <f>IFERROR(VLOOKUP(H195, DADOS_RM_EVENTOS_original!C:D, 2, FALSE), "Código não encontrado/Não digitado")</f>
        <v>Código não encontrado/Não digitado</v>
      </c>
      <c r="J195" s="12" t="s">
        <v>68</v>
      </c>
      <c r="K195" s="12" t="str">
        <f>IFERROR(VLOOKUP(J195, DADOS_RM_EVENTOS_original!E:J, 2, FALSE), "Código não encontrado/Não digitado")</f>
        <v>Código não encontrado/Não digitado</v>
      </c>
      <c r="L195" s="12" t="s">
        <v>68</v>
      </c>
      <c r="M195" s="12" t="str">
        <f>IFERROR(VLOOKUP(L195, DADOS_RM_EVENTOS_original!K:L, 2, FALSE), "Código não encontrado/Não digitado")</f>
        <v>Código não encontrado/Não digitado</v>
      </c>
    </row>
    <row r="196" ht="15.75" hidden="1" customHeight="1">
      <c r="A196" s="11" t="s">
        <v>97</v>
      </c>
      <c r="B196" s="11" t="s">
        <v>41</v>
      </c>
      <c r="C196" s="11" t="s">
        <v>2725</v>
      </c>
      <c r="D196" s="11" t="s">
        <v>120</v>
      </c>
      <c r="E196" s="11" t="s">
        <v>972</v>
      </c>
      <c r="F196" s="11" t="s">
        <v>1304</v>
      </c>
      <c r="G196" s="12" t="s">
        <v>1765</v>
      </c>
      <c r="H196" s="12" t="s">
        <v>68</v>
      </c>
      <c r="I196" s="12" t="str">
        <f>IFERROR(VLOOKUP(H196, DADOS_RM_EVENTOS_original!C:D, 2, FALSE), "Código não encontrado/Não digitado")</f>
        <v>Código não encontrado/Não digitado</v>
      </c>
      <c r="J196" s="12" t="s">
        <v>68</v>
      </c>
      <c r="K196" s="12" t="str">
        <f>IFERROR(VLOOKUP(J196, DADOS_RM_EVENTOS_original!E:J, 2, FALSE), "Código não encontrado/Não digitado")</f>
        <v>Código não encontrado/Não digitado</v>
      </c>
      <c r="L196" s="12" t="s">
        <v>68</v>
      </c>
      <c r="M196" s="12" t="str">
        <f>IFERROR(VLOOKUP(L196, DADOS_RM_EVENTOS_original!K:L, 2, FALSE), "Código não encontrado/Não digitado")</f>
        <v>Código não encontrado/Não digitado</v>
      </c>
    </row>
    <row r="197" ht="15.75" hidden="1" customHeight="1">
      <c r="A197" s="11" t="s">
        <v>38</v>
      </c>
      <c r="B197" s="11" t="s">
        <v>64</v>
      </c>
      <c r="C197" s="11" t="s">
        <v>2735</v>
      </c>
      <c r="D197" s="11" t="s">
        <v>120</v>
      </c>
      <c r="E197" s="11" t="s">
        <v>47</v>
      </c>
      <c r="F197" s="11" t="s">
        <v>2670</v>
      </c>
      <c r="G197" s="12" t="s">
        <v>2954</v>
      </c>
      <c r="H197" s="12" t="s">
        <v>68</v>
      </c>
      <c r="I197" s="12" t="str">
        <f>IFERROR(VLOOKUP(H197, DADOS_RM_EVENTOS_original!C:D, 2, FALSE), "Código não encontrado/Não digitado")</f>
        <v>Código não encontrado/Não digitado</v>
      </c>
      <c r="J197" s="12" t="s">
        <v>68</v>
      </c>
      <c r="K197" s="12" t="str">
        <f>IFERROR(VLOOKUP(J197, DADOS_RM_EVENTOS_original!E:J, 2, FALSE), "Código não encontrado/Não digitado")</f>
        <v>Código não encontrado/Não digitado</v>
      </c>
      <c r="L197" s="12" t="s">
        <v>68</v>
      </c>
      <c r="M197" s="12" t="str">
        <f>IFERROR(VLOOKUP(L197, DADOS_RM_EVENTOS_original!K:L, 2, FALSE), "Código não encontrado/Não digitado")</f>
        <v>Código não encontrado/Não digitado</v>
      </c>
    </row>
    <row r="198" ht="15.75" hidden="1" customHeight="1">
      <c r="A198" s="11" t="s">
        <v>97</v>
      </c>
      <c r="B198" s="11" t="s">
        <v>2747</v>
      </c>
      <c r="C198" s="11" t="s">
        <v>2748</v>
      </c>
      <c r="D198" s="11" t="s">
        <v>120</v>
      </c>
      <c r="E198" s="11" t="s">
        <v>972</v>
      </c>
      <c r="F198" s="11" t="s">
        <v>2670</v>
      </c>
      <c r="G198" s="12" t="s">
        <v>2954</v>
      </c>
      <c r="H198" s="12" t="s">
        <v>68</v>
      </c>
      <c r="I198" s="12" t="str">
        <f>IFERROR(VLOOKUP(H198, DADOS_RM_EVENTOS_original!C:D, 2, FALSE), "Código não encontrado/Não digitado")</f>
        <v>Código não encontrado/Não digitado</v>
      </c>
      <c r="J198" s="12" t="s">
        <v>68</v>
      </c>
      <c r="K198" s="12" t="str">
        <f>IFERROR(VLOOKUP(J198, DADOS_RM_EVENTOS_original!E:J, 2, FALSE), "Código não encontrado/Não digitado")</f>
        <v>Código não encontrado/Não digitado</v>
      </c>
      <c r="L198" s="12" t="s">
        <v>68</v>
      </c>
      <c r="M198" s="12" t="str">
        <f>IFERROR(VLOOKUP(L198, DADOS_RM_EVENTOS_original!K:L, 2, FALSE), "Código não encontrado/Não digitado")</f>
        <v>Código não encontrado/Não digitado</v>
      </c>
    </row>
    <row r="199" ht="15.75" hidden="1" customHeight="1">
      <c r="A199" s="11" t="s">
        <v>97</v>
      </c>
      <c r="B199" s="11" t="s">
        <v>64</v>
      </c>
      <c r="C199" s="11" t="s">
        <v>2758</v>
      </c>
      <c r="D199" s="11" t="s">
        <v>120</v>
      </c>
      <c r="E199" s="11" t="s">
        <v>972</v>
      </c>
      <c r="F199" s="11" t="s">
        <v>2670</v>
      </c>
      <c r="G199" s="12" t="s">
        <v>2954</v>
      </c>
      <c r="H199" s="12" t="s">
        <v>68</v>
      </c>
      <c r="I199" s="12" t="str">
        <f>IFERROR(VLOOKUP(H199, DADOS_RM_EVENTOS_original!C:D, 2, FALSE), "Código não encontrado/Não digitado")</f>
        <v>Código não encontrado/Não digitado</v>
      </c>
      <c r="J199" s="12" t="s">
        <v>68</v>
      </c>
      <c r="K199" s="12" t="str">
        <f>IFERROR(VLOOKUP(J199, DADOS_RM_EVENTOS_original!E:J, 2, FALSE), "Código não encontrado/Não digitado")</f>
        <v>Código não encontrado/Não digitado</v>
      </c>
      <c r="L199" s="12" t="s">
        <v>68</v>
      </c>
      <c r="M199" s="12" t="str">
        <f>IFERROR(VLOOKUP(L199, DADOS_RM_EVENTOS_original!K:L, 2, FALSE), "Código não encontrado/Não digitado")</f>
        <v>Código não encontrado/Não digitado</v>
      </c>
    </row>
    <row r="200" ht="15.75" hidden="1" customHeight="1">
      <c r="A200" s="11" t="s">
        <v>172</v>
      </c>
      <c r="B200" s="11" t="s">
        <v>1665</v>
      </c>
      <c r="C200" s="11" t="s">
        <v>2771</v>
      </c>
      <c r="D200" s="11" t="s">
        <v>44</v>
      </c>
      <c r="E200" s="11" t="s">
        <v>1029</v>
      </c>
      <c r="F200" s="11" t="s">
        <v>718</v>
      </c>
      <c r="G200" s="12" t="s">
        <v>940</v>
      </c>
      <c r="H200" s="12" t="s">
        <v>68</v>
      </c>
      <c r="I200" s="12" t="str">
        <f>IFERROR(VLOOKUP(H200, DADOS_RM_EVENTOS_original!C:D, 2, FALSE), "Código não encontrado/Não digitado")</f>
        <v>Código não encontrado/Não digitado</v>
      </c>
      <c r="J200" s="12" t="s">
        <v>68</v>
      </c>
      <c r="K200" s="12" t="str">
        <f>IFERROR(VLOOKUP(J200, DADOS_RM_EVENTOS_original!E:J, 2, FALSE), "Código não encontrado/Não digitado")</f>
        <v>Código não encontrado/Não digitado</v>
      </c>
      <c r="L200" s="12" t="s">
        <v>68</v>
      </c>
      <c r="M200" s="12" t="str">
        <f>IFERROR(VLOOKUP(L200, DADOS_RM_EVENTOS_original!K:L, 2, FALSE), "Código não encontrado/Não digitado")</f>
        <v>Código não encontrado/Não digitado</v>
      </c>
    </row>
    <row r="201" ht="15.75" hidden="1" customHeight="1">
      <c r="A201" s="11" t="s">
        <v>97</v>
      </c>
      <c r="B201" s="11" t="s">
        <v>1665</v>
      </c>
      <c r="C201" s="11" t="s">
        <v>2771</v>
      </c>
      <c r="D201" s="11" t="s">
        <v>44</v>
      </c>
      <c r="E201" s="11" t="s">
        <v>972</v>
      </c>
      <c r="F201" s="11" t="s">
        <v>718</v>
      </c>
      <c r="G201" s="12" t="s">
        <v>940</v>
      </c>
      <c r="H201" s="12" t="s">
        <v>68</v>
      </c>
      <c r="I201" s="12" t="str">
        <f>IFERROR(VLOOKUP(H201, DADOS_RM_EVENTOS_original!C:D, 2, FALSE), "Código não encontrado/Não digitado")</f>
        <v>Código não encontrado/Não digitado</v>
      </c>
      <c r="J201" s="12" t="s">
        <v>68</v>
      </c>
      <c r="K201" s="12" t="str">
        <f>IFERROR(VLOOKUP(J201, DADOS_RM_EVENTOS_original!E:J, 2, FALSE), "Código não encontrado/Não digitado")</f>
        <v>Código não encontrado/Não digitado</v>
      </c>
      <c r="L201" s="12" t="s">
        <v>68</v>
      </c>
      <c r="M201" s="12" t="str">
        <f>IFERROR(VLOOKUP(L201, DADOS_RM_EVENTOS_original!K:L, 2, FALSE), "Código não encontrado/Não digitado")</f>
        <v>Código não encontrado/Não digitado</v>
      </c>
    </row>
    <row r="202" ht="15.75" hidden="1" customHeight="1">
      <c r="A202" s="11" t="s">
        <v>38</v>
      </c>
      <c r="B202" s="11" t="s">
        <v>898</v>
      </c>
      <c r="C202" s="11" t="s">
        <v>2795</v>
      </c>
      <c r="D202" s="11" t="s">
        <v>44</v>
      </c>
      <c r="E202" s="11" t="s">
        <v>47</v>
      </c>
      <c r="F202" s="11" t="s">
        <v>521</v>
      </c>
      <c r="G202" s="12" t="s">
        <v>599</v>
      </c>
      <c r="H202" s="12" t="s">
        <v>68</v>
      </c>
      <c r="I202" s="12" t="str">
        <f>IFERROR(VLOOKUP(H202, DADOS_RM_EVENTOS_original!C:D, 2, FALSE), "Código não encontrado/Não digitado")</f>
        <v>Código não encontrado/Não digitado</v>
      </c>
      <c r="J202" s="12" t="s">
        <v>68</v>
      </c>
      <c r="K202" s="12" t="str">
        <f>IFERROR(VLOOKUP(J202, DADOS_RM_EVENTOS_original!E:J, 2, FALSE), "Código não encontrado/Não digitado")</f>
        <v>Código não encontrado/Não digitado</v>
      </c>
      <c r="L202" s="12" t="s">
        <v>68</v>
      </c>
      <c r="M202" s="12" t="str">
        <f>IFERROR(VLOOKUP(L202, DADOS_RM_EVENTOS_original!K:L, 2, FALSE), "Código não encontrado/Não digitado")</f>
        <v>Código não encontrado/Não digitado</v>
      </c>
    </row>
    <row r="203" ht="15.75" hidden="1" customHeight="1">
      <c r="A203" s="11" t="s">
        <v>115</v>
      </c>
      <c r="B203" s="11" t="s">
        <v>898</v>
      </c>
      <c r="C203" s="11" t="s">
        <v>2795</v>
      </c>
      <c r="D203" s="11" t="s">
        <v>44</v>
      </c>
      <c r="E203" s="11" t="s">
        <v>121</v>
      </c>
      <c r="F203" s="11" t="s">
        <v>521</v>
      </c>
      <c r="G203" s="12" t="s">
        <v>599</v>
      </c>
      <c r="H203" s="12" t="s">
        <v>68</v>
      </c>
      <c r="I203" s="12" t="str">
        <f>IFERROR(VLOOKUP(H203, DADOS_RM_EVENTOS_original!C:D, 2, FALSE), "Código não encontrado/Não digitado")</f>
        <v>Código não encontrado/Não digitado</v>
      </c>
      <c r="J203" s="12" t="s">
        <v>68</v>
      </c>
      <c r="K203" s="12" t="str">
        <f>IFERROR(VLOOKUP(J203, DADOS_RM_EVENTOS_original!E:J, 2, FALSE), "Código não encontrado/Não digitado")</f>
        <v>Código não encontrado/Não digitado</v>
      </c>
      <c r="L203" s="12" t="s">
        <v>68</v>
      </c>
      <c r="M203" s="12" t="str">
        <f>IFERROR(VLOOKUP(L203, DADOS_RM_EVENTOS_original!K:L, 2, FALSE), "Código não encontrado/Não digitado")</f>
        <v>Código não encontrado/Não digitado</v>
      </c>
    </row>
    <row r="204" ht="15.75" hidden="1" customHeight="1">
      <c r="A204" s="11" t="s">
        <v>142</v>
      </c>
      <c r="B204" s="11" t="s">
        <v>898</v>
      </c>
      <c r="C204" s="11" t="s">
        <v>2795</v>
      </c>
      <c r="D204" s="11" t="s">
        <v>44</v>
      </c>
      <c r="E204" s="11" t="s">
        <v>985</v>
      </c>
      <c r="F204" s="11" t="s">
        <v>521</v>
      </c>
      <c r="G204" s="12" t="s">
        <v>599</v>
      </c>
      <c r="H204" s="12" t="s">
        <v>68</v>
      </c>
      <c r="I204" s="12" t="str">
        <f>IFERROR(VLOOKUP(H204, DADOS_RM_EVENTOS_original!C:D, 2, FALSE), "Código não encontrado/Não digitado")</f>
        <v>Código não encontrado/Não digitado</v>
      </c>
      <c r="J204" s="12" t="s">
        <v>68</v>
      </c>
      <c r="K204" s="12" t="str">
        <f>IFERROR(VLOOKUP(J204, DADOS_RM_EVENTOS_original!E:J, 2, FALSE), "Código não encontrado/Não digitado")</f>
        <v>Código não encontrado/Não digitado</v>
      </c>
      <c r="L204" s="12" t="s">
        <v>68</v>
      </c>
      <c r="M204" s="12" t="str">
        <f>IFERROR(VLOOKUP(L204, DADOS_RM_EVENTOS_original!K:L, 2, FALSE), "Código não encontrado/Não digitado")</f>
        <v>Código não encontrado/Não digitado</v>
      </c>
    </row>
    <row r="205" ht="15.75" customHeight="1">
      <c r="A205" s="11" t="s">
        <v>142</v>
      </c>
      <c r="B205" s="11" t="s">
        <v>2821</v>
      </c>
      <c r="C205" s="11" t="s">
        <v>2823</v>
      </c>
      <c r="D205" s="11" t="s">
        <v>120</v>
      </c>
      <c r="E205" s="11" t="s">
        <v>985</v>
      </c>
      <c r="F205" s="11" t="s">
        <v>49</v>
      </c>
      <c r="G205" s="12" t="s">
        <v>63</v>
      </c>
      <c r="H205" s="12" t="s">
        <v>68</v>
      </c>
      <c r="I205" s="12" t="str">
        <f>IFERROR(VLOOKUP(H205, DADOS_RM_EVENTOS_original!C:D, 2, FALSE), "Código não encontrado/Não digitado")</f>
        <v>Código não encontrado/Não digitado</v>
      </c>
      <c r="J205" s="12" t="s">
        <v>68</v>
      </c>
      <c r="K205" s="12" t="str">
        <f>IFERROR(VLOOKUP(J205, DADOS_RM_EVENTOS_original!E:J, 2, FALSE), "Código não encontrado/Não digitado")</f>
        <v>Código não encontrado/Não digitado</v>
      </c>
      <c r="L205" s="12" t="s">
        <v>68</v>
      </c>
      <c r="M205" s="12" t="str">
        <f>IFERROR(VLOOKUP(L205, DADOS_RM_EVENTOS_original!K:L, 2, FALSE), "Código não encontrado/Não digitado")</f>
        <v>Código não encontrado/Não digitado</v>
      </c>
    </row>
    <row r="206" ht="15.75" customHeight="1">
      <c r="A206" s="11" t="s">
        <v>38</v>
      </c>
      <c r="B206" s="11" t="s">
        <v>102</v>
      </c>
      <c r="C206" s="11" t="s">
        <v>2834</v>
      </c>
      <c r="D206" s="11" t="s">
        <v>120</v>
      </c>
      <c r="E206" s="11" t="s">
        <v>47</v>
      </c>
      <c r="F206" s="11" t="s">
        <v>49</v>
      </c>
      <c r="G206" s="12" t="s">
        <v>63</v>
      </c>
      <c r="H206" s="12" t="s">
        <v>68</v>
      </c>
      <c r="I206" s="12" t="str">
        <f>IFERROR(VLOOKUP(H206, DADOS_RM_EVENTOS_original!C:D, 2, FALSE), "Código não encontrado/Não digitado")</f>
        <v>Código não encontrado/Não digitado</v>
      </c>
      <c r="J206" s="12" t="s">
        <v>68</v>
      </c>
      <c r="K206" s="12" t="str">
        <f>IFERROR(VLOOKUP(J206, DADOS_RM_EVENTOS_original!E:J, 2, FALSE), "Código não encontrado/Não digitado")</f>
        <v>Código não encontrado/Não digitado</v>
      </c>
      <c r="L206" s="12" t="s">
        <v>68</v>
      </c>
      <c r="M206" s="12" t="str">
        <f>IFERROR(VLOOKUP(L206, DADOS_RM_EVENTOS_original!K:L, 2, FALSE), "Código não encontrado/Não digitado")</f>
        <v>Código não encontrado/Não digitado</v>
      </c>
    </row>
    <row r="207" ht="15.75" customHeight="1">
      <c r="A207" s="11" t="s">
        <v>115</v>
      </c>
      <c r="B207" s="11" t="s">
        <v>443</v>
      </c>
      <c r="C207" s="11" t="s">
        <v>2844</v>
      </c>
      <c r="D207" s="11" t="s">
        <v>120</v>
      </c>
      <c r="E207" s="11" t="s">
        <v>121</v>
      </c>
      <c r="F207" s="11" t="s">
        <v>49</v>
      </c>
      <c r="G207" s="12" t="s">
        <v>63</v>
      </c>
      <c r="H207" s="12" t="s">
        <v>68</v>
      </c>
      <c r="I207" s="12" t="str">
        <f>IFERROR(VLOOKUP(H207, DADOS_RM_EVENTOS_original!C:D, 2, FALSE), "Código não encontrado/Não digitado")</f>
        <v>Código não encontrado/Não digitado</v>
      </c>
      <c r="J207" s="12" t="s">
        <v>68</v>
      </c>
      <c r="K207" s="12" t="str">
        <f>IFERROR(VLOOKUP(J207, DADOS_RM_EVENTOS_original!E:J, 2, FALSE), "Código não encontrado/Não digitado")</f>
        <v>Código não encontrado/Não digitado</v>
      </c>
      <c r="L207" s="12" t="s">
        <v>68</v>
      </c>
      <c r="M207" s="12" t="str">
        <f>IFERROR(VLOOKUP(L207, DADOS_RM_EVENTOS_original!K:L, 2, FALSE), "Código não encontrado/Não digitado")</f>
        <v>Código não encontrado/Não digitado</v>
      </c>
    </row>
    <row r="208" ht="15.75" hidden="1" customHeight="1">
      <c r="A208" s="11" t="s">
        <v>38</v>
      </c>
      <c r="B208" s="11" t="s">
        <v>2853</v>
      </c>
      <c r="C208" s="11" t="s">
        <v>2854</v>
      </c>
      <c r="D208" s="11" t="s">
        <v>44</v>
      </c>
      <c r="E208" s="11" t="s">
        <v>47</v>
      </c>
      <c r="F208" s="11" t="s">
        <v>889</v>
      </c>
      <c r="G208" s="12" t="s">
        <v>2770</v>
      </c>
      <c r="H208" s="12" t="s">
        <v>68</v>
      </c>
      <c r="I208" s="12" t="str">
        <f>IFERROR(VLOOKUP(H208, DADOS_RM_EVENTOS_original!C:D, 2, FALSE), "Código não encontrado/Não digitado")</f>
        <v>Código não encontrado/Não digitado</v>
      </c>
      <c r="J208" s="12" t="s">
        <v>68</v>
      </c>
      <c r="K208" s="12" t="str">
        <f>IFERROR(VLOOKUP(J208, DADOS_RM_EVENTOS_original!E:J, 2, FALSE), "Código não encontrado/Não digitado")</f>
        <v>Código não encontrado/Não digitado</v>
      </c>
      <c r="L208" s="12" t="s">
        <v>68</v>
      </c>
      <c r="M208" s="12" t="str">
        <f>IFERROR(VLOOKUP(L208, DADOS_RM_EVENTOS_original!K:L, 2, FALSE), "Código não encontrado/Não digitado")</f>
        <v>Código não encontrado/Não digitado</v>
      </c>
    </row>
    <row r="209" ht="15.75" hidden="1" customHeight="1">
      <c r="A209" s="11" t="s">
        <v>97</v>
      </c>
      <c r="B209" s="11" t="s">
        <v>2853</v>
      </c>
      <c r="C209" s="11" t="s">
        <v>2864</v>
      </c>
      <c r="D209" s="11" t="s">
        <v>44</v>
      </c>
      <c r="E209" s="11" t="s">
        <v>972</v>
      </c>
      <c r="F209" s="11" t="s">
        <v>889</v>
      </c>
      <c r="G209" s="12" t="s">
        <v>2770</v>
      </c>
      <c r="H209" s="12" t="s">
        <v>68</v>
      </c>
      <c r="I209" s="12" t="str">
        <f>IFERROR(VLOOKUP(H209, DADOS_RM_EVENTOS_original!C:D, 2, FALSE), "Código não encontrado/Não digitado")</f>
        <v>Código não encontrado/Não digitado</v>
      </c>
      <c r="J209" s="12" t="s">
        <v>68</v>
      </c>
      <c r="K209" s="12" t="str">
        <f>IFERROR(VLOOKUP(J209, DADOS_RM_EVENTOS_original!E:J, 2, FALSE), "Código não encontrado/Não digitado")</f>
        <v>Código não encontrado/Não digitado</v>
      </c>
      <c r="L209" s="12" t="s">
        <v>68</v>
      </c>
      <c r="M209" s="12" t="str">
        <f>IFERROR(VLOOKUP(L209, DADOS_RM_EVENTOS_original!K:L, 2, FALSE), "Código não encontrado/Não digitado")</f>
        <v>Código não encontrado/Não digitado</v>
      </c>
    </row>
    <row r="210" ht="15.75" hidden="1" customHeight="1">
      <c r="A210" s="11" t="s">
        <v>38</v>
      </c>
      <c r="B210" s="11" t="s">
        <v>2874</v>
      </c>
      <c r="C210" s="11" t="s">
        <v>2875</v>
      </c>
      <c r="D210" s="11" t="s">
        <v>44</v>
      </c>
      <c r="E210" s="11" t="s">
        <v>47</v>
      </c>
      <c r="F210" s="11" t="s">
        <v>2033</v>
      </c>
      <c r="G210" s="12" t="s">
        <v>2787</v>
      </c>
      <c r="H210" s="12" t="s">
        <v>68</v>
      </c>
      <c r="I210" s="12" t="str">
        <f>IFERROR(VLOOKUP(H210, DADOS_RM_EVENTOS_original!C:D, 2, FALSE), "Código não encontrado/Não digitado")</f>
        <v>Código não encontrado/Não digitado</v>
      </c>
      <c r="J210" s="12" t="s">
        <v>68</v>
      </c>
      <c r="K210" s="12" t="str">
        <f>IFERROR(VLOOKUP(J210, DADOS_RM_EVENTOS_original!E:J, 2, FALSE), "Código não encontrado/Não digitado")</f>
        <v>Código não encontrado/Não digitado</v>
      </c>
      <c r="L210" s="12" t="s">
        <v>68</v>
      </c>
      <c r="M210" s="12" t="str">
        <f>IFERROR(VLOOKUP(L210, DADOS_RM_EVENTOS_original!K:L, 2, FALSE), "Código não encontrado/Não digitado")</f>
        <v>Código não encontrado/Não digitado</v>
      </c>
    </row>
    <row r="211" ht="15.75" hidden="1" customHeight="1">
      <c r="A211" s="11" t="s">
        <v>97</v>
      </c>
      <c r="B211" s="11" t="s">
        <v>2874</v>
      </c>
      <c r="C211" s="11" t="s">
        <v>2889</v>
      </c>
      <c r="D211" s="11" t="s">
        <v>44</v>
      </c>
      <c r="E211" s="11" t="s">
        <v>972</v>
      </c>
      <c r="F211" s="11" t="s">
        <v>2033</v>
      </c>
      <c r="G211" s="12" t="s">
        <v>2787</v>
      </c>
      <c r="H211" s="12" t="s">
        <v>68</v>
      </c>
      <c r="I211" s="12" t="str">
        <f>IFERROR(VLOOKUP(H211, DADOS_RM_EVENTOS_original!C:D, 2, FALSE), "Código não encontrado/Não digitado")</f>
        <v>Código não encontrado/Não digitado</v>
      </c>
      <c r="J211" s="12" t="s">
        <v>68</v>
      </c>
      <c r="K211" s="12" t="str">
        <f>IFERROR(VLOOKUP(J211, DADOS_RM_EVENTOS_original!E:J, 2, FALSE), "Código não encontrado/Não digitado")</f>
        <v>Código não encontrado/Não digitado</v>
      </c>
      <c r="L211" s="12" t="s">
        <v>68</v>
      </c>
      <c r="M211" s="12" t="str">
        <f>IFERROR(VLOOKUP(L211, DADOS_RM_EVENTOS_original!K:L, 2, FALSE), "Código não encontrado/Não digitado")</f>
        <v>Código não encontrado/Não digitado</v>
      </c>
    </row>
    <row r="212" ht="15.75" hidden="1" customHeight="1">
      <c r="A212" s="11" t="s">
        <v>38</v>
      </c>
      <c r="B212" s="11" t="s">
        <v>566</v>
      </c>
      <c r="C212" s="11" t="s">
        <v>2898</v>
      </c>
      <c r="D212" s="11" t="s">
        <v>120</v>
      </c>
      <c r="E212" s="11" t="s">
        <v>47</v>
      </c>
      <c r="F212" s="11" t="s">
        <v>376</v>
      </c>
      <c r="G212" s="12" t="s">
        <v>398</v>
      </c>
      <c r="H212" s="12" t="s">
        <v>68</v>
      </c>
      <c r="I212" s="12" t="str">
        <f>IFERROR(VLOOKUP(H212, DADOS_RM_EVENTOS_original!C:D, 2, FALSE), "Código não encontrado/Não digitado")</f>
        <v>Código não encontrado/Não digitado</v>
      </c>
      <c r="J212" s="12" t="s">
        <v>68</v>
      </c>
      <c r="K212" s="12" t="str">
        <f>IFERROR(VLOOKUP(J212, DADOS_RM_EVENTOS_original!E:J, 2, FALSE), "Código não encontrado/Não digitado")</f>
        <v>Código não encontrado/Não digitado</v>
      </c>
      <c r="L212" s="12" t="s">
        <v>68</v>
      </c>
      <c r="M212" s="12" t="str">
        <f>IFERROR(VLOOKUP(L212, DADOS_RM_EVENTOS_original!K:L, 2, FALSE), "Código não encontrado/Não digitado")</f>
        <v>Código não encontrado/Não digitado</v>
      </c>
    </row>
    <row r="213" ht="15.75" hidden="1" customHeight="1">
      <c r="A213" s="11" t="s">
        <v>38</v>
      </c>
      <c r="B213" s="11" t="s">
        <v>562</v>
      </c>
      <c r="C213" s="11" t="s">
        <v>2899</v>
      </c>
      <c r="D213" s="11" t="s">
        <v>120</v>
      </c>
      <c r="E213" s="11" t="s">
        <v>47</v>
      </c>
      <c r="F213" s="11" t="s">
        <v>537</v>
      </c>
      <c r="G213" s="12" t="s">
        <v>635</v>
      </c>
      <c r="H213" s="12" t="s">
        <v>68</v>
      </c>
      <c r="I213" s="12" t="str">
        <f>IFERROR(VLOOKUP(H213, DADOS_RM_EVENTOS_original!C:D, 2, FALSE), "Código não encontrado/Não digitado")</f>
        <v>Código não encontrado/Não digitado</v>
      </c>
      <c r="J213" s="12" t="s">
        <v>68</v>
      </c>
      <c r="K213" s="12" t="str">
        <f>IFERROR(VLOOKUP(J213, DADOS_RM_EVENTOS_original!E:J, 2, FALSE), "Código não encontrado/Não digitado")</f>
        <v>Código não encontrado/Não digitado</v>
      </c>
      <c r="L213" s="12" t="s">
        <v>68</v>
      </c>
      <c r="M213" s="12" t="str">
        <f>IFERROR(VLOOKUP(L213, DADOS_RM_EVENTOS_original!K:L, 2, FALSE), "Código não encontrado/Não digitado")</f>
        <v>Código não encontrado/Não digitado</v>
      </c>
    </row>
    <row r="214" ht="15.75" hidden="1" customHeight="1">
      <c r="A214" s="11" t="s">
        <v>97</v>
      </c>
      <c r="B214" s="11" t="s">
        <v>562</v>
      </c>
      <c r="C214" s="11" t="s">
        <v>2900</v>
      </c>
      <c r="D214" s="11" t="s">
        <v>120</v>
      </c>
      <c r="E214" s="11" t="s">
        <v>972</v>
      </c>
      <c r="F214" s="11" t="s">
        <v>537</v>
      </c>
      <c r="G214" s="12" t="s">
        <v>635</v>
      </c>
      <c r="H214" s="12" t="s">
        <v>68</v>
      </c>
      <c r="I214" s="12" t="str">
        <f>IFERROR(VLOOKUP(H214, DADOS_RM_EVENTOS_original!C:D, 2, FALSE), "Código não encontrado/Não digitado")</f>
        <v>Código não encontrado/Não digitado</v>
      </c>
      <c r="J214" s="12" t="s">
        <v>68</v>
      </c>
      <c r="K214" s="12" t="str">
        <f>IFERROR(VLOOKUP(J214, DADOS_RM_EVENTOS_original!E:J, 2, FALSE), "Código não encontrado/Não digitado")</f>
        <v>Código não encontrado/Não digitado</v>
      </c>
      <c r="L214" s="12" t="s">
        <v>68</v>
      </c>
      <c r="M214" s="12" t="str">
        <f>IFERROR(VLOOKUP(L214, DADOS_RM_EVENTOS_original!K:L, 2, FALSE), "Código não encontrado/Não digitado")</f>
        <v>Código não encontrado/Não digitado</v>
      </c>
    </row>
    <row r="215" ht="15.75" hidden="1" customHeight="1">
      <c r="A215" s="11" t="s">
        <v>38</v>
      </c>
      <c r="B215" s="11" t="s">
        <v>518</v>
      </c>
      <c r="C215" s="11" t="s">
        <v>2901</v>
      </c>
      <c r="D215" s="11" t="s">
        <v>120</v>
      </c>
      <c r="E215" s="11" t="s">
        <v>47</v>
      </c>
      <c r="F215" s="11" t="s">
        <v>281</v>
      </c>
      <c r="G215" s="12" t="s">
        <v>284</v>
      </c>
      <c r="H215" s="12" t="s">
        <v>68</v>
      </c>
      <c r="I215" s="12" t="str">
        <f>IFERROR(VLOOKUP(H215, DADOS_RM_EVENTOS_original!C:D, 2, FALSE), "Código não encontrado/Não digitado")</f>
        <v>Código não encontrado/Não digitado</v>
      </c>
      <c r="J215" s="12" t="s">
        <v>68</v>
      </c>
      <c r="K215" s="12" t="str">
        <f>IFERROR(VLOOKUP(J215, DADOS_RM_EVENTOS_original!E:J, 2, FALSE), "Código não encontrado/Não digitado")</f>
        <v>Código não encontrado/Não digitado</v>
      </c>
      <c r="L215" s="12" t="s">
        <v>68</v>
      </c>
      <c r="M215" s="12" t="str">
        <f>IFERROR(VLOOKUP(L215, DADOS_RM_EVENTOS_original!K:L, 2, FALSE), "Código não encontrado/Não digitado")</f>
        <v>Código não encontrado/Não digitado</v>
      </c>
    </row>
    <row r="216" ht="15.75" hidden="1" customHeight="1">
      <c r="A216" s="11" t="s">
        <v>97</v>
      </c>
      <c r="B216" s="11" t="s">
        <v>518</v>
      </c>
      <c r="C216" s="11" t="s">
        <v>2906</v>
      </c>
      <c r="D216" s="11" t="s">
        <v>120</v>
      </c>
      <c r="E216" s="11" t="s">
        <v>972</v>
      </c>
      <c r="F216" s="11" t="s">
        <v>281</v>
      </c>
      <c r="G216" s="12" t="s">
        <v>284</v>
      </c>
      <c r="H216" s="12" t="s">
        <v>68</v>
      </c>
      <c r="I216" s="12" t="str">
        <f>IFERROR(VLOOKUP(H216, DADOS_RM_EVENTOS_original!C:D, 2, FALSE), "Código não encontrado/Não digitado")</f>
        <v>Código não encontrado/Não digitado</v>
      </c>
      <c r="J216" s="12" t="s">
        <v>68</v>
      </c>
      <c r="K216" s="12" t="str">
        <f>IFERROR(VLOOKUP(J216, DADOS_RM_EVENTOS_original!E:J, 2, FALSE), "Código não encontrado/Não digitado")</f>
        <v>Código não encontrado/Não digitado</v>
      </c>
      <c r="L216" s="12" t="s">
        <v>68</v>
      </c>
      <c r="M216" s="12" t="str">
        <f>IFERROR(VLOOKUP(L216, DADOS_RM_EVENTOS_original!K:L, 2, FALSE), "Código não encontrado/Não digitado")</f>
        <v>Código não encontrado/Não digitado</v>
      </c>
    </row>
    <row r="217" ht="15.75" hidden="1" customHeight="1">
      <c r="A217" s="11" t="s">
        <v>38</v>
      </c>
      <c r="B217" s="11" t="s">
        <v>888</v>
      </c>
      <c r="C217" s="11" t="s">
        <v>2910</v>
      </c>
      <c r="D217" s="11" t="s">
        <v>44</v>
      </c>
      <c r="E217" s="11" t="s">
        <v>47</v>
      </c>
      <c r="F217" s="11" t="s">
        <v>1624</v>
      </c>
      <c r="G217" s="12" t="s">
        <v>2252</v>
      </c>
      <c r="H217" s="12" t="s">
        <v>68</v>
      </c>
      <c r="I217" s="12" t="str">
        <f>IFERROR(VLOOKUP(H217, DADOS_RM_EVENTOS_original!C:D, 2, FALSE), "Código não encontrado/Não digitado")</f>
        <v>Código não encontrado/Não digitado</v>
      </c>
      <c r="J217" s="12" t="s">
        <v>68</v>
      </c>
      <c r="K217" s="12" t="str">
        <f>IFERROR(VLOOKUP(J217, DADOS_RM_EVENTOS_original!E:J, 2, FALSE), "Código não encontrado/Não digitado")</f>
        <v>Código não encontrado/Não digitado</v>
      </c>
      <c r="L217" s="12" t="s">
        <v>68</v>
      </c>
      <c r="M217" s="12" t="str">
        <f>IFERROR(VLOOKUP(L217, DADOS_RM_EVENTOS_original!K:L, 2, FALSE), "Código não encontrado/Não digitado")</f>
        <v>Código não encontrado/Não digitado</v>
      </c>
    </row>
    <row r="218" ht="15.75" hidden="1" customHeight="1">
      <c r="A218" s="11" t="s">
        <v>172</v>
      </c>
      <c r="B218" s="11" t="s">
        <v>2914</v>
      </c>
      <c r="C218" s="11" t="s">
        <v>2910</v>
      </c>
      <c r="D218" s="11" t="s">
        <v>44</v>
      </c>
      <c r="E218" s="11" t="s">
        <v>1029</v>
      </c>
      <c r="F218" s="11" t="s">
        <v>1624</v>
      </c>
      <c r="G218" s="12" t="s">
        <v>2252</v>
      </c>
      <c r="H218" s="12" t="s">
        <v>68</v>
      </c>
      <c r="I218" s="12" t="str">
        <f>IFERROR(VLOOKUP(H218, DADOS_RM_EVENTOS_original!C:D, 2, FALSE), "Código não encontrado/Não digitado")</f>
        <v>Código não encontrado/Não digitado</v>
      </c>
      <c r="J218" s="12" t="s">
        <v>68</v>
      </c>
      <c r="K218" s="12" t="str">
        <f>IFERROR(VLOOKUP(J218, DADOS_RM_EVENTOS_original!E:J, 2, FALSE), "Código não encontrado/Não digitado")</f>
        <v>Código não encontrado/Não digitado</v>
      </c>
      <c r="L218" s="12" t="s">
        <v>68</v>
      </c>
      <c r="M218" s="12" t="str">
        <f>IFERROR(VLOOKUP(L218, DADOS_RM_EVENTOS_original!K:L, 2, FALSE), "Código não encontrado/Não digitado")</f>
        <v>Código não encontrado/Não digitado</v>
      </c>
    </row>
    <row r="219" ht="15.75" hidden="1" customHeight="1">
      <c r="A219" s="11" t="s">
        <v>38</v>
      </c>
      <c r="B219" s="11" t="s">
        <v>1014</v>
      </c>
      <c r="C219" s="11" t="s">
        <v>2918</v>
      </c>
      <c r="D219" s="11" t="s">
        <v>44</v>
      </c>
      <c r="E219" s="11" t="s">
        <v>47</v>
      </c>
      <c r="F219" s="11" t="s">
        <v>1624</v>
      </c>
      <c r="G219" s="12" t="s">
        <v>2252</v>
      </c>
      <c r="H219" s="12" t="s">
        <v>68</v>
      </c>
      <c r="I219" s="12" t="str">
        <f>IFERROR(VLOOKUP(H219, DADOS_RM_EVENTOS_original!C:D, 2, FALSE), "Código não encontrado/Não digitado")</f>
        <v>Código não encontrado/Não digitado</v>
      </c>
      <c r="J219" s="12" t="s">
        <v>68</v>
      </c>
      <c r="K219" s="12" t="str">
        <f>IFERROR(VLOOKUP(J219, DADOS_RM_EVENTOS_original!E:J, 2, FALSE), "Código não encontrado/Não digitado")</f>
        <v>Código não encontrado/Não digitado</v>
      </c>
      <c r="L219" s="12" t="s">
        <v>68</v>
      </c>
      <c r="M219" s="12" t="str">
        <f>IFERROR(VLOOKUP(L219, DADOS_RM_EVENTOS_original!K:L, 2, FALSE), "Código não encontrado/Não digitado")</f>
        <v>Código não encontrado/Não digitado</v>
      </c>
    </row>
    <row r="220" ht="15.75" hidden="1" customHeight="1">
      <c r="A220" s="11" t="s">
        <v>172</v>
      </c>
      <c r="B220" s="11" t="s">
        <v>2922</v>
      </c>
      <c r="C220" s="11" t="s">
        <v>2918</v>
      </c>
      <c r="D220" s="11" t="s">
        <v>44</v>
      </c>
      <c r="E220" s="11" t="s">
        <v>1029</v>
      </c>
      <c r="F220" s="11" t="s">
        <v>1624</v>
      </c>
      <c r="G220" s="12" t="s">
        <v>2252</v>
      </c>
      <c r="H220" s="12" t="s">
        <v>68</v>
      </c>
      <c r="I220" s="12" t="str">
        <f>IFERROR(VLOOKUP(H220, DADOS_RM_EVENTOS_original!C:D, 2, FALSE), "Código não encontrado/Não digitado")</f>
        <v>Código não encontrado/Não digitado</v>
      </c>
      <c r="J220" s="12" t="s">
        <v>68</v>
      </c>
      <c r="K220" s="12" t="str">
        <f>IFERROR(VLOOKUP(J220, DADOS_RM_EVENTOS_original!E:J, 2, FALSE), "Código não encontrado/Não digitado")</f>
        <v>Código não encontrado/Não digitado</v>
      </c>
      <c r="L220" s="12" t="s">
        <v>68</v>
      </c>
      <c r="M220" s="12" t="str">
        <f>IFERROR(VLOOKUP(L220, DADOS_RM_EVENTOS_original!K:L, 2, FALSE), "Código não encontrado/Não digitado")</f>
        <v>Código não encontrado/Não digitado</v>
      </c>
    </row>
    <row r="221" ht="15.75" hidden="1" customHeight="1">
      <c r="A221" s="11" t="s">
        <v>38</v>
      </c>
      <c r="B221" s="11" t="s">
        <v>2278</v>
      </c>
      <c r="C221" s="11" t="s">
        <v>2927</v>
      </c>
      <c r="D221" s="11" t="s">
        <v>44</v>
      </c>
      <c r="E221" s="11" t="s">
        <v>47</v>
      </c>
      <c r="F221" s="11" t="s">
        <v>2087</v>
      </c>
      <c r="G221" s="12" t="s">
        <v>2857</v>
      </c>
      <c r="H221" s="12" t="s">
        <v>68</v>
      </c>
      <c r="I221" s="12" t="str">
        <f>IFERROR(VLOOKUP(H221, DADOS_RM_EVENTOS_original!C:D, 2, FALSE), "Código não encontrado/Não digitado")</f>
        <v>Código não encontrado/Não digitado</v>
      </c>
      <c r="J221" s="12" t="s">
        <v>68</v>
      </c>
      <c r="K221" s="12" t="str">
        <f>IFERROR(VLOOKUP(J221, DADOS_RM_EVENTOS_original!E:J, 2, FALSE), "Código não encontrado/Não digitado")</f>
        <v>Código não encontrado/Não digitado</v>
      </c>
      <c r="L221" s="12" t="s">
        <v>68</v>
      </c>
      <c r="M221" s="12" t="str">
        <f>IFERROR(VLOOKUP(L221, DADOS_RM_EVENTOS_original!K:L, 2, FALSE), "Código não encontrado/Não digitado")</f>
        <v>Código não encontrado/Não digitado</v>
      </c>
    </row>
    <row r="222" ht="15.75" hidden="1" customHeight="1">
      <c r="A222" s="11" t="s">
        <v>172</v>
      </c>
      <c r="B222" s="11" t="s">
        <v>2933</v>
      </c>
      <c r="C222" s="11" t="s">
        <v>2927</v>
      </c>
      <c r="D222" s="11" t="s">
        <v>44</v>
      </c>
      <c r="E222" s="11" t="s">
        <v>1029</v>
      </c>
      <c r="F222" s="11" t="s">
        <v>2087</v>
      </c>
      <c r="G222" s="12" t="s">
        <v>2857</v>
      </c>
      <c r="H222" s="12" t="s">
        <v>68</v>
      </c>
      <c r="I222" s="12" t="str">
        <f>IFERROR(VLOOKUP(H222, DADOS_RM_EVENTOS_original!C:D, 2, FALSE), "Código não encontrado/Não digitado")</f>
        <v>Código não encontrado/Não digitado</v>
      </c>
      <c r="J222" s="12" t="s">
        <v>68</v>
      </c>
      <c r="K222" s="12" t="str">
        <f>IFERROR(VLOOKUP(J222, DADOS_RM_EVENTOS_original!E:J, 2, FALSE), "Código não encontrado/Não digitado")</f>
        <v>Código não encontrado/Não digitado</v>
      </c>
      <c r="L222" s="12" t="s">
        <v>68</v>
      </c>
      <c r="M222" s="12" t="str">
        <f>IFERROR(VLOOKUP(L222, DADOS_RM_EVENTOS_original!K:L, 2, FALSE), "Código não encontrado/Não digitado")</f>
        <v>Código não encontrado/Não digitado</v>
      </c>
    </row>
    <row r="223" ht="15.75" hidden="1" customHeight="1">
      <c r="A223" s="11" t="s">
        <v>38</v>
      </c>
      <c r="B223" s="11" t="s">
        <v>1635</v>
      </c>
      <c r="C223" s="11" t="s">
        <v>2937</v>
      </c>
      <c r="D223" s="11" t="s">
        <v>44</v>
      </c>
      <c r="E223" s="11" t="s">
        <v>47</v>
      </c>
      <c r="F223" s="11" t="s">
        <v>2090</v>
      </c>
      <c r="G223" s="12" t="s">
        <v>2862</v>
      </c>
      <c r="H223" s="12" t="s">
        <v>68</v>
      </c>
      <c r="I223" s="12" t="str">
        <f>IFERROR(VLOOKUP(H223, DADOS_RM_EVENTOS_original!C:D, 2, FALSE), "Código não encontrado/Não digitado")</f>
        <v>Código não encontrado/Não digitado</v>
      </c>
      <c r="J223" s="12" t="s">
        <v>68</v>
      </c>
      <c r="K223" s="12" t="str">
        <f>IFERROR(VLOOKUP(J223, DADOS_RM_EVENTOS_original!E:J, 2, FALSE), "Código não encontrado/Não digitado")</f>
        <v>Código não encontrado/Não digitado</v>
      </c>
      <c r="L223" s="12" t="s">
        <v>68</v>
      </c>
      <c r="M223" s="12" t="str">
        <f>IFERROR(VLOOKUP(L223, DADOS_RM_EVENTOS_original!K:L, 2, FALSE), "Código não encontrado/Não digitado")</f>
        <v>Código não encontrado/Não digitado</v>
      </c>
    </row>
    <row r="224" ht="15.75" hidden="1" customHeight="1">
      <c r="A224" s="11" t="s">
        <v>172</v>
      </c>
      <c r="B224" s="11" t="s">
        <v>2942</v>
      </c>
      <c r="C224" s="11" t="s">
        <v>2937</v>
      </c>
      <c r="D224" s="11" t="s">
        <v>44</v>
      </c>
      <c r="E224" s="11" t="s">
        <v>1029</v>
      </c>
      <c r="F224" s="11" t="s">
        <v>2090</v>
      </c>
      <c r="G224" s="12" t="s">
        <v>2862</v>
      </c>
      <c r="H224" s="12" t="s">
        <v>68</v>
      </c>
      <c r="I224" s="12" t="str">
        <f>IFERROR(VLOOKUP(H224, DADOS_RM_EVENTOS_original!C:D, 2, FALSE), "Código não encontrado/Não digitado")</f>
        <v>Código não encontrado/Não digitado</v>
      </c>
      <c r="J224" s="12" t="s">
        <v>68</v>
      </c>
      <c r="K224" s="12" t="str">
        <f>IFERROR(VLOOKUP(J224, DADOS_RM_EVENTOS_original!E:J, 2, FALSE), "Código não encontrado/Não digitado")</f>
        <v>Código não encontrado/Não digitado</v>
      </c>
      <c r="L224" s="12" t="s">
        <v>68</v>
      </c>
      <c r="M224" s="12" t="str">
        <f>IFERROR(VLOOKUP(L224, DADOS_RM_EVENTOS_original!K:L, 2, FALSE), "Código não encontrado/Não digitado")</f>
        <v>Código não encontrado/Não digitado</v>
      </c>
    </row>
    <row r="225" ht="15.75" hidden="1" customHeight="1">
      <c r="A225" s="11" t="s">
        <v>38</v>
      </c>
      <c r="B225" s="11" t="s">
        <v>1648</v>
      </c>
      <c r="C225" s="11" t="s">
        <v>2947</v>
      </c>
      <c r="D225" s="11" t="s">
        <v>44</v>
      </c>
      <c r="E225" s="11" t="s">
        <v>47</v>
      </c>
      <c r="F225" s="11" t="s">
        <v>2092</v>
      </c>
      <c r="G225" s="12" t="s">
        <v>2867</v>
      </c>
      <c r="H225" s="12" t="s">
        <v>68</v>
      </c>
      <c r="I225" s="12" t="str">
        <f>IFERROR(VLOOKUP(H225, DADOS_RM_EVENTOS_original!C:D, 2, FALSE), "Código não encontrado/Não digitado")</f>
        <v>Código não encontrado/Não digitado</v>
      </c>
      <c r="J225" s="12" t="s">
        <v>68</v>
      </c>
      <c r="K225" s="12" t="str">
        <f>IFERROR(VLOOKUP(J225, DADOS_RM_EVENTOS_original!E:J, 2, FALSE), "Código não encontrado/Não digitado")</f>
        <v>Código não encontrado/Não digitado</v>
      </c>
      <c r="L225" s="12" t="s">
        <v>68</v>
      </c>
      <c r="M225" s="12" t="str">
        <f>IFERROR(VLOOKUP(L225, DADOS_RM_EVENTOS_original!K:L, 2, FALSE), "Código não encontrado/Não digitado")</f>
        <v>Código não encontrado/Não digitado</v>
      </c>
    </row>
    <row r="226" ht="15.75" hidden="1" customHeight="1">
      <c r="A226" s="11" t="s">
        <v>38</v>
      </c>
      <c r="B226" s="11" t="s">
        <v>1650</v>
      </c>
      <c r="C226" s="11" t="s">
        <v>2951</v>
      </c>
      <c r="D226" s="11" t="s">
        <v>44</v>
      </c>
      <c r="E226" s="11" t="s">
        <v>47</v>
      </c>
      <c r="F226" s="11" t="s">
        <v>2095</v>
      </c>
      <c r="G226" s="12" t="s">
        <v>2870</v>
      </c>
      <c r="H226" s="12" t="s">
        <v>68</v>
      </c>
      <c r="I226" s="12" t="str">
        <f>IFERROR(VLOOKUP(H226, DADOS_RM_EVENTOS_original!C:D, 2, FALSE), "Código não encontrado/Não digitado")</f>
        <v>Código não encontrado/Não digitado</v>
      </c>
      <c r="J226" s="12" t="s">
        <v>68</v>
      </c>
      <c r="K226" s="12" t="str">
        <f>IFERROR(VLOOKUP(J226, DADOS_RM_EVENTOS_original!E:J, 2, FALSE), "Código não encontrado/Não digitado")</f>
        <v>Código não encontrado/Não digitado</v>
      </c>
      <c r="L226" s="12" t="s">
        <v>68</v>
      </c>
      <c r="M226" s="12" t="str">
        <f>IFERROR(VLOOKUP(L226, DADOS_RM_EVENTOS_original!K:L, 2, FALSE), "Código não encontrado/Não digitado")</f>
        <v>Código não encontrado/Não digitado</v>
      </c>
    </row>
    <row r="227" ht="15.75" hidden="1" customHeight="1">
      <c r="A227" s="11" t="s">
        <v>38</v>
      </c>
      <c r="B227" s="11" t="s">
        <v>1653</v>
      </c>
      <c r="C227" s="11" t="s">
        <v>2956</v>
      </c>
      <c r="D227" s="11" t="s">
        <v>44</v>
      </c>
      <c r="E227" s="11" t="s">
        <v>47</v>
      </c>
      <c r="F227" s="11" t="s">
        <v>2099</v>
      </c>
      <c r="G227" s="12" t="s">
        <v>2873</v>
      </c>
      <c r="H227" s="12" t="s">
        <v>68</v>
      </c>
      <c r="I227" s="12" t="str">
        <f>IFERROR(VLOOKUP(H227, DADOS_RM_EVENTOS_original!C:D, 2, FALSE), "Código não encontrado/Não digitado")</f>
        <v>Código não encontrado/Não digitado</v>
      </c>
      <c r="J227" s="12" t="s">
        <v>68</v>
      </c>
      <c r="K227" s="12" t="str">
        <f>IFERROR(VLOOKUP(J227, DADOS_RM_EVENTOS_original!E:J, 2, FALSE), "Código não encontrado/Não digitado")</f>
        <v>Código não encontrado/Não digitado</v>
      </c>
      <c r="L227" s="12" t="s">
        <v>68</v>
      </c>
      <c r="M227" s="12" t="str">
        <f>IFERROR(VLOOKUP(L227, DADOS_RM_EVENTOS_original!K:L, 2, FALSE), "Código não encontrado/Não digitado")</f>
        <v>Código não encontrado/Não digitado</v>
      </c>
    </row>
    <row r="228" ht="15.75" hidden="1" customHeight="1">
      <c r="A228" s="11" t="s">
        <v>38</v>
      </c>
      <c r="B228" s="11" t="s">
        <v>1656</v>
      </c>
      <c r="C228" s="11" t="s">
        <v>2961</v>
      </c>
      <c r="D228" s="11" t="s">
        <v>44</v>
      </c>
      <c r="E228" s="11" t="s">
        <v>47</v>
      </c>
      <c r="F228" s="11" t="s">
        <v>2103</v>
      </c>
      <c r="G228" s="12" t="s">
        <v>2879</v>
      </c>
      <c r="H228" s="12" t="s">
        <v>68</v>
      </c>
      <c r="I228" s="12" t="str">
        <f>IFERROR(VLOOKUP(H228, DADOS_RM_EVENTOS_original!C:D, 2, FALSE), "Código não encontrado/Não digitado")</f>
        <v>Código não encontrado/Não digitado</v>
      </c>
      <c r="J228" s="12" t="s">
        <v>68</v>
      </c>
      <c r="K228" s="12" t="str">
        <f>IFERROR(VLOOKUP(J228, DADOS_RM_EVENTOS_original!E:J, 2, FALSE), "Código não encontrado/Não digitado")</f>
        <v>Código não encontrado/Não digitado</v>
      </c>
      <c r="L228" s="12" t="s">
        <v>68</v>
      </c>
      <c r="M228" s="12" t="str">
        <f>IFERROR(VLOOKUP(L228, DADOS_RM_EVENTOS_original!K:L, 2, FALSE), "Código não encontrado/Não digitado")</f>
        <v>Código não encontrado/Não digitado</v>
      </c>
    </row>
    <row r="229" ht="15.75" hidden="1" customHeight="1">
      <c r="A229" s="11" t="s">
        <v>199</v>
      </c>
      <c r="B229" s="11" t="s">
        <v>2966</v>
      </c>
      <c r="C229" s="11" t="s">
        <v>2967</v>
      </c>
      <c r="D229" s="11" t="s">
        <v>44</v>
      </c>
      <c r="E229" s="11" t="s">
        <v>1074</v>
      </c>
      <c r="F229" s="11" t="s">
        <v>930</v>
      </c>
      <c r="G229" s="12" t="s">
        <v>931</v>
      </c>
      <c r="H229" s="12" t="s">
        <v>68</v>
      </c>
      <c r="I229" s="12" t="str">
        <f>IFERROR(VLOOKUP(H229, DADOS_RM_EVENTOS_original!C:D, 2, FALSE), "Código não encontrado/Não digitado")</f>
        <v>Código não encontrado/Não digitado</v>
      </c>
      <c r="J229" s="12" t="s">
        <v>68</v>
      </c>
      <c r="K229" s="12" t="str">
        <f>IFERROR(VLOOKUP(J229, DADOS_RM_EVENTOS_original!E:J, 2, FALSE), "Código não encontrado/Não digitado")</f>
        <v>Código não encontrado/Não digitado</v>
      </c>
      <c r="L229" s="12" t="s">
        <v>68</v>
      </c>
      <c r="M229" s="12" t="str">
        <f>IFERROR(VLOOKUP(L229, DADOS_RM_EVENTOS_original!K:L, 2, FALSE), "Código não encontrado/Não digitado")</f>
        <v>Código não encontrado/Não digitado</v>
      </c>
    </row>
    <row r="230" ht="15.75" hidden="1" customHeight="1">
      <c r="A230" s="11" t="s">
        <v>199</v>
      </c>
      <c r="B230" s="11" t="s">
        <v>433</v>
      </c>
      <c r="C230" s="11" t="s">
        <v>2971</v>
      </c>
      <c r="D230" s="11" t="s">
        <v>44</v>
      </c>
      <c r="E230" s="11" t="s">
        <v>1074</v>
      </c>
      <c r="F230" s="11" t="s">
        <v>245</v>
      </c>
      <c r="G230" s="12" t="s">
        <v>262</v>
      </c>
      <c r="H230" s="12" t="s">
        <v>68</v>
      </c>
      <c r="I230" s="12" t="str">
        <f>IFERROR(VLOOKUP(H230, DADOS_RM_EVENTOS_original!C:D, 2, FALSE), "Código não encontrado/Não digitado")</f>
        <v>Código não encontrado/Não digitado</v>
      </c>
      <c r="J230" s="12" t="s">
        <v>68</v>
      </c>
      <c r="K230" s="12" t="str">
        <f>IFERROR(VLOOKUP(J230, DADOS_RM_EVENTOS_original!E:J, 2, FALSE), "Código não encontrado/Não digitado")</f>
        <v>Código não encontrado/Não digitado</v>
      </c>
      <c r="L230" s="12" t="s">
        <v>68</v>
      </c>
      <c r="M230" s="12" t="str">
        <f>IFERROR(VLOOKUP(L230, DADOS_RM_EVENTOS_original!K:L, 2, FALSE), "Código não encontrado/Não digitado")</f>
        <v>Código não encontrado/Não digitado</v>
      </c>
    </row>
    <row r="231" ht="15.75" hidden="1" customHeight="1">
      <c r="A231" s="11" t="s">
        <v>38</v>
      </c>
      <c r="B231" s="11" t="s">
        <v>2914</v>
      </c>
      <c r="C231" s="11" t="s">
        <v>2976</v>
      </c>
      <c r="D231" s="11" t="s">
        <v>44</v>
      </c>
      <c r="E231" s="11" t="s">
        <v>47</v>
      </c>
      <c r="F231" s="11" t="s">
        <v>737</v>
      </c>
      <c r="G231" s="12" t="s">
        <v>971</v>
      </c>
      <c r="H231" s="12" t="s">
        <v>68</v>
      </c>
      <c r="I231" s="12" t="str">
        <f>IFERROR(VLOOKUP(H231, DADOS_RM_EVENTOS_original!C:D, 2, FALSE), "Código não encontrado/Não digitado")</f>
        <v>Código não encontrado/Não digitado</v>
      </c>
      <c r="J231" s="12" t="s">
        <v>68</v>
      </c>
      <c r="K231" s="12" t="str">
        <f>IFERROR(VLOOKUP(J231, DADOS_RM_EVENTOS_original!E:J, 2, FALSE), "Código não encontrado/Não digitado")</f>
        <v>Código não encontrado/Não digitado</v>
      </c>
      <c r="L231" s="12" t="s">
        <v>68</v>
      </c>
      <c r="M231" s="12" t="str">
        <f>IFERROR(VLOOKUP(L231, DADOS_RM_EVENTOS_original!K:L, 2, FALSE), "Código não encontrado/Não digitado")</f>
        <v>Código não encontrado/Não digitado</v>
      </c>
    </row>
    <row r="232" ht="15.75" hidden="1" customHeight="1">
      <c r="A232" s="11" t="s">
        <v>38</v>
      </c>
      <c r="B232" s="11" t="s">
        <v>1154</v>
      </c>
      <c r="C232" s="11" t="s">
        <v>2980</v>
      </c>
      <c r="D232" s="11" t="s">
        <v>44</v>
      </c>
      <c r="E232" s="11" t="s">
        <v>47</v>
      </c>
      <c r="F232" s="11" t="s">
        <v>245</v>
      </c>
      <c r="G232" s="12" t="s">
        <v>262</v>
      </c>
      <c r="H232" s="12" t="s">
        <v>68</v>
      </c>
      <c r="I232" s="12" t="str">
        <f>IFERROR(VLOOKUP(H232, DADOS_RM_EVENTOS_original!C:D, 2, FALSE), "Código não encontrado/Não digitado")</f>
        <v>Código não encontrado/Não digitado</v>
      </c>
      <c r="J232" s="12" t="s">
        <v>68</v>
      </c>
      <c r="K232" s="12" t="str">
        <f>IFERROR(VLOOKUP(J232, DADOS_RM_EVENTOS_original!E:J, 2, FALSE), "Código não encontrado/Não digitado")</f>
        <v>Código não encontrado/Não digitado</v>
      </c>
      <c r="L232" s="12" t="s">
        <v>68</v>
      </c>
      <c r="M232" s="12" t="str">
        <f>IFERROR(VLOOKUP(L232, DADOS_RM_EVENTOS_original!K:L, 2, FALSE), "Código não encontrado/Não digitado")</f>
        <v>Código não encontrado/Não digitado</v>
      </c>
    </row>
    <row r="233" ht="15.75" hidden="1" customHeight="1">
      <c r="A233" s="11" t="s">
        <v>97</v>
      </c>
      <c r="B233" s="11" t="s">
        <v>1154</v>
      </c>
      <c r="C233" s="11" t="s">
        <v>2984</v>
      </c>
      <c r="D233" s="11" t="s">
        <v>44</v>
      </c>
      <c r="E233" s="11" t="s">
        <v>972</v>
      </c>
      <c r="F233" s="11" t="s">
        <v>245</v>
      </c>
      <c r="G233" s="12" t="s">
        <v>262</v>
      </c>
      <c r="H233" s="12" t="s">
        <v>68</v>
      </c>
      <c r="I233" s="12" t="str">
        <f>IFERROR(VLOOKUP(H233, DADOS_RM_EVENTOS_original!C:D, 2, FALSE), "Código não encontrado/Não digitado")</f>
        <v>Código não encontrado/Não digitado</v>
      </c>
      <c r="J233" s="12" t="s">
        <v>68</v>
      </c>
      <c r="K233" s="12" t="str">
        <f>IFERROR(VLOOKUP(J233, DADOS_RM_EVENTOS_original!E:J, 2, FALSE), "Código não encontrado/Não digitado")</f>
        <v>Código não encontrado/Não digitado</v>
      </c>
      <c r="L233" s="12" t="s">
        <v>68</v>
      </c>
      <c r="M233" s="12" t="str">
        <f>IFERROR(VLOOKUP(L233, DADOS_RM_EVENTOS_original!K:L, 2, FALSE), "Código não encontrado/Não digitado")</f>
        <v>Código não encontrado/Não digitado</v>
      </c>
    </row>
    <row r="234" ht="15.75" hidden="1" customHeight="1">
      <c r="A234" s="11" t="s">
        <v>142</v>
      </c>
      <c r="B234" s="11" t="s">
        <v>1154</v>
      </c>
      <c r="C234" s="11" t="s">
        <v>2984</v>
      </c>
      <c r="D234" s="11" t="s">
        <v>44</v>
      </c>
      <c r="E234" s="11" t="s">
        <v>985</v>
      </c>
      <c r="F234" s="11" t="s">
        <v>245</v>
      </c>
      <c r="G234" s="12" t="s">
        <v>262</v>
      </c>
      <c r="H234" s="12" t="s">
        <v>68</v>
      </c>
      <c r="I234" s="12" t="str">
        <f>IFERROR(VLOOKUP(H234, DADOS_RM_EVENTOS_original!C:D, 2, FALSE), "Código não encontrado/Não digitado")</f>
        <v>Código não encontrado/Não digitado</v>
      </c>
      <c r="J234" s="12" t="s">
        <v>68</v>
      </c>
      <c r="K234" s="12" t="str">
        <f>IFERROR(VLOOKUP(J234, DADOS_RM_EVENTOS_original!E:J, 2, FALSE), "Código não encontrado/Não digitado")</f>
        <v>Código não encontrado/Não digitado</v>
      </c>
      <c r="L234" s="12" t="s">
        <v>68</v>
      </c>
      <c r="M234" s="12" t="str">
        <f>IFERROR(VLOOKUP(L234, DADOS_RM_EVENTOS_original!K:L, 2, FALSE), "Código não encontrado/Não digitado")</f>
        <v>Código não encontrado/Não digitado</v>
      </c>
    </row>
    <row r="235" ht="15.75" hidden="1" customHeight="1">
      <c r="A235" s="11" t="s">
        <v>97</v>
      </c>
      <c r="B235" s="11" t="s">
        <v>256</v>
      </c>
      <c r="C235" s="11" t="s">
        <v>2992</v>
      </c>
      <c r="D235" s="11" t="s">
        <v>44</v>
      </c>
      <c r="E235" s="11" t="s">
        <v>972</v>
      </c>
      <c r="F235" s="11" t="s">
        <v>259</v>
      </c>
      <c r="G235" s="12" t="s">
        <v>282</v>
      </c>
      <c r="H235" s="12" t="s">
        <v>68</v>
      </c>
      <c r="I235" s="12" t="str">
        <f>IFERROR(VLOOKUP(H235, DADOS_RM_EVENTOS_original!C:D, 2, FALSE), "Código não encontrado/Não digitado")</f>
        <v>Código não encontrado/Não digitado</v>
      </c>
      <c r="J235" s="12" t="s">
        <v>68</v>
      </c>
      <c r="K235" s="12" t="str">
        <f>IFERROR(VLOOKUP(J235, DADOS_RM_EVENTOS_original!E:J, 2, FALSE), "Código não encontrado/Não digitado")</f>
        <v>Código não encontrado/Não digitado</v>
      </c>
      <c r="L235" s="12" t="s">
        <v>68</v>
      </c>
      <c r="M235" s="12" t="str">
        <f>IFERROR(VLOOKUP(L235, DADOS_RM_EVENTOS_original!K:L, 2, FALSE), "Código não encontrado/Não digitado")</f>
        <v>Código não encontrado/Não digitado</v>
      </c>
    </row>
    <row r="236" ht="15.75" customHeight="1">
      <c r="A236" s="11" t="s">
        <v>97</v>
      </c>
      <c r="B236" s="11" t="s">
        <v>1287</v>
      </c>
      <c r="C236" s="11" t="s">
        <v>2995</v>
      </c>
      <c r="D236" s="11" t="s">
        <v>44</v>
      </c>
      <c r="E236" s="11" t="s">
        <v>972</v>
      </c>
      <c r="F236" s="11" t="s">
        <v>49</v>
      </c>
      <c r="G236" s="12" t="s">
        <v>63</v>
      </c>
      <c r="H236" s="12" t="s">
        <v>68</v>
      </c>
      <c r="I236" s="12" t="str">
        <f>IFERROR(VLOOKUP(H236, DADOS_RM_EVENTOS_original!C:D, 2, FALSE), "Código não encontrado/Não digitado")</f>
        <v>Código não encontrado/Não digitado</v>
      </c>
      <c r="J236" s="12" t="s">
        <v>68</v>
      </c>
      <c r="K236" s="12" t="str">
        <f>IFERROR(VLOOKUP(J236, DADOS_RM_EVENTOS_original!E:J, 2, FALSE), "Código não encontrado/Não digitado")</f>
        <v>Código não encontrado/Não digitado</v>
      </c>
      <c r="L236" s="12" t="s">
        <v>68</v>
      </c>
      <c r="M236" s="12" t="str">
        <f>IFERROR(VLOOKUP(L236, DADOS_RM_EVENTOS_original!K:L, 2, FALSE), "Código não encontrado/Não digitado")</f>
        <v>Código não encontrado/Não digitado</v>
      </c>
    </row>
    <row r="237" ht="15.75" hidden="1" customHeight="1">
      <c r="A237" s="11" t="s">
        <v>38</v>
      </c>
      <c r="B237" s="11" t="s">
        <v>333</v>
      </c>
      <c r="C237" s="11" t="s">
        <v>2998</v>
      </c>
      <c r="D237" s="11" t="s">
        <v>120</v>
      </c>
      <c r="E237" s="11" t="s">
        <v>47</v>
      </c>
      <c r="F237" s="11" t="s">
        <v>2266</v>
      </c>
      <c r="G237" s="12" t="s">
        <v>2957</v>
      </c>
      <c r="H237" s="12" t="s">
        <v>68</v>
      </c>
      <c r="I237" s="12" t="str">
        <f>IFERROR(VLOOKUP(H237, DADOS_RM_EVENTOS_original!C:D, 2, FALSE), "Código não encontrado/Não digitado")</f>
        <v>Código não encontrado/Não digitado</v>
      </c>
      <c r="J237" s="12" t="s">
        <v>68</v>
      </c>
      <c r="K237" s="12" t="str">
        <f>IFERROR(VLOOKUP(J237, DADOS_RM_EVENTOS_original!E:J, 2, FALSE), "Código não encontrado/Não digitado")</f>
        <v>Código não encontrado/Não digitado</v>
      </c>
      <c r="L237" s="12" t="s">
        <v>68</v>
      </c>
      <c r="M237" s="12" t="str">
        <f>IFERROR(VLOOKUP(L237, DADOS_RM_EVENTOS_original!K:L, 2, FALSE), "Código não encontrado/Não digitado")</f>
        <v>Código não encontrado/Não digitado</v>
      </c>
    </row>
    <row r="238" ht="15.75" hidden="1" customHeight="1">
      <c r="A238" s="11" t="s">
        <v>115</v>
      </c>
      <c r="B238" s="11" t="s">
        <v>333</v>
      </c>
      <c r="C238" s="11" t="s">
        <v>2998</v>
      </c>
      <c r="D238" s="11" t="s">
        <v>120</v>
      </c>
      <c r="E238" s="11" t="s">
        <v>121</v>
      </c>
      <c r="F238" s="11" t="s">
        <v>2266</v>
      </c>
      <c r="G238" s="12" t="s">
        <v>2957</v>
      </c>
      <c r="H238" s="12" t="s">
        <v>68</v>
      </c>
      <c r="I238" s="12" t="str">
        <f>IFERROR(VLOOKUP(H238, DADOS_RM_EVENTOS_original!C:D, 2, FALSE), "Código não encontrado/Não digitado")</f>
        <v>Código não encontrado/Não digitado</v>
      </c>
      <c r="J238" s="12" t="s">
        <v>68</v>
      </c>
      <c r="K238" s="12" t="str">
        <f>IFERROR(VLOOKUP(J238, DADOS_RM_EVENTOS_original!E:J, 2, FALSE), "Código não encontrado/Não digitado")</f>
        <v>Código não encontrado/Não digitado</v>
      </c>
      <c r="L238" s="12" t="s">
        <v>68</v>
      </c>
      <c r="M238" s="12" t="str">
        <f>IFERROR(VLOOKUP(L238, DADOS_RM_EVENTOS_original!K:L, 2, FALSE), "Código não encontrado/Não digitado")</f>
        <v>Código não encontrado/Não digitado</v>
      </c>
    </row>
    <row r="239" ht="15.75" hidden="1" customHeight="1">
      <c r="A239" s="11" t="s">
        <v>172</v>
      </c>
      <c r="B239" s="11" t="s">
        <v>333</v>
      </c>
      <c r="C239" s="11" t="s">
        <v>3003</v>
      </c>
      <c r="D239" s="11" t="s">
        <v>120</v>
      </c>
      <c r="E239" s="11" t="s">
        <v>1029</v>
      </c>
      <c r="F239" s="11" t="s">
        <v>2266</v>
      </c>
      <c r="G239" s="12" t="s">
        <v>2957</v>
      </c>
      <c r="H239" s="12" t="s">
        <v>68</v>
      </c>
      <c r="I239" s="12" t="str">
        <f>IFERROR(VLOOKUP(H239, DADOS_RM_EVENTOS_original!C:D, 2, FALSE), "Código não encontrado/Não digitado")</f>
        <v>Código não encontrado/Não digitado</v>
      </c>
      <c r="J239" s="12" t="s">
        <v>68</v>
      </c>
      <c r="K239" s="12" t="str">
        <f>IFERROR(VLOOKUP(J239, DADOS_RM_EVENTOS_original!E:J, 2, FALSE), "Código não encontrado/Não digitado")</f>
        <v>Código não encontrado/Não digitado</v>
      </c>
      <c r="L239" s="12" t="s">
        <v>68</v>
      </c>
      <c r="M239" s="12" t="str">
        <f>IFERROR(VLOOKUP(L239, DADOS_RM_EVENTOS_original!K:L, 2, FALSE), "Código não encontrado/Não digitado")</f>
        <v>Código não encontrado/Não digitado</v>
      </c>
    </row>
    <row r="240" ht="15.75" hidden="1" customHeight="1">
      <c r="A240" s="11" t="s">
        <v>97</v>
      </c>
      <c r="B240" s="11" t="s">
        <v>333</v>
      </c>
      <c r="C240" s="11" t="s">
        <v>3003</v>
      </c>
      <c r="D240" s="11" t="s">
        <v>120</v>
      </c>
      <c r="E240" s="11" t="s">
        <v>972</v>
      </c>
      <c r="F240" s="11" t="s">
        <v>2266</v>
      </c>
      <c r="G240" s="12" t="s">
        <v>2957</v>
      </c>
      <c r="H240" s="12" t="s">
        <v>68</v>
      </c>
      <c r="I240" s="12" t="str">
        <f>IFERROR(VLOOKUP(H240, DADOS_RM_EVENTOS_original!C:D, 2, FALSE), "Código não encontrado/Não digitado")</f>
        <v>Código não encontrado/Não digitado</v>
      </c>
      <c r="J240" s="12" t="s">
        <v>68</v>
      </c>
      <c r="K240" s="12" t="str">
        <f>IFERROR(VLOOKUP(J240, DADOS_RM_EVENTOS_original!E:J, 2, FALSE), "Código não encontrado/Não digitado")</f>
        <v>Código não encontrado/Não digitado</v>
      </c>
      <c r="L240" s="12" t="s">
        <v>68</v>
      </c>
      <c r="M240" s="12" t="str">
        <f>IFERROR(VLOOKUP(L240, DADOS_RM_EVENTOS_original!K:L, 2, FALSE), "Código não encontrado/Não digitado")</f>
        <v>Código não encontrado/Não digitado</v>
      </c>
    </row>
    <row r="241" ht="15.75" hidden="1" customHeight="1">
      <c r="A241" s="11" t="s">
        <v>142</v>
      </c>
      <c r="B241" s="11" t="s">
        <v>333</v>
      </c>
      <c r="C241" s="11" t="s">
        <v>3003</v>
      </c>
      <c r="D241" s="11" t="s">
        <v>120</v>
      </c>
      <c r="E241" s="11" t="s">
        <v>985</v>
      </c>
      <c r="F241" s="11" t="s">
        <v>2266</v>
      </c>
      <c r="G241" s="12" t="s">
        <v>2957</v>
      </c>
      <c r="H241" s="12" t="s">
        <v>68</v>
      </c>
      <c r="I241" s="12" t="str">
        <f>IFERROR(VLOOKUP(H241, DADOS_RM_EVENTOS_original!C:D, 2, FALSE), "Código não encontrado/Não digitado")</f>
        <v>Código não encontrado/Não digitado</v>
      </c>
      <c r="J241" s="12" t="s">
        <v>68</v>
      </c>
      <c r="K241" s="12" t="str">
        <f>IFERROR(VLOOKUP(J241, DADOS_RM_EVENTOS_original!E:J, 2, FALSE), "Código não encontrado/Não digitado")</f>
        <v>Código não encontrado/Não digitado</v>
      </c>
      <c r="L241" s="12" t="s">
        <v>68</v>
      </c>
      <c r="M241" s="12" t="str">
        <f>IFERROR(VLOOKUP(L241, DADOS_RM_EVENTOS_original!K:L, 2, FALSE), "Código não encontrado/Não digitado")</f>
        <v>Código não encontrado/Não digitado</v>
      </c>
    </row>
    <row r="242" ht="15.75" hidden="1" customHeight="1">
      <c r="A242" s="11" t="s">
        <v>97</v>
      </c>
      <c r="B242" s="11" t="s">
        <v>3014</v>
      </c>
      <c r="C242" s="11" t="s">
        <v>3015</v>
      </c>
      <c r="D242" s="11" t="s">
        <v>44</v>
      </c>
      <c r="E242" s="11" t="s">
        <v>972</v>
      </c>
      <c r="F242" s="11" t="s">
        <v>139</v>
      </c>
      <c r="G242" s="12" t="s">
        <v>156</v>
      </c>
      <c r="H242" s="12" t="s">
        <v>68</v>
      </c>
      <c r="I242" s="12" t="str">
        <f>IFERROR(VLOOKUP(H242, DADOS_RM_EVENTOS_original!C:D, 2, FALSE), "Código não encontrado/Não digitado")</f>
        <v>Código não encontrado/Não digitado</v>
      </c>
      <c r="J242" s="12" t="s">
        <v>68</v>
      </c>
      <c r="K242" s="12" t="str">
        <f>IFERROR(VLOOKUP(J242, DADOS_RM_EVENTOS_original!E:J, 2, FALSE), "Código não encontrado/Não digitado")</f>
        <v>Código não encontrado/Não digitado</v>
      </c>
      <c r="L242" s="12" t="s">
        <v>68</v>
      </c>
      <c r="M242" s="12" t="str">
        <f>IFERROR(VLOOKUP(L242, DADOS_RM_EVENTOS_original!K:L, 2, FALSE), "Código não encontrado/Não digitado")</f>
        <v>Código não encontrado/Não digitado</v>
      </c>
    </row>
    <row r="243" ht="15.75" hidden="1" customHeight="1">
      <c r="A243" s="11" t="s">
        <v>142</v>
      </c>
      <c r="B243" s="11" t="s">
        <v>3014</v>
      </c>
      <c r="C243" s="11" t="s">
        <v>3015</v>
      </c>
      <c r="D243" s="11" t="s">
        <v>44</v>
      </c>
      <c r="E243" s="11" t="s">
        <v>985</v>
      </c>
      <c r="F243" s="11" t="s">
        <v>139</v>
      </c>
      <c r="G243" s="12" t="s">
        <v>156</v>
      </c>
      <c r="H243" s="12" t="s">
        <v>68</v>
      </c>
      <c r="I243" s="12" t="str">
        <f>IFERROR(VLOOKUP(H243, DADOS_RM_EVENTOS_original!C:D, 2, FALSE), "Código não encontrado/Não digitado")</f>
        <v>Código não encontrado/Não digitado</v>
      </c>
      <c r="J243" s="12" t="s">
        <v>68</v>
      </c>
      <c r="K243" s="12" t="str">
        <f>IFERROR(VLOOKUP(J243, DADOS_RM_EVENTOS_original!E:J, 2, FALSE), "Código não encontrado/Não digitado")</f>
        <v>Código não encontrado/Não digitado</v>
      </c>
      <c r="L243" s="12" t="s">
        <v>68</v>
      </c>
      <c r="M243" s="12" t="str">
        <f>IFERROR(VLOOKUP(L243, DADOS_RM_EVENTOS_original!K:L, 2, FALSE), "Código não encontrado/Não digitado")</f>
        <v>Código não encontrado/Não digitado</v>
      </c>
    </row>
    <row r="244" ht="15.75" hidden="1" customHeight="1">
      <c r="A244" s="11" t="s">
        <v>172</v>
      </c>
      <c r="B244" s="11" t="s">
        <v>153</v>
      </c>
      <c r="C244" s="11" t="s">
        <v>3022</v>
      </c>
      <c r="D244" s="11" t="s">
        <v>44</v>
      </c>
      <c r="E244" s="11" t="s">
        <v>1029</v>
      </c>
      <c r="F244" s="11" t="s">
        <v>157</v>
      </c>
      <c r="G244" s="12" t="s">
        <v>176</v>
      </c>
      <c r="H244" s="12" t="s">
        <v>68</v>
      </c>
      <c r="I244" s="12" t="str">
        <f>IFERROR(VLOOKUP(H244, DADOS_RM_EVENTOS_original!C:D, 2, FALSE), "Código não encontrado/Não digitado")</f>
        <v>Código não encontrado/Não digitado</v>
      </c>
      <c r="J244" s="12" t="s">
        <v>68</v>
      </c>
      <c r="K244" s="12" t="str">
        <f>IFERROR(VLOOKUP(J244, DADOS_RM_EVENTOS_original!E:J, 2, FALSE), "Código não encontrado/Não digitado")</f>
        <v>Código não encontrado/Não digitado</v>
      </c>
      <c r="L244" s="12" t="s">
        <v>68</v>
      </c>
      <c r="M244" s="12" t="str">
        <f>IFERROR(VLOOKUP(L244, DADOS_RM_EVENTOS_original!K:L, 2, FALSE), "Código não encontrado/Não digitado")</f>
        <v>Código não encontrado/Não digitado</v>
      </c>
    </row>
    <row r="245" ht="15.75" customHeight="1">
      <c r="A245" s="11" t="s">
        <v>38</v>
      </c>
      <c r="B245" s="11" t="s">
        <v>3014</v>
      </c>
      <c r="C245" s="11" t="s">
        <v>3026</v>
      </c>
      <c r="D245" s="11" t="s">
        <v>44</v>
      </c>
      <c r="E245" s="11" t="s">
        <v>47</v>
      </c>
      <c r="F245" s="11" t="s">
        <v>49</v>
      </c>
      <c r="G245" s="12" t="s">
        <v>63</v>
      </c>
      <c r="H245" s="12" t="s">
        <v>68</v>
      </c>
      <c r="I245" s="12" t="str">
        <f>IFERROR(VLOOKUP(H245, DADOS_RM_EVENTOS_original!C:D, 2, FALSE), "Código não encontrado/Não digitado")</f>
        <v>Código não encontrado/Não digitado</v>
      </c>
      <c r="J245" s="12" t="s">
        <v>68</v>
      </c>
      <c r="K245" s="12" t="str">
        <f>IFERROR(VLOOKUP(J245, DADOS_RM_EVENTOS_original!E:J, 2, FALSE), "Código não encontrado/Não digitado")</f>
        <v>Código não encontrado/Não digitado</v>
      </c>
      <c r="L245" s="12" t="s">
        <v>68</v>
      </c>
      <c r="M245" s="12" t="str">
        <f>IFERROR(VLOOKUP(L245, DADOS_RM_EVENTOS_original!K:L, 2, FALSE), "Código não encontrado/Não digitado")</f>
        <v>Código não encontrado/Não digitado</v>
      </c>
    </row>
    <row r="246" ht="15.75" customHeight="1">
      <c r="A246" s="11" t="s">
        <v>38</v>
      </c>
      <c r="B246" s="11" t="s">
        <v>636</v>
      </c>
      <c r="C246" s="11" t="s">
        <v>3029</v>
      </c>
      <c r="D246" s="11" t="s">
        <v>44</v>
      </c>
      <c r="E246" s="11" t="s">
        <v>47</v>
      </c>
      <c r="F246" s="11" t="s">
        <v>49</v>
      </c>
      <c r="G246" s="12" t="s">
        <v>63</v>
      </c>
      <c r="H246" s="12" t="s">
        <v>68</v>
      </c>
      <c r="I246" s="12" t="str">
        <f>IFERROR(VLOOKUP(H246, DADOS_RM_EVENTOS_original!C:D, 2, FALSE), "Código não encontrado/Não digitado")</f>
        <v>Código não encontrado/Não digitado</v>
      </c>
      <c r="J246" s="12" t="s">
        <v>68</v>
      </c>
      <c r="K246" s="12" t="str">
        <f>IFERROR(VLOOKUP(J246, DADOS_RM_EVENTOS_original!E:J, 2, FALSE), "Código não encontrado/Não digitado")</f>
        <v>Código não encontrado/Não digitado</v>
      </c>
      <c r="L246" s="12" t="s">
        <v>68</v>
      </c>
      <c r="M246" s="12" t="str">
        <f>IFERROR(VLOOKUP(L246, DADOS_RM_EVENTOS_original!K:L, 2, FALSE), "Código não encontrado/Não digitado")</f>
        <v>Código não encontrado/Não digitado</v>
      </c>
    </row>
    <row r="247" ht="15.75" customHeight="1">
      <c r="A247" s="11" t="s">
        <v>115</v>
      </c>
      <c r="B247" s="11" t="s">
        <v>636</v>
      </c>
      <c r="C247" s="11" t="s">
        <v>3029</v>
      </c>
      <c r="D247" s="11" t="s">
        <v>44</v>
      </c>
      <c r="E247" s="11" t="s">
        <v>121</v>
      </c>
      <c r="F247" s="11" t="s">
        <v>49</v>
      </c>
      <c r="G247" s="12" t="s">
        <v>63</v>
      </c>
      <c r="H247" s="12" t="s">
        <v>68</v>
      </c>
      <c r="I247" s="12" t="str">
        <f>IFERROR(VLOOKUP(H247, DADOS_RM_EVENTOS_original!C:D, 2, FALSE), "Código não encontrado/Não digitado")</f>
        <v>Código não encontrado/Não digitado</v>
      </c>
      <c r="J247" s="12" t="s">
        <v>68</v>
      </c>
      <c r="K247" s="12" t="str">
        <f>IFERROR(VLOOKUP(J247, DADOS_RM_EVENTOS_original!E:J, 2, FALSE), "Código não encontrado/Não digitado")</f>
        <v>Código não encontrado/Não digitado</v>
      </c>
      <c r="L247" s="12" t="s">
        <v>68</v>
      </c>
      <c r="M247" s="12" t="str">
        <f>IFERROR(VLOOKUP(L247, DADOS_RM_EVENTOS_original!K:L, 2, FALSE), "Código não encontrado/Não digitado")</f>
        <v>Código não encontrado/Não digitado</v>
      </c>
    </row>
    <row r="248" ht="15.75" customHeight="1">
      <c r="A248" s="11" t="s">
        <v>97</v>
      </c>
      <c r="B248" s="11" t="s">
        <v>1221</v>
      </c>
      <c r="C248" s="11" t="s">
        <v>3037</v>
      </c>
      <c r="D248" s="11" t="s">
        <v>44</v>
      </c>
      <c r="E248" s="11" t="s">
        <v>972</v>
      </c>
      <c r="F248" s="11" t="s">
        <v>49</v>
      </c>
      <c r="G248" s="12" t="s">
        <v>63</v>
      </c>
      <c r="H248" s="12" t="s">
        <v>68</v>
      </c>
      <c r="I248" s="12" t="str">
        <f>IFERROR(VLOOKUP(H248, DADOS_RM_EVENTOS_original!C:D, 2, FALSE), "Código não encontrado/Não digitado")</f>
        <v>Código não encontrado/Não digitado</v>
      </c>
      <c r="J248" s="12" t="s">
        <v>68</v>
      </c>
      <c r="K248" s="12" t="str">
        <f>IFERROR(VLOOKUP(J248, DADOS_RM_EVENTOS_original!E:J, 2, FALSE), "Código não encontrado/Não digitado")</f>
        <v>Código não encontrado/Não digitado</v>
      </c>
      <c r="L248" s="12" t="s">
        <v>68</v>
      </c>
      <c r="M248" s="12" t="str">
        <f>IFERROR(VLOOKUP(L248, DADOS_RM_EVENTOS_original!K:L, 2, FALSE), "Código não encontrado/Não digitado")</f>
        <v>Código não encontrado/Não digitado</v>
      </c>
    </row>
    <row r="249" ht="15.75" customHeight="1">
      <c r="A249" s="11" t="s">
        <v>142</v>
      </c>
      <c r="B249" s="11" t="s">
        <v>1390</v>
      </c>
      <c r="C249" s="11" t="s">
        <v>3029</v>
      </c>
      <c r="D249" s="11" t="s">
        <v>44</v>
      </c>
      <c r="E249" s="11" t="s">
        <v>985</v>
      </c>
      <c r="F249" s="11" t="s">
        <v>49</v>
      </c>
      <c r="G249" s="12" t="s">
        <v>63</v>
      </c>
      <c r="H249" s="12" t="s">
        <v>68</v>
      </c>
      <c r="I249" s="12" t="str">
        <f>IFERROR(VLOOKUP(H249, DADOS_RM_EVENTOS_original!C:D, 2, FALSE), "Código não encontrado/Não digitado")</f>
        <v>Código não encontrado/Não digitado</v>
      </c>
      <c r="J249" s="12" t="s">
        <v>68</v>
      </c>
      <c r="K249" s="12" t="str">
        <f>IFERROR(VLOOKUP(J249, DADOS_RM_EVENTOS_original!E:J, 2, FALSE), "Código não encontrado/Não digitado")</f>
        <v>Código não encontrado/Não digitado</v>
      </c>
      <c r="L249" s="12" t="s">
        <v>68</v>
      </c>
      <c r="M249" s="12" t="str">
        <f>IFERROR(VLOOKUP(L249, DADOS_RM_EVENTOS_original!K:L, 2, FALSE), "Código não encontrado/Não digitado")</f>
        <v>Código não encontrado/Não digitado</v>
      </c>
    </row>
    <row r="250" ht="15.75" customHeight="1">
      <c r="A250" s="11" t="s">
        <v>199</v>
      </c>
      <c r="B250" s="11" t="s">
        <v>2498</v>
      </c>
      <c r="C250" s="11" t="s">
        <v>3029</v>
      </c>
      <c r="D250" s="11" t="s">
        <v>44</v>
      </c>
      <c r="E250" s="11" t="s">
        <v>1074</v>
      </c>
      <c r="F250" s="11" t="s">
        <v>49</v>
      </c>
      <c r="G250" s="12" t="s">
        <v>63</v>
      </c>
      <c r="H250" s="12" t="s">
        <v>68</v>
      </c>
      <c r="I250" s="12" t="str">
        <f>IFERROR(VLOOKUP(H250, DADOS_RM_EVENTOS_original!C:D, 2, FALSE), "Código não encontrado/Não digitado")</f>
        <v>Código não encontrado/Não digitado</v>
      </c>
      <c r="J250" s="12" t="s">
        <v>68</v>
      </c>
      <c r="K250" s="12" t="str">
        <f>IFERROR(VLOOKUP(J250, DADOS_RM_EVENTOS_original!E:J, 2, FALSE), "Código não encontrado/Não digitado")</f>
        <v>Código não encontrado/Não digitado</v>
      </c>
      <c r="L250" s="12" t="s">
        <v>68</v>
      </c>
      <c r="M250" s="12" t="str">
        <f>IFERROR(VLOOKUP(L250, DADOS_RM_EVENTOS_original!K:L, 2, FALSE), "Código não encontrado/Não digitado")</f>
        <v>Código não encontrado/Não digitado</v>
      </c>
    </row>
    <row r="251" ht="15.75" customHeight="1">
      <c r="A251" s="11" t="s">
        <v>38</v>
      </c>
      <c r="B251" s="11" t="s">
        <v>752</v>
      </c>
      <c r="C251" s="11" t="s">
        <v>3048</v>
      </c>
      <c r="D251" s="11" t="s">
        <v>44</v>
      </c>
      <c r="E251" s="11" t="s">
        <v>47</v>
      </c>
      <c r="F251" s="11" t="s">
        <v>49</v>
      </c>
      <c r="G251" s="12" t="s">
        <v>63</v>
      </c>
      <c r="H251" s="12" t="s">
        <v>68</v>
      </c>
      <c r="I251" s="12" t="str">
        <f>IFERROR(VLOOKUP(H251, DADOS_RM_EVENTOS_original!C:D, 2, FALSE), "Código não encontrado/Não digitado")</f>
        <v>Código não encontrado/Não digitado</v>
      </c>
      <c r="J251" s="12" t="s">
        <v>68</v>
      </c>
      <c r="K251" s="12" t="str">
        <f>IFERROR(VLOOKUP(J251, DADOS_RM_EVENTOS_original!E:J, 2, FALSE), "Código não encontrado/Não digitado")</f>
        <v>Código não encontrado/Não digitado</v>
      </c>
      <c r="L251" s="12" t="s">
        <v>68</v>
      </c>
      <c r="M251" s="12" t="str">
        <f>IFERROR(VLOOKUP(L251, DADOS_RM_EVENTOS_original!K:L, 2, FALSE), "Código não encontrado/Não digitado")</f>
        <v>Código não encontrado/Não digitado</v>
      </c>
    </row>
    <row r="252" ht="15.75" customHeight="1">
      <c r="A252" s="11" t="s">
        <v>38</v>
      </c>
      <c r="B252" s="11" t="s">
        <v>3050</v>
      </c>
      <c r="C252" s="11" t="s">
        <v>3051</v>
      </c>
      <c r="D252" s="11" t="s">
        <v>44</v>
      </c>
      <c r="E252" s="11" t="s">
        <v>47</v>
      </c>
      <c r="F252" s="11" t="s">
        <v>49</v>
      </c>
      <c r="G252" s="12" t="s">
        <v>63</v>
      </c>
      <c r="H252" s="12" t="s">
        <v>68</v>
      </c>
      <c r="I252" s="12" t="str">
        <f>IFERROR(VLOOKUP(H252, DADOS_RM_EVENTOS_original!C:D, 2, FALSE), "Código não encontrado/Não digitado")</f>
        <v>Código não encontrado/Não digitado</v>
      </c>
      <c r="J252" s="12" t="s">
        <v>68</v>
      </c>
      <c r="K252" s="12" t="str">
        <f>IFERROR(VLOOKUP(J252, DADOS_RM_EVENTOS_original!E:J, 2, FALSE), "Código não encontrado/Não digitado")</f>
        <v>Código não encontrado/Não digitado</v>
      </c>
      <c r="L252" s="12" t="s">
        <v>68</v>
      </c>
      <c r="M252" s="12" t="str">
        <f>IFERROR(VLOOKUP(L252, DADOS_RM_EVENTOS_original!K:L, 2, FALSE), "Código não encontrado/Não digitado")</f>
        <v>Código não encontrado/Não digitado</v>
      </c>
    </row>
    <row r="253" ht="15.75" customHeight="1">
      <c r="A253" s="11" t="s">
        <v>38</v>
      </c>
      <c r="B253" s="11" t="s">
        <v>286</v>
      </c>
      <c r="C253" s="11" t="s">
        <v>3053</v>
      </c>
      <c r="D253" s="11" t="s">
        <v>44</v>
      </c>
      <c r="E253" s="11" t="s">
        <v>47</v>
      </c>
      <c r="F253" s="11" t="s">
        <v>49</v>
      </c>
      <c r="G253" s="12" t="s">
        <v>63</v>
      </c>
      <c r="H253" s="12" t="s">
        <v>68</v>
      </c>
      <c r="I253" s="12" t="str">
        <f>IFERROR(VLOOKUP(H253, DADOS_RM_EVENTOS_original!C:D, 2, FALSE), "Código não encontrado/Não digitado")</f>
        <v>Código não encontrado/Não digitado</v>
      </c>
      <c r="J253" s="12" t="s">
        <v>68</v>
      </c>
      <c r="K253" s="12" t="str">
        <f>IFERROR(VLOOKUP(J253, DADOS_RM_EVENTOS_original!E:J, 2, FALSE), "Código não encontrado/Não digitado")</f>
        <v>Código não encontrado/Não digitado</v>
      </c>
      <c r="L253" s="12" t="s">
        <v>68</v>
      </c>
      <c r="M253" s="12" t="str">
        <f>IFERROR(VLOOKUP(L253, DADOS_RM_EVENTOS_original!K:L, 2, FALSE), "Código não encontrado/Não digitado")</f>
        <v>Código não encontrado/Não digitado</v>
      </c>
    </row>
    <row r="254" ht="15.75" hidden="1" customHeight="1">
      <c r="A254" s="11" t="s">
        <v>172</v>
      </c>
      <c r="B254" s="11" t="s">
        <v>1208</v>
      </c>
      <c r="C254" s="11" t="s">
        <v>3055</v>
      </c>
      <c r="D254" s="11" t="s">
        <v>44</v>
      </c>
      <c r="E254" s="11" t="s">
        <v>1029</v>
      </c>
      <c r="F254" s="11" t="s">
        <v>1373</v>
      </c>
      <c r="G254" s="12" t="s">
        <v>1868</v>
      </c>
      <c r="H254" s="12" t="s">
        <v>68</v>
      </c>
      <c r="I254" s="12" t="str">
        <f>IFERROR(VLOOKUP(H254, DADOS_RM_EVENTOS_original!C:D, 2, FALSE), "Código não encontrado/Não digitado")</f>
        <v>Código não encontrado/Não digitado</v>
      </c>
      <c r="J254" s="12" t="s">
        <v>68</v>
      </c>
      <c r="K254" s="12" t="str">
        <f>IFERROR(VLOOKUP(J254, DADOS_RM_EVENTOS_original!E:J, 2, FALSE), "Código não encontrado/Não digitado")</f>
        <v>Código não encontrado/Não digitado</v>
      </c>
      <c r="L254" s="12" t="s">
        <v>68</v>
      </c>
      <c r="M254" s="12" t="str">
        <f>IFERROR(VLOOKUP(L254, DADOS_RM_EVENTOS_original!K:L, 2, FALSE), "Código não encontrado/Não digitado")</f>
        <v>Código não encontrado/Não digitado</v>
      </c>
    </row>
    <row r="255" ht="15.75" hidden="1" customHeight="1">
      <c r="A255" s="11" t="s">
        <v>38</v>
      </c>
      <c r="B255" s="11" t="s">
        <v>1208</v>
      </c>
      <c r="C255" s="11" t="s">
        <v>3059</v>
      </c>
      <c r="D255" s="11" t="s">
        <v>44</v>
      </c>
      <c r="E255" s="11" t="s">
        <v>47</v>
      </c>
      <c r="F255" s="11" t="s">
        <v>713</v>
      </c>
      <c r="G255" s="12" t="s">
        <v>933</v>
      </c>
      <c r="H255" s="12" t="s">
        <v>68</v>
      </c>
      <c r="I255" s="12" t="str">
        <f>IFERROR(VLOOKUP(H255, DADOS_RM_EVENTOS_original!C:D, 2, FALSE), "Código não encontrado/Não digitado")</f>
        <v>Código não encontrado/Não digitado</v>
      </c>
      <c r="J255" s="12" t="s">
        <v>68</v>
      </c>
      <c r="K255" s="12" t="str">
        <f>IFERROR(VLOOKUP(J255, DADOS_RM_EVENTOS_original!E:J, 2, FALSE), "Código não encontrado/Não digitado")</f>
        <v>Código não encontrado/Não digitado</v>
      </c>
      <c r="L255" s="12" t="s">
        <v>68</v>
      </c>
      <c r="M255" s="12" t="str">
        <f>IFERROR(VLOOKUP(L255, DADOS_RM_EVENTOS_original!K:L, 2, FALSE), "Código não encontrado/Não digitado")</f>
        <v>Código não encontrado/Não digitado</v>
      </c>
    </row>
    <row r="256" ht="15.75" customHeight="1">
      <c r="A256" s="11" t="s">
        <v>115</v>
      </c>
      <c r="B256" s="11" t="s">
        <v>630</v>
      </c>
      <c r="C256" s="11" t="s">
        <v>3063</v>
      </c>
      <c r="D256" s="11" t="s">
        <v>44</v>
      </c>
      <c r="E256" s="11" t="s">
        <v>121</v>
      </c>
      <c r="F256" s="11" t="s">
        <v>49</v>
      </c>
      <c r="G256" s="12" t="s">
        <v>63</v>
      </c>
      <c r="H256" s="12" t="s">
        <v>68</v>
      </c>
      <c r="I256" s="12" t="str">
        <f>IFERROR(VLOOKUP(H256, DADOS_RM_EVENTOS_original!C:D, 2, FALSE), "Código não encontrado/Não digitado")</f>
        <v>Código não encontrado/Não digitado</v>
      </c>
      <c r="J256" s="12" t="s">
        <v>68</v>
      </c>
      <c r="K256" s="12" t="str">
        <f>IFERROR(VLOOKUP(J256, DADOS_RM_EVENTOS_original!E:J, 2, FALSE), "Código não encontrado/Não digitado")</f>
        <v>Código não encontrado/Não digitado</v>
      </c>
      <c r="L256" s="12" t="s">
        <v>68</v>
      </c>
      <c r="M256" s="12" t="str">
        <f>IFERROR(VLOOKUP(L256, DADOS_RM_EVENTOS_original!K:L, 2, FALSE), "Código não encontrado/Não digitado")</f>
        <v>Código não encontrado/Não digitado</v>
      </c>
    </row>
    <row r="257" ht="15.75" hidden="1" customHeight="1">
      <c r="A257" s="11" t="s">
        <v>38</v>
      </c>
      <c r="B257" s="11" t="s">
        <v>471</v>
      </c>
      <c r="C257" s="11" t="s">
        <v>3068</v>
      </c>
      <c r="D257" s="11" t="s">
        <v>120</v>
      </c>
      <c r="E257" s="11" t="s">
        <v>47</v>
      </c>
      <c r="F257" s="11" t="s">
        <v>644</v>
      </c>
      <c r="G257" s="12" t="s">
        <v>831</v>
      </c>
      <c r="H257" s="12" t="s">
        <v>68</v>
      </c>
      <c r="I257" s="12" t="str">
        <f>IFERROR(VLOOKUP(H257, DADOS_RM_EVENTOS_original!C:D, 2, FALSE), "Código não encontrado/Não digitado")</f>
        <v>Código não encontrado/Não digitado</v>
      </c>
      <c r="J257" s="12" t="s">
        <v>68</v>
      </c>
      <c r="K257" s="12" t="str">
        <f>IFERROR(VLOOKUP(J257, DADOS_RM_EVENTOS_original!E:J, 2, FALSE), "Código não encontrado/Não digitado")</f>
        <v>Código não encontrado/Não digitado</v>
      </c>
      <c r="L257" s="12" t="s">
        <v>68</v>
      </c>
      <c r="M257" s="12" t="str">
        <f>IFERROR(VLOOKUP(L257, DADOS_RM_EVENTOS_original!K:L, 2, FALSE), "Código não encontrado/Não digitado")</f>
        <v>Código não encontrado/Não digitado</v>
      </c>
    </row>
    <row r="258" ht="15.75" hidden="1" customHeight="1">
      <c r="A258" s="11" t="s">
        <v>38</v>
      </c>
      <c r="B258" s="11" t="s">
        <v>3072</v>
      </c>
      <c r="C258" s="11" t="s">
        <v>3073</v>
      </c>
      <c r="D258" s="11" t="s">
        <v>120</v>
      </c>
      <c r="E258" s="11" t="s">
        <v>47</v>
      </c>
      <c r="F258" s="11" t="s">
        <v>294</v>
      </c>
      <c r="G258" s="12" t="s">
        <v>323</v>
      </c>
      <c r="H258" s="12" t="s">
        <v>68</v>
      </c>
      <c r="I258" s="12" t="str">
        <f>IFERROR(VLOOKUP(H258, DADOS_RM_EVENTOS_original!C:D, 2, FALSE), "Código não encontrado/Não digitado")</f>
        <v>Código não encontrado/Não digitado</v>
      </c>
      <c r="J258" s="12" t="s">
        <v>68</v>
      </c>
      <c r="K258" s="12" t="str">
        <f>IFERROR(VLOOKUP(J258, DADOS_RM_EVENTOS_original!E:J, 2, FALSE), "Código não encontrado/Não digitado")</f>
        <v>Código não encontrado/Não digitado</v>
      </c>
      <c r="L258" s="12" t="s">
        <v>68</v>
      </c>
      <c r="M258" s="12" t="str">
        <f>IFERROR(VLOOKUP(L258, DADOS_RM_EVENTOS_original!K:L, 2, FALSE), "Código não encontrado/Não digitado")</f>
        <v>Código não encontrado/Não digitado</v>
      </c>
    </row>
    <row r="259" ht="15.75" customHeight="1">
      <c r="A259" s="11" t="s">
        <v>38</v>
      </c>
      <c r="B259" s="11" t="s">
        <v>1287</v>
      </c>
      <c r="C259" s="11" t="s">
        <v>3077</v>
      </c>
      <c r="D259" s="11" t="s">
        <v>44</v>
      </c>
      <c r="E259" s="11" t="s">
        <v>47</v>
      </c>
      <c r="F259" s="11" t="s">
        <v>49</v>
      </c>
      <c r="G259" s="12" t="s">
        <v>63</v>
      </c>
      <c r="H259" s="12" t="s">
        <v>68</v>
      </c>
      <c r="I259" s="12" t="str">
        <f>IFERROR(VLOOKUP(H259, DADOS_RM_EVENTOS_original!C:D, 2, FALSE), "Código não encontrado/Não digitado")</f>
        <v>Código não encontrado/Não digitado</v>
      </c>
      <c r="J259" s="12" t="s">
        <v>68</v>
      </c>
      <c r="K259" s="12" t="str">
        <f>IFERROR(VLOOKUP(J259, DADOS_RM_EVENTOS_original!E:J, 2, FALSE), "Código não encontrado/Não digitado")</f>
        <v>Código não encontrado/Não digitado</v>
      </c>
      <c r="L259" s="12" t="s">
        <v>68</v>
      </c>
      <c r="M259" s="12" t="str">
        <f>IFERROR(VLOOKUP(L259, DADOS_RM_EVENTOS_original!K:L, 2, FALSE), "Código não encontrado/Não digitado")</f>
        <v>Código não encontrado/Não digitado</v>
      </c>
    </row>
    <row r="260" ht="15.75" hidden="1" customHeight="1">
      <c r="A260" s="11" t="s">
        <v>38</v>
      </c>
      <c r="B260" s="11" t="s">
        <v>1641</v>
      </c>
      <c r="C260" s="11" t="s">
        <v>3083</v>
      </c>
      <c r="D260" s="11" t="s">
        <v>120</v>
      </c>
      <c r="E260" s="11" t="s">
        <v>47</v>
      </c>
      <c r="F260" s="11" t="s">
        <v>1242</v>
      </c>
      <c r="G260" s="12" t="s">
        <v>1659</v>
      </c>
      <c r="H260" s="12" t="s">
        <v>68</v>
      </c>
      <c r="I260" s="12" t="str">
        <f>IFERROR(VLOOKUP(H260, DADOS_RM_EVENTOS_original!C:D, 2, FALSE), "Código não encontrado/Não digitado")</f>
        <v>Código não encontrado/Não digitado</v>
      </c>
      <c r="J260" s="12" t="s">
        <v>68</v>
      </c>
      <c r="K260" s="12" t="str">
        <f>IFERROR(VLOOKUP(J260, DADOS_RM_EVENTOS_original!E:J, 2, FALSE), "Código não encontrado/Não digitado")</f>
        <v>Código não encontrado/Não digitado</v>
      </c>
      <c r="L260" s="12" t="s">
        <v>68</v>
      </c>
      <c r="M260" s="12" t="str">
        <f>IFERROR(VLOOKUP(L260, DADOS_RM_EVENTOS_original!K:L, 2, FALSE), "Código não encontrado/Não digitado")</f>
        <v>Código não encontrado/Não digitado</v>
      </c>
    </row>
    <row r="261" ht="15.75" hidden="1" customHeight="1">
      <c r="A261" s="11" t="s">
        <v>38</v>
      </c>
      <c r="B261" s="11" t="s">
        <v>3089</v>
      </c>
      <c r="C261" s="11" t="s">
        <v>3090</v>
      </c>
      <c r="D261" s="11" t="s">
        <v>120</v>
      </c>
      <c r="E261" s="11" t="s">
        <v>47</v>
      </c>
      <c r="F261" s="11" t="s">
        <v>1561</v>
      </c>
      <c r="G261" s="12" t="s">
        <v>2120</v>
      </c>
      <c r="H261" s="12" t="s">
        <v>68</v>
      </c>
      <c r="I261" s="12" t="str">
        <f>IFERROR(VLOOKUP(H261, DADOS_RM_EVENTOS_original!C:D, 2, FALSE), "Código não encontrado/Não digitado")</f>
        <v>Código não encontrado/Não digitado</v>
      </c>
      <c r="J261" s="12" t="s">
        <v>68</v>
      </c>
      <c r="K261" s="12" t="str">
        <f>IFERROR(VLOOKUP(J261, DADOS_RM_EVENTOS_original!E:J, 2, FALSE), "Código não encontrado/Não digitado")</f>
        <v>Código não encontrado/Não digitado</v>
      </c>
      <c r="L261" s="12" t="s">
        <v>68</v>
      </c>
      <c r="M261" s="12" t="str">
        <f>IFERROR(VLOOKUP(L261, DADOS_RM_EVENTOS_original!K:L, 2, FALSE), "Código não encontrado/Não digitado")</f>
        <v>Código não encontrado/Não digitado</v>
      </c>
    </row>
    <row r="262" ht="15.75" hidden="1" customHeight="1">
      <c r="A262" s="11" t="s">
        <v>97</v>
      </c>
      <c r="B262" s="11" t="s">
        <v>3096</v>
      </c>
      <c r="C262" s="11" t="s">
        <v>3097</v>
      </c>
      <c r="D262" s="11" t="s">
        <v>120</v>
      </c>
      <c r="E262" s="11" t="s">
        <v>972</v>
      </c>
      <c r="F262" s="11" t="s">
        <v>1561</v>
      </c>
      <c r="G262" s="12" t="s">
        <v>2120</v>
      </c>
      <c r="H262" s="12" t="s">
        <v>68</v>
      </c>
      <c r="I262" s="12" t="str">
        <f>IFERROR(VLOOKUP(H262, DADOS_RM_EVENTOS_original!C:D, 2, FALSE), "Código não encontrado/Não digitado")</f>
        <v>Código não encontrado/Não digitado</v>
      </c>
      <c r="J262" s="12" t="s">
        <v>68</v>
      </c>
      <c r="K262" s="12" t="str">
        <f>IFERROR(VLOOKUP(J262, DADOS_RM_EVENTOS_original!E:J, 2, FALSE), "Código não encontrado/Não digitado")</f>
        <v>Código não encontrado/Não digitado</v>
      </c>
      <c r="L262" s="12" t="s">
        <v>68</v>
      </c>
      <c r="M262" s="12" t="str">
        <f>IFERROR(VLOOKUP(L262, DADOS_RM_EVENTOS_original!K:L, 2, FALSE), "Código não encontrado/Não digitado")</f>
        <v>Código não encontrado/Não digitado</v>
      </c>
    </row>
    <row r="263" ht="15.75" hidden="1" customHeight="1">
      <c r="A263" s="11" t="s">
        <v>172</v>
      </c>
      <c r="B263" s="11" t="s">
        <v>601</v>
      </c>
      <c r="C263" s="11" t="s">
        <v>3101</v>
      </c>
      <c r="D263" s="11" t="s">
        <v>120</v>
      </c>
      <c r="E263" s="11" t="s">
        <v>1029</v>
      </c>
      <c r="F263" s="11" t="s">
        <v>1561</v>
      </c>
      <c r="G263" s="12" t="s">
        <v>2120</v>
      </c>
      <c r="H263" s="12" t="s">
        <v>68</v>
      </c>
      <c r="I263" s="12" t="str">
        <f>IFERROR(VLOOKUP(H263, DADOS_RM_EVENTOS_original!C:D, 2, FALSE), "Código não encontrado/Não digitado")</f>
        <v>Código não encontrado/Não digitado</v>
      </c>
      <c r="J263" s="12" t="s">
        <v>68</v>
      </c>
      <c r="K263" s="12" t="str">
        <f>IFERROR(VLOOKUP(J263, DADOS_RM_EVENTOS_original!E:J, 2, FALSE), "Código não encontrado/Não digitado")</f>
        <v>Código não encontrado/Não digitado</v>
      </c>
      <c r="L263" s="12" t="s">
        <v>68</v>
      </c>
      <c r="M263" s="12" t="str">
        <f>IFERROR(VLOOKUP(L263, DADOS_RM_EVENTOS_original!K:L, 2, FALSE), "Código não encontrado/Não digitado")</f>
        <v>Código não encontrado/Não digitado</v>
      </c>
    </row>
    <row r="264" ht="15.75" customHeight="1">
      <c r="A264" s="11" t="s">
        <v>38</v>
      </c>
      <c r="B264" s="11" t="s">
        <v>3105</v>
      </c>
      <c r="C264" s="11" t="s">
        <v>3107</v>
      </c>
      <c r="D264" s="11" t="s">
        <v>120</v>
      </c>
      <c r="E264" s="11" t="s">
        <v>47</v>
      </c>
      <c r="F264" s="11" t="s">
        <v>49</v>
      </c>
      <c r="G264" s="12" t="s">
        <v>63</v>
      </c>
      <c r="H264" s="12" t="s">
        <v>68</v>
      </c>
      <c r="I264" s="12" t="str">
        <f>IFERROR(VLOOKUP(H264, DADOS_RM_EVENTOS_original!C:D, 2, FALSE), "Código não encontrado/Não digitado")</f>
        <v>Código não encontrado/Não digitado</v>
      </c>
      <c r="J264" s="12" t="s">
        <v>68</v>
      </c>
      <c r="K264" s="12" t="str">
        <f>IFERROR(VLOOKUP(J264, DADOS_RM_EVENTOS_original!E:J, 2, FALSE), "Código não encontrado/Não digitado")</f>
        <v>Código não encontrado/Não digitado</v>
      </c>
      <c r="L264" s="12" t="s">
        <v>68</v>
      </c>
      <c r="M264" s="12" t="str">
        <f>IFERROR(VLOOKUP(L264, DADOS_RM_EVENTOS_original!K:L, 2, FALSE), "Código não encontrado/Não digitado")</f>
        <v>Código não encontrado/Não digitado</v>
      </c>
    </row>
    <row r="265" ht="15.75" customHeight="1">
      <c r="A265" s="11" t="s">
        <v>97</v>
      </c>
      <c r="B265" s="11" t="s">
        <v>3105</v>
      </c>
      <c r="C265" s="11" t="s">
        <v>3111</v>
      </c>
      <c r="D265" s="11" t="s">
        <v>120</v>
      </c>
      <c r="E265" s="11" t="s">
        <v>972</v>
      </c>
      <c r="F265" s="11" t="s">
        <v>49</v>
      </c>
      <c r="G265" s="12" t="s">
        <v>63</v>
      </c>
      <c r="H265" s="12" t="s">
        <v>68</v>
      </c>
      <c r="I265" s="12" t="str">
        <f>IFERROR(VLOOKUP(H265, DADOS_RM_EVENTOS_original!C:D, 2, FALSE), "Código não encontrado/Não digitado")</f>
        <v>Código não encontrado/Não digitado</v>
      </c>
      <c r="J265" s="12" t="s">
        <v>68</v>
      </c>
      <c r="K265" s="12" t="str">
        <f>IFERROR(VLOOKUP(J265, DADOS_RM_EVENTOS_original!E:J, 2, FALSE), "Código não encontrado/Não digitado")</f>
        <v>Código não encontrado/Não digitado</v>
      </c>
      <c r="L265" s="12" t="s">
        <v>68</v>
      </c>
      <c r="M265" s="12" t="str">
        <f>IFERROR(VLOOKUP(L265, DADOS_RM_EVENTOS_original!K:L, 2, FALSE), "Código não encontrado/Não digitado")</f>
        <v>Código não encontrado/Não digitado</v>
      </c>
    </row>
    <row r="266" ht="15.75" customHeight="1">
      <c r="A266" s="11" t="s">
        <v>38</v>
      </c>
      <c r="B266" s="11" t="s">
        <v>427</v>
      </c>
      <c r="C266" s="11" t="s">
        <v>3115</v>
      </c>
      <c r="D266" s="11" t="s">
        <v>120</v>
      </c>
      <c r="E266" s="11" t="s">
        <v>47</v>
      </c>
      <c r="F266" s="11" t="s">
        <v>49</v>
      </c>
      <c r="G266" s="12" t="s">
        <v>63</v>
      </c>
      <c r="H266" s="12" t="s">
        <v>68</v>
      </c>
      <c r="I266" s="12" t="str">
        <f>IFERROR(VLOOKUP(H266, DADOS_RM_EVENTOS_original!C:D, 2, FALSE), "Código não encontrado/Não digitado")</f>
        <v>Código não encontrado/Não digitado</v>
      </c>
      <c r="J266" s="12" t="s">
        <v>68</v>
      </c>
      <c r="K266" s="12" t="str">
        <f>IFERROR(VLOOKUP(J266, DADOS_RM_EVENTOS_original!E:J, 2, FALSE), "Código não encontrado/Não digitado")</f>
        <v>Código não encontrado/Não digitado</v>
      </c>
      <c r="L266" s="12" t="s">
        <v>68</v>
      </c>
      <c r="M266" s="12" t="str">
        <f>IFERROR(VLOOKUP(L266, DADOS_RM_EVENTOS_original!K:L, 2, FALSE), "Código não encontrado/Não digitado")</f>
        <v>Código não encontrado/Não digitado</v>
      </c>
    </row>
    <row r="267" ht="15.75" customHeight="1">
      <c r="A267" s="11" t="s">
        <v>97</v>
      </c>
      <c r="B267" s="11" t="s">
        <v>427</v>
      </c>
      <c r="C267" s="11" t="s">
        <v>3120</v>
      </c>
      <c r="D267" s="11" t="s">
        <v>120</v>
      </c>
      <c r="E267" s="11" t="s">
        <v>972</v>
      </c>
      <c r="F267" s="11" t="s">
        <v>49</v>
      </c>
      <c r="G267" s="12" t="s">
        <v>63</v>
      </c>
      <c r="H267" s="12" t="s">
        <v>68</v>
      </c>
      <c r="I267" s="12" t="str">
        <f>IFERROR(VLOOKUP(H267, DADOS_RM_EVENTOS_original!C:D, 2, FALSE), "Código não encontrado/Não digitado")</f>
        <v>Código não encontrado/Não digitado</v>
      </c>
      <c r="J267" s="12" t="s">
        <v>68</v>
      </c>
      <c r="K267" s="12" t="str">
        <f>IFERROR(VLOOKUP(J267, DADOS_RM_EVENTOS_original!E:J, 2, FALSE), "Código não encontrado/Não digitado")</f>
        <v>Código não encontrado/Não digitado</v>
      </c>
      <c r="L267" s="12" t="s">
        <v>68</v>
      </c>
      <c r="M267" s="12" t="str">
        <f>IFERROR(VLOOKUP(L267, DADOS_RM_EVENTOS_original!K:L, 2, FALSE), "Código não encontrado/Não digitado")</f>
        <v>Código não encontrado/Não digitado</v>
      </c>
    </row>
    <row r="268" ht="15.75" customHeight="1">
      <c r="A268" s="11" t="s">
        <v>38</v>
      </c>
      <c r="B268" s="11" t="s">
        <v>281</v>
      </c>
      <c r="C268" s="11" t="s">
        <v>3124</v>
      </c>
      <c r="D268" s="11" t="s">
        <v>120</v>
      </c>
      <c r="E268" s="11" t="s">
        <v>47</v>
      </c>
      <c r="F268" s="11" t="s">
        <v>49</v>
      </c>
      <c r="G268" s="12" t="s">
        <v>63</v>
      </c>
      <c r="H268" s="12" t="s">
        <v>68</v>
      </c>
      <c r="I268" s="12" t="str">
        <f>IFERROR(VLOOKUP(H268, DADOS_RM_EVENTOS_original!C:D, 2, FALSE), "Código não encontrado/Não digitado")</f>
        <v>Código não encontrado/Não digitado</v>
      </c>
      <c r="J268" s="12" t="s">
        <v>68</v>
      </c>
      <c r="K268" s="12" t="str">
        <f>IFERROR(VLOOKUP(J268, DADOS_RM_EVENTOS_original!E:J, 2, FALSE), "Código não encontrado/Não digitado")</f>
        <v>Código não encontrado/Não digitado</v>
      </c>
      <c r="L268" s="12" t="s">
        <v>68</v>
      </c>
      <c r="M268" s="12" t="str">
        <f>IFERROR(VLOOKUP(L268, DADOS_RM_EVENTOS_original!K:L, 2, FALSE), "Código não encontrado/Não digitado")</f>
        <v>Código não encontrado/Não digitado</v>
      </c>
    </row>
    <row r="269" ht="15.75" customHeight="1">
      <c r="A269" s="11" t="s">
        <v>38</v>
      </c>
      <c r="B269" s="11" t="s">
        <v>460</v>
      </c>
      <c r="C269" s="11" t="s">
        <v>3128</v>
      </c>
      <c r="D269" s="11" t="s">
        <v>120</v>
      </c>
      <c r="E269" s="11" t="s">
        <v>47</v>
      </c>
      <c r="F269" s="11" t="s">
        <v>49</v>
      </c>
      <c r="G269" s="12" t="s">
        <v>63</v>
      </c>
      <c r="H269" s="12" t="s">
        <v>68</v>
      </c>
      <c r="I269" s="12" t="str">
        <f>IFERROR(VLOOKUP(H269, DADOS_RM_EVENTOS_original!C:D, 2, FALSE), "Código não encontrado/Não digitado")</f>
        <v>Código não encontrado/Não digitado</v>
      </c>
      <c r="J269" s="12" t="s">
        <v>68</v>
      </c>
      <c r="K269" s="12" t="str">
        <f>IFERROR(VLOOKUP(J269, DADOS_RM_EVENTOS_original!E:J, 2, FALSE), "Código não encontrado/Não digitado")</f>
        <v>Código não encontrado/Não digitado</v>
      </c>
      <c r="L269" s="12" t="s">
        <v>68</v>
      </c>
      <c r="M269" s="12" t="str">
        <f>IFERROR(VLOOKUP(L269, DADOS_RM_EVENTOS_original!K:L, 2, FALSE), "Código não encontrado/Não digitado")</f>
        <v>Código não encontrado/Não digitado</v>
      </c>
    </row>
    <row r="270" ht="15.75" customHeight="1">
      <c r="A270" s="11" t="s">
        <v>38</v>
      </c>
      <c r="B270" s="11" t="s">
        <v>304</v>
      </c>
      <c r="C270" s="11" t="s">
        <v>3132</v>
      </c>
      <c r="D270" s="11" t="s">
        <v>120</v>
      </c>
      <c r="E270" s="11" t="s">
        <v>47</v>
      </c>
      <c r="F270" s="11" t="s">
        <v>49</v>
      </c>
      <c r="G270" s="12" t="s">
        <v>63</v>
      </c>
      <c r="H270" s="12" t="s">
        <v>68</v>
      </c>
      <c r="I270" s="12" t="str">
        <f>IFERROR(VLOOKUP(H270, DADOS_RM_EVENTOS_original!C:D, 2, FALSE), "Código não encontrado/Não digitado")</f>
        <v>Código não encontrado/Não digitado</v>
      </c>
      <c r="J270" s="12" t="s">
        <v>68</v>
      </c>
      <c r="K270" s="12" t="str">
        <f>IFERROR(VLOOKUP(J270, DADOS_RM_EVENTOS_original!E:J, 2, FALSE), "Código não encontrado/Não digitado")</f>
        <v>Código não encontrado/Não digitado</v>
      </c>
      <c r="L270" s="12" t="s">
        <v>68</v>
      </c>
      <c r="M270" s="12" t="str">
        <f>IFERROR(VLOOKUP(L270, DADOS_RM_EVENTOS_original!K:L, 2, FALSE), "Código não encontrado/Não digitado")</f>
        <v>Código não encontrado/Não digitado</v>
      </c>
    </row>
    <row r="271" ht="15.75" customHeight="1">
      <c r="A271" s="11" t="s">
        <v>38</v>
      </c>
      <c r="B271" s="11" t="s">
        <v>3137</v>
      </c>
      <c r="C271" s="11" t="s">
        <v>3138</v>
      </c>
      <c r="D271" s="11" t="s">
        <v>120</v>
      </c>
      <c r="E271" s="11" t="s">
        <v>47</v>
      </c>
      <c r="F271" s="11" t="s">
        <v>49</v>
      </c>
      <c r="G271" s="12" t="s">
        <v>63</v>
      </c>
      <c r="H271" s="12" t="s">
        <v>68</v>
      </c>
      <c r="I271" s="12" t="str">
        <f>IFERROR(VLOOKUP(H271, DADOS_RM_EVENTOS_original!C:D, 2, FALSE), "Código não encontrado/Não digitado")</f>
        <v>Código não encontrado/Não digitado</v>
      </c>
      <c r="J271" s="12" t="s">
        <v>68</v>
      </c>
      <c r="K271" s="12" t="str">
        <f>IFERROR(VLOOKUP(J271, DADOS_RM_EVENTOS_original!E:J, 2, FALSE), "Código não encontrado/Não digitado")</f>
        <v>Código não encontrado/Não digitado</v>
      </c>
      <c r="L271" s="12" t="s">
        <v>68</v>
      </c>
      <c r="M271" s="12" t="str">
        <f>IFERROR(VLOOKUP(L271, DADOS_RM_EVENTOS_original!K:L, 2, FALSE), "Código não encontrado/Não digitado")</f>
        <v>Código não encontrado/Não digitado</v>
      </c>
    </row>
    <row r="272" ht="15.75" customHeight="1">
      <c r="A272" s="11" t="s">
        <v>38</v>
      </c>
      <c r="B272" s="11" t="s">
        <v>399</v>
      </c>
      <c r="C272" s="11" t="s">
        <v>3141</v>
      </c>
      <c r="D272" s="11" t="s">
        <v>120</v>
      </c>
      <c r="E272" s="11" t="s">
        <v>47</v>
      </c>
      <c r="F272" s="11" t="s">
        <v>49</v>
      </c>
      <c r="G272" s="12" t="s">
        <v>63</v>
      </c>
      <c r="H272" s="12" t="s">
        <v>68</v>
      </c>
      <c r="I272" s="12" t="str">
        <f>IFERROR(VLOOKUP(H272, DADOS_RM_EVENTOS_original!C:D, 2, FALSE), "Código não encontrado/Não digitado")</f>
        <v>Código não encontrado/Não digitado</v>
      </c>
      <c r="J272" s="12" t="s">
        <v>68</v>
      </c>
      <c r="K272" s="12" t="str">
        <f>IFERROR(VLOOKUP(J272, DADOS_RM_EVENTOS_original!E:J, 2, FALSE), "Código não encontrado/Não digitado")</f>
        <v>Código não encontrado/Não digitado</v>
      </c>
      <c r="L272" s="12" t="s">
        <v>68</v>
      </c>
      <c r="M272" s="12" t="str">
        <f>IFERROR(VLOOKUP(L272, DADOS_RM_EVENTOS_original!K:L, 2, FALSE), "Código não encontrado/Não digitado")</f>
        <v>Código não encontrado/Não digitado</v>
      </c>
    </row>
    <row r="273" ht="15.75" customHeight="1">
      <c r="A273" s="11" t="s">
        <v>172</v>
      </c>
      <c r="B273" s="11" t="s">
        <v>1266</v>
      </c>
      <c r="C273" s="11" t="s">
        <v>3144</v>
      </c>
      <c r="D273" s="11" t="s">
        <v>120</v>
      </c>
      <c r="E273" s="11" t="s">
        <v>1029</v>
      </c>
      <c r="F273" s="11" t="s">
        <v>49</v>
      </c>
      <c r="G273" s="12" t="s">
        <v>63</v>
      </c>
      <c r="H273" s="12" t="s">
        <v>68</v>
      </c>
      <c r="I273" s="12" t="str">
        <f>IFERROR(VLOOKUP(H273, DADOS_RM_EVENTOS_original!C:D, 2, FALSE), "Código não encontrado/Não digitado")</f>
        <v>Código não encontrado/Não digitado</v>
      </c>
      <c r="J273" s="12" t="s">
        <v>68</v>
      </c>
      <c r="K273" s="12" t="str">
        <f>IFERROR(VLOOKUP(J273, DADOS_RM_EVENTOS_original!E:J, 2, FALSE), "Código não encontrado/Não digitado")</f>
        <v>Código não encontrado/Não digitado</v>
      </c>
      <c r="L273" s="12" t="s">
        <v>68</v>
      </c>
      <c r="M273" s="12" t="str">
        <f>IFERROR(VLOOKUP(L273, DADOS_RM_EVENTOS_original!K:L, 2, FALSE), "Código não encontrado/Não digitado")</f>
        <v>Código não encontrado/Não digitado</v>
      </c>
    </row>
    <row r="274" ht="15.75" customHeight="1">
      <c r="A274" s="11" t="s">
        <v>97</v>
      </c>
      <c r="B274" s="11" t="s">
        <v>1266</v>
      </c>
      <c r="C274" s="11" t="s">
        <v>3144</v>
      </c>
      <c r="D274" s="11" t="s">
        <v>120</v>
      </c>
      <c r="E274" s="11" t="s">
        <v>972</v>
      </c>
      <c r="F274" s="11" t="s">
        <v>49</v>
      </c>
      <c r="G274" s="12" t="s">
        <v>63</v>
      </c>
      <c r="H274" s="12" t="s">
        <v>68</v>
      </c>
      <c r="I274" s="12" t="str">
        <f>IFERROR(VLOOKUP(H274, DADOS_RM_EVENTOS_original!C:D, 2, FALSE), "Código não encontrado/Não digitado")</f>
        <v>Código não encontrado/Não digitado</v>
      </c>
      <c r="J274" s="12" t="s">
        <v>68</v>
      </c>
      <c r="K274" s="12" t="str">
        <f>IFERROR(VLOOKUP(J274, DADOS_RM_EVENTOS_original!E:J, 2, FALSE), "Código não encontrado/Não digitado")</f>
        <v>Código não encontrado/Não digitado</v>
      </c>
      <c r="L274" s="12" t="s">
        <v>68</v>
      </c>
      <c r="M274" s="12" t="str">
        <f>IFERROR(VLOOKUP(L274, DADOS_RM_EVENTOS_original!K:L, 2, FALSE), "Código não encontrado/Não digitado")</f>
        <v>Código não encontrado/Não digitado</v>
      </c>
    </row>
    <row r="275" ht="15.75" customHeight="1">
      <c r="A275" s="11" t="s">
        <v>142</v>
      </c>
      <c r="B275" s="11" t="s">
        <v>1266</v>
      </c>
      <c r="C275" s="11" t="s">
        <v>3144</v>
      </c>
      <c r="D275" s="11" t="s">
        <v>120</v>
      </c>
      <c r="E275" s="11" t="s">
        <v>985</v>
      </c>
      <c r="F275" s="11" t="s">
        <v>49</v>
      </c>
      <c r="G275" s="12" t="s">
        <v>63</v>
      </c>
      <c r="H275" s="12" t="s">
        <v>68</v>
      </c>
      <c r="I275" s="12" t="str">
        <f>IFERROR(VLOOKUP(H275, DADOS_RM_EVENTOS_original!C:D, 2, FALSE), "Código não encontrado/Não digitado")</f>
        <v>Código não encontrado/Não digitado</v>
      </c>
      <c r="J275" s="12" t="s">
        <v>68</v>
      </c>
      <c r="K275" s="12" t="str">
        <f>IFERROR(VLOOKUP(J275, DADOS_RM_EVENTOS_original!E:J, 2, FALSE), "Código não encontrado/Não digitado")</f>
        <v>Código não encontrado/Não digitado</v>
      </c>
      <c r="L275" s="12" t="s">
        <v>68</v>
      </c>
      <c r="M275" s="12" t="str">
        <f>IFERROR(VLOOKUP(L275, DADOS_RM_EVENTOS_original!K:L, 2, FALSE), "Código não encontrado/Não digitado")</f>
        <v>Código não encontrado/Não digitado</v>
      </c>
    </row>
    <row r="276" ht="15.75" customHeight="1">
      <c r="A276" s="11" t="s">
        <v>38</v>
      </c>
      <c r="B276" s="11" t="s">
        <v>1266</v>
      </c>
      <c r="C276" s="11" t="s">
        <v>3155</v>
      </c>
      <c r="D276" s="11" t="s">
        <v>120</v>
      </c>
      <c r="E276" s="11" t="s">
        <v>47</v>
      </c>
      <c r="F276" s="11" t="s">
        <v>49</v>
      </c>
      <c r="G276" s="12" t="s">
        <v>63</v>
      </c>
      <c r="H276" s="12" t="s">
        <v>68</v>
      </c>
      <c r="I276" s="12" t="str">
        <f>IFERROR(VLOOKUP(H276, DADOS_RM_EVENTOS_original!C:D, 2, FALSE), "Código não encontrado/Não digitado")</f>
        <v>Código não encontrado/Não digitado</v>
      </c>
      <c r="J276" s="12" t="s">
        <v>68</v>
      </c>
      <c r="K276" s="12" t="str">
        <f>IFERROR(VLOOKUP(J276, DADOS_RM_EVENTOS_original!E:J, 2, FALSE), "Código não encontrado/Não digitado")</f>
        <v>Código não encontrado/Não digitado</v>
      </c>
      <c r="L276" s="12" t="s">
        <v>68</v>
      </c>
      <c r="M276" s="12" t="str">
        <f>IFERROR(VLOOKUP(L276, DADOS_RM_EVENTOS_original!K:L, 2, FALSE), "Código não encontrado/Não digitado")</f>
        <v>Código não encontrado/Não digitado</v>
      </c>
    </row>
    <row r="277" ht="15.75" customHeight="1">
      <c r="A277" s="11" t="s">
        <v>38</v>
      </c>
      <c r="B277" s="11" t="s">
        <v>259</v>
      </c>
      <c r="C277" s="11" t="s">
        <v>3164</v>
      </c>
      <c r="D277" s="11" t="s">
        <v>120</v>
      </c>
      <c r="E277" s="11" t="s">
        <v>47</v>
      </c>
      <c r="F277" s="11" t="s">
        <v>49</v>
      </c>
      <c r="G277" s="12" t="s">
        <v>63</v>
      </c>
      <c r="H277" s="12" t="s">
        <v>68</v>
      </c>
      <c r="I277" s="12" t="str">
        <f>IFERROR(VLOOKUP(H277, DADOS_RM_EVENTOS_original!C:D, 2, FALSE), "Código não encontrado/Não digitado")</f>
        <v>Código não encontrado/Não digitado</v>
      </c>
      <c r="J277" s="12" t="s">
        <v>68</v>
      </c>
      <c r="K277" s="12" t="str">
        <f>IFERROR(VLOOKUP(J277, DADOS_RM_EVENTOS_original!E:J, 2, FALSE), "Código não encontrado/Não digitado")</f>
        <v>Código não encontrado/Não digitado</v>
      </c>
      <c r="L277" s="12" t="s">
        <v>68</v>
      </c>
      <c r="M277" s="12" t="str">
        <f>IFERROR(VLOOKUP(L277, DADOS_RM_EVENTOS_original!K:L, 2, FALSE), "Código não encontrado/Não digitado")</f>
        <v>Código não encontrado/Não digitado</v>
      </c>
    </row>
    <row r="278" ht="15.75" customHeight="1">
      <c r="A278" s="11" t="s">
        <v>38</v>
      </c>
      <c r="B278" s="11" t="s">
        <v>501</v>
      </c>
      <c r="C278" s="11" t="s">
        <v>3167</v>
      </c>
      <c r="D278" s="11" t="s">
        <v>120</v>
      </c>
      <c r="E278" s="11" t="s">
        <v>47</v>
      </c>
      <c r="F278" s="11" t="s">
        <v>49</v>
      </c>
      <c r="G278" s="12" t="s">
        <v>63</v>
      </c>
      <c r="H278" s="12" t="s">
        <v>68</v>
      </c>
      <c r="I278" s="12" t="str">
        <f>IFERROR(VLOOKUP(H278, DADOS_RM_EVENTOS_original!C:D, 2, FALSE), "Código não encontrado/Não digitado")</f>
        <v>Código não encontrado/Não digitado</v>
      </c>
      <c r="J278" s="12" t="s">
        <v>68</v>
      </c>
      <c r="K278" s="12" t="str">
        <f>IFERROR(VLOOKUP(J278, DADOS_RM_EVENTOS_original!E:J, 2, FALSE), "Código não encontrado/Não digitado")</f>
        <v>Código não encontrado/Não digitado</v>
      </c>
      <c r="L278" s="12" t="s">
        <v>68</v>
      </c>
      <c r="M278" s="12" t="str">
        <f>IFERROR(VLOOKUP(L278, DADOS_RM_EVENTOS_original!K:L, 2, FALSE), "Código não encontrado/Não digitado")</f>
        <v>Código não encontrado/Não digitado</v>
      </c>
    </row>
    <row r="279" ht="15.75" customHeight="1">
      <c r="A279" s="11" t="s">
        <v>38</v>
      </c>
      <c r="B279" s="11" t="s">
        <v>361</v>
      </c>
      <c r="C279" s="11" t="s">
        <v>3170</v>
      </c>
      <c r="D279" s="11" t="s">
        <v>120</v>
      </c>
      <c r="E279" s="11" t="s">
        <v>47</v>
      </c>
      <c r="F279" s="11" t="s">
        <v>49</v>
      </c>
      <c r="G279" s="12" t="s">
        <v>63</v>
      </c>
      <c r="H279" s="12" t="s">
        <v>68</v>
      </c>
      <c r="I279" s="12" t="str">
        <f>IFERROR(VLOOKUP(H279, DADOS_RM_EVENTOS_original!C:D, 2, FALSE), "Código não encontrado/Não digitado")</f>
        <v>Código não encontrado/Não digitado</v>
      </c>
      <c r="J279" s="12" t="s">
        <v>68</v>
      </c>
      <c r="K279" s="12" t="str">
        <f>IFERROR(VLOOKUP(J279, DADOS_RM_EVENTOS_original!E:J, 2, FALSE), "Código não encontrado/Não digitado")</f>
        <v>Código não encontrado/Não digitado</v>
      </c>
      <c r="L279" s="12" t="s">
        <v>68</v>
      </c>
      <c r="M279" s="12" t="str">
        <f>IFERROR(VLOOKUP(L279, DADOS_RM_EVENTOS_original!K:L, 2, FALSE), "Código não encontrado/Não digitado")</f>
        <v>Código não encontrado/Não digitado</v>
      </c>
    </row>
    <row r="280" ht="15.75" customHeight="1">
      <c r="A280" s="11" t="s">
        <v>38</v>
      </c>
      <c r="B280" s="11" t="s">
        <v>757</v>
      </c>
      <c r="C280" s="11" t="s">
        <v>3174</v>
      </c>
      <c r="D280" s="11" t="s">
        <v>120</v>
      </c>
      <c r="E280" s="11" t="s">
        <v>47</v>
      </c>
      <c r="F280" s="11" t="s">
        <v>49</v>
      </c>
      <c r="G280" s="12" t="s">
        <v>63</v>
      </c>
      <c r="H280" s="12" t="s">
        <v>68</v>
      </c>
      <c r="I280" s="12" t="str">
        <f>IFERROR(VLOOKUP(H280, DADOS_RM_EVENTOS_original!C:D, 2, FALSE), "Código não encontrado/Não digitado")</f>
        <v>Código não encontrado/Não digitado</v>
      </c>
      <c r="J280" s="12" t="s">
        <v>68</v>
      </c>
      <c r="K280" s="12" t="str">
        <f>IFERROR(VLOOKUP(J280, DADOS_RM_EVENTOS_original!E:J, 2, FALSE), "Código não encontrado/Não digitado")</f>
        <v>Código não encontrado/Não digitado</v>
      </c>
      <c r="L280" s="12" t="s">
        <v>68</v>
      </c>
      <c r="M280" s="12" t="str">
        <f>IFERROR(VLOOKUP(L280, DADOS_RM_EVENTOS_original!K:L, 2, FALSE), "Código não encontrado/Não digitado")</f>
        <v>Código não encontrado/Não digitado</v>
      </c>
    </row>
    <row r="281" ht="15.75" customHeight="1">
      <c r="A281" s="11" t="s">
        <v>38</v>
      </c>
      <c r="B281" s="11" t="s">
        <v>742</v>
      </c>
      <c r="C281" s="11" t="s">
        <v>3177</v>
      </c>
      <c r="D281" s="11" t="s">
        <v>120</v>
      </c>
      <c r="E281" s="11" t="s">
        <v>47</v>
      </c>
      <c r="F281" s="11" t="s">
        <v>49</v>
      </c>
      <c r="G281" s="12" t="s">
        <v>63</v>
      </c>
      <c r="H281" s="12" t="s">
        <v>68</v>
      </c>
      <c r="I281" s="12" t="str">
        <f>IFERROR(VLOOKUP(H281, DADOS_RM_EVENTOS_original!C:D, 2, FALSE), "Código não encontrado/Não digitado")</f>
        <v>Código não encontrado/Não digitado</v>
      </c>
      <c r="J281" s="12" t="s">
        <v>68</v>
      </c>
      <c r="K281" s="12" t="str">
        <f>IFERROR(VLOOKUP(J281, DADOS_RM_EVENTOS_original!E:J, 2, FALSE), "Código não encontrado/Não digitado")</f>
        <v>Código não encontrado/Não digitado</v>
      </c>
      <c r="L281" s="12" t="s">
        <v>68</v>
      </c>
      <c r="M281" s="12" t="str">
        <f>IFERROR(VLOOKUP(L281, DADOS_RM_EVENTOS_original!K:L, 2, FALSE), "Código não encontrado/Não digitado")</f>
        <v>Código não encontrado/Não digitado</v>
      </c>
    </row>
    <row r="282" ht="15.75" customHeight="1">
      <c r="A282" s="11" t="s">
        <v>38</v>
      </c>
      <c r="B282" s="11" t="s">
        <v>1631</v>
      </c>
      <c r="C282" s="11" t="s">
        <v>3182</v>
      </c>
      <c r="D282" s="11" t="s">
        <v>120</v>
      </c>
      <c r="E282" s="11" t="s">
        <v>47</v>
      </c>
      <c r="F282" s="11" t="s">
        <v>49</v>
      </c>
      <c r="G282" s="12" t="s">
        <v>63</v>
      </c>
      <c r="H282" s="12" t="s">
        <v>68</v>
      </c>
      <c r="I282" s="12" t="str">
        <f>IFERROR(VLOOKUP(H282, DADOS_RM_EVENTOS_original!C:D, 2, FALSE), "Código não encontrado/Não digitado")</f>
        <v>Código não encontrado/Não digitado</v>
      </c>
      <c r="J282" s="12" t="s">
        <v>68</v>
      </c>
      <c r="K282" s="12" t="str">
        <f>IFERROR(VLOOKUP(J282, DADOS_RM_EVENTOS_original!E:J, 2, FALSE), "Código não encontrado/Não digitado")</f>
        <v>Código não encontrado/Não digitado</v>
      </c>
      <c r="L282" s="12" t="s">
        <v>68</v>
      </c>
      <c r="M282" s="12" t="str">
        <f>IFERROR(VLOOKUP(L282, DADOS_RM_EVENTOS_original!K:L, 2, FALSE), "Código não encontrado/Não digitado")</f>
        <v>Código não encontrado/Não digitado</v>
      </c>
    </row>
    <row r="283" ht="15.75" customHeight="1">
      <c r="A283" s="11" t="s">
        <v>38</v>
      </c>
      <c r="B283" s="11" t="s">
        <v>3186</v>
      </c>
      <c r="C283" s="11" t="s">
        <v>3187</v>
      </c>
      <c r="D283" s="11" t="s">
        <v>120</v>
      </c>
      <c r="E283" s="11" t="s">
        <v>47</v>
      </c>
      <c r="F283" s="11" t="s">
        <v>49</v>
      </c>
      <c r="G283" s="12" t="s">
        <v>63</v>
      </c>
      <c r="H283" s="12" t="s">
        <v>68</v>
      </c>
      <c r="I283" s="12" t="str">
        <f>IFERROR(VLOOKUP(H283, DADOS_RM_EVENTOS_original!C:D, 2, FALSE), "Código não encontrado/Não digitado")</f>
        <v>Código não encontrado/Não digitado</v>
      </c>
      <c r="J283" s="12" t="s">
        <v>68</v>
      </c>
      <c r="K283" s="12" t="str">
        <f>IFERROR(VLOOKUP(J283, DADOS_RM_EVENTOS_original!E:J, 2, FALSE), "Código não encontrado/Não digitado")</f>
        <v>Código não encontrado/Não digitado</v>
      </c>
      <c r="L283" s="12" t="s">
        <v>68</v>
      </c>
      <c r="M283" s="12" t="str">
        <f>IFERROR(VLOOKUP(L283, DADOS_RM_EVENTOS_original!K:L, 2, FALSE), "Código não encontrado/Não digitado")</f>
        <v>Código não encontrado/Não digitado</v>
      </c>
    </row>
    <row r="284" ht="15.75" customHeight="1">
      <c r="A284" s="11" t="s">
        <v>38</v>
      </c>
      <c r="B284" s="11" t="s">
        <v>3191</v>
      </c>
      <c r="C284" s="11" t="s">
        <v>3192</v>
      </c>
      <c r="D284" s="11" t="s">
        <v>120</v>
      </c>
      <c r="E284" s="11" t="s">
        <v>47</v>
      </c>
      <c r="F284" s="11" t="s">
        <v>49</v>
      </c>
      <c r="G284" s="12" t="s">
        <v>63</v>
      </c>
      <c r="H284" s="12" t="s">
        <v>68</v>
      </c>
      <c r="I284" s="12" t="str">
        <f>IFERROR(VLOOKUP(H284, DADOS_RM_EVENTOS_original!C:D, 2, FALSE), "Código não encontrado/Não digitado")</f>
        <v>Código não encontrado/Não digitado</v>
      </c>
      <c r="J284" s="12" t="s">
        <v>68</v>
      </c>
      <c r="K284" s="12" t="str">
        <f>IFERROR(VLOOKUP(J284, DADOS_RM_EVENTOS_original!E:J, 2, FALSE), "Código não encontrado/Não digitado")</f>
        <v>Código não encontrado/Não digitado</v>
      </c>
      <c r="L284" s="12" t="s">
        <v>68</v>
      </c>
      <c r="M284" s="12" t="str">
        <f>IFERROR(VLOOKUP(L284, DADOS_RM_EVENTOS_original!K:L, 2, FALSE), "Código não encontrado/Não digitado")</f>
        <v>Código não encontrado/Não digitado</v>
      </c>
    </row>
    <row r="285" ht="15.75" customHeight="1">
      <c r="A285" s="11" t="s">
        <v>38</v>
      </c>
      <c r="B285" s="11" t="s">
        <v>289</v>
      </c>
      <c r="C285" s="11" t="s">
        <v>3203</v>
      </c>
      <c r="D285" s="11" t="s">
        <v>120</v>
      </c>
      <c r="E285" s="11" t="s">
        <v>47</v>
      </c>
      <c r="F285" s="11" t="s">
        <v>49</v>
      </c>
      <c r="G285" s="12" t="s">
        <v>63</v>
      </c>
      <c r="H285" s="12" t="s">
        <v>68</v>
      </c>
      <c r="I285" s="12" t="str">
        <f>IFERROR(VLOOKUP(H285, DADOS_RM_EVENTOS_original!C:D, 2, FALSE), "Código não encontrado/Não digitado")</f>
        <v>Código não encontrado/Não digitado</v>
      </c>
      <c r="J285" s="12" t="s">
        <v>68</v>
      </c>
      <c r="K285" s="12" t="str">
        <f>IFERROR(VLOOKUP(J285, DADOS_RM_EVENTOS_original!E:J, 2, FALSE), "Código não encontrado/Não digitado")</f>
        <v>Código não encontrado/Não digitado</v>
      </c>
      <c r="L285" s="12" t="s">
        <v>68</v>
      </c>
      <c r="M285" s="12" t="str">
        <f>IFERROR(VLOOKUP(L285, DADOS_RM_EVENTOS_original!K:L, 2, FALSE), "Código não encontrado/Não digitado")</f>
        <v>Código não encontrado/Não digitado</v>
      </c>
    </row>
    <row r="286" ht="15.75" customHeight="1">
      <c r="A286" s="11" t="s">
        <v>38</v>
      </c>
      <c r="B286" s="11" t="s">
        <v>457</v>
      </c>
      <c r="C286" s="11" t="s">
        <v>3210</v>
      </c>
      <c r="D286" s="11" t="s">
        <v>120</v>
      </c>
      <c r="E286" s="11" t="s">
        <v>47</v>
      </c>
      <c r="F286" s="11" t="s">
        <v>49</v>
      </c>
      <c r="G286" s="12" t="s">
        <v>63</v>
      </c>
      <c r="H286" s="12" t="s">
        <v>68</v>
      </c>
      <c r="I286" s="12" t="str">
        <f>IFERROR(VLOOKUP(H286, DADOS_RM_EVENTOS_original!C:D, 2, FALSE), "Código não encontrado/Não digitado")</f>
        <v>Código não encontrado/Não digitado</v>
      </c>
      <c r="J286" s="12" t="s">
        <v>68</v>
      </c>
      <c r="K286" s="12" t="str">
        <f>IFERROR(VLOOKUP(J286, DADOS_RM_EVENTOS_original!E:J, 2, FALSE), "Código não encontrado/Não digitado")</f>
        <v>Código não encontrado/Não digitado</v>
      </c>
      <c r="L286" s="12" t="s">
        <v>68</v>
      </c>
      <c r="M286" s="12" t="str">
        <f>IFERROR(VLOOKUP(L286, DADOS_RM_EVENTOS_original!K:L, 2, FALSE), "Código não encontrado/Não digitado")</f>
        <v>Código não encontrado/Não digitado</v>
      </c>
    </row>
    <row r="287" ht="15.75" customHeight="1">
      <c r="A287" s="11" t="s">
        <v>172</v>
      </c>
      <c r="B287" s="11" t="s">
        <v>3217</v>
      </c>
      <c r="C287" s="11" t="s">
        <v>3218</v>
      </c>
      <c r="D287" s="11" t="s">
        <v>120</v>
      </c>
      <c r="E287" s="11" t="s">
        <v>1029</v>
      </c>
      <c r="F287" s="11" t="s">
        <v>49</v>
      </c>
      <c r="G287" s="12" t="s">
        <v>63</v>
      </c>
      <c r="H287" s="12" t="s">
        <v>68</v>
      </c>
      <c r="I287" s="12" t="str">
        <f>IFERROR(VLOOKUP(H287, DADOS_RM_EVENTOS_original!C:D, 2, FALSE), "Código não encontrado/Não digitado")</f>
        <v>Código não encontrado/Não digitado</v>
      </c>
      <c r="J287" s="12" t="s">
        <v>68</v>
      </c>
      <c r="K287" s="12" t="str">
        <f>IFERROR(VLOOKUP(J287, DADOS_RM_EVENTOS_original!E:J, 2, FALSE), "Código não encontrado/Não digitado")</f>
        <v>Código não encontrado/Não digitado</v>
      </c>
      <c r="L287" s="12" t="s">
        <v>68</v>
      </c>
      <c r="M287" s="12" t="str">
        <f>IFERROR(VLOOKUP(L287, DADOS_RM_EVENTOS_original!K:L, 2, FALSE), "Código não encontrado/Não digitado")</f>
        <v>Código não encontrado/Não digitado</v>
      </c>
    </row>
    <row r="288" ht="15.75" customHeight="1">
      <c r="A288" s="11" t="s">
        <v>38</v>
      </c>
      <c r="B288" s="11" t="s">
        <v>1530</v>
      </c>
      <c r="C288" s="11" t="s">
        <v>3226</v>
      </c>
      <c r="D288" s="11" t="s">
        <v>120</v>
      </c>
      <c r="E288" s="11" t="s">
        <v>47</v>
      </c>
      <c r="F288" s="11" t="s">
        <v>49</v>
      </c>
      <c r="G288" s="12" t="s">
        <v>63</v>
      </c>
      <c r="H288" s="12" t="s">
        <v>68</v>
      </c>
      <c r="I288" s="12" t="str">
        <f>IFERROR(VLOOKUP(H288, DADOS_RM_EVENTOS_original!C:D, 2, FALSE), "Código não encontrado/Não digitado")</f>
        <v>Código não encontrado/Não digitado</v>
      </c>
      <c r="J288" s="12" t="s">
        <v>68</v>
      </c>
      <c r="K288" s="12" t="str">
        <f>IFERROR(VLOOKUP(J288, DADOS_RM_EVENTOS_original!E:J, 2, FALSE), "Código não encontrado/Não digitado")</f>
        <v>Código não encontrado/Não digitado</v>
      </c>
      <c r="L288" s="12" t="s">
        <v>68</v>
      </c>
      <c r="M288" s="12" t="str">
        <f>IFERROR(VLOOKUP(L288, DADOS_RM_EVENTOS_original!K:L, 2, FALSE), "Código não encontrado/Não digitado")</f>
        <v>Código não encontrado/Não digitado</v>
      </c>
    </row>
    <row r="289" ht="15.75" customHeight="1">
      <c r="A289" s="11" t="s">
        <v>38</v>
      </c>
      <c r="B289" s="11" t="s">
        <v>596</v>
      </c>
      <c r="C289" s="11" t="s">
        <v>3233</v>
      </c>
      <c r="D289" s="11" t="s">
        <v>120</v>
      </c>
      <c r="E289" s="11" t="s">
        <v>47</v>
      </c>
      <c r="F289" s="11" t="s">
        <v>49</v>
      </c>
      <c r="G289" s="12" t="s">
        <v>63</v>
      </c>
      <c r="H289" s="12" t="s">
        <v>68</v>
      </c>
      <c r="I289" s="12" t="str">
        <f>IFERROR(VLOOKUP(H289, DADOS_RM_EVENTOS_original!C:D, 2, FALSE), "Código não encontrado/Não digitado")</f>
        <v>Código não encontrado/Não digitado</v>
      </c>
      <c r="J289" s="12" t="s">
        <v>68</v>
      </c>
      <c r="K289" s="12" t="str">
        <f>IFERROR(VLOOKUP(J289, DADOS_RM_EVENTOS_original!E:J, 2, FALSE), "Código não encontrado/Não digitado")</f>
        <v>Código não encontrado/Não digitado</v>
      </c>
      <c r="L289" s="12" t="s">
        <v>68</v>
      </c>
      <c r="M289" s="12" t="str">
        <f>IFERROR(VLOOKUP(L289, DADOS_RM_EVENTOS_original!K:L, 2, FALSE), "Código não encontrado/Não digitado")</f>
        <v>Código não encontrado/Não digitado</v>
      </c>
    </row>
    <row r="290" ht="15.75" customHeight="1">
      <c r="A290" s="11" t="s">
        <v>38</v>
      </c>
      <c r="B290" s="11" t="s">
        <v>572</v>
      </c>
      <c r="C290" s="11" t="s">
        <v>3244</v>
      </c>
      <c r="D290" s="11" t="s">
        <v>120</v>
      </c>
      <c r="E290" s="11" t="s">
        <v>47</v>
      </c>
      <c r="F290" s="11" t="s">
        <v>49</v>
      </c>
      <c r="G290" s="12" t="s">
        <v>63</v>
      </c>
      <c r="H290" s="12" t="s">
        <v>68</v>
      </c>
      <c r="I290" s="12" t="str">
        <f>IFERROR(VLOOKUP(H290, DADOS_RM_EVENTOS_original!C:D, 2, FALSE), "Código não encontrado/Não digitado")</f>
        <v>Código não encontrado/Não digitado</v>
      </c>
      <c r="J290" s="12" t="s">
        <v>68</v>
      </c>
      <c r="K290" s="12" t="str">
        <f>IFERROR(VLOOKUP(J290, DADOS_RM_EVENTOS_original!E:J, 2, FALSE), "Código não encontrado/Não digitado")</f>
        <v>Código não encontrado/Não digitado</v>
      </c>
      <c r="L290" s="12" t="s">
        <v>68</v>
      </c>
      <c r="M290" s="12" t="str">
        <f>IFERROR(VLOOKUP(L290, DADOS_RM_EVENTOS_original!K:L, 2, FALSE), "Código não encontrado/Não digitado")</f>
        <v>Código não encontrado/Não digitado</v>
      </c>
    </row>
    <row r="291" ht="15.75" customHeight="1">
      <c r="A291" s="11" t="s">
        <v>38</v>
      </c>
      <c r="B291" s="11" t="s">
        <v>296</v>
      </c>
      <c r="C291" s="11" t="s">
        <v>3254</v>
      </c>
      <c r="D291" s="11" t="s">
        <v>120</v>
      </c>
      <c r="E291" s="11" t="s">
        <v>47</v>
      </c>
      <c r="F291" s="11" t="s">
        <v>49</v>
      </c>
      <c r="G291" s="12" t="s">
        <v>63</v>
      </c>
      <c r="H291" s="12" t="s">
        <v>68</v>
      </c>
      <c r="I291" s="12" t="str">
        <f>IFERROR(VLOOKUP(H291, DADOS_RM_EVENTOS_original!C:D, 2, FALSE), "Código não encontrado/Não digitado")</f>
        <v>Código não encontrado/Não digitado</v>
      </c>
      <c r="J291" s="12" t="s">
        <v>68</v>
      </c>
      <c r="K291" s="12" t="str">
        <f>IFERROR(VLOOKUP(J291, DADOS_RM_EVENTOS_original!E:J, 2, FALSE), "Código não encontrado/Não digitado")</f>
        <v>Código não encontrado/Não digitado</v>
      </c>
      <c r="L291" s="12" t="s">
        <v>68</v>
      </c>
      <c r="M291" s="12" t="str">
        <f>IFERROR(VLOOKUP(L291, DADOS_RM_EVENTOS_original!K:L, 2, FALSE), "Código não encontrado/Não digitado")</f>
        <v>Código não encontrado/Não digitado</v>
      </c>
    </row>
    <row r="292" ht="15.75" customHeight="1">
      <c r="A292" s="11" t="s">
        <v>38</v>
      </c>
      <c r="B292" s="11" t="s">
        <v>454</v>
      </c>
      <c r="C292" s="11" t="s">
        <v>3256</v>
      </c>
      <c r="D292" s="11" t="s">
        <v>120</v>
      </c>
      <c r="E292" s="11" t="s">
        <v>47</v>
      </c>
      <c r="F292" s="11" t="s">
        <v>49</v>
      </c>
      <c r="G292" s="12" t="s">
        <v>63</v>
      </c>
      <c r="H292" s="12" t="s">
        <v>68</v>
      </c>
      <c r="I292" s="12" t="str">
        <f>IFERROR(VLOOKUP(H292, DADOS_RM_EVENTOS_original!C:D, 2, FALSE), "Código não encontrado/Não digitado")</f>
        <v>Código não encontrado/Não digitado</v>
      </c>
      <c r="J292" s="12" t="s">
        <v>68</v>
      </c>
      <c r="K292" s="12" t="str">
        <f>IFERROR(VLOOKUP(J292, DADOS_RM_EVENTOS_original!E:J, 2, FALSE), "Código não encontrado/Não digitado")</f>
        <v>Código não encontrado/Não digitado</v>
      </c>
      <c r="L292" s="12" t="s">
        <v>68</v>
      </c>
      <c r="M292" s="12" t="str">
        <f>IFERROR(VLOOKUP(L292, DADOS_RM_EVENTOS_original!K:L, 2, FALSE), "Código não encontrado/Não digitado")</f>
        <v>Código não encontrado/Não digitado</v>
      </c>
    </row>
    <row r="293" ht="15.75" customHeight="1">
      <c r="A293" s="11" t="s">
        <v>38</v>
      </c>
      <c r="B293" s="11" t="s">
        <v>2259</v>
      </c>
      <c r="C293" s="11" t="s">
        <v>3258</v>
      </c>
      <c r="D293" s="11" t="s">
        <v>120</v>
      </c>
      <c r="E293" s="11" t="s">
        <v>47</v>
      </c>
      <c r="F293" s="11" t="s">
        <v>49</v>
      </c>
      <c r="G293" s="12" t="s">
        <v>63</v>
      </c>
      <c r="H293" s="12" t="s">
        <v>68</v>
      </c>
      <c r="I293" s="12" t="str">
        <f>IFERROR(VLOOKUP(H293, DADOS_RM_EVENTOS_original!C:D, 2, FALSE), "Código não encontrado/Não digitado")</f>
        <v>Código não encontrado/Não digitado</v>
      </c>
      <c r="J293" s="12" t="s">
        <v>68</v>
      </c>
      <c r="K293" s="12" t="str">
        <f>IFERROR(VLOOKUP(J293, DADOS_RM_EVENTOS_original!E:J, 2, FALSE), "Código não encontrado/Não digitado")</f>
        <v>Código não encontrado/Não digitado</v>
      </c>
      <c r="L293" s="12" t="s">
        <v>68</v>
      </c>
      <c r="M293" s="12" t="str">
        <f>IFERROR(VLOOKUP(L293, DADOS_RM_EVENTOS_original!K:L, 2, FALSE), "Código não encontrado/Não digitado")</f>
        <v>Código não encontrado/Não digitado</v>
      </c>
    </row>
    <row r="294" ht="15.75" customHeight="1">
      <c r="A294" s="11" t="s">
        <v>38</v>
      </c>
      <c r="B294" s="11" t="s">
        <v>638</v>
      </c>
      <c r="C294" s="11" t="s">
        <v>3293</v>
      </c>
      <c r="D294" s="11" t="s">
        <v>120</v>
      </c>
      <c r="E294" s="11" t="s">
        <v>47</v>
      </c>
      <c r="F294" s="11" t="s">
        <v>49</v>
      </c>
      <c r="G294" s="12" t="s">
        <v>63</v>
      </c>
      <c r="H294" s="12" t="s">
        <v>68</v>
      </c>
      <c r="I294" s="12" t="str">
        <f>IFERROR(VLOOKUP(H294, DADOS_RM_EVENTOS_original!C:D, 2, FALSE), "Código não encontrado/Não digitado")</f>
        <v>Código não encontrado/Não digitado</v>
      </c>
      <c r="J294" s="12" t="s">
        <v>68</v>
      </c>
      <c r="K294" s="12" t="str">
        <f>IFERROR(VLOOKUP(J294, DADOS_RM_EVENTOS_original!E:J, 2, FALSE), "Código não encontrado/Não digitado")</f>
        <v>Código não encontrado/Não digitado</v>
      </c>
      <c r="L294" s="12" t="s">
        <v>68</v>
      </c>
      <c r="M294" s="12" t="str">
        <f>IFERROR(VLOOKUP(L294, DADOS_RM_EVENTOS_original!K:L, 2, FALSE), "Código não encontrado/Não digitado")</f>
        <v>Código não encontrado/Não digitado</v>
      </c>
    </row>
    <row r="295" ht="15.75" customHeight="1">
      <c r="A295" s="11" t="s">
        <v>38</v>
      </c>
      <c r="B295" s="11" t="s">
        <v>577</v>
      </c>
      <c r="C295" s="11" t="s">
        <v>3307</v>
      </c>
      <c r="D295" s="11" t="s">
        <v>120</v>
      </c>
      <c r="E295" s="11" t="s">
        <v>47</v>
      </c>
      <c r="F295" s="11" t="s">
        <v>49</v>
      </c>
      <c r="G295" s="12" t="s">
        <v>63</v>
      </c>
      <c r="H295" s="12" t="s">
        <v>68</v>
      </c>
      <c r="I295" s="12" t="str">
        <f>IFERROR(VLOOKUP(H295, DADOS_RM_EVENTOS_original!C:D, 2, FALSE), "Código não encontrado/Não digitado")</f>
        <v>Código não encontrado/Não digitado</v>
      </c>
      <c r="J295" s="12" t="s">
        <v>68</v>
      </c>
      <c r="K295" s="12" t="str">
        <f>IFERROR(VLOOKUP(J295, DADOS_RM_EVENTOS_original!E:J, 2, FALSE), "Código não encontrado/Não digitado")</f>
        <v>Código não encontrado/Não digitado</v>
      </c>
      <c r="L295" s="12" t="s">
        <v>68</v>
      </c>
      <c r="M295" s="12" t="str">
        <f>IFERROR(VLOOKUP(L295, DADOS_RM_EVENTOS_original!K:L, 2, FALSE), "Código não encontrado/Não digitado")</f>
        <v>Código não encontrado/Não digitado</v>
      </c>
    </row>
    <row r="296" ht="15.75" customHeight="1">
      <c r="A296" s="11" t="s">
        <v>38</v>
      </c>
      <c r="B296" s="11" t="s">
        <v>606</v>
      </c>
      <c r="C296" s="11" t="s">
        <v>3317</v>
      </c>
      <c r="D296" s="11" t="s">
        <v>120</v>
      </c>
      <c r="E296" s="11" t="s">
        <v>47</v>
      </c>
      <c r="F296" s="11" t="s">
        <v>49</v>
      </c>
      <c r="G296" s="12" t="s">
        <v>63</v>
      </c>
      <c r="H296" s="12" t="s">
        <v>68</v>
      </c>
      <c r="I296" s="12" t="str">
        <f>IFERROR(VLOOKUP(H296, DADOS_RM_EVENTOS_original!C:D, 2, FALSE), "Código não encontrado/Não digitado")</f>
        <v>Código não encontrado/Não digitado</v>
      </c>
      <c r="J296" s="12" t="s">
        <v>68</v>
      </c>
      <c r="K296" s="12" t="str">
        <f>IFERROR(VLOOKUP(J296, DADOS_RM_EVENTOS_original!E:J, 2, FALSE), "Código não encontrado/Não digitado")</f>
        <v>Código não encontrado/Não digitado</v>
      </c>
      <c r="L296" s="12" t="s">
        <v>68</v>
      </c>
      <c r="M296" s="12" t="str">
        <f>IFERROR(VLOOKUP(L296, DADOS_RM_EVENTOS_original!K:L, 2, FALSE), "Código não encontrado/Não digitado")</f>
        <v>Código não encontrado/Não digitado</v>
      </c>
    </row>
    <row r="297" ht="15.75" customHeight="1">
      <c r="A297" s="11" t="s">
        <v>38</v>
      </c>
      <c r="B297" s="11" t="s">
        <v>641</v>
      </c>
      <c r="C297" s="11" t="s">
        <v>3320</v>
      </c>
      <c r="D297" s="11" t="s">
        <v>120</v>
      </c>
      <c r="E297" s="11" t="s">
        <v>47</v>
      </c>
      <c r="F297" s="11" t="s">
        <v>49</v>
      </c>
      <c r="G297" s="12" t="s">
        <v>63</v>
      </c>
      <c r="H297" s="12" t="s">
        <v>68</v>
      </c>
      <c r="I297" s="12" t="str">
        <f>IFERROR(VLOOKUP(H297, DADOS_RM_EVENTOS_original!C:D, 2, FALSE), "Código não encontrado/Não digitado")</f>
        <v>Código não encontrado/Não digitado</v>
      </c>
      <c r="J297" s="12" t="s">
        <v>68</v>
      </c>
      <c r="K297" s="12" t="str">
        <f>IFERROR(VLOOKUP(J297, DADOS_RM_EVENTOS_original!E:J, 2, FALSE), "Código não encontrado/Não digitado")</f>
        <v>Código não encontrado/Não digitado</v>
      </c>
      <c r="L297" s="12" t="s">
        <v>68</v>
      </c>
      <c r="M297" s="12" t="str">
        <f>IFERROR(VLOOKUP(L297, DADOS_RM_EVENTOS_original!K:L, 2, FALSE), "Código não encontrado/Não digitado")</f>
        <v>Código não encontrado/Não digitado</v>
      </c>
    </row>
    <row r="298" ht="15.75" customHeight="1">
      <c r="A298" s="11" t="s">
        <v>38</v>
      </c>
      <c r="B298" s="11" t="s">
        <v>767</v>
      </c>
      <c r="C298" s="11" t="s">
        <v>3322</v>
      </c>
      <c r="D298" s="11" t="s">
        <v>120</v>
      </c>
      <c r="E298" s="11" t="s">
        <v>47</v>
      </c>
      <c r="F298" s="11" t="s">
        <v>49</v>
      </c>
      <c r="G298" s="12" t="s">
        <v>63</v>
      </c>
      <c r="H298" s="12" t="s">
        <v>68</v>
      </c>
      <c r="I298" s="12" t="str">
        <f>IFERROR(VLOOKUP(H298, DADOS_RM_EVENTOS_original!C:D, 2, FALSE), "Código não encontrado/Não digitado")</f>
        <v>Código não encontrado/Não digitado</v>
      </c>
      <c r="J298" s="12" t="s">
        <v>68</v>
      </c>
      <c r="K298" s="12" t="str">
        <f>IFERROR(VLOOKUP(J298, DADOS_RM_EVENTOS_original!E:J, 2, FALSE), "Código não encontrado/Não digitado")</f>
        <v>Código não encontrado/Não digitado</v>
      </c>
      <c r="L298" s="12" t="s">
        <v>68</v>
      </c>
      <c r="M298" s="12" t="str">
        <f>IFERROR(VLOOKUP(L298, DADOS_RM_EVENTOS_original!K:L, 2, FALSE), "Código não encontrado/Não digitado")</f>
        <v>Código não encontrado/Não digitado</v>
      </c>
    </row>
    <row r="299" ht="15.75" customHeight="1">
      <c r="A299" s="11" t="s">
        <v>38</v>
      </c>
      <c r="B299" s="11" t="s">
        <v>3324</v>
      </c>
      <c r="C299" s="11" t="s">
        <v>3267</v>
      </c>
      <c r="D299" s="11" t="s">
        <v>120</v>
      </c>
      <c r="E299" s="11" t="s">
        <v>47</v>
      </c>
      <c r="F299" s="11" t="s">
        <v>49</v>
      </c>
      <c r="G299" s="12" t="s">
        <v>63</v>
      </c>
      <c r="H299" s="12" t="s">
        <v>68</v>
      </c>
      <c r="I299" s="12" t="str">
        <f>IFERROR(VLOOKUP(H299, DADOS_RM_EVENTOS_original!C:D, 2, FALSE), "Código não encontrado/Não digitado")</f>
        <v>Código não encontrado/Não digitado</v>
      </c>
      <c r="J299" s="12" t="s">
        <v>68</v>
      </c>
      <c r="K299" s="12" t="str">
        <f>IFERROR(VLOOKUP(J299, DADOS_RM_EVENTOS_original!E:J, 2, FALSE), "Código não encontrado/Não digitado")</f>
        <v>Código não encontrado/Não digitado</v>
      </c>
      <c r="L299" s="12" t="s">
        <v>68</v>
      </c>
      <c r="M299" s="12" t="str">
        <f>IFERROR(VLOOKUP(L299, DADOS_RM_EVENTOS_original!K:L, 2, FALSE), "Código não encontrado/Não digitado")</f>
        <v>Código não encontrado/Não digitado</v>
      </c>
    </row>
    <row r="300" ht="15.75" customHeight="1">
      <c r="A300" s="11" t="s">
        <v>38</v>
      </c>
      <c r="B300" s="11" t="s">
        <v>869</v>
      </c>
      <c r="C300" s="11" t="s">
        <v>3269</v>
      </c>
      <c r="D300" s="11" t="s">
        <v>120</v>
      </c>
      <c r="E300" s="11" t="s">
        <v>47</v>
      </c>
      <c r="F300" s="11" t="s">
        <v>49</v>
      </c>
      <c r="G300" s="12" t="s">
        <v>63</v>
      </c>
      <c r="H300" s="12" t="s">
        <v>68</v>
      </c>
      <c r="I300" s="12" t="str">
        <f>IFERROR(VLOOKUP(H300, DADOS_RM_EVENTOS_original!C:D, 2, FALSE), "Código não encontrado/Não digitado")</f>
        <v>Código não encontrado/Não digitado</v>
      </c>
      <c r="J300" s="12" t="s">
        <v>68</v>
      </c>
      <c r="K300" s="12" t="str">
        <f>IFERROR(VLOOKUP(J300, DADOS_RM_EVENTOS_original!E:J, 2, FALSE), "Código não encontrado/Não digitado")</f>
        <v>Código não encontrado/Não digitado</v>
      </c>
      <c r="L300" s="12" t="s">
        <v>68</v>
      </c>
      <c r="M300" s="12" t="str">
        <f>IFERROR(VLOOKUP(L300, DADOS_RM_EVENTOS_original!K:L, 2, FALSE), "Código não encontrado/Não digitado")</f>
        <v>Código não encontrado/Não digitado</v>
      </c>
    </row>
    <row r="301" ht="15.75" customHeight="1">
      <c r="A301" s="11" t="s">
        <v>38</v>
      </c>
      <c r="B301" s="11" t="s">
        <v>590</v>
      </c>
      <c r="C301" s="11" t="s">
        <v>3270</v>
      </c>
      <c r="D301" s="11" t="s">
        <v>120</v>
      </c>
      <c r="E301" s="11" t="s">
        <v>47</v>
      </c>
      <c r="F301" s="11" t="s">
        <v>49</v>
      </c>
      <c r="G301" s="12" t="s">
        <v>63</v>
      </c>
      <c r="H301" s="12" t="s">
        <v>68</v>
      </c>
      <c r="I301" s="12" t="str">
        <f>IFERROR(VLOOKUP(H301, DADOS_RM_EVENTOS_original!C:D, 2, FALSE), "Código não encontrado/Não digitado")</f>
        <v>Código não encontrado/Não digitado</v>
      </c>
      <c r="J301" s="12" t="s">
        <v>68</v>
      </c>
      <c r="K301" s="12" t="str">
        <f>IFERROR(VLOOKUP(J301, DADOS_RM_EVENTOS_original!E:J, 2, FALSE), "Código não encontrado/Não digitado")</f>
        <v>Código não encontrado/Não digitado</v>
      </c>
      <c r="L301" s="12" t="s">
        <v>68</v>
      </c>
      <c r="M301" s="12" t="str">
        <f>IFERROR(VLOOKUP(L301, DADOS_RM_EVENTOS_original!K:L, 2, FALSE), "Código não encontrado/Não digitado")</f>
        <v>Código não encontrado/Não digitado</v>
      </c>
    </row>
    <row r="302" ht="15.75" customHeight="1">
      <c r="A302" s="11" t="s">
        <v>38</v>
      </c>
      <c r="B302" s="11" t="s">
        <v>737</v>
      </c>
      <c r="C302" s="11" t="s">
        <v>3272</v>
      </c>
      <c r="D302" s="11" t="s">
        <v>120</v>
      </c>
      <c r="E302" s="11" t="s">
        <v>47</v>
      </c>
      <c r="F302" s="11" t="s">
        <v>49</v>
      </c>
      <c r="G302" s="12" t="s">
        <v>63</v>
      </c>
      <c r="H302" s="12" t="s">
        <v>68</v>
      </c>
      <c r="I302" s="12" t="str">
        <f>IFERROR(VLOOKUP(H302, DADOS_RM_EVENTOS_original!C:D, 2, FALSE), "Código não encontrado/Não digitado")</f>
        <v>Código não encontrado/Não digitado</v>
      </c>
      <c r="J302" s="12" t="s">
        <v>68</v>
      </c>
      <c r="K302" s="12" t="str">
        <f>IFERROR(VLOOKUP(J302, DADOS_RM_EVENTOS_original!E:J, 2, FALSE), "Código não encontrado/Não digitado")</f>
        <v>Código não encontrado/Não digitado</v>
      </c>
      <c r="L302" s="12" t="s">
        <v>68</v>
      </c>
      <c r="M302" s="12" t="str">
        <f>IFERROR(VLOOKUP(L302, DADOS_RM_EVENTOS_original!K:L, 2, FALSE), "Código não encontrado/Não digitado")</f>
        <v>Código não encontrado/Não digitado</v>
      </c>
    </row>
    <row r="303" ht="15.75" customHeight="1">
      <c r="A303" s="11" t="s">
        <v>115</v>
      </c>
      <c r="B303" s="11" t="s">
        <v>430</v>
      </c>
      <c r="C303" s="11" t="s">
        <v>3272</v>
      </c>
      <c r="D303" s="11" t="s">
        <v>120</v>
      </c>
      <c r="E303" s="11" t="s">
        <v>121</v>
      </c>
      <c r="F303" s="11" t="s">
        <v>49</v>
      </c>
      <c r="G303" s="12" t="s">
        <v>63</v>
      </c>
      <c r="H303" s="12" t="s">
        <v>68</v>
      </c>
      <c r="I303" s="12" t="str">
        <f>IFERROR(VLOOKUP(H303, DADOS_RM_EVENTOS_original!C:D, 2, FALSE), "Código não encontrado/Não digitado")</f>
        <v>Código não encontrado/Não digitado</v>
      </c>
      <c r="J303" s="12" t="s">
        <v>68</v>
      </c>
      <c r="K303" s="12" t="str">
        <f>IFERROR(VLOOKUP(J303, DADOS_RM_EVENTOS_original!E:J, 2, FALSE), "Código não encontrado/Não digitado")</f>
        <v>Código não encontrado/Não digitado</v>
      </c>
      <c r="L303" s="12" t="s">
        <v>68</v>
      </c>
      <c r="M303" s="12" t="str">
        <f>IFERROR(VLOOKUP(L303, DADOS_RM_EVENTOS_original!K:L, 2, FALSE), "Código não encontrado/Não digitado")</f>
        <v>Código não encontrado/Não digitado</v>
      </c>
    </row>
    <row r="304" ht="15.75" customHeight="1">
      <c r="A304" s="11" t="s">
        <v>172</v>
      </c>
      <c r="B304" s="11" t="s">
        <v>3386</v>
      </c>
      <c r="C304" s="11" t="s">
        <v>3272</v>
      </c>
      <c r="D304" s="11" t="s">
        <v>120</v>
      </c>
      <c r="E304" s="11" t="s">
        <v>1029</v>
      </c>
      <c r="F304" s="11" t="s">
        <v>49</v>
      </c>
      <c r="G304" s="12" t="s">
        <v>63</v>
      </c>
      <c r="H304" s="12" t="s">
        <v>68</v>
      </c>
      <c r="I304" s="12" t="str">
        <f>IFERROR(VLOOKUP(H304, DADOS_RM_EVENTOS_original!C:D, 2, FALSE), "Código não encontrado/Não digitado")</f>
        <v>Código não encontrado/Não digitado</v>
      </c>
      <c r="J304" s="12" t="s">
        <v>68</v>
      </c>
      <c r="K304" s="12" t="str">
        <f>IFERROR(VLOOKUP(J304, DADOS_RM_EVENTOS_original!E:J, 2, FALSE), "Código não encontrado/Não digitado")</f>
        <v>Código não encontrado/Não digitado</v>
      </c>
      <c r="L304" s="12" t="s">
        <v>68</v>
      </c>
      <c r="M304" s="12" t="str">
        <f>IFERROR(VLOOKUP(L304, DADOS_RM_EVENTOS_original!K:L, 2, FALSE), "Código não encontrado/Não digitado")</f>
        <v>Código não encontrado/Não digitado</v>
      </c>
    </row>
    <row r="305" ht="15.75" customHeight="1">
      <c r="A305" s="11" t="s">
        <v>38</v>
      </c>
      <c r="B305" s="11" t="s">
        <v>866</v>
      </c>
      <c r="C305" s="11" t="s">
        <v>3273</v>
      </c>
      <c r="D305" s="11" t="s">
        <v>120</v>
      </c>
      <c r="E305" s="11" t="s">
        <v>47</v>
      </c>
      <c r="F305" s="11" t="s">
        <v>49</v>
      </c>
      <c r="G305" s="12" t="s">
        <v>63</v>
      </c>
      <c r="H305" s="12" t="s">
        <v>68</v>
      </c>
      <c r="I305" s="12" t="str">
        <f>IFERROR(VLOOKUP(H305, DADOS_RM_EVENTOS_original!C:D, 2, FALSE), "Código não encontrado/Não digitado")</f>
        <v>Código não encontrado/Não digitado</v>
      </c>
      <c r="J305" s="12" t="s">
        <v>68</v>
      </c>
      <c r="K305" s="12" t="str">
        <f>IFERROR(VLOOKUP(J305, DADOS_RM_EVENTOS_original!E:J, 2, FALSE), "Código não encontrado/Não digitado")</f>
        <v>Código não encontrado/Não digitado</v>
      </c>
      <c r="L305" s="12" t="s">
        <v>68</v>
      </c>
      <c r="M305" s="12" t="str">
        <f>IFERROR(VLOOKUP(L305, DADOS_RM_EVENTOS_original!K:L, 2, FALSE), "Código não encontrado/Não digitado")</f>
        <v>Código não encontrado/Não digitado</v>
      </c>
    </row>
    <row r="306" ht="15.75" customHeight="1">
      <c r="A306" s="11" t="s">
        <v>172</v>
      </c>
      <c r="B306" s="11" t="s">
        <v>2246</v>
      </c>
      <c r="C306" s="11" t="s">
        <v>3273</v>
      </c>
      <c r="D306" s="11" t="s">
        <v>120</v>
      </c>
      <c r="E306" s="11" t="s">
        <v>1029</v>
      </c>
      <c r="F306" s="11" t="s">
        <v>49</v>
      </c>
      <c r="G306" s="12" t="s">
        <v>63</v>
      </c>
      <c r="H306" s="12" t="s">
        <v>68</v>
      </c>
      <c r="I306" s="12" t="str">
        <f>IFERROR(VLOOKUP(H306, DADOS_RM_EVENTOS_original!C:D, 2, FALSE), "Código não encontrado/Não digitado")</f>
        <v>Código não encontrado/Não digitado</v>
      </c>
      <c r="J306" s="12" t="s">
        <v>68</v>
      </c>
      <c r="K306" s="12" t="str">
        <f>IFERROR(VLOOKUP(J306, DADOS_RM_EVENTOS_original!E:J, 2, FALSE), "Código não encontrado/Não digitado")</f>
        <v>Código não encontrado/Não digitado</v>
      </c>
      <c r="L306" s="12" t="s">
        <v>68</v>
      </c>
      <c r="M306" s="12" t="str">
        <f>IFERROR(VLOOKUP(L306, DADOS_RM_EVENTOS_original!K:L, 2, FALSE), "Código não encontrado/Não digitado")</f>
        <v>Código não encontrado/Não digitado</v>
      </c>
    </row>
    <row r="307" ht="15.75" customHeight="1">
      <c r="A307" s="11" t="s">
        <v>142</v>
      </c>
      <c r="B307" s="11" t="s">
        <v>2747</v>
      </c>
      <c r="C307" s="11" t="s">
        <v>3273</v>
      </c>
      <c r="D307" s="11" t="s">
        <v>120</v>
      </c>
      <c r="E307" s="11" t="s">
        <v>985</v>
      </c>
      <c r="F307" s="11" t="s">
        <v>49</v>
      </c>
      <c r="G307" s="12" t="s">
        <v>63</v>
      </c>
      <c r="H307" s="12" t="s">
        <v>68</v>
      </c>
      <c r="I307" s="12" t="str">
        <f>IFERROR(VLOOKUP(H307, DADOS_RM_EVENTOS_original!C:D, 2, FALSE), "Código não encontrado/Não digitado")</f>
        <v>Código não encontrado/Não digitado</v>
      </c>
      <c r="J307" s="12" t="s">
        <v>68</v>
      </c>
      <c r="K307" s="12" t="str">
        <f>IFERROR(VLOOKUP(J307, DADOS_RM_EVENTOS_original!E:J, 2, FALSE), "Código não encontrado/Não digitado")</f>
        <v>Código não encontrado/Não digitado</v>
      </c>
      <c r="L307" s="12" t="s">
        <v>68</v>
      </c>
      <c r="M307" s="12" t="str">
        <f>IFERROR(VLOOKUP(L307, DADOS_RM_EVENTOS_original!K:L, 2, FALSE), "Código não encontrado/Não digitado")</f>
        <v>Código não encontrado/Não digitado</v>
      </c>
    </row>
    <row r="308" ht="15.75" customHeight="1">
      <c r="A308" s="11" t="s">
        <v>38</v>
      </c>
      <c r="B308" s="11" t="s">
        <v>1674</v>
      </c>
      <c r="C308" s="11" t="s">
        <v>3275</v>
      </c>
      <c r="D308" s="11" t="s">
        <v>120</v>
      </c>
      <c r="E308" s="11" t="s">
        <v>47</v>
      </c>
      <c r="F308" s="11" t="s">
        <v>49</v>
      </c>
      <c r="G308" s="12" t="s">
        <v>63</v>
      </c>
      <c r="H308" s="12" t="s">
        <v>68</v>
      </c>
      <c r="I308" s="12" t="str">
        <f>IFERROR(VLOOKUP(H308, DADOS_RM_EVENTOS_original!C:D, 2, FALSE), "Código não encontrado/Não digitado")</f>
        <v>Código não encontrado/Não digitado</v>
      </c>
      <c r="J308" s="12" t="s">
        <v>68</v>
      </c>
      <c r="K308" s="12" t="str">
        <f>IFERROR(VLOOKUP(J308, DADOS_RM_EVENTOS_original!E:J, 2, FALSE), "Código não encontrado/Não digitado")</f>
        <v>Código não encontrado/Não digitado</v>
      </c>
      <c r="L308" s="12" t="s">
        <v>68</v>
      </c>
      <c r="M308" s="12" t="str">
        <f>IFERROR(VLOOKUP(L308, DADOS_RM_EVENTOS_original!K:L, 2, FALSE), "Código não encontrado/Não digitado")</f>
        <v>Código não encontrado/Não digitado</v>
      </c>
    </row>
    <row r="309" ht="15.75" customHeight="1">
      <c r="A309" s="11" t="s">
        <v>115</v>
      </c>
      <c r="B309" s="11" t="s">
        <v>460</v>
      </c>
      <c r="C309" s="11" t="s">
        <v>3275</v>
      </c>
      <c r="D309" s="11" t="s">
        <v>120</v>
      </c>
      <c r="E309" s="11" t="s">
        <v>121</v>
      </c>
      <c r="F309" s="11" t="s">
        <v>49</v>
      </c>
      <c r="G309" s="12" t="s">
        <v>63</v>
      </c>
      <c r="H309" s="12" t="s">
        <v>68</v>
      </c>
      <c r="I309" s="12" t="str">
        <f>IFERROR(VLOOKUP(H309, DADOS_RM_EVENTOS_original!C:D, 2, FALSE), "Código não encontrado/Não digitado")</f>
        <v>Código não encontrado/Não digitado</v>
      </c>
      <c r="J309" s="12" t="s">
        <v>68</v>
      </c>
      <c r="K309" s="12" t="str">
        <f>IFERROR(VLOOKUP(J309, DADOS_RM_EVENTOS_original!E:J, 2, FALSE), "Código não encontrado/Não digitado")</f>
        <v>Código não encontrado/Não digitado</v>
      </c>
      <c r="L309" s="12" t="s">
        <v>68</v>
      </c>
      <c r="M309" s="12" t="str">
        <f>IFERROR(VLOOKUP(L309, DADOS_RM_EVENTOS_original!K:L, 2, FALSE), "Código não encontrado/Não digitado")</f>
        <v>Código não encontrado/Não digitado</v>
      </c>
    </row>
    <row r="310" ht="15.75" customHeight="1">
      <c r="A310" s="11" t="s">
        <v>142</v>
      </c>
      <c r="B310" s="11" t="s">
        <v>2922</v>
      </c>
      <c r="C310" s="11" t="s">
        <v>3275</v>
      </c>
      <c r="D310" s="11" t="s">
        <v>120</v>
      </c>
      <c r="E310" s="11" t="s">
        <v>985</v>
      </c>
      <c r="F310" s="11" t="s">
        <v>49</v>
      </c>
      <c r="G310" s="12" t="s">
        <v>63</v>
      </c>
      <c r="H310" s="12" t="s">
        <v>68</v>
      </c>
      <c r="I310" s="12" t="str">
        <f>IFERROR(VLOOKUP(H310, DADOS_RM_EVENTOS_original!C:D, 2, FALSE), "Código não encontrado/Não digitado")</f>
        <v>Código não encontrado/Não digitado</v>
      </c>
      <c r="J310" s="12" t="s">
        <v>68</v>
      </c>
      <c r="K310" s="12" t="str">
        <f>IFERROR(VLOOKUP(J310, DADOS_RM_EVENTOS_original!E:J, 2, FALSE), "Código não encontrado/Não digitado")</f>
        <v>Código não encontrado/Não digitado</v>
      </c>
      <c r="L310" s="12" t="s">
        <v>68</v>
      </c>
      <c r="M310" s="12" t="str">
        <f>IFERROR(VLOOKUP(L310, DADOS_RM_EVENTOS_original!K:L, 2, FALSE), "Código não encontrado/Não digitado")</f>
        <v>Código não encontrado/Não digitado</v>
      </c>
    </row>
    <row r="311" ht="15.75" customHeight="1">
      <c r="A311" s="11" t="s">
        <v>199</v>
      </c>
      <c r="B311" s="11" t="s">
        <v>710</v>
      </c>
      <c r="C311" s="11" t="s">
        <v>3499</v>
      </c>
      <c r="D311" s="11" t="s">
        <v>120</v>
      </c>
      <c r="E311" s="11" t="s">
        <v>1074</v>
      </c>
      <c r="F311" s="11" t="s">
        <v>49</v>
      </c>
      <c r="G311" s="12" t="s">
        <v>63</v>
      </c>
      <c r="H311" s="12" t="s">
        <v>68</v>
      </c>
      <c r="I311" s="12" t="str">
        <f>IFERROR(VLOOKUP(H311, DADOS_RM_EVENTOS_original!C:D, 2, FALSE), "Código não encontrado/Não digitado")</f>
        <v>Código não encontrado/Não digitado</v>
      </c>
      <c r="J311" s="12" t="s">
        <v>68</v>
      </c>
      <c r="K311" s="12" t="str">
        <f>IFERROR(VLOOKUP(J311, DADOS_RM_EVENTOS_original!E:J, 2, FALSE), "Código não encontrado/Não digitado")</f>
        <v>Código não encontrado/Não digitado</v>
      </c>
      <c r="L311" s="12" t="s">
        <v>68</v>
      </c>
      <c r="M311" s="12" t="str">
        <f>IFERROR(VLOOKUP(L311, DADOS_RM_EVENTOS_original!K:L, 2, FALSE), "Código não encontrado/Não digitado")</f>
        <v>Código não encontrado/Não digitado</v>
      </c>
    </row>
    <row r="312" ht="15.75" customHeight="1">
      <c r="A312" s="11" t="s">
        <v>142</v>
      </c>
      <c r="B312" s="11" t="s">
        <v>737</v>
      </c>
      <c r="C312" s="11" t="s">
        <v>3278</v>
      </c>
      <c r="D312" s="11" t="s">
        <v>120</v>
      </c>
      <c r="E312" s="11" t="s">
        <v>985</v>
      </c>
      <c r="F312" s="11" t="s">
        <v>49</v>
      </c>
      <c r="G312" s="12" t="s">
        <v>63</v>
      </c>
      <c r="H312" s="12" t="s">
        <v>68</v>
      </c>
      <c r="I312" s="12" t="str">
        <f>IFERROR(VLOOKUP(H312, DADOS_RM_EVENTOS_original!C:D, 2, FALSE), "Código não encontrado/Não digitado")</f>
        <v>Código não encontrado/Não digitado</v>
      </c>
      <c r="J312" s="12" t="s">
        <v>68</v>
      </c>
      <c r="K312" s="12" t="str">
        <f>IFERROR(VLOOKUP(J312, DADOS_RM_EVENTOS_original!E:J, 2, FALSE), "Código não encontrado/Não digitado")</f>
        <v>Código não encontrado/Não digitado</v>
      </c>
      <c r="L312" s="12" t="s">
        <v>68</v>
      </c>
      <c r="M312" s="12" t="str">
        <f>IFERROR(VLOOKUP(L312, DADOS_RM_EVENTOS_original!K:L, 2, FALSE), "Código não encontrado/Não digitado")</f>
        <v>Código não encontrado/Não digitado</v>
      </c>
    </row>
    <row r="313" ht="15.75" customHeight="1">
      <c r="A313" s="11" t="s">
        <v>38</v>
      </c>
      <c r="B313" s="11" t="s">
        <v>533</v>
      </c>
      <c r="C313" s="11" t="s">
        <v>3510</v>
      </c>
      <c r="D313" s="11" t="s">
        <v>120</v>
      </c>
      <c r="E313" s="11" t="s">
        <v>47</v>
      </c>
      <c r="F313" s="11" t="s">
        <v>49</v>
      </c>
      <c r="G313" s="12" t="s">
        <v>63</v>
      </c>
      <c r="H313" s="12" t="s">
        <v>68</v>
      </c>
      <c r="I313" s="12" t="str">
        <f>IFERROR(VLOOKUP(H313, DADOS_RM_EVENTOS_original!C:D, 2, FALSE), "Código não encontrado/Não digitado")</f>
        <v>Código não encontrado/Não digitado</v>
      </c>
      <c r="J313" s="12" t="s">
        <v>68</v>
      </c>
      <c r="K313" s="12" t="str">
        <f>IFERROR(VLOOKUP(J313, DADOS_RM_EVENTOS_original!E:J, 2, FALSE), "Código não encontrado/Não digitado")</f>
        <v>Código não encontrado/Não digitado</v>
      </c>
      <c r="L313" s="12" t="s">
        <v>68</v>
      </c>
      <c r="M313" s="12" t="str">
        <f>IFERROR(VLOOKUP(L313, DADOS_RM_EVENTOS_original!K:L, 2, FALSE), "Código não encontrado/Não digitado")</f>
        <v>Código não encontrado/Não digitado</v>
      </c>
    </row>
    <row r="314" ht="15.75" customHeight="1">
      <c r="A314" s="11" t="s">
        <v>38</v>
      </c>
      <c r="B314" s="11" t="s">
        <v>593</v>
      </c>
      <c r="C314" s="11" t="s">
        <v>3519</v>
      </c>
      <c r="D314" s="11" t="s">
        <v>120</v>
      </c>
      <c r="E314" s="11" t="s">
        <v>47</v>
      </c>
      <c r="F314" s="11" t="s">
        <v>49</v>
      </c>
      <c r="G314" s="12" t="s">
        <v>63</v>
      </c>
      <c r="H314" s="12" t="s">
        <v>68</v>
      </c>
      <c r="I314" s="12" t="str">
        <f>IFERROR(VLOOKUP(H314, DADOS_RM_EVENTOS_original!C:D, 2, FALSE), "Código não encontrado/Não digitado")</f>
        <v>Código não encontrado/Não digitado</v>
      </c>
      <c r="J314" s="12" t="s">
        <v>68</v>
      </c>
      <c r="K314" s="12" t="str">
        <f>IFERROR(VLOOKUP(J314, DADOS_RM_EVENTOS_original!E:J, 2, FALSE), "Código não encontrado/Não digitado")</f>
        <v>Código não encontrado/Não digitado</v>
      </c>
      <c r="L314" s="12" t="s">
        <v>68</v>
      </c>
      <c r="M314" s="12" t="str">
        <f>IFERROR(VLOOKUP(L314, DADOS_RM_EVENTOS_original!K:L, 2, FALSE), "Código não encontrado/Não digitado")</f>
        <v>Código não encontrado/Não digitado</v>
      </c>
    </row>
    <row r="315" ht="15.75" customHeight="1">
      <c r="A315" s="11" t="s">
        <v>38</v>
      </c>
      <c r="B315" s="11" t="s">
        <v>608</v>
      </c>
      <c r="C315" s="11" t="s">
        <v>3528</v>
      </c>
      <c r="D315" s="11" t="s">
        <v>120</v>
      </c>
      <c r="E315" s="11" t="s">
        <v>47</v>
      </c>
      <c r="F315" s="11" t="s">
        <v>49</v>
      </c>
      <c r="G315" s="12" t="s">
        <v>63</v>
      </c>
      <c r="H315" s="12" t="s">
        <v>68</v>
      </c>
      <c r="I315" s="12" t="str">
        <f>IFERROR(VLOOKUP(H315, DADOS_RM_EVENTOS_original!C:D, 2, FALSE), "Código não encontrado/Não digitado")</f>
        <v>Código não encontrado/Não digitado</v>
      </c>
      <c r="J315" s="12" t="s">
        <v>68</v>
      </c>
      <c r="K315" s="12" t="str">
        <f>IFERROR(VLOOKUP(J315, DADOS_RM_EVENTOS_original!E:J, 2, FALSE), "Código não encontrado/Não digitado")</f>
        <v>Código não encontrado/Não digitado</v>
      </c>
      <c r="L315" s="12" t="s">
        <v>68</v>
      </c>
      <c r="M315" s="12" t="str">
        <f>IFERROR(VLOOKUP(L315, DADOS_RM_EVENTOS_original!K:L, 2, FALSE), "Código não encontrado/Não digitado")</f>
        <v>Código não encontrado/Não digitado</v>
      </c>
    </row>
    <row r="316" ht="15.75" customHeight="1">
      <c r="A316" s="11" t="s">
        <v>38</v>
      </c>
      <c r="B316" s="11" t="s">
        <v>294</v>
      </c>
      <c r="C316" s="11" t="s">
        <v>3535</v>
      </c>
      <c r="D316" s="11" t="s">
        <v>120</v>
      </c>
      <c r="E316" s="11" t="s">
        <v>47</v>
      </c>
      <c r="F316" s="11" t="s">
        <v>49</v>
      </c>
      <c r="G316" s="12" t="s">
        <v>63</v>
      </c>
      <c r="H316" s="12" t="s">
        <v>68</v>
      </c>
      <c r="I316" s="12" t="str">
        <f>IFERROR(VLOOKUP(H316, DADOS_RM_EVENTOS_original!C:D, 2, FALSE), "Código não encontrado/Não digitado")</f>
        <v>Código não encontrado/Não digitado</v>
      </c>
      <c r="J316" s="12" t="s">
        <v>68</v>
      </c>
      <c r="K316" s="12" t="str">
        <f>IFERROR(VLOOKUP(J316, DADOS_RM_EVENTOS_original!E:J, 2, FALSE), "Código não encontrado/Não digitado")</f>
        <v>Código não encontrado/Não digitado</v>
      </c>
      <c r="L316" s="12" t="s">
        <v>68</v>
      </c>
      <c r="M316" s="12" t="str">
        <f>IFERROR(VLOOKUP(L316, DADOS_RM_EVENTOS_original!K:L, 2, FALSE), "Código não encontrado/Não digitado")</f>
        <v>Código não encontrado/Não digitado</v>
      </c>
    </row>
    <row r="317" ht="15.75" hidden="1" customHeight="1">
      <c r="A317" s="11" t="s">
        <v>38</v>
      </c>
      <c r="B317" s="11" t="s">
        <v>2200</v>
      </c>
      <c r="C317" s="11" t="s">
        <v>3544</v>
      </c>
      <c r="D317" s="11" t="s">
        <v>44</v>
      </c>
      <c r="E317" s="11" t="s">
        <v>47</v>
      </c>
      <c r="F317" s="11" t="s">
        <v>418</v>
      </c>
      <c r="G317" s="12" t="s">
        <v>438</v>
      </c>
      <c r="H317" s="12" t="s">
        <v>68</v>
      </c>
      <c r="I317" s="12" t="str">
        <f>IFERROR(VLOOKUP(H317, DADOS_RM_EVENTOS_original!C:D, 2, FALSE), "Código não encontrado/Não digitado")</f>
        <v>Código não encontrado/Não digitado</v>
      </c>
      <c r="J317" s="12" t="s">
        <v>68</v>
      </c>
      <c r="K317" s="12" t="str">
        <f>IFERROR(VLOOKUP(J317, DADOS_RM_EVENTOS_original!E:J, 2, FALSE), "Código não encontrado/Não digitado")</f>
        <v>Código não encontrado/Não digitado</v>
      </c>
      <c r="L317" s="12" t="s">
        <v>68</v>
      </c>
      <c r="M317" s="12" t="str">
        <f>IFERROR(VLOOKUP(L317, DADOS_RM_EVENTOS_original!K:L, 2, FALSE), "Código não encontrado/Não digitado")</f>
        <v>Código não encontrado/Não digitado</v>
      </c>
    </row>
    <row r="318" ht="15.75" hidden="1" customHeight="1">
      <c r="A318" s="11" t="s">
        <v>38</v>
      </c>
      <c r="B318" s="11" t="s">
        <v>3553</v>
      </c>
      <c r="C318" s="11" t="s">
        <v>3554</v>
      </c>
      <c r="D318" s="11" t="s">
        <v>44</v>
      </c>
      <c r="E318" s="11" t="s">
        <v>47</v>
      </c>
      <c r="F318" s="11" t="s">
        <v>418</v>
      </c>
      <c r="G318" s="12" t="s">
        <v>438</v>
      </c>
      <c r="H318" s="12" t="s">
        <v>68</v>
      </c>
      <c r="I318" s="12" t="str">
        <f>IFERROR(VLOOKUP(H318, DADOS_RM_EVENTOS_original!C:D, 2, FALSE), "Código não encontrado/Não digitado")</f>
        <v>Código não encontrado/Não digitado</v>
      </c>
      <c r="J318" s="12" t="s">
        <v>68</v>
      </c>
      <c r="K318" s="12" t="str">
        <f>IFERROR(VLOOKUP(J318, DADOS_RM_EVENTOS_original!E:J, 2, FALSE), "Código não encontrado/Não digitado")</f>
        <v>Código não encontrado/Não digitado</v>
      </c>
      <c r="L318" s="12" t="s">
        <v>68</v>
      </c>
      <c r="M318" s="12" t="str">
        <f>IFERROR(VLOOKUP(L318, DADOS_RM_EVENTOS_original!K:L, 2, FALSE), "Código não encontrado/Não digitado")</f>
        <v>Código não encontrado/Não digitado</v>
      </c>
    </row>
    <row r="319" ht="15.75" hidden="1" customHeight="1">
      <c r="A319" s="11" t="s">
        <v>115</v>
      </c>
      <c r="B319" s="11" t="s">
        <v>3553</v>
      </c>
      <c r="C319" s="11" t="s">
        <v>3554</v>
      </c>
      <c r="D319" s="11" t="s">
        <v>44</v>
      </c>
      <c r="E319" s="11" t="s">
        <v>121</v>
      </c>
      <c r="F319" s="11" t="s">
        <v>418</v>
      </c>
      <c r="G319" s="12" t="s">
        <v>438</v>
      </c>
      <c r="H319" s="12" t="s">
        <v>68</v>
      </c>
      <c r="I319" s="12" t="str">
        <f>IFERROR(VLOOKUP(H319, DADOS_RM_EVENTOS_original!C:D, 2, FALSE), "Código não encontrado/Não digitado")</f>
        <v>Código não encontrado/Não digitado</v>
      </c>
      <c r="J319" s="12" t="s">
        <v>68</v>
      </c>
      <c r="K319" s="12" t="str">
        <f>IFERROR(VLOOKUP(J319, DADOS_RM_EVENTOS_original!E:J, 2, FALSE), "Código não encontrado/Não digitado")</f>
        <v>Código não encontrado/Não digitado</v>
      </c>
      <c r="L319" s="12" t="s">
        <v>68</v>
      </c>
      <c r="M319" s="12" t="str">
        <f>IFERROR(VLOOKUP(L319, DADOS_RM_EVENTOS_original!K:L, 2, FALSE), "Código não encontrado/Não digitado")</f>
        <v>Código não encontrado/Não digitado</v>
      </c>
    </row>
    <row r="320" ht="15.75" hidden="1" customHeight="1">
      <c r="A320" s="11" t="s">
        <v>172</v>
      </c>
      <c r="B320" s="11" t="s">
        <v>3553</v>
      </c>
      <c r="C320" s="11" t="s">
        <v>3569</v>
      </c>
      <c r="D320" s="11" t="s">
        <v>44</v>
      </c>
      <c r="E320" s="11" t="s">
        <v>1029</v>
      </c>
      <c r="F320" s="11" t="s">
        <v>418</v>
      </c>
      <c r="G320" s="12" t="s">
        <v>438</v>
      </c>
      <c r="H320" s="12" t="s">
        <v>68</v>
      </c>
      <c r="I320" s="12" t="str">
        <f>IFERROR(VLOOKUP(H320, DADOS_RM_EVENTOS_original!C:D, 2, FALSE), "Código não encontrado/Não digitado")</f>
        <v>Código não encontrado/Não digitado</v>
      </c>
      <c r="J320" s="12" t="s">
        <v>68</v>
      </c>
      <c r="K320" s="12" t="str">
        <f>IFERROR(VLOOKUP(J320, DADOS_RM_EVENTOS_original!E:J, 2, FALSE), "Código não encontrado/Não digitado")</f>
        <v>Código não encontrado/Não digitado</v>
      </c>
      <c r="L320" s="12" t="s">
        <v>68</v>
      </c>
      <c r="M320" s="12" t="str">
        <f>IFERROR(VLOOKUP(L320, DADOS_RM_EVENTOS_original!K:L, 2, FALSE), "Código não encontrado/Não digitado")</f>
        <v>Código não encontrado/Não digitado</v>
      </c>
    </row>
    <row r="321" ht="15.75" hidden="1" customHeight="1">
      <c r="A321" s="11" t="s">
        <v>97</v>
      </c>
      <c r="B321" s="11" t="s">
        <v>3553</v>
      </c>
      <c r="C321" s="11" t="s">
        <v>3569</v>
      </c>
      <c r="D321" s="11" t="s">
        <v>44</v>
      </c>
      <c r="E321" s="11" t="s">
        <v>972</v>
      </c>
      <c r="F321" s="11" t="s">
        <v>418</v>
      </c>
      <c r="G321" s="12" t="s">
        <v>438</v>
      </c>
      <c r="H321" s="12" t="s">
        <v>68</v>
      </c>
      <c r="I321" s="12" t="str">
        <f>IFERROR(VLOOKUP(H321, DADOS_RM_EVENTOS_original!C:D, 2, FALSE), "Código não encontrado/Não digitado")</f>
        <v>Código não encontrado/Não digitado</v>
      </c>
      <c r="J321" s="12" t="s">
        <v>68</v>
      </c>
      <c r="K321" s="12" t="str">
        <f>IFERROR(VLOOKUP(J321, DADOS_RM_EVENTOS_original!E:J, 2, FALSE), "Código não encontrado/Não digitado")</f>
        <v>Código não encontrado/Não digitado</v>
      </c>
      <c r="L321" s="12" t="s">
        <v>68</v>
      </c>
      <c r="M321" s="12" t="str">
        <f>IFERROR(VLOOKUP(L321, DADOS_RM_EVENTOS_original!K:L, 2, FALSE), "Código não encontrado/Não digitado")</f>
        <v>Código não encontrado/Não digitado</v>
      </c>
    </row>
    <row r="322" ht="15.75" hidden="1" customHeight="1">
      <c r="A322" s="11" t="s">
        <v>142</v>
      </c>
      <c r="B322" s="11" t="s">
        <v>3553</v>
      </c>
      <c r="C322" s="11" t="s">
        <v>3569</v>
      </c>
      <c r="D322" s="11" t="s">
        <v>44</v>
      </c>
      <c r="E322" s="11" t="s">
        <v>985</v>
      </c>
      <c r="F322" s="11" t="s">
        <v>418</v>
      </c>
      <c r="G322" s="12" t="s">
        <v>438</v>
      </c>
      <c r="H322" s="12" t="s">
        <v>68</v>
      </c>
      <c r="I322" s="12" t="str">
        <f>IFERROR(VLOOKUP(H322, DADOS_RM_EVENTOS_original!C:D, 2, FALSE), "Código não encontrado/Não digitado")</f>
        <v>Código não encontrado/Não digitado</v>
      </c>
      <c r="J322" s="12" t="s">
        <v>68</v>
      </c>
      <c r="K322" s="12" t="str">
        <f>IFERROR(VLOOKUP(J322, DADOS_RM_EVENTOS_original!E:J, 2, FALSE), "Código não encontrado/Não digitado")</f>
        <v>Código não encontrado/Não digitado</v>
      </c>
      <c r="L322" s="12" t="s">
        <v>68</v>
      </c>
      <c r="M322" s="12" t="str">
        <f>IFERROR(VLOOKUP(L322, DADOS_RM_EVENTOS_original!K:L, 2, FALSE), "Código não encontrado/Não digitado")</f>
        <v>Código não encontrado/Não digitado</v>
      </c>
    </row>
    <row r="323" ht="15.75" customHeight="1">
      <c r="A323" s="11" t="s">
        <v>38</v>
      </c>
      <c r="B323" s="11" t="s">
        <v>3594</v>
      </c>
      <c r="C323" s="11" t="s">
        <v>3289</v>
      </c>
      <c r="D323" s="11" t="s">
        <v>120</v>
      </c>
      <c r="E323" s="11" t="s">
        <v>47</v>
      </c>
      <c r="F323" s="11" t="s">
        <v>49</v>
      </c>
      <c r="G323" s="12" t="s">
        <v>63</v>
      </c>
      <c r="H323" s="12" t="s">
        <v>68</v>
      </c>
      <c r="I323" s="12" t="str">
        <f>IFERROR(VLOOKUP(H323, DADOS_RM_EVENTOS_original!C:D, 2, FALSE), "Código não encontrado/Não digitado")</f>
        <v>Código não encontrado/Não digitado</v>
      </c>
      <c r="J323" s="12" t="s">
        <v>68</v>
      </c>
      <c r="K323" s="12" t="str">
        <f>IFERROR(VLOOKUP(J323, DADOS_RM_EVENTOS_original!E:J, 2, FALSE), "Código não encontrado/Não digitado")</f>
        <v>Código não encontrado/Não digitado</v>
      </c>
      <c r="L323" s="12" t="s">
        <v>68</v>
      </c>
      <c r="M323" s="12" t="str">
        <f>IFERROR(VLOOKUP(L323, DADOS_RM_EVENTOS_original!K:L, 2, FALSE), "Código não encontrado/Não digitado")</f>
        <v>Código não encontrado/Não digitado</v>
      </c>
    </row>
    <row r="324" ht="15.75" hidden="1" customHeight="1">
      <c r="A324" s="11" t="s">
        <v>38</v>
      </c>
      <c r="B324" s="11" t="s">
        <v>1182</v>
      </c>
      <c r="C324" s="11" t="s">
        <v>3595</v>
      </c>
      <c r="D324" s="11" t="s">
        <v>44</v>
      </c>
      <c r="E324" s="11" t="s">
        <v>47</v>
      </c>
      <c r="F324" s="11" t="s">
        <v>112</v>
      </c>
      <c r="G324" s="12" t="s">
        <v>113</v>
      </c>
      <c r="H324" s="12" t="s">
        <v>68</v>
      </c>
      <c r="I324" s="12" t="str">
        <f>IFERROR(VLOOKUP(H324, DADOS_RM_EVENTOS_original!C:D, 2, FALSE), "Código não encontrado/Não digitado")</f>
        <v>Código não encontrado/Não digitado</v>
      </c>
      <c r="J324" s="12" t="s">
        <v>68</v>
      </c>
      <c r="K324" s="12" t="str">
        <f>IFERROR(VLOOKUP(J324, DADOS_RM_EVENTOS_original!E:J, 2, FALSE), "Código não encontrado/Não digitado")</f>
        <v>Código não encontrado/Não digitado</v>
      </c>
      <c r="L324" s="12" t="s">
        <v>68</v>
      </c>
      <c r="M324" s="12" t="str">
        <f>IFERROR(VLOOKUP(L324, DADOS_RM_EVENTOS_original!K:L, 2, FALSE), "Código não encontrado/Não digitado")</f>
        <v>Código não encontrado/Não digitado</v>
      </c>
    </row>
    <row r="325" ht="15.75" hidden="1" customHeight="1">
      <c r="A325" s="11" t="s">
        <v>115</v>
      </c>
      <c r="B325" s="11" t="s">
        <v>1182</v>
      </c>
      <c r="C325" s="11" t="s">
        <v>3595</v>
      </c>
      <c r="D325" s="11" t="s">
        <v>44</v>
      </c>
      <c r="E325" s="11" t="s">
        <v>121</v>
      </c>
      <c r="F325" s="11" t="s">
        <v>112</v>
      </c>
      <c r="G325" s="12" t="s">
        <v>113</v>
      </c>
      <c r="H325" s="12" t="s">
        <v>68</v>
      </c>
      <c r="I325" s="12" t="str">
        <f>IFERROR(VLOOKUP(H325, DADOS_RM_EVENTOS_original!C:D, 2, FALSE), "Código não encontrado/Não digitado")</f>
        <v>Código não encontrado/Não digitado</v>
      </c>
      <c r="J325" s="12" t="s">
        <v>68</v>
      </c>
      <c r="K325" s="12" t="str">
        <f>IFERROR(VLOOKUP(J325, DADOS_RM_EVENTOS_original!E:J, 2, FALSE), "Código não encontrado/Não digitado")</f>
        <v>Código não encontrado/Não digitado</v>
      </c>
      <c r="L325" s="12" t="s">
        <v>68</v>
      </c>
      <c r="M325" s="12" t="str">
        <f>IFERROR(VLOOKUP(L325, DADOS_RM_EVENTOS_original!K:L, 2, FALSE), "Código não encontrado/Não digitado")</f>
        <v>Código não encontrado/Não digitado</v>
      </c>
    </row>
    <row r="326" ht="15.75" hidden="1" customHeight="1">
      <c r="A326" s="11" t="s">
        <v>172</v>
      </c>
      <c r="B326" s="11" t="s">
        <v>1182</v>
      </c>
      <c r="C326" s="11" t="s">
        <v>3596</v>
      </c>
      <c r="D326" s="11" t="s">
        <v>44</v>
      </c>
      <c r="E326" s="11" t="s">
        <v>1029</v>
      </c>
      <c r="F326" s="11" t="s">
        <v>112</v>
      </c>
      <c r="G326" s="12" t="s">
        <v>113</v>
      </c>
      <c r="H326" s="12" t="s">
        <v>68</v>
      </c>
      <c r="I326" s="12" t="str">
        <f>IFERROR(VLOOKUP(H326, DADOS_RM_EVENTOS_original!C:D, 2, FALSE), "Código não encontrado/Não digitado")</f>
        <v>Código não encontrado/Não digitado</v>
      </c>
      <c r="J326" s="12" t="s">
        <v>68</v>
      </c>
      <c r="K326" s="12" t="str">
        <f>IFERROR(VLOOKUP(J326, DADOS_RM_EVENTOS_original!E:J, 2, FALSE), "Código não encontrado/Não digitado")</f>
        <v>Código não encontrado/Não digitado</v>
      </c>
      <c r="L326" s="12" t="s">
        <v>68</v>
      </c>
      <c r="M326" s="12" t="str">
        <f>IFERROR(VLOOKUP(L326, DADOS_RM_EVENTOS_original!K:L, 2, FALSE), "Código não encontrado/Não digitado")</f>
        <v>Código não encontrado/Não digitado</v>
      </c>
    </row>
    <row r="327" ht="15.75" hidden="1" customHeight="1">
      <c r="A327" s="11" t="s">
        <v>97</v>
      </c>
      <c r="B327" s="11" t="s">
        <v>1182</v>
      </c>
      <c r="C327" s="11" t="s">
        <v>3596</v>
      </c>
      <c r="D327" s="11" t="s">
        <v>44</v>
      </c>
      <c r="E327" s="11" t="s">
        <v>972</v>
      </c>
      <c r="F327" s="11" t="s">
        <v>112</v>
      </c>
      <c r="G327" s="12" t="s">
        <v>113</v>
      </c>
      <c r="H327" s="12" t="s">
        <v>68</v>
      </c>
      <c r="I327" s="12" t="str">
        <f>IFERROR(VLOOKUP(H327, DADOS_RM_EVENTOS_original!C:D, 2, FALSE), "Código não encontrado/Não digitado")</f>
        <v>Código não encontrado/Não digitado</v>
      </c>
      <c r="J327" s="12" t="s">
        <v>68</v>
      </c>
      <c r="K327" s="12" t="str">
        <f>IFERROR(VLOOKUP(J327, DADOS_RM_EVENTOS_original!E:J, 2, FALSE), "Código não encontrado/Não digitado")</f>
        <v>Código não encontrado/Não digitado</v>
      </c>
      <c r="L327" s="12" t="s">
        <v>68</v>
      </c>
      <c r="M327" s="12" t="str">
        <f>IFERROR(VLOOKUP(L327, DADOS_RM_EVENTOS_original!K:L, 2, FALSE), "Código não encontrado/Não digitado")</f>
        <v>Código não encontrado/Não digitado</v>
      </c>
    </row>
    <row r="328" ht="15.75" hidden="1" customHeight="1">
      <c r="A328" s="11" t="s">
        <v>142</v>
      </c>
      <c r="B328" s="11" t="s">
        <v>1182</v>
      </c>
      <c r="C328" s="11" t="s">
        <v>3596</v>
      </c>
      <c r="D328" s="11" t="s">
        <v>44</v>
      </c>
      <c r="E328" s="11" t="s">
        <v>985</v>
      </c>
      <c r="F328" s="11" t="s">
        <v>112</v>
      </c>
      <c r="G328" s="12" t="s">
        <v>113</v>
      </c>
      <c r="H328" s="12" t="s">
        <v>68</v>
      </c>
      <c r="I328" s="12" t="str">
        <f>IFERROR(VLOOKUP(H328, DADOS_RM_EVENTOS_original!C:D, 2, FALSE), "Código não encontrado/Não digitado")</f>
        <v>Código não encontrado/Não digitado</v>
      </c>
      <c r="J328" s="12" t="s">
        <v>68</v>
      </c>
      <c r="K328" s="12" t="str">
        <f>IFERROR(VLOOKUP(J328, DADOS_RM_EVENTOS_original!E:J, 2, FALSE), "Código não encontrado/Não digitado")</f>
        <v>Código não encontrado/Não digitado</v>
      </c>
      <c r="L328" s="12" t="s">
        <v>68</v>
      </c>
      <c r="M328" s="12" t="str">
        <f>IFERROR(VLOOKUP(L328, DADOS_RM_EVENTOS_original!K:L, 2, FALSE), "Código não encontrado/Não digitado")</f>
        <v>Código não encontrado/Não digitado</v>
      </c>
    </row>
    <row r="329" ht="15.75" hidden="1" customHeight="1">
      <c r="A329" s="11" t="s">
        <v>38</v>
      </c>
      <c r="B329" s="11" t="s">
        <v>3597</v>
      </c>
      <c r="C329" s="11" t="s">
        <v>3598</v>
      </c>
      <c r="D329" s="11" t="s">
        <v>44</v>
      </c>
      <c r="E329" s="11" t="s">
        <v>47</v>
      </c>
      <c r="F329" s="11" t="s">
        <v>781</v>
      </c>
      <c r="G329" s="12" t="s">
        <v>1017</v>
      </c>
      <c r="H329" s="12" t="s">
        <v>68</v>
      </c>
      <c r="I329" s="12" t="str">
        <f>IFERROR(VLOOKUP(H329, DADOS_RM_EVENTOS_original!C:D, 2, FALSE), "Código não encontrado/Não digitado")</f>
        <v>Código não encontrado/Não digitado</v>
      </c>
      <c r="J329" s="12" t="s">
        <v>68</v>
      </c>
      <c r="K329" s="12" t="str">
        <f>IFERROR(VLOOKUP(J329, DADOS_RM_EVENTOS_original!E:J, 2, FALSE), "Código não encontrado/Não digitado")</f>
        <v>Código não encontrado/Não digitado</v>
      </c>
      <c r="L329" s="12" t="s">
        <v>68</v>
      </c>
      <c r="M329" s="12" t="str">
        <f>IFERROR(VLOOKUP(L329, DADOS_RM_EVENTOS_original!K:L, 2, FALSE), "Código não encontrado/Não digitado")</f>
        <v>Código não encontrado/Não digitado</v>
      </c>
    </row>
    <row r="330" ht="15.75" hidden="1" customHeight="1">
      <c r="A330" s="11" t="s">
        <v>115</v>
      </c>
      <c r="B330" s="11" t="s">
        <v>3597</v>
      </c>
      <c r="C330" s="11" t="s">
        <v>3598</v>
      </c>
      <c r="D330" s="11" t="s">
        <v>44</v>
      </c>
      <c r="E330" s="11" t="s">
        <v>121</v>
      </c>
      <c r="F330" s="11" t="s">
        <v>781</v>
      </c>
      <c r="G330" s="12" t="s">
        <v>1017</v>
      </c>
      <c r="H330" s="12" t="s">
        <v>68</v>
      </c>
      <c r="I330" s="12" t="str">
        <f>IFERROR(VLOOKUP(H330, DADOS_RM_EVENTOS_original!C:D, 2, FALSE), "Código não encontrado/Não digitado")</f>
        <v>Código não encontrado/Não digitado</v>
      </c>
      <c r="J330" s="12" t="s">
        <v>68</v>
      </c>
      <c r="K330" s="12" t="str">
        <f>IFERROR(VLOOKUP(J330, DADOS_RM_EVENTOS_original!E:J, 2, FALSE), "Código não encontrado/Não digitado")</f>
        <v>Código não encontrado/Não digitado</v>
      </c>
      <c r="L330" s="12" t="s">
        <v>68</v>
      </c>
      <c r="M330" s="12" t="str">
        <f>IFERROR(VLOOKUP(L330, DADOS_RM_EVENTOS_original!K:L, 2, FALSE), "Código não encontrado/Não digitado")</f>
        <v>Código não encontrado/Não digitado</v>
      </c>
    </row>
    <row r="331" ht="15.75" hidden="1" customHeight="1">
      <c r="A331" s="11" t="s">
        <v>172</v>
      </c>
      <c r="B331" s="11" t="s">
        <v>3599</v>
      </c>
      <c r="C331" s="11" t="s">
        <v>3600</v>
      </c>
      <c r="D331" s="11" t="s">
        <v>44</v>
      </c>
      <c r="E331" s="11" t="s">
        <v>1029</v>
      </c>
      <c r="F331" s="11" t="s">
        <v>781</v>
      </c>
      <c r="G331" s="12" t="s">
        <v>1017</v>
      </c>
      <c r="H331" s="12" t="s">
        <v>68</v>
      </c>
      <c r="I331" s="12" t="str">
        <f>IFERROR(VLOOKUP(H331, DADOS_RM_EVENTOS_original!C:D, 2, FALSE), "Código não encontrado/Não digitado")</f>
        <v>Código não encontrado/Não digitado</v>
      </c>
      <c r="J331" s="12" t="s">
        <v>68</v>
      </c>
      <c r="K331" s="12" t="str">
        <f>IFERROR(VLOOKUP(J331, DADOS_RM_EVENTOS_original!E:J, 2, FALSE), "Código não encontrado/Não digitado")</f>
        <v>Código não encontrado/Não digitado</v>
      </c>
      <c r="L331" s="12" t="s">
        <v>68</v>
      </c>
      <c r="M331" s="12" t="str">
        <f>IFERROR(VLOOKUP(L331, DADOS_RM_EVENTOS_original!K:L, 2, FALSE), "Código não encontrado/Não digitado")</f>
        <v>Código não encontrado/Não digitado</v>
      </c>
    </row>
    <row r="332" ht="15.75" hidden="1" customHeight="1">
      <c r="A332" s="11" t="s">
        <v>38</v>
      </c>
      <c r="B332" s="11" t="s">
        <v>373</v>
      </c>
      <c r="C332" s="11" t="s">
        <v>3601</v>
      </c>
      <c r="D332" s="11" t="s">
        <v>44</v>
      </c>
      <c r="E332" s="11" t="s">
        <v>47</v>
      </c>
      <c r="F332" s="11" t="s">
        <v>941</v>
      </c>
      <c r="G332" s="12" t="s">
        <v>1236</v>
      </c>
      <c r="H332" s="12" t="s">
        <v>68</v>
      </c>
      <c r="I332" s="12" t="str">
        <f>IFERROR(VLOOKUP(H332, DADOS_RM_EVENTOS_original!C:D, 2, FALSE), "Código não encontrado/Não digitado")</f>
        <v>Código não encontrado/Não digitado</v>
      </c>
      <c r="J332" s="12" t="s">
        <v>68</v>
      </c>
      <c r="K332" s="12" t="str">
        <f>IFERROR(VLOOKUP(J332, DADOS_RM_EVENTOS_original!E:J, 2, FALSE), "Código não encontrado/Não digitado")</f>
        <v>Código não encontrado/Não digitado</v>
      </c>
      <c r="L332" s="12" t="s">
        <v>68</v>
      </c>
      <c r="M332" s="12" t="str">
        <f>IFERROR(VLOOKUP(L332, DADOS_RM_EVENTOS_original!K:L, 2, FALSE), "Código não encontrado/Não digitado")</f>
        <v>Código não encontrado/Não digitado</v>
      </c>
    </row>
    <row r="333" ht="15.75" hidden="1" customHeight="1">
      <c r="A333" s="11" t="s">
        <v>38</v>
      </c>
      <c r="B333" s="11" t="s">
        <v>3602</v>
      </c>
      <c r="C333" s="11" t="s">
        <v>3603</v>
      </c>
      <c r="D333" s="11" t="s">
        <v>44</v>
      </c>
      <c r="E333" s="11" t="s">
        <v>47</v>
      </c>
      <c r="F333" s="11" t="s">
        <v>724</v>
      </c>
      <c r="G333" s="12" t="s">
        <v>950</v>
      </c>
      <c r="H333" s="12" t="s">
        <v>68</v>
      </c>
      <c r="I333" s="12" t="str">
        <f>IFERROR(VLOOKUP(H333, DADOS_RM_EVENTOS_original!C:D, 2, FALSE), "Código não encontrado/Não digitado")</f>
        <v>Código não encontrado/Não digitado</v>
      </c>
      <c r="J333" s="12" t="s">
        <v>68</v>
      </c>
      <c r="K333" s="12" t="str">
        <f>IFERROR(VLOOKUP(J333, DADOS_RM_EVENTOS_original!E:J, 2, FALSE), "Código não encontrado/Não digitado")</f>
        <v>Código não encontrado/Não digitado</v>
      </c>
      <c r="L333" s="12" t="s">
        <v>68</v>
      </c>
      <c r="M333" s="12" t="str">
        <f>IFERROR(VLOOKUP(L333, DADOS_RM_EVENTOS_original!K:L, 2, FALSE), "Código não encontrado/Não digitado")</f>
        <v>Código não encontrado/Não digitado</v>
      </c>
    </row>
    <row r="334" ht="15.75" hidden="1" customHeight="1">
      <c r="A334" s="11" t="s">
        <v>97</v>
      </c>
      <c r="B334" s="11" t="s">
        <v>3089</v>
      </c>
      <c r="C334" s="11" t="s">
        <v>3604</v>
      </c>
      <c r="D334" s="11" t="s">
        <v>44</v>
      </c>
      <c r="E334" s="11" t="s">
        <v>972</v>
      </c>
      <c r="F334" s="11" t="s">
        <v>724</v>
      </c>
      <c r="G334" s="12" t="s">
        <v>950</v>
      </c>
      <c r="H334" s="12" t="s">
        <v>68</v>
      </c>
      <c r="I334" s="12" t="str">
        <f>IFERROR(VLOOKUP(H334, DADOS_RM_EVENTOS_original!C:D, 2, FALSE), "Código não encontrado/Não digitado")</f>
        <v>Código não encontrado/Não digitado</v>
      </c>
      <c r="J334" s="12" t="s">
        <v>68</v>
      </c>
      <c r="K334" s="12" t="str">
        <f>IFERROR(VLOOKUP(J334, DADOS_RM_EVENTOS_original!E:J, 2, FALSE), "Código não encontrado/Não digitado")</f>
        <v>Código não encontrado/Não digitado</v>
      </c>
      <c r="L334" s="12" t="s">
        <v>68</v>
      </c>
      <c r="M334" s="12" t="str">
        <f>IFERROR(VLOOKUP(L334, DADOS_RM_EVENTOS_original!K:L, 2, FALSE), "Código não encontrado/Não digitado")</f>
        <v>Código não encontrado/Não digitado</v>
      </c>
    </row>
    <row r="335" ht="15.75" hidden="1" customHeight="1">
      <c r="A335" s="11" t="s">
        <v>38</v>
      </c>
      <c r="B335" s="11" t="s">
        <v>852</v>
      </c>
      <c r="C335" s="11" t="s">
        <v>3605</v>
      </c>
      <c r="D335" s="11" t="s">
        <v>120</v>
      </c>
      <c r="E335" s="11" t="s">
        <v>47</v>
      </c>
      <c r="F335" s="11" t="s">
        <v>211</v>
      </c>
      <c r="G335" s="12" t="s">
        <v>212</v>
      </c>
      <c r="H335" s="12" t="s">
        <v>68</v>
      </c>
      <c r="I335" s="12" t="str">
        <f>IFERROR(VLOOKUP(H335, DADOS_RM_EVENTOS_original!C:D, 2, FALSE), "Código não encontrado/Não digitado")</f>
        <v>Código não encontrado/Não digitado</v>
      </c>
      <c r="J335" s="12" t="s">
        <v>68</v>
      </c>
      <c r="K335" s="12" t="str">
        <f>IFERROR(VLOOKUP(J335, DADOS_RM_EVENTOS_original!E:J, 2, FALSE), "Código não encontrado/Não digitado")</f>
        <v>Código não encontrado/Não digitado</v>
      </c>
      <c r="L335" s="12" t="s">
        <v>68</v>
      </c>
      <c r="M335" s="12" t="str">
        <f>IFERROR(VLOOKUP(L335, DADOS_RM_EVENTOS_original!K:L, 2, FALSE), "Código não encontrado/Não digitado")</f>
        <v>Código não encontrado/Não digitado</v>
      </c>
    </row>
    <row r="336" ht="15.75" hidden="1" customHeight="1">
      <c r="A336" s="11" t="s">
        <v>115</v>
      </c>
      <c r="B336" s="11" t="s">
        <v>852</v>
      </c>
      <c r="C336" s="11" t="s">
        <v>3605</v>
      </c>
      <c r="D336" s="11" t="s">
        <v>120</v>
      </c>
      <c r="E336" s="11" t="s">
        <v>121</v>
      </c>
      <c r="F336" s="11" t="s">
        <v>211</v>
      </c>
      <c r="G336" s="12" t="s">
        <v>212</v>
      </c>
      <c r="H336" s="12" t="s">
        <v>68</v>
      </c>
      <c r="I336" s="12" t="str">
        <f>IFERROR(VLOOKUP(H336, DADOS_RM_EVENTOS_original!C:D, 2, FALSE), "Código não encontrado/Não digitado")</f>
        <v>Código não encontrado/Não digitado</v>
      </c>
      <c r="J336" s="12" t="s">
        <v>68</v>
      </c>
      <c r="K336" s="12" t="str">
        <f>IFERROR(VLOOKUP(J336, DADOS_RM_EVENTOS_original!E:J, 2, FALSE), "Código não encontrado/Não digitado")</f>
        <v>Código não encontrado/Não digitado</v>
      </c>
      <c r="L336" s="12" t="s">
        <v>68</v>
      </c>
      <c r="M336" s="12" t="str">
        <f>IFERROR(VLOOKUP(L336, DADOS_RM_EVENTOS_original!K:L, 2, FALSE), "Código não encontrado/Não digitado")</f>
        <v>Código não encontrado/Não digitado</v>
      </c>
    </row>
    <row r="337" ht="15.75" hidden="1" customHeight="1">
      <c r="A337" s="11" t="s">
        <v>172</v>
      </c>
      <c r="B337" s="11" t="s">
        <v>852</v>
      </c>
      <c r="C337" s="11" t="s">
        <v>3606</v>
      </c>
      <c r="D337" s="11" t="s">
        <v>120</v>
      </c>
      <c r="E337" s="11" t="s">
        <v>1029</v>
      </c>
      <c r="F337" s="11" t="s">
        <v>211</v>
      </c>
      <c r="G337" s="12" t="s">
        <v>212</v>
      </c>
      <c r="H337" s="12" t="s">
        <v>68</v>
      </c>
      <c r="I337" s="12" t="str">
        <f>IFERROR(VLOOKUP(H337, DADOS_RM_EVENTOS_original!C:D, 2, FALSE), "Código não encontrado/Não digitado")</f>
        <v>Código não encontrado/Não digitado</v>
      </c>
      <c r="J337" s="12" t="s">
        <v>68</v>
      </c>
      <c r="K337" s="12" t="str">
        <f>IFERROR(VLOOKUP(J337, DADOS_RM_EVENTOS_original!E:J, 2, FALSE), "Código não encontrado/Não digitado")</f>
        <v>Código não encontrado/Não digitado</v>
      </c>
      <c r="L337" s="12" t="s">
        <v>68</v>
      </c>
      <c r="M337" s="12" t="str">
        <f>IFERROR(VLOOKUP(L337, DADOS_RM_EVENTOS_original!K:L, 2, FALSE), "Código não encontrado/Não digitado")</f>
        <v>Código não encontrado/Não digitado</v>
      </c>
    </row>
    <row r="338" ht="15.75" hidden="1" customHeight="1">
      <c r="A338" s="11" t="s">
        <v>97</v>
      </c>
      <c r="B338" s="11" t="s">
        <v>852</v>
      </c>
      <c r="C338" s="11" t="s">
        <v>3606</v>
      </c>
      <c r="D338" s="11" t="s">
        <v>120</v>
      </c>
      <c r="E338" s="11" t="s">
        <v>972</v>
      </c>
      <c r="F338" s="11" t="s">
        <v>211</v>
      </c>
      <c r="G338" s="12" t="s">
        <v>212</v>
      </c>
      <c r="H338" s="12" t="s">
        <v>68</v>
      </c>
      <c r="I338" s="12" t="str">
        <f>IFERROR(VLOOKUP(H338, DADOS_RM_EVENTOS_original!C:D, 2, FALSE), "Código não encontrado/Não digitado")</f>
        <v>Código não encontrado/Não digitado</v>
      </c>
      <c r="J338" s="12" t="s">
        <v>68</v>
      </c>
      <c r="K338" s="12" t="str">
        <f>IFERROR(VLOOKUP(J338, DADOS_RM_EVENTOS_original!E:J, 2, FALSE), "Código não encontrado/Não digitado")</f>
        <v>Código não encontrado/Não digitado</v>
      </c>
      <c r="L338" s="12" t="s">
        <v>68</v>
      </c>
      <c r="M338" s="12" t="str">
        <f>IFERROR(VLOOKUP(L338, DADOS_RM_EVENTOS_original!K:L, 2, FALSE), "Código não encontrado/Não digitado")</f>
        <v>Código não encontrado/Não digitado</v>
      </c>
    </row>
    <row r="339" ht="15.75" hidden="1" customHeight="1">
      <c r="A339" s="11" t="s">
        <v>142</v>
      </c>
      <c r="B339" s="11" t="s">
        <v>852</v>
      </c>
      <c r="C339" s="11" t="s">
        <v>3606</v>
      </c>
      <c r="D339" s="11" t="s">
        <v>120</v>
      </c>
      <c r="E339" s="11" t="s">
        <v>985</v>
      </c>
      <c r="F339" s="11" t="s">
        <v>211</v>
      </c>
      <c r="G339" s="12" t="s">
        <v>212</v>
      </c>
      <c r="H339" s="12" t="s">
        <v>68</v>
      </c>
      <c r="I339" s="12" t="str">
        <f>IFERROR(VLOOKUP(H339, DADOS_RM_EVENTOS_original!C:D, 2, FALSE), "Código não encontrado/Não digitado")</f>
        <v>Código não encontrado/Não digitado</v>
      </c>
      <c r="J339" s="12" t="s">
        <v>68</v>
      </c>
      <c r="K339" s="12" t="str">
        <f>IFERROR(VLOOKUP(J339, DADOS_RM_EVENTOS_original!E:J, 2, FALSE), "Código não encontrado/Não digitado")</f>
        <v>Código não encontrado/Não digitado</v>
      </c>
      <c r="L339" s="12" t="s">
        <v>68</v>
      </c>
      <c r="M339" s="12" t="str">
        <f>IFERROR(VLOOKUP(L339, DADOS_RM_EVENTOS_original!K:L, 2, FALSE), "Código não encontrado/Não digitado")</f>
        <v>Código não encontrado/Não digitado</v>
      </c>
    </row>
    <row r="340" ht="15.75" hidden="1" customHeight="1">
      <c r="A340" s="11" t="s">
        <v>38</v>
      </c>
      <c r="B340" s="11" t="s">
        <v>850</v>
      </c>
      <c r="C340" s="11" t="s">
        <v>3607</v>
      </c>
      <c r="D340" s="11" t="s">
        <v>120</v>
      </c>
      <c r="E340" s="11" t="s">
        <v>47</v>
      </c>
      <c r="F340" s="11" t="s">
        <v>216</v>
      </c>
      <c r="G340" s="12" t="s">
        <v>217</v>
      </c>
      <c r="H340" s="12" t="s">
        <v>68</v>
      </c>
      <c r="I340" s="12" t="str">
        <f>IFERROR(VLOOKUP(H340, DADOS_RM_EVENTOS_original!C:D, 2, FALSE), "Código não encontrado/Não digitado")</f>
        <v>Código não encontrado/Não digitado</v>
      </c>
      <c r="J340" s="12" t="s">
        <v>68</v>
      </c>
      <c r="K340" s="12" t="str">
        <f>IFERROR(VLOOKUP(J340, DADOS_RM_EVENTOS_original!E:J, 2, FALSE), "Código não encontrado/Não digitado")</f>
        <v>Código não encontrado/Não digitado</v>
      </c>
      <c r="L340" s="12" t="s">
        <v>68</v>
      </c>
      <c r="M340" s="12" t="str">
        <f>IFERROR(VLOOKUP(L340, DADOS_RM_EVENTOS_original!K:L, 2, FALSE), "Código não encontrado/Não digitado")</f>
        <v>Código não encontrado/Não digitado</v>
      </c>
    </row>
    <row r="341" ht="15.75" hidden="1" customHeight="1">
      <c r="A341" s="11" t="s">
        <v>115</v>
      </c>
      <c r="B341" s="11" t="s">
        <v>850</v>
      </c>
      <c r="C341" s="11" t="s">
        <v>3607</v>
      </c>
      <c r="D341" s="11" t="s">
        <v>120</v>
      </c>
      <c r="E341" s="11" t="s">
        <v>121</v>
      </c>
      <c r="F341" s="11" t="s">
        <v>216</v>
      </c>
      <c r="G341" s="12" t="s">
        <v>217</v>
      </c>
      <c r="H341" s="12" t="s">
        <v>68</v>
      </c>
      <c r="I341" s="12" t="str">
        <f>IFERROR(VLOOKUP(H341, DADOS_RM_EVENTOS_original!C:D, 2, FALSE), "Código não encontrado/Não digitado")</f>
        <v>Código não encontrado/Não digitado</v>
      </c>
      <c r="J341" s="12" t="s">
        <v>68</v>
      </c>
      <c r="K341" s="12" t="str">
        <f>IFERROR(VLOOKUP(J341, DADOS_RM_EVENTOS_original!E:J, 2, FALSE), "Código não encontrado/Não digitado")</f>
        <v>Código não encontrado/Não digitado</v>
      </c>
      <c r="L341" s="12" t="s">
        <v>68</v>
      </c>
      <c r="M341" s="12" t="str">
        <f>IFERROR(VLOOKUP(L341, DADOS_RM_EVENTOS_original!K:L, 2, FALSE), "Código não encontrado/Não digitado")</f>
        <v>Código não encontrado/Não digitado</v>
      </c>
    </row>
    <row r="342" ht="15.75" hidden="1" customHeight="1">
      <c r="A342" s="11" t="s">
        <v>172</v>
      </c>
      <c r="B342" s="11" t="s">
        <v>850</v>
      </c>
      <c r="C342" s="11" t="s">
        <v>3608</v>
      </c>
      <c r="D342" s="11" t="s">
        <v>120</v>
      </c>
      <c r="E342" s="11" t="s">
        <v>1029</v>
      </c>
      <c r="F342" s="11" t="s">
        <v>216</v>
      </c>
      <c r="G342" s="12" t="s">
        <v>217</v>
      </c>
      <c r="H342" s="12" t="s">
        <v>68</v>
      </c>
      <c r="I342" s="12" t="str">
        <f>IFERROR(VLOOKUP(H342, DADOS_RM_EVENTOS_original!C:D, 2, FALSE), "Código não encontrado/Não digitado")</f>
        <v>Código não encontrado/Não digitado</v>
      </c>
      <c r="J342" s="12" t="s">
        <v>68</v>
      </c>
      <c r="K342" s="12" t="str">
        <f>IFERROR(VLOOKUP(J342, DADOS_RM_EVENTOS_original!E:J, 2, FALSE), "Código não encontrado/Não digitado")</f>
        <v>Código não encontrado/Não digitado</v>
      </c>
      <c r="L342" s="12" t="s">
        <v>68</v>
      </c>
      <c r="M342" s="12" t="str">
        <f>IFERROR(VLOOKUP(L342, DADOS_RM_EVENTOS_original!K:L, 2, FALSE), "Código não encontrado/Não digitado")</f>
        <v>Código não encontrado/Não digitado</v>
      </c>
    </row>
    <row r="343" ht="15.75" hidden="1" customHeight="1">
      <c r="A343" s="11" t="s">
        <v>97</v>
      </c>
      <c r="B343" s="11" t="s">
        <v>850</v>
      </c>
      <c r="C343" s="11" t="s">
        <v>3608</v>
      </c>
      <c r="D343" s="11" t="s">
        <v>120</v>
      </c>
      <c r="E343" s="11" t="s">
        <v>972</v>
      </c>
      <c r="F343" s="11" t="s">
        <v>216</v>
      </c>
      <c r="G343" s="12" t="s">
        <v>217</v>
      </c>
      <c r="H343" s="12" t="s">
        <v>68</v>
      </c>
      <c r="I343" s="12" t="str">
        <f>IFERROR(VLOOKUP(H343, DADOS_RM_EVENTOS_original!C:D, 2, FALSE), "Código não encontrado/Não digitado")</f>
        <v>Código não encontrado/Não digitado</v>
      </c>
      <c r="J343" s="12" t="s">
        <v>68</v>
      </c>
      <c r="K343" s="12" t="str">
        <f>IFERROR(VLOOKUP(J343, DADOS_RM_EVENTOS_original!E:J, 2, FALSE), "Código não encontrado/Não digitado")</f>
        <v>Código não encontrado/Não digitado</v>
      </c>
      <c r="L343" s="12" t="s">
        <v>68</v>
      </c>
      <c r="M343" s="12" t="str">
        <f>IFERROR(VLOOKUP(L343, DADOS_RM_EVENTOS_original!K:L, 2, FALSE), "Código não encontrado/Não digitado")</f>
        <v>Código não encontrado/Não digitado</v>
      </c>
    </row>
    <row r="344" ht="15.75" hidden="1" customHeight="1">
      <c r="A344" s="11" t="s">
        <v>142</v>
      </c>
      <c r="B344" s="11" t="s">
        <v>850</v>
      </c>
      <c r="C344" s="11" t="s">
        <v>3608</v>
      </c>
      <c r="D344" s="11" t="s">
        <v>120</v>
      </c>
      <c r="E344" s="11" t="s">
        <v>985</v>
      </c>
      <c r="F344" s="11" t="s">
        <v>216</v>
      </c>
      <c r="G344" s="12" t="s">
        <v>217</v>
      </c>
      <c r="H344" s="12" t="s">
        <v>68</v>
      </c>
      <c r="I344" s="12" t="str">
        <f>IFERROR(VLOOKUP(H344, DADOS_RM_EVENTOS_original!C:D, 2, FALSE), "Código não encontrado/Não digitado")</f>
        <v>Código não encontrado/Não digitado</v>
      </c>
      <c r="J344" s="12" t="s">
        <v>68</v>
      </c>
      <c r="K344" s="12" t="str">
        <f>IFERROR(VLOOKUP(J344, DADOS_RM_EVENTOS_original!E:J, 2, FALSE), "Código não encontrado/Não digitado")</f>
        <v>Código não encontrado/Não digitado</v>
      </c>
      <c r="L344" s="12" t="s">
        <v>68</v>
      </c>
      <c r="M344" s="12" t="str">
        <f>IFERROR(VLOOKUP(L344, DADOS_RM_EVENTOS_original!K:L, 2, FALSE), "Código não encontrado/Não digitado")</f>
        <v>Código não encontrado/Não digitado</v>
      </c>
    </row>
    <row r="345" ht="15.75" hidden="1" customHeight="1">
      <c r="A345" s="11" t="s">
        <v>199</v>
      </c>
      <c r="B345" s="11" t="s">
        <v>850</v>
      </c>
      <c r="C345" s="11" t="s">
        <v>3608</v>
      </c>
      <c r="D345" s="11" t="s">
        <v>120</v>
      </c>
      <c r="E345" s="11" t="s">
        <v>1074</v>
      </c>
      <c r="F345" s="11" t="s">
        <v>216</v>
      </c>
      <c r="G345" s="12" t="s">
        <v>217</v>
      </c>
      <c r="H345" s="12" t="s">
        <v>68</v>
      </c>
      <c r="I345" s="12" t="str">
        <f>IFERROR(VLOOKUP(H345, DADOS_RM_EVENTOS_original!C:D, 2, FALSE), "Código não encontrado/Não digitado")</f>
        <v>Código não encontrado/Não digitado</v>
      </c>
      <c r="J345" s="12" t="s">
        <v>68</v>
      </c>
      <c r="K345" s="12" t="str">
        <f>IFERROR(VLOOKUP(J345, DADOS_RM_EVENTOS_original!E:J, 2, FALSE), "Código não encontrado/Não digitado")</f>
        <v>Código não encontrado/Não digitado</v>
      </c>
      <c r="L345" s="12" t="s">
        <v>68</v>
      </c>
      <c r="M345" s="12" t="str">
        <f>IFERROR(VLOOKUP(L345, DADOS_RM_EVENTOS_original!K:L, 2, FALSE), "Código não encontrado/Não digitado")</f>
        <v>Código não encontrado/Não digitado</v>
      </c>
    </row>
    <row r="346" ht="15.75" hidden="1" customHeight="1">
      <c r="A346" s="11" t="s">
        <v>38</v>
      </c>
      <c r="B346" s="11" t="s">
        <v>2821</v>
      </c>
      <c r="C346" s="11" t="s">
        <v>3609</v>
      </c>
      <c r="D346" s="11" t="s">
        <v>120</v>
      </c>
      <c r="E346" s="11" t="s">
        <v>47</v>
      </c>
      <c r="F346" s="11" t="s">
        <v>216</v>
      </c>
      <c r="G346" s="12" t="s">
        <v>217</v>
      </c>
      <c r="H346" s="12" t="s">
        <v>68</v>
      </c>
      <c r="I346" s="12" t="str">
        <f>IFERROR(VLOOKUP(H346, DADOS_RM_EVENTOS_original!C:D, 2, FALSE), "Código não encontrado/Não digitado")</f>
        <v>Código não encontrado/Não digitado</v>
      </c>
      <c r="J346" s="12" t="s">
        <v>68</v>
      </c>
      <c r="K346" s="12" t="str">
        <f>IFERROR(VLOOKUP(J346, DADOS_RM_EVENTOS_original!E:J, 2, FALSE), "Código não encontrado/Não digitado")</f>
        <v>Código não encontrado/Não digitado</v>
      </c>
      <c r="L346" s="12" t="s">
        <v>68</v>
      </c>
      <c r="M346" s="12" t="str">
        <f>IFERROR(VLOOKUP(L346, DADOS_RM_EVENTOS_original!K:L, 2, FALSE), "Código não encontrado/Não digitado")</f>
        <v>Código não encontrado/Não digitado</v>
      </c>
    </row>
    <row r="347" ht="15.75" hidden="1" customHeight="1">
      <c r="A347" s="11" t="s">
        <v>38</v>
      </c>
      <c r="B347" s="11" t="s">
        <v>845</v>
      </c>
      <c r="C347" s="11" t="s">
        <v>3610</v>
      </c>
      <c r="D347" s="11" t="s">
        <v>120</v>
      </c>
      <c r="E347" s="11" t="s">
        <v>47</v>
      </c>
      <c r="F347" s="11" t="s">
        <v>211</v>
      </c>
      <c r="G347" s="12" t="s">
        <v>212</v>
      </c>
      <c r="H347" s="12" t="s">
        <v>68</v>
      </c>
      <c r="I347" s="12" t="str">
        <f>IFERROR(VLOOKUP(H347, DADOS_RM_EVENTOS_original!C:D, 2, FALSE), "Código não encontrado/Não digitado")</f>
        <v>Código não encontrado/Não digitado</v>
      </c>
      <c r="J347" s="12" t="s">
        <v>68</v>
      </c>
      <c r="K347" s="12" t="str">
        <f>IFERROR(VLOOKUP(J347, DADOS_RM_EVENTOS_original!E:J, 2, FALSE), "Código não encontrado/Não digitado")</f>
        <v>Código não encontrado/Não digitado</v>
      </c>
      <c r="L347" s="12" t="s">
        <v>68</v>
      </c>
      <c r="M347" s="12" t="str">
        <f>IFERROR(VLOOKUP(L347, DADOS_RM_EVENTOS_original!K:L, 2, FALSE), "Código não encontrado/Não digitado")</f>
        <v>Código não encontrado/Não digitado</v>
      </c>
    </row>
    <row r="348" ht="15.75" hidden="1" customHeight="1">
      <c r="A348" s="11" t="s">
        <v>115</v>
      </c>
      <c r="B348" s="11" t="s">
        <v>845</v>
      </c>
      <c r="C348" s="11" t="s">
        <v>3610</v>
      </c>
      <c r="D348" s="11" t="s">
        <v>120</v>
      </c>
      <c r="E348" s="11" t="s">
        <v>121</v>
      </c>
      <c r="F348" s="11" t="s">
        <v>211</v>
      </c>
      <c r="G348" s="12" t="s">
        <v>212</v>
      </c>
      <c r="H348" s="12" t="s">
        <v>68</v>
      </c>
      <c r="I348" s="12" t="str">
        <f>IFERROR(VLOOKUP(H348, DADOS_RM_EVENTOS_original!C:D, 2, FALSE), "Código não encontrado/Não digitado")</f>
        <v>Código não encontrado/Não digitado</v>
      </c>
      <c r="J348" s="12" t="s">
        <v>68</v>
      </c>
      <c r="K348" s="12" t="str">
        <f>IFERROR(VLOOKUP(J348, DADOS_RM_EVENTOS_original!E:J, 2, FALSE), "Código não encontrado/Não digitado")</f>
        <v>Código não encontrado/Não digitado</v>
      </c>
      <c r="L348" s="12" t="s">
        <v>68</v>
      </c>
      <c r="M348" s="12" t="str">
        <f>IFERROR(VLOOKUP(L348, DADOS_RM_EVENTOS_original!K:L, 2, FALSE), "Código não encontrado/Não digitado")</f>
        <v>Código não encontrado/Não digitado</v>
      </c>
    </row>
    <row r="349" ht="15.75" hidden="1" customHeight="1">
      <c r="A349" s="11" t="s">
        <v>172</v>
      </c>
      <c r="B349" s="11" t="s">
        <v>845</v>
      </c>
      <c r="C349" s="11" t="s">
        <v>3611</v>
      </c>
      <c r="D349" s="11" t="s">
        <v>120</v>
      </c>
      <c r="E349" s="11" t="s">
        <v>1029</v>
      </c>
      <c r="F349" s="11" t="s">
        <v>211</v>
      </c>
      <c r="G349" s="12" t="s">
        <v>212</v>
      </c>
      <c r="H349" s="12" t="s">
        <v>68</v>
      </c>
      <c r="I349" s="12" t="str">
        <f>IFERROR(VLOOKUP(H349, DADOS_RM_EVENTOS_original!C:D, 2, FALSE), "Código não encontrado/Não digitado")</f>
        <v>Código não encontrado/Não digitado</v>
      </c>
      <c r="J349" s="12" t="s">
        <v>68</v>
      </c>
      <c r="K349" s="12" t="str">
        <f>IFERROR(VLOOKUP(J349, DADOS_RM_EVENTOS_original!E:J, 2, FALSE), "Código não encontrado/Não digitado")</f>
        <v>Código não encontrado/Não digitado</v>
      </c>
      <c r="L349" s="12" t="s">
        <v>68</v>
      </c>
      <c r="M349" s="12" t="str">
        <f>IFERROR(VLOOKUP(L349, DADOS_RM_EVENTOS_original!K:L, 2, FALSE), "Código não encontrado/Não digitado")</f>
        <v>Código não encontrado/Não digitado</v>
      </c>
    </row>
    <row r="350" ht="15.75" hidden="1" customHeight="1">
      <c r="A350" s="11" t="s">
        <v>97</v>
      </c>
      <c r="B350" s="11" t="s">
        <v>845</v>
      </c>
      <c r="C350" s="11" t="s">
        <v>3611</v>
      </c>
      <c r="D350" s="11" t="s">
        <v>120</v>
      </c>
      <c r="E350" s="11" t="s">
        <v>972</v>
      </c>
      <c r="F350" s="11" t="s">
        <v>211</v>
      </c>
      <c r="G350" s="12" t="s">
        <v>212</v>
      </c>
      <c r="H350" s="12" t="s">
        <v>68</v>
      </c>
      <c r="I350" s="12" t="str">
        <f>IFERROR(VLOOKUP(H350, DADOS_RM_EVENTOS_original!C:D, 2, FALSE), "Código não encontrado/Não digitado")</f>
        <v>Código não encontrado/Não digitado</v>
      </c>
      <c r="J350" s="12" t="s">
        <v>68</v>
      </c>
      <c r="K350" s="12" t="str">
        <f>IFERROR(VLOOKUP(J350, DADOS_RM_EVENTOS_original!E:J, 2, FALSE), "Código não encontrado/Não digitado")</f>
        <v>Código não encontrado/Não digitado</v>
      </c>
      <c r="L350" s="12" t="s">
        <v>68</v>
      </c>
      <c r="M350" s="12" t="str">
        <f>IFERROR(VLOOKUP(L350, DADOS_RM_EVENTOS_original!K:L, 2, FALSE), "Código não encontrado/Não digitado")</f>
        <v>Código não encontrado/Não digitado</v>
      </c>
    </row>
    <row r="351" ht="15.75" hidden="1" customHeight="1">
      <c r="A351" s="11" t="s">
        <v>142</v>
      </c>
      <c r="B351" s="11" t="s">
        <v>845</v>
      </c>
      <c r="C351" s="11" t="s">
        <v>3611</v>
      </c>
      <c r="D351" s="11" t="s">
        <v>120</v>
      </c>
      <c r="E351" s="11" t="s">
        <v>985</v>
      </c>
      <c r="F351" s="11" t="s">
        <v>211</v>
      </c>
      <c r="G351" s="12" t="s">
        <v>212</v>
      </c>
      <c r="H351" s="12" t="s">
        <v>68</v>
      </c>
      <c r="I351" s="12" t="str">
        <f>IFERROR(VLOOKUP(H351, DADOS_RM_EVENTOS_original!C:D, 2, FALSE), "Código não encontrado/Não digitado")</f>
        <v>Código não encontrado/Não digitado</v>
      </c>
      <c r="J351" s="12" t="s">
        <v>68</v>
      </c>
      <c r="K351" s="12" t="str">
        <f>IFERROR(VLOOKUP(J351, DADOS_RM_EVENTOS_original!E:J, 2, FALSE), "Código não encontrado/Não digitado")</f>
        <v>Código não encontrado/Não digitado</v>
      </c>
      <c r="L351" s="12" t="s">
        <v>68</v>
      </c>
      <c r="M351" s="12" t="str">
        <f>IFERROR(VLOOKUP(L351, DADOS_RM_EVENTOS_original!K:L, 2, FALSE), "Código não encontrado/Não digitado")</f>
        <v>Código não encontrado/Não digitado</v>
      </c>
    </row>
    <row r="352" ht="15.75" hidden="1" customHeight="1">
      <c r="A352" s="11" t="s">
        <v>172</v>
      </c>
      <c r="B352" s="11" t="s">
        <v>354</v>
      </c>
      <c r="C352" s="11" t="s">
        <v>3612</v>
      </c>
      <c r="D352" s="11" t="s">
        <v>96</v>
      </c>
      <c r="E352" s="11" t="s">
        <v>1029</v>
      </c>
      <c r="F352" s="11" t="s">
        <v>99</v>
      </c>
      <c r="G352" s="12" t="s">
        <v>63</v>
      </c>
      <c r="H352" s="12" t="s">
        <v>68</v>
      </c>
      <c r="I352" s="12" t="str">
        <f>IFERROR(VLOOKUP(H352, DADOS_RM_EVENTOS_original!C:D, 2, FALSE), "Código não encontrado/Não digitado")</f>
        <v>Código não encontrado/Não digitado</v>
      </c>
      <c r="J352" s="12" t="s">
        <v>68</v>
      </c>
      <c r="K352" s="12" t="str">
        <f>IFERROR(VLOOKUP(J352, DADOS_RM_EVENTOS_original!E:J, 2, FALSE), "Código não encontrado/Não digitado")</f>
        <v>Código não encontrado/Não digitado</v>
      </c>
      <c r="L352" s="12" t="s">
        <v>68</v>
      </c>
      <c r="M352" s="12" t="str">
        <f>IFERROR(VLOOKUP(L352, DADOS_RM_EVENTOS_original!K:L, 2, FALSE), "Código não encontrado/Não digitado")</f>
        <v>Código não encontrado/Não digitado</v>
      </c>
    </row>
    <row r="353" ht="15.75" hidden="1" customHeight="1">
      <c r="A353" s="11" t="s">
        <v>97</v>
      </c>
      <c r="B353" s="11" t="s">
        <v>354</v>
      </c>
      <c r="C353" s="11" t="s">
        <v>3612</v>
      </c>
      <c r="D353" s="11" t="s">
        <v>96</v>
      </c>
      <c r="E353" s="11" t="s">
        <v>972</v>
      </c>
      <c r="F353" s="11" t="s">
        <v>99</v>
      </c>
      <c r="G353" s="12" t="s">
        <v>63</v>
      </c>
      <c r="H353" s="12" t="s">
        <v>68</v>
      </c>
      <c r="I353" s="12" t="str">
        <f>IFERROR(VLOOKUP(H353, DADOS_RM_EVENTOS_original!C:D, 2, FALSE), "Código não encontrado/Não digitado")</f>
        <v>Código não encontrado/Não digitado</v>
      </c>
      <c r="J353" s="12" t="s">
        <v>68</v>
      </c>
      <c r="K353" s="12" t="str">
        <f>IFERROR(VLOOKUP(J353, DADOS_RM_EVENTOS_original!E:J, 2, FALSE), "Código não encontrado/Não digitado")</f>
        <v>Código não encontrado/Não digitado</v>
      </c>
      <c r="L353" s="12" t="s">
        <v>68</v>
      </c>
      <c r="M353" s="12" t="str">
        <f>IFERROR(VLOOKUP(L353, DADOS_RM_EVENTOS_original!K:L, 2, FALSE), "Código não encontrado/Não digitado")</f>
        <v>Código não encontrado/Não digitado</v>
      </c>
    </row>
    <row r="354" ht="15.75" hidden="1" customHeight="1">
      <c r="A354" s="11" t="s">
        <v>142</v>
      </c>
      <c r="B354" s="11" t="s">
        <v>354</v>
      </c>
      <c r="C354" s="11" t="s">
        <v>3612</v>
      </c>
      <c r="D354" s="11" t="s">
        <v>96</v>
      </c>
      <c r="E354" s="11" t="s">
        <v>985</v>
      </c>
      <c r="F354" s="11" t="s">
        <v>99</v>
      </c>
      <c r="G354" s="12" t="s">
        <v>63</v>
      </c>
      <c r="H354" s="12" t="s">
        <v>68</v>
      </c>
      <c r="I354" s="12" t="str">
        <f>IFERROR(VLOOKUP(H354, DADOS_RM_EVENTOS_original!C:D, 2, FALSE), "Código não encontrado/Não digitado")</f>
        <v>Código não encontrado/Não digitado</v>
      </c>
      <c r="J354" s="12" t="s">
        <v>68</v>
      </c>
      <c r="K354" s="12" t="str">
        <f>IFERROR(VLOOKUP(J354, DADOS_RM_EVENTOS_original!E:J, 2, FALSE), "Código não encontrado/Não digitado")</f>
        <v>Código não encontrado/Não digitado</v>
      </c>
      <c r="L354" s="12" t="s">
        <v>68</v>
      </c>
      <c r="M354" s="12" t="str">
        <f>IFERROR(VLOOKUP(L354, DADOS_RM_EVENTOS_original!K:L, 2, FALSE), "Código não encontrado/Não digitado")</f>
        <v>Código não encontrado/Não digitado</v>
      </c>
    </row>
    <row r="355" ht="15.75" hidden="1" customHeight="1">
      <c r="A355" s="11" t="s">
        <v>199</v>
      </c>
      <c r="B355" s="11" t="s">
        <v>354</v>
      </c>
      <c r="C355" s="11" t="s">
        <v>3612</v>
      </c>
      <c r="D355" s="11" t="s">
        <v>96</v>
      </c>
      <c r="E355" s="11" t="s">
        <v>1074</v>
      </c>
      <c r="F355" s="11" t="s">
        <v>99</v>
      </c>
      <c r="G355" s="12" t="s">
        <v>63</v>
      </c>
      <c r="H355" s="12" t="s">
        <v>68</v>
      </c>
      <c r="I355" s="12" t="str">
        <f>IFERROR(VLOOKUP(H355, DADOS_RM_EVENTOS_original!C:D, 2, FALSE), "Código não encontrado/Não digitado")</f>
        <v>Código não encontrado/Não digitado</v>
      </c>
      <c r="J355" s="12" t="s">
        <v>68</v>
      </c>
      <c r="K355" s="12" t="str">
        <f>IFERROR(VLOOKUP(J355, DADOS_RM_EVENTOS_original!E:J, 2, FALSE), "Código não encontrado/Não digitado")</f>
        <v>Código não encontrado/Não digitado</v>
      </c>
      <c r="L355" s="12" t="s">
        <v>68</v>
      </c>
      <c r="M355" s="12" t="str">
        <f>IFERROR(VLOOKUP(L355, DADOS_RM_EVENTOS_original!K:L, 2, FALSE), "Código não encontrado/Não digitado")</f>
        <v>Código não encontrado/Não digitado</v>
      </c>
    </row>
    <row r="356" ht="15.75" hidden="1" customHeight="1">
      <c r="A356" s="11" t="s">
        <v>38</v>
      </c>
      <c r="B356" s="11" t="s">
        <v>3613</v>
      </c>
      <c r="C356" s="11" t="s">
        <v>3614</v>
      </c>
      <c r="D356" s="11" t="s">
        <v>96</v>
      </c>
      <c r="E356" s="11" t="s">
        <v>47</v>
      </c>
      <c r="F356" s="11" t="s">
        <v>99</v>
      </c>
      <c r="G356" s="12" t="s">
        <v>63</v>
      </c>
      <c r="H356" s="12" t="s">
        <v>68</v>
      </c>
      <c r="I356" s="12" t="str">
        <f>IFERROR(VLOOKUP(H356, DADOS_RM_EVENTOS_original!C:D, 2, FALSE), "Código não encontrado/Não digitado")</f>
        <v>Código não encontrado/Não digitado</v>
      </c>
      <c r="J356" s="12" t="s">
        <v>68</v>
      </c>
      <c r="K356" s="12" t="str">
        <f>IFERROR(VLOOKUP(J356, DADOS_RM_EVENTOS_original!E:J, 2, FALSE), "Código não encontrado/Não digitado")</f>
        <v>Código não encontrado/Não digitado</v>
      </c>
      <c r="L356" s="12" t="s">
        <v>68</v>
      </c>
      <c r="M356" s="12" t="str">
        <f>IFERROR(VLOOKUP(L356, DADOS_RM_EVENTOS_original!K:L, 2, FALSE), "Código não encontrado/Não digitado")</f>
        <v>Código não encontrado/Não digitado</v>
      </c>
    </row>
    <row r="357" ht="15.75" hidden="1" customHeight="1">
      <c r="A357" s="11" t="s">
        <v>38</v>
      </c>
      <c r="B357" s="11" t="s">
        <v>3386</v>
      </c>
      <c r="C357" s="11" t="s">
        <v>3615</v>
      </c>
      <c r="D357" s="11" t="s">
        <v>96</v>
      </c>
      <c r="E357" s="11" t="s">
        <v>47</v>
      </c>
      <c r="F357" s="11" t="s">
        <v>99</v>
      </c>
      <c r="G357" s="12" t="s">
        <v>63</v>
      </c>
      <c r="H357" s="12" t="s">
        <v>68</v>
      </c>
      <c r="I357" s="12" t="str">
        <f>IFERROR(VLOOKUP(H357, DADOS_RM_EVENTOS_original!C:D, 2, FALSE), "Código não encontrado/Não digitado")</f>
        <v>Código não encontrado/Não digitado</v>
      </c>
      <c r="J357" s="12" t="s">
        <v>68</v>
      </c>
      <c r="K357" s="12" t="str">
        <f>IFERROR(VLOOKUP(J357, DADOS_RM_EVENTOS_original!E:J, 2, FALSE), "Código não encontrado/Não digitado")</f>
        <v>Código não encontrado/Não digitado</v>
      </c>
      <c r="L357" s="12" t="s">
        <v>68</v>
      </c>
      <c r="M357" s="12" t="str">
        <f>IFERROR(VLOOKUP(L357, DADOS_RM_EVENTOS_original!K:L, 2, FALSE), "Código não encontrado/Não digitado")</f>
        <v>Código não encontrado/Não digitado</v>
      </c>
    </row>
    <row r="358" ht="15.75" hidden="1" customHeight="1">
      <c r="A358" s="11" t="s">
        <v>115</v>
      </c>
      <c r="B358" s="11" t="s">
        <v>3386</v>
      </c>
      <c r="C358" s="11" t="s">
        <v>3615</v>
      </c>
      <c r="D358" s="11" t="s">
        <v>96</v>
      </c>
      <c r="E358" s="11" t="s">
        <v>121</v>
      </c>
      <c r="F358" s="11" t="s">
        <v>99</v>
      </c>
      <c r="G358" s="12" t="s">
        <v>63</v>
      </c>
      <c r="H358" s="12" t="s">
        <v>68</v>
      </c>
      <c r="I358" s="12" t="str">
        <f>IFERROR(VLOOKUP(H358, DADOS_RM_EVENTOS_original!C:D, 2, FALSE), "Código não encontrado/Não digitado")</f>
        <v>Código não encontrado/Não digitado</v>
      </c>
      <c r="J358" s="12" t="s">
        <v>68</v>
      </c>
      <c r="K358" s="12" t="str">
        <f>IFERROR(VLOOKUP(J358, DADOS_RM_EVENTOS_original!E:J, 2, FALSE), "Código não encontrado/Não digitado")</f>
        <v>Código não encontrado/Não digitado</v>
      </c>
      <c r="L358" s="12" t="s">
        <v>68</v>
      </c>
      <c r="M358" s="12" t="str">
        <f>IFERROR(VLOOKUP(L358, DADOS_RM_EVENTOS_original!K:L, 2, FALSE), "Código não encontrado/Não digitado")</f>
        <v>Código não encontrado/Não digitado</v>
      </c>
    </row>
    <row r="359" ht="15.75" hidden="1" customHeight="1">
      <c r="A359" s="11" t="s">
        <v>172</v>
      </c>
      <c r="B359" s="11" t="s">
        <v>970</v>
      </c>
      <c r="C359" s="11" t="s">
        <v>3615</v>
      </c>
      <c r="D359" s="11" t="s">
        <v>96</v>
      </c>
      <c r="E359" s="11" t="s">
        <v>1029</v>
      </c>
      <c r="F359" s="11" t="s">
        <v>99</v>
      </c>
      <c r="G359" s="12" t="s">
        <v>63</v>
      </c>
      <c r="H359" s="12" t="s">
        <v>68</v>
      </c>
      <c r="I359" s="12" t="str">
        <f>IFERROR(VLOOKUP(H359, DADOS_RM_EVENTOS_original!C:D, 2, FALSE), "Código não encontrado/Não digitado")</f>
        <v>Código não encontrado/Não digitado</v>
      </c>
      <c r="J359" s="12" t="s">
        <v>68</v>
      </c>
      <c r="K359" s="12" t="str">
        <f>IFERROR(VLOOKUP(J359, DADOS_RM_EVENTOS_original!E:J, 2, FALSE), "Código não encontrado/Não digitado")</f>
        <v>Código não encontrado/Não digitado</v>
      </c>
      <c r="L359" s="12" t="s">
        <v>68</v>
      </c>
      <c r="M359" s="12" t="str">
        <f>IFERROR(VLOOKUP(L359, DADOS_RM_EVENTOS_original!K:L, 2, FALSE), "Código não encontrado/Não digitado")</f>
        <v>Código não encontrado/Não digitado</v>
      </c>
    </row>
    <row r="360" ht="15.75" hidden="1" customHeight="1">
      <c r="A360" s="11" t="s">
        <v>97</v>
      </c>
      <c r="B360" s="11" t="s">
        <v>3616</v>
      </c>
      <c r="C360" s="11" t="s">
        <v>3615</v>
      </c>
      <c r="D360" s="11" t="s">
        <v>96</v>
      </c>
      <c r="E360" s="11" t="s">
        <v>972</v>
      </c>
      <c r="F360" s="11" t="s">
        <v>99</v>
      </c>
      <c r="G360" s="12" t="s">
        <v>63</v>
      </c>
      <c r="H360" s="12" t="s">
        <v>68</v>
      </c>
      <c r="I360" s="12" t="str">
        <f>IFERROR(VLOOKUP(H360, DADOS_RM_EVENTOS_original!C:D, 2, FALSE), "Código não encontrado/Não digitado")</f>
        <v>Código não encontrado/Não digitado</v>
      </c>
      <c r="J360" s="12" t="s">
        <v>68</v>
      </c>
      <c r="K360" s="12" t="str">
        <f>IFERROR(VLOOKUP(J360, DADOS_RM_EVENTOS_original!E:J, 2, FALSE), "Código não encontrado/Não digitado")</f>
        <v>Código não encontrado/Não digitado</v>
      </c>
      <c r="L360" s="12" t="s">
        <v>68</v>
      </c>
      <c r="M360" s="12" t="str">
        <f>IFERROR(VLOOKUP(L360, DADOS_RM_EVENTOS_original!K:L, 2, FALSE), "Código não encontrado/Não digitado")</f>
        <v>Código não encontrado/Não digitado</v>
      </c>
    </row>
    <row r="361" ht="15.75" hidden="1" customHeight="1">
      <c r="A361" s="11" t="s">
        <v>142</v>
      </c>
      <c r="B361" s="11" t="s">
        <v>1159</v>
      </c>
      <c r="C361" s="11" t="s">
        <v>3615</v>
      </c>
      <c r="D361" s="11" t="s">
        <v>96</v>
      </c>
      <c r="E361" s="11" t="s">
        <v>985</v>
      </c>
      <c r="F361" s="11" t="s">
        <v>99</v>
      </c>
      <c r="G361" s="12" t="s">
        <v>63</v>
      </c>
      <c r="H361" s="12" t="s">
        <v>68</v>
      </c>
      <c r="I361" s="12" t="str">
        <f>IFERROR(VLOOKUP(H361, DADOS_RM_EVENTOS_original!C:D, 2, FALSE), "Código não encontrado/Não digitado")</f>
        <v>Código não encontrado/Não digitado</v>
      </c>
      <c r="J361" s="12" t="s">
        <v>68</v>
      </c>
      <c r="K361" s="12" t="str">
        <f>IFERROR(VLOOKUP(J361, DADOS_RM_EVENTOS_original!E:J, 2, FALSE), "Código não encontrado/Não digitado")</f>
        <v>Código não encontrado/Não digitado</v>
      </c>
      <c r="L361" s="12" t="s">
        <v>68</v>
      </c>
      <c r="M361" s="12" t="str">
        <f>IFERROR(VLOOKUP(L361, DADOS_RM_EVENTOS_original!K:L, 2, FALSE), "Código não encontrado/Não digitado")</f>
        <v>Código não encontrado/Não digitado</v>
      </c>
    </row>
    <row r="362" ht="15.75" hidden="1" customHeight="1">
      <c r="A362" s="11" t="s">
        <v>172</v>
      </c>
      <c r="B362" s="11" t="s">
        <v>383</v>
      </c>
      <c r="C362" s="11" t="s">
        <v>3617</v>
      </c>
      <c r="D362" s="11" t="s">
        <v>96</v>
      </c>
      <c r="E362" s="11" t="s">
        <v>1029</v>
      </c>
      <c r="F362" s="11" t="s">
        <v>99</v>
      </c>
      <c r="G362" s="12" t="s">
        <v>63</v>
      </c>
      <c r="H362" s="12" t="s">
        <v>68</v>
      </c>
      <c r="I362" s="12" t="str">
        <f>IFERROR(VLOOKUP(H362, DADOS_RM_EVENTOS_original!C:D, 2, FALSE), "Código não encontrado/Não digitado")</f>
        <v>Código não encontrado/Não digitado</v>
      </c>
      <c r="J362" s="12" t="s">
        <v>68</v>
      </c>
      <c r="K362" s="12" t="str">
        <f>IFERROR(VLOOKUP(J362, DADOS_RM_EVENTOS_original!E:J, 2, FALSE), "Código não encontrado/Não digitado")</f>
        <v>Código não encontrado/Não digitado</v>
      </c>
      <c r="L362" s="12" t="s">
        <v>68</v>
      </c>
      <c r="M362" s="12" t="str">
        <f>IFERROR(VLOOKUP(L362, DADOS_RM_EVENTOS_original!K:L, 2, FALSE), "Código não encontrado/Não digitado")</f>
        <v>Código não encontrado/Não digitado</v>
      </c>
    </row>
    <row r="363" ht="15.75" hidden="1" customHeight="1">
      <c r="A363" s="11" t="s">
        <v>97</v>
      </c>
      <c r="B363" s="11" t="s">
        <v>383</v>
      </c>
      <c r="C363" s="11" t="s">
        <v>3617</v>
      </c>
      <c r="D363" s="11" t="s">
        <v>96</v>
      </c>
      <c r="E363" s="11" t="s">
        <v>972</v>
      </c>
      <c r="F363" s="11" t="s">
        <v>99</v>
      </c>
      <c r="G363" s="12" t="s">
        <v>63</v>
      </c>
      <c r="H363" s="12" t="s">
        <v>68</v>
      </c>
      <c r="I363" s="12" t="str">
        <f>IFERROR(VLOOKUP(H363, DADOS_RM_EVENTOS_original!C:D, 2, FALSE), "Código não encontrado/Não digitado")</f>
        <v>Código não encontrado/Não digitado</v>
      </c>
      <c r="J363" s="12" t="s">
        <v>68</v>
      </c>
      <c r="K363" s="12" t="str">
        <f>IFERROR(VLOOKUP(J363, DADOS_RM_EVENTOS_original!E:J, 2, FALSE), "Código não encontrado/Não digitado")</f>
        <v>Código não encontrado/Não digitado</v>
      </c>
      <c r="L363" s="12" t="s">
        <v>68</v>
      </c>
      <c r="M363" s="12" t="str">
        <f>IFERROR(VLOOKUP(L363, DADOS_RM_EVENTOS_original!K:L, 2, FALSE), "Código não encontrado/Não digitado")</f>
        <v>Código não encontrado/Não digitado</v>
      </c>
    </row>
    <row r="364" ht="15.75" hidden="1" customHeight="1">
      <c r="A364" s="11" t="s">
        <v>142</v>
      </c>
      <c r="B364" s="11" t="s">
        <v>383</v>
      </c>
      <c r="C364" s="11" t="s">
        <v>3617</v>
      </c>
      <c r="D364" s="11" t="s">
        <v>96</v>
      </c>
      <c r="E364" s="11" t="s">
        <v>985</v>
      </c>
      <c r="F364" s="11" t="s">
        <v>99</v>
      </c>
      <c r="G364" s="12" t="s">
        <v>63</v>
      </c>
      <c r="H364" s="12" t="s">
        <v>68</v>
      </c>
      <c r="I364" s="12" t="str">
        <f>IFERROR(VLOOKUP(H364, DADOS_RM_EVENTOS_original!C:D, 2, FALSE), "Código não encontrado/Não digitado")</f>
        <v>Código não encontrado/Não digitado</v>
      </c>
      <c r="J364" s="12" t="s">
        <v>68</v>
      </c>
      <c r="K364" s="12" t="str">
        <f>IFERROR(VLOOKUP(J364, DADOS_RM_EVENTOS_original!E:J, 2, FALSE), "Código não encontrado/Não digitado")</f>
        <v>Código não encontrado/Não digitado</v>
      </c>
      <c r="L364" s="12" t="s">
        <v>68</v>
      </c>
      <c r="M364" s="12" t="str">
        <f>IFERROR(VLOOKUP(L364, DADOS_RM_EVENTOS_original!K:L, 2, FALSE), "Código não encontrado/Não digitado")</f>
        <v>Código não encontrado/Não digitado</v>
      </c>
    </row>
    <row r="365" ht="15.75" hidden="1" customHeight="1">
      <c r="A365" s="11" t="s">
        <v>199</v>
      </c>
      <c r="B365" s="11" t="s">
        <v>383</v>
      </c>
      <c r="C365" s="11" t="s">
        <v>3617</v>
      </c>
      <c r="D365" s="11" t="s">
        <v>96</v>
      </c>
      <c r="E365" s="11" t="s">
        <v>1074</v>
      </c>
      <c r="F365" s="11" t="s">
        <v>99</v>
      </c>
      <c r="G365" s="12" t="s">
        <v>63</v>
      </c>
      <c r="H365" s="12" t="s">
        <v>68</v>
      </c>
      <c r="I365" s="12" t="str">
        <f>IFERROR(VLOOKUP(H365, DADOS_RM_EVENTOS_original!C:D, 2, FALSE), "Código não encontrado/Não digitado")</f>
        <v>Código não encontrado/Não digitado</v>
      </c>
      <c r="J365" s="12" t="s">
        <v>68</v>
      </c>
      <c r="K365" s="12" t="str">
        <f>IFERROR(VLOOKUP(J365, DADOS_RM_EVENTOS_original!E:J, 2, FALSE), "Código não encontrado/Não digitado")</f>
        <v>Código não encontrado/Não digitado</v>
      </c>
      <c r="L365" s="12" t="s">
        <v>68</v>
      </c>
      <c r="M365" s="12" t="str">
        <f>IFERROR(VLOOKUP(L365, DADOS_RM_EVENTOS_original!K:L, 2, FALSE), "Código não encontrado/Não digitado")</f>
        <v>Código não encontrado/Não digitado</v>
      </c>
    </row>
    <row r="366" ht="15.75" hidden="1" customHeight="1">
      <c r="A366" s="11" t="s">
        <v>199</v>
      </c>
      <c r="B366" s="11" t="s">
        <v>2033</v>
      </c>
      <c r="C366" s="11" t="s">
        <v>3618</v>
      </c>
      <c r="D366" s="11" t="s">
        <v>96</v>
      </c>
      <c r="E366" s="11" t="s">
        <v>1074</v>
      </c>
      <c r="F366" s="11" t="s">
        <v>99</v>
      </c>
      <c r="G366" s="12" t="s">
        <v>63</v>
      </c>
      <c r="H366" s="12" t="s">
        <v>68</v>
      </c>
      <c r="I366" s="12" t="str">
        <f>IFERROR(VLOOKUP(H366, DADOS_RM_EVENTOS_original!C:D, 2, FALSE), "Código não encontrado/Não digitado")</f>
        <v>Código não encontrado/Não digitado</v>
      </c>
      <c r="J366" s="12" t="s">
        <v>68</v>
      </c>
      <c r="K366" s="12" t="str">
        <f>IFERROR(VLOOKUP(J366, DADOS_RM_EVENTOS_original!E:J, 2, FALSE), "Código não encontrado/Não digitado")</f>
        <v>Código não encontrado/Não digitado</v>
      </c>
      <c r="L366" s="12" t="s">
        <v>68</v>
      </c>
      <c r="M366" s="12" t="str">
        <f>IFERROR(VLOOKUP(L366, DADOS_RM_EVENTOS_original!K:L, 2, FALSE), "Código não encontrado/Não digitado")</f>
        <v>Código não encontrado/Não digitado</v>
      </c>
    </row>
    <row r="367" ht="15.75" hidden="1" customHeight="1">
      <c r="A367" s="11" t="s">
        <v>172</v>
      </c>
      <c r="B367" s="11" t="s">
        <v>408</v>
      </c>
      <c r="C367" s="11" t="s">
        <v>3619</v>
      </c>
      <c r="D367" s="11" t="s">
        <v>96</v>
      </c>
      <c r="E367" s="11" t="s">
        <v>1029</v>
      </c>
      <c r="F367" s="11" t="s">
        <v>99</v>
      </c>
      <c r="G367" s="12" t="s">
        <v>63</v>
      </c>
      <c r="H367" s="12" t="s">
        <v>68</v>
      </c>
      <c r="I367" s="12" t="str">
        <f>IFERROR(VLOOKUP(H367, DADOS_RM_EVENTOS_original!C:D, 2, FALSE), "Código não encontrado/Não digitado")</f>
        <v>Código não encontrado/Não digitado</v>
      </c>
      <c r="J367" s="12" t="s">
        <v>68</v>
      </c>
      <c r="K367" s="12" t="str">
        <f>IFERROR(VLOOKUP(J367, DADOS_RM_EVENTOS_original!E:J, 2, FALSE), "Código não encontrado/Não digitado")</f>
        <v>Código não encontrado/Não digitado</v>
      </c>
      <c r="L367" s="12" t="s">
        <v>68</v>
      </c>
      <c r="M367" s="12" t="str">
        <f>IFERROR(VLOOKUP(L367, DADOS_RM_EVENTOS_original!K:L, 2, FALSE), "Código não encontrado/Não digitado")</f>
        <v>Código não encontrado/Não digitado</v>
      </c>
    </row>
    <row r="368" ht="15.75" hidden="1" customHeight="1">
      <c r="A368" s="11" t="s">
        <v>97</v>
      </c>
      <c r="B368" s="11" t="s">
        <v>408</v>
      </c>
      <c r="C368" s="11" t="s">
        <v>3619</v>
      </c>
      <c r="D368" s="11" t="s">
        <v>96</v>
      </c>
      <c r="E368" s="11" t="s">
        <v>972</v>
      </c>
      <c r="F368" s="11" t="s">
        <v>99</v>
      </c>
      <c r="G368" s="12" t="s">
        <v>63</v>
      </c>
      <c r="H368" s="12" t="s">
        <v>68</v>
      </c>
      <c r="I368" s="12" t="str">
        <f>IFERROR(VLOOKUP(H368, DADOS_RM_EVENTOS_original!C:D, 2, FALSE), "Código não encontrado/Não digitado")</f>
        <v>Código não encontrado/Não digitado</v>
      </c>
      <c r="J368" s="12" t="s">
        <v>68</v>
      </c>
      <c r="K368" s="12" t="str">
        <f>IFERROR(VLOOKUP(J368, DADOS_RM_EVENTOS_original!E:J, 2, FALSE), "Código não encontrado/Não digitado")</f>
        <v>Código não encontrado/Não digitado</v>
      </c>
      <c r="L368" s="12" t="s">
        <v>68</v>
      </c>
      <c r="M368" s="12" t="str">
        <f>IFERROR(VLOOKUP(L368, DADOS_RM_EVENTOS_original!K:L, 2, FALSE), "Código não encontrado/Não digitado")</f>
        <v>Código não encontrado/Não digitado</v>
      </c>
    </row>
    <row r="369" ht="15.75" hidden="1" customHeight="1">
      <c r="A369" s="11" t="s">
        <v>142</v>
      </c>
      <c r="B369" s="11" t="s">
        <v>408</v>
      </c>
      <c r="C369" s="11" t="s">
        <v>3619</v>
      </c>
      <c r="D369" s="11" t="s">
        <v>96</v>
      </c>
      <c r="E369" s="11" t="s">
        <v>985</v>
      </c>
      <c r="F369" s="11" t="s">
        <v>99</v>
      </c>
      <c r="G369" s="12" t="s">
        <v>63</v>
      </c>
      <c r="H369" s="12" t="s">
        <v>68</v>
      </c>
      <c r="I369" s="12" t="str">
        <f>IFERROR(VLOOKUP(H369, DADOS_RM_EVENTOS_original!C:D, 2, FALSE), "Código não encontrado/Não digitado")</f>
        <v>Código não encontrado/Não digitado</v>
      </c>
      <c r="J369" s="12" t="s">
        <v>68</v>
      </c>
      <c r="K369" s="12" t="str">
        <f>IFERROR(VLOOKUP(J369, DADOS_RM_EVENTOS_original!E:J, 2, FALSE), "Código não encontrado/Não digitado")</f>
        <v>Código não encontrado/Não digitado</v>
      </c>
      <c r="L369" s="12" t="s">
        <v>68</v>
      </c>
      <c r="M369" s="12" t="str">
        <f>IFERROR(VLOOKUP(L369, DADOS_RM_EVENTOS_original!K:L, 2, FALSE), "Código não encontrado/Não digitado")</f>
        <v>Código não encontrado/Não digitado</v>
      </c>
    </row>
    <row r="370" ht="15.75" hidden="1" customHeight="1">
      <c r="A370" s="11" t="s">
        <v>38</v>
      </c>
      <c r="B370" s="11" t="s">
        <v>670</v>
      </c>
      <c r="C370" s="11" t="s">
        <v>3620</v>
      </c>
      <c r="D370" s="11" t="s">
        <v>120</v>
      </c>
      <c r="E370" s="11" t="s">
        <v>47</v>
      </c>
      <c r="F370" s="11" t="s">
        <v>518</v>
      </c>
      <c r="G370" s="12" t="s">
        <v>595</v>
      </c>
      <c r="H370" s="12" t="s">
        <v>68</v>
      </c>
      <c r="I370" s="12" t="str">
        <f>IFERROR(VLOOKUP(H370, DADOS_RM_EVENTOS_original!C:D, 2, FALSE), "Código não encontrado/Não digitado")</f>
        <v>Código não encontrado/Não digitado</v>
      </c>
      <c r="J370" s="12" t="s">
        <v>68</v>
      </c>
      <c r="K370" s="12" t="str">
        <f>IFERROR(VLOOKUP(J370, DADOS_RM_EVENTOS_original!E:J, 2, FALSE), "Código não encontrado/Não digitado")</f>
        <v>Código não encontrado/Não digitado</v>
      </c>
      <c r="L370" s="12" t="s">
        <v>68</v>
      </c>
      <c r="M370" s="12" t="str">
        <f>IFERROR(VLOOKUP(L370, DADOS_RM_EVENTOS_original!K:L, 2, FALSE), "Código não encontrado/Não digitado")</f>
        <v>Código não encontrado/Não digitado</v>
      </c>
    </row>
    <row r="371" ht="15.75" hidden="1" customHeight="1">
      <c r="A371" s="11" t="s">
        <v>172</v>
      </c>
      <c r="B371" s="11" t="s">
        <v>670</v>
      </c>
      <c r="C371" s="11" t="s">
        <v>3620</v>
      </c>
      <c r="D371" s="11" t="s">
        <v>120</v>
      </c>
      <c r="E371" s="11" t="s">
        <v>1029</v>
      </c>
      <c r="F371" s="11" t="s">
        <v>518</v>
      </c>
      <c r="G371" s="12" t="s">
        <v>595</v>
      </c>
      <c r="H371" s="12" t="s">
        <v>68</v>
      </c>
      <c r="I371" s="12" t="str">
        <f>IFERROR(VLOOKUP(H371, DADOS_RM_EVENTOS_original!C:D, 2, FALSE), "Código não encontrado/Não digitado")</f>
        <v>Código não encontrado/Não digitado</v>
      </c>
      <c r="J371" s="12" t="s">
        <v>68</v>
      </c>
      <c r="K371" s="12" t="str">
        <f>IFERROR(VLOOKUP(J371, DADOS_RM_EVENTOS_original!E:J, 2, FALSE), "Código não encontrado/Não digitado")</f>
        <v>Código não encontrado/Não digitado</v>
      </c>
      <c r="L371" s="12" t="s">
        <v>68</v>
      </c>
      <c r="M371" s="12" t="str">
        <f>IFERROR(VLOOKUP(L371, DADOS_RM_EVENTOS_original!K:L, 2, FALSE), "Código não encontrado/Não digitado")</f>
        <v>Código não encontrado/Não digitado</v>
      </c>
    </row>
    <row r="372" ht="15.75" hidden="1" customHeight="1">
      <c r="A372" s="11" t="s">
        <v>97</v>
      </c>
      <c r="B372" s="11" t="s">
        <v>670</v>
      </c>
      <c r="C372" s="11" t="s">
        <v>3620</v>
      </c>
      <c r="D372" s="11" t="s">
        <v>120</v>
      </c>
      <c r="E372" s="11" t="s">
        <v>972</v>
      </c>
      <c r="F372" s="11" t="s">
        <v>518</v>
      </c>
      <c r="G372" s="12" t="s">
        <v>595</v>
      </c>
      <c r="H372" s="12" t="s">
        <v>68</v>
      </c>
      <c r="I372" s="12" t="str">
        <f>IFERROR(VLOOKUP(H372, DADOS_RM_EVENTOS_original!C:D, 2, FALSE), "Código não encontrado/Não digitado")</f>
        <v>Código não encontrado/Não digitado</v>
      </c>
      <c r="J372" s="12" t="s">
        <v>68</v>
      </c>
      <c r="K372" s="12" t="str">
        <f>IFERROR(VLOOKUP(J372, DADOS_RM_EVENTOS_original!E:J, 2, FALSE), "Código não encontrado/Não digitado")</f>
        <v>Código não encontrado/Não digitado</v>
      </c>
      <c r="L372" s="12" t="s">
        <v>68</v>
      </c>
      <c r="M372" s="12" t="str">
        <f>IFERROR(VLOOKUP(L372, DADOS_RM_EVENTOS_original!K:L, 2, FALSE), "Código não encontrado/Não digitado")</f>
        <v>Código não encontrado/Não digitado</v>
      </c>
    </row>
    <row r="373" ht="15.75" hidden="1" customHeight="1">
      <c r="A373" s="11" t="s">
        <v>142</v>
      </c>
      <c r="B373" s="11" t="s">
        <v>670</v>
      </c>
      <c r="C373" s="11" t="s">
        <v>3620</v>
      </c>
      <c r="D373" s="11" t="s">
        <v>120</v>
      </c>
      <c r="E373" s="11" t="s">
        <v>985</v>
      </c>
      <c r="F373" s="11" t="s">
        <v>518</v>
      </c>
      <c r="G373" s="12" t="s">
        <v>595</v>
      </c>
      <c r="H373" s="12" t="s">
        <v>68</v>
      </c>
      <c r="I373" s="12" t="str">
        <f>IFERROR(VLOOKUP(H373, DADOS_RM_EVENTOS_original!C:D, 2, FALSE), "Código não encontrado/Não digitado")</f>
        <v>Código não encontrado/Não digitado</v>
      </c>
      <c r="J373" s="12" t="s">
        <v>68</v>
      </c>
      <c r="K373" s="12" t="str">
        <f>IFERROR(VLOOKUP(J373, DADOS_RM_EVENTOS_original!E:J, 2, FALSE), "Código não encontrado/Não digitado")</f>
        <v>Código não encontrado/Não digitado</v>
      </c>
      <c r="L373" s="12" t="s">
        <v>68</v>
      </c>
      <c r="M373" s="12" t="str">
        <f>IFERROR(VLOOKUP(L373, DADOS_RM_EVENTOS_original!K:L, 2, FALSE), "Código não encontrado/Não digitado")</f>
        <v>Código não encontrado/Não digitado</v>
      </c>
    </row>
    <row r="374" ht="15.75" hidden="1" customHeight="1">
      <c r="A374" s="11" t="s">
        <v>38</v>
      </c>
      <c r="B374" s="11" t="s">
        <v>418</v>
      </c>
      <c r="C374" s="11" t="s">
        <v>3621</v>
      </c>
      <c r="D374" s="11" t="s">
        <v>120</v>
      </c>
      <c r="E374" s="11" t="s">
        <v>47</v>
      </c>
      <c r="F374" s="11" t="s">
        <v>115</v>
      </c>
      <c r="G374" s="12" t="s">
        <v>161</v>
      </c>
      <c r="H374" s="12" t="s">
        <v>68</v>
      </c>
      <c r="I374" s="12" t="str">
        <f>IFERROR(VLOOKUP(H374, DADOS_RM_EVENTOS_original!C:D, 2, FALSE), "Código não encontrado/Não digitado")</f>
        <v>Código não encontrado/Não digitado</v>
      </c>
      <c r="J374" s="12" t="s">
        <v>68</v>
      </c>
      <c r="K374" s="12" t="str">
        <f>IFERROR(VLOOKUP(J374, DADOS_RM_EVENTOS_original!E:J, 2, FALSE), "Código não encontrado/Não digitado")</f>
        <v>Código não encontrado/Não digitado</v>
      </c>
      <c r="L374" s="12" t="s">
        <v>68</v>
      </c>
      <c r="M374" s="12" t="str">
        <f>IFERROR(VLOOKUP(L374, DADOS_RM_EVENTOS_original!K:L, 2, FALSE), "Código não encontrado/Não digitado")</f>
        <v>Código não encontrado/Não digitado</v>
      </c>
    </row>
    <row r="375" ht="15.75" hidden="1" customHeight="1">
      <c r="A375" s="11" t="s">
        <v>97</v>
      </c>
      <c r="B375" s="11" t="s">
        <v>418</v>
      </c>
      <c r="C375" s="11" t="s">
        <v>3622</v>
      </c>
      <c r="D375" s="11" t="s">
        <v>120</v>
      </c>
      <c r="E375" s="11" t="s">
        <v>972</v>
      </c>
      <c r="F375" s="11" t="s">
        <v>115</v>
      </c>
      <c r="G375" s="12" t="s">
        <v>161</v>
      </c>
      <c r="H375" s="12" t="s">
        <v>68</v>
      </c>
      <c r="I375" s="12" t="str">
        <f>IFERROR(VLOOKUP(H375, DADOS_RM_EVENTOS_original!C:D, 2, FALSE), "Código não encontrado/Não digitado")</f>
        <v>Código não encontrado/Não digitado</v>
      </c>
      <c r="J375" s="12" t="s">
        <v>68</v>
      </c>
      <c r="K375" s="12" t="str">
        <f>IFERROR(VLOOKUP(J375, DADOS_RM_EVENTOS_original!E:J, 2, FALSE), "Código não encontrado/Não digitado")</f>
        <v>Código não encontrado/Não digitado</v>
      </c>
      <c r="L375" s="12" t="s">
        <v>68</v>
      </c>
      <c r="M375" s="12" t="str">
        <f>IFERROR(VLOOKUP(L375, DADOS_RM_EVENTOS_original!K:L, 2, FALSE), "Código não encontrado/Não digitado")</f>
        <v>Código não encontrado/Não digitado</v>
      </c>
    </row>
    <row r="376" ht="15.75" hidden="1" customHeight="1">
      <c r="A376" s="11" t="s">
        <v>142</v>
      </c>
      <c r="B376" s="11" t="s">
        <v>3623</v>
      </c>
      <c r="C376" s="11" t="s">
        <v>3624</v>
      </c>
      <c r="D376" s="11" t="s">
        <v>44</v>
      </c>
      <c r="E376" s="11" t="s">
        <v>985</v>
      </c>
      <c r="F376" s="11" t="s">
        <v>452</v>
      </c>
      <c r="G376" s="12" t="s">
        <v>2744</v>
      </c>
      <c r="H376" s="12" t="s">
        <v>68</v>
      </c>
      <c r="I376" s="12" t="str">
        <f>IFERROR(VLOOKUP(H376, DADOS_RM_EVENTOS_original!C:D, 2, FALSE), "Código não encontrado/Não digitado")</f>
        <v>Código não encontrado/Não digitado</v>
      </c>
      <c r="J376" s="12" t="s">
        <v>68</v>
      </c>
      <c r="K376" s="12" t="str">
        <f>IFERROR(VLOOKUP(J376, DADOS_RM_EVENTOS_original!E:J, 2, FALSE), "Código não encontrado/Não digitado")</f>
        <v>Código não encontrado/Não digitado</v>
      </c>
      <c r="L376" s="12" t="s">
        <v>68</v>
      </c>
      <c r="M376" s="12" t="str">
        <f>IFERROR(VLOOKUP(L376, DADOS_RM_EVENTOS_original!K:L, 2, FALSE), "Código não encontrado/Não digitado")</f>
        <v>Código não encontrado/Não digitado</v>
      </c>
    </row>
    <row r="377" ht="15.75" hidden="1" customHeight="1">
      <c r="A377" s="11" t="s">
        <v>38</v>
      </c>
      <c r="B377" s="11" t="s">
        <v>387</v>
      </c>
      <c r="C377" s="11" t="s">
        <v>2207</v>
      </c>
      <c r="D377" s="11" t="s">
        <v>120</v>
      </c>
      <c r="E377" s="11" t="s">
        <v>47</v>
      </c>
      <c r="F377" s="11" t="s">
        <v>2206</v>
      </c>
      <c r="G377" s="12" t="s">
        <v>2928</v>
      </c>
      <c r="H377" s="12" t="s">
        <v>68</v>
      </c>
      <c r="I377" s="12" t="str">
        <f>IFERROR(VLOOKUP(H377, DADOS_RM_EVENTOS_original!C:D, 2, FALSE), "Código não encontrado/Não digitado")</f>
        <v>Código não encontrado/Não digitado</v>
      </c>
      <c r="J377" s="12" t="s">
        <v>68</v>
      </c>
      <c r="K377" s="12" t="str">
        <f>IFERROR(VLOOKUP(J377, DADOS_RM_EVENTOS_original!E:J, 2, FALSE), "Código não encontrado/Não digitado")</f>
        <v>Código não encontrado/Não digitado</v>
      </c>
      <c r="L377" s="12" t="s">
        <v>68</v>
      </c>
      <c r="M377" s="12" t="str">
        <f>IFERROR(VLOOKUP(L377, DADOS_RM_EVENTOS_original!K:L, 2, FALSE), "Código não encontrado/Não digitado")</f>
        <v>Código não encontrado/Não digitado</v>
      </c>
    </row>
    <row r="378" ht="15.75" hidden="1" customHeight="1">
      <c r="A378" s="11" t="s">
        <v>115</v>
      </c>
      <c r="B378" s="11" t="s">
        <v>387</v>
      </c>
      <c r="C378" s="11" t="s">
        <v>2207</v>
      </c>
      <c r="D378" s="11" t="s">
        <v>120</v>
      </c>
      <c r="E378" s="11" t="s">
        <v>121</v>
      </c>
      <c r="F378" s="11" t="s">
        <v>2206</v>
      </c>
      <c r="G378" s="12" t="s">
        <v>2928</v>
      </c>
      <c r="H378" s="12" t="s">
        <v>68</v>
      </c>
      <c r="I378" s="12" t="str">
        <f>IFERROR(VLOOKUP(H378, DADOS_RM_EVENTOS_original!C:D, 2, FALSE), "Código não encontrado/Não digitado")</f>
        <v>Código não encontrado/Não digitado</v>
      </c>
      <c r="J378" s="12" t="s">
        <v>68</v>
      </c>
      <c r="K378" s="12" t="str">
        <f>IFERROR(VLOOKUP(J378, DADOS_RM_EVENTOS_original!E:J, 2, FALSE), "Código não encontrado/Não digitado")</f>
        <v>Código não encontrado/Não digitado</v>
      </c>
      <c r="L378" s="12" t="s">
        <v>68</v>
      </c>
      <c r="M378" s="12" t="str">
        <f>IFERROR(VLOOKUP(L378, DADOS_RM_EVENTOS_original!K:L, 2, FALSE), "Código não encontrado/Não digitado")</f>
        <v>Código não encontrado/Não digitado</v>
      </c>
    </row>
    <row r="379" ht="15.75" hidden="1" customHeight="1">
      <c r="A379" s="11" t="s">
        <v>172</v>
      </c>
      <c r="B379" s="11" t="s">
        <v>387</v>
      </c>
      <c r="C379" s="11" t="s">
        <v>2928</v>
      </c>
      <c r="D379" s="11" t="s">
        <v>120</v>
      </c>
      <c r="E379" s="11" t="s">
        <v>1029</v>
      </c>
      <c r="F379" s="11" t="s">
        <v>2206</v>
      </c>
      <c r="G379" s="12" t="s">
        <v>2928</v>
      </c>
      <c r="H379" s="12" t="s">
        <v>68</v>
      </c>
      <c r="I379" s="12" t="str">
        <f>IFERROR(VLOOKUP(H379, DADOS_RM_EVENTOS_original!C:D, 2, FALSE), "Código não encontrado/Não digitado")</f>
        <v>Código não encontrado/Não digitado</v>
      </c>
      <c r="J379" s="12" t="s">
        <v>68</v>
      </c>
      <c r="K379" s="12" t="str">
        <f>IFERROR(VLOOKUP(J379, DADOS_RM_EVENTOS_original!E:J, 2, FALSE), "Código não encontrado/Não digitado")</f>
        <v>Código não encontrado/Não digitado</v>
      </c>
      <c r="L379" s="12" t="s">
        <v>68</v>
      </c>
      <c r="M379" s="12" t="str">
        <f>IFERROR(VLOOKUP(L379, DADOS_RM_EVENTOS_original!K:L, 2, FALSE), "Código não encontrado/Não digitado")</f>
        <v>Código não encontrado/Não digitado</v>
      </c>
    </row>
    <row r="380" ht="15.75" hidden="1" customHeight="1">
      <c r="A380" s="11" t="s">
        <v>97</v>
      </c>
      <c r="B380" s="11" t="s">
        <v>387</v>
      </c>
      <c r="C380" s="11" t="s">
        <v>2928</v>
      </c>
      <c r="D380" s="11" t="s">
        <v>120</v>
      </c>
      <c r="E380" s="11" t="s">
        <v>972</v>
      </c>
      <c r="F380" s="11" t="s">
        <v>2206</v>
      </c>
      <c r="G380" s="12" t="s">
        <v>2928</v>
      </c>
      <c r="H380" s="12" t="s">
        <v>68</v>
      </c>
      <c r="I380" s="12" t="str">
        <f>IFERROR(VLOOKUP(H380, DADOS_RM_EVENTOS_original!C:D, 2, FALSE), "Código não encontrado/Não digitado")</f>
        <v>Código não encontrado/Não digitado</v>
      </c>
      <c r="J380" s="12" t="s">
        <v>68</v>
      </c>
      <c r="K380" s="12" t="str">
        <f>IFERROR(VLOOKUP(J380, DADOS_RM_EVENTOS_original!E:J, 2, FALSE), "Código não encontrado/Não digitado")</f>
        <v>Código não encontrado/Não digitado</v>
      </c>
      <c r="L380" s="12" t="s">
        <v>68</v>
      </c>
      <c r="M380" s="12" t="str">
        <f>IFERROR(VLOOKUP(L380, DADOS_RM_EVENTOS_original!K:L, 2, FALSE), "Código não encontrado/Não digitado")</f>
        <v>Código não encontrado/Não digitado</v>
      </c>
    </row>
    <row r="381" ht="15.75" hidden="1" customHeight="1">
      <c r="A381" s="11" t="s">
        <v>142</v>
      </c>
      <c r="B381" s="11" t="s">
        <v>387</v>
      </c>
      <c r="C381" s="11" t="s">
        <v>2928</v>
      </c>
      <c r="D381" s="11" t="s">
        <v>120</v>
      </c>
      <c r="E381" s="11" t="s">
        <v>985</v>
      </c>
      <c r="F381" s="11" t="s">
        <v>2206</v>
      </c>
      <c r="G381" s="12" t="s">
        <v>2928</v>
      </c>
      <c r="H381" s="12" t="s">
        <v>68</v>
      </c>
      <c r="I381" s="12" t="str">
        <f>IFERROR(VLOOKUP(H381, DADOS_RM_EVENTOS_original!C:D, 2, FALSE), "Código não encontrado/Não digitado")</f>
        <v>Código não encontrado/Não digitado</v>
      </c>
      <c r="J381" s="12" t="s">
        <v>68</v>
      </c>
      <c r="K381" s="12" t="str">
        <f>IFERROR(VLOOKUP(J381, DADOS_RM_EVENTOS_original!E:J, 2, FALSE), "Código não encontrado/Não digitado")</f>
        <v>Código não encontrado/Não digitado</v>
      </c>
      <c r="L381" s="12" t="s">
        <v>68</v>
      </c>
      <c r="M381" s="12" t="str">
        <f>IFERROR(VLOOKUP(L381, DADOS_RM_EVENTOS_original!K:L, 2, FALSE), "Código não encontrado/Não digitado")</f>
        <v>Código não encontrado/Não digitado</v>
      </c>
    </row>
    <row r="382" ht="15.75" customHeight="1">
      <c r="A382" s="11" t="s">
        <v>38</v>
      </c>
      <c r="B382" s="11" t="s">
        <v>907</v>
      </c>
      <c r="C382" s="11" t="s">
        <v>3653</v>
      </c>
      <c r="D382" s="11" t="s">
        <v>120</v>
      </c>
      <c r="E382" s="11" t="s">
        <v>47</v>
      </c>
      <c r="F382" s="11" t="s">
        <v>49</v>
      </c>
      <c r="G382" s="12" t="s">
        <v>63</v>
      </c>
      <c r="H382" s="12" t="s">
        <v>68</v>
      </c>
      <c r="I382" s="12" t="str">
        <f>IFERROR(VLOOKUP(H382, DADOS_RM_EVENTOS_original!C:D, 2, FALSE), "Código não encontrado/Não digitado")</f>
        <v>Código não encontrado/Não digitado</v>
      </c>
      <c r="J382" s="12" t="s">
        <v>68</v>
      </c>
      <c r="K382" s="12" t="str">
        <f>IFERROR(VLOOKUP(J382, DADOS_RM_EVENTOS_original!E:J, 2, FALSE), "Código não encontrado/Não digitado")</f>
        <v>Código não encontrado/Não digitado</v>
      </c>
      <c r="L382" s="12" t="s">
        <v>68</v>
      </c>
      <c r="M382" s="12" t="str">
        <f>IFERROR(VLOOKUP(L382, DADOS_RM_EVENTOS_original!K:L, 2, FALSE), "Código não encontrado/Não digitado")</f>
        <v>Código não encontrado/Não digitado</v>
      </c>
    </row>
    <row r="383" ht="15.75" hidden="1" customHeight="1">
      <c r="A383" s="11" t="s">
        <v>38</v>
      </c>
      <c r="B383" s="11" t="s">
        <v>379</v>
      </c>
      <c r="C383" s="11" t="s">
        <v>2147</v>
      </c>
      <c r="D383" s="11" t="s">
        <v>120</v>
      </c>
      <c r="E383" s="11" t="s">
        <v>47</v>
      </c>
      <c r="F383" s="11" t="s">
        <v>2146</v>
      </c>
      <c r="G383" s="12" t="s">
        <v>2902</v>
      </c>
      <c r="H383" s="12" t="s">
        <v>68</v>
      </c>
      <c r="I383" s="12" t="str">
        <f>IFERROR(VLOOKUP(H383, DADOS_RM_EVENTOS_original!C:D, 2, FALSE), "Código não encontrado/Não digitado")</f>
        <v>Código não encontrado/Não digitado</v>
      </c>
      <c r="J383" s="12" t="s">
        <v>68</v>
      </c>
      <c r="K383" s="12" t="str">
        <f>IFERROR(VLOOKUP(J383, DADOS_RM_EVENTOS_original!E:J, 2, FALSE), "Código não encontrado/Não digitado")</f>
        <v>Código não encontrado/Não digitado</v>
      </c>
      <c r="L383" s="12" t="s">
        <v>68</v>
      </c>
      <c r="M383" s="12" t="str">
        <f>IFERROR(VLOOKUP(L383, DADOS_RM_EVENTOS_original!K:L, 2, FALSE), "Código não encontrado/Não digitado")</f>
        <v>Código não encontrado/Não digitado</v>
      </c>
    </row>
    <row r="384" ht="15.75" hidden="1" customHeight="1">
      <c r="A384" s="11" t="s">
        <v>115</v>
      </c>
      <c r="B384" s="11" t="s">
        <v>379</v>
      </c>
      <c r="C384" s="11" t="s">
        <v>2147</v>
      </c>
      <c r="D384" s="11" t="s">
        <v>120</v>
      </c>
      <c r="E384" s="11" t="s">
        <v>121</v>
      </c>
      <c r="F384" s="11" t="s">
        <v>2146</v>
      </c>
      <c r="G384" s="12" t="s">
        <v>2902</v>
      </c>
      <c r="H384" s="12" t="s">
        <v>68</v>
      </c>
      <c r="I384" s="12" t="str">
        <f>IFERROR(VLOOKUP(H384, DADOS_RM_EVENTOS_original!C:D, 2, FALSE), "Código não encontrado/Não digitado")</f>
        <v>Código não encontrado/Não digitado</v>
      </c>
      <c r="J384" s="12" t="s">
        <v>68</v>
      </c>
      <c r="K384" s="12" t="str">
        <f>IFERROR(VLOOKUP(J384, DADOS_RM_EVENTOS_original!E:J, 2, FALSE), "Código não encontrado/Não digitado")</f>
        <v>Código não encontrado/Não digitado</v>
      </c>
      <c r="L384" s="12" t="s">
        <v>68</v>
      </c>
      <c r="M384" s="12" t="str">
        <f>IFERROR(VLOOKUP(L384, DADOS_RM_EVENTOS_original!K:L, 2, FALSE), "Código não encontrado/Não digitado")</f>
        <v>Código não encontrado/Não digitado</v>
      </c>
    </row>
    <row r="385" ht="15.75" hidden="1" customHeight="1">
      <c r="A385" s="11" t="s">
        <v>172</v>
      </c>
      <c r="B385" s="11" t="s">
        <v>379</v>
      </c>
      <c r="C385" s="11" t="s">
        <v>2902</v>
      </c>
      <c r="D385" s="11" t="s">
        <v>120</v>
      </c>
      <c r="E385" s="11" t="s">
        <v>1029</v>
      </c>
      <c r="F385" s="11" t="s">
        <v>2146</v>
      </c>
      <c r="G385" s="12" t="s">
        <v>2902</v>
      </c>
      <c r="H385" s="12" t="s">
        <v>68</v>
      </c>
      <c r="I385" s="12" t="str">
        <f>IFERROR(VLOOKUP(H385, DADOS_RM_EVENTOS_original!C:D, 2, FALSE), "Código não encontrado/Não digitado")</f>
        <v>Código não encontrado/Não digitado</v>
      </c>
      <c r="J385" s="12" t="s">
        <v>68</v>
      </c>
      <c r="K385" s="12" t="str">
        <f>IFERROR(VLOOKUP(J385, DADOS_RM_EVENTOS_original!E:J, 2, FALSE), "Código não encontrado/Não digitado")</f>
        <v>Código não encontrado/Não digitado</v>
      </c>
      <c r="L385" s="12" t="s">
        <v>68</v>
      </c>
      <c r="M385" s="12" t="str">
        <f>IFERROR(VLOOKUP(L385, DADOS_RM_EVENTOS_original!K:L, 2, FALSE), "Código não encontrado/Não digitado")</f>
        <v>Código não encontrado/Não digitado</v>
      </c>
    </row>
    <row r="386" ht="15.75" hidden="1" customHeight="1">
      <c r="A386" s="11" t="s">
        <v>97</v>
      </c>
      <c r="B386" s="11" t="s">
        <v>379</v>
      </c>
      <c r="C386" s="11" t="s">
        <v>2902</v>
      </c>
      <c r="D386" s="11" t="s">
        <v>120</v>
      </c>
      <c r="E386" s="11" t="s">
        <v>972</v>
      </c>
      <c r="F386" s="11" t="s">
        <v>2146</v>
      </c>
      <c r="G386" s="12" t="s">
        <v>2902</v>
      </c>
      <c r="H386" s="12" t="s">
        <v>68</v>
      </c>
      <c r="I386" s="12" t="str">
        <f>IFERROR(VLOOKUP(H386, DADOS_RM_EVENTOS_original!C:D, 2, FALSE), "Código não encontrado/Não digitado")</f>
        <v>Código não encontrado/Não digitado</v>
      </c>
      <c r="J386" s="12" t="s">
        <v>68</v>
      </c>
      <c r="K386" s="12" t="str">
        <f>IFERROR(VLOOKUP(J386, DADOS_RM_EVENTOS_original!E:J, 2, FALSE), "Código não encontrado/Não digitado")</f>
        <v>Código não encontrado/Não digitado</v>
      </c>
      <c r="L386" s="12" t="s">
        <v>68</v>
      </c>
      <c r="M386" s="12" t="str">
        <f>IFERROR(VLOOKUP(L386, DADOS_RM_EVENTOS_original!K:L, 2, FALSE), "Código não encontrado/Não digitado")</f>
        <v>Código não encontrado/Não digitado</v>
      </c>
    </row>
    <row r="387" ht="15.75" hidden="1" customHeight="1">
      <c r="A387" s="11" t="s">
        <v>142</v>
      </c>
      <c r="B387" s="11" t="s">
        <v>379</v>
      </c>
      <c r="C387" s="11" t="s">
        <v>2902</v>
      </c>
      <c r="D387" s="11" t="s">
        <v>120</v>
      </c>
      <c r="E387" s="11" t="s">
        <v>985</v>
      </c>
      <c r="F387" s="11" t="s">
        <v>2146</v>
      </c>
      <c r="G387" s="12" t="s">
        <v>2902</v>
      </c>
      <c r="H387" s="12" t="s">
        <v>68</v>
      </c>
      <c r="I387" s="12" t="str">
        <f>IFERROR(VLOOKUP(H387, DADOS_RM_EVENTOS_original!C:D, 2, FALSE), "Código não encontrado/Não digitado")</f>
        <v>Código não encontrado/Não digitado</v>
      </c>
      <c r="J387" s="12" t="s">
        <v>68</v>
      </c>
      <c r="K387" s="12" t="str">
        <f>IFERROR(VLOOKUP(J387, DADOS_RM_EVENTOS_original!E:J, 2, FALSE), "Código não encontrado/Não digitado")</f>
        <v>Código não encontrado/Não digitado</v>
      </c>
      <c r="L387" s="12" t="s">
        <v>68</v>
      </c>
      <c r="M387" s="12" t="str">
        <f>IFERROR(VLOOKUP(L387, DADOS_RM_EVENTOS_original!K:L, 2, FALSE), "Código não encontrado/Não digitado")</f>
        <v>Código não encontrado/Não digitado</v>
      </c>
    </row>
    <row r="388" ht="15.75" hidden="1" customHeight="1">
      <c r="A388" s="11" t="s">
        <v>38</v>
      </c>
      <c r="B388" s="11" t="s">
        <v>390</v>
      </c>
      <c r="C388" s="11" t="s">
        <v>2159</v>
      </c>
      <c r="D388" s="11" t="s">
        <v>120</v>
      </c>
      <c r="E388" s="11" t="s">
        <v>47</v>
      </c>
      <c r="F388" s="11" t="s">
        <v>2158</v>
      </c>
      <c r="G388" s="12" t="s">
        <v>2907</v>
      </c>
      <c r="H388" s="12" t="s">
        <v>68</v>
      </c>
      <c r="I388" s="12" t="str">
        <f>IFERROR(VLOOKUP(H388, DADOS_RM_EVENTOS_original!C:D, 2, FALSE), "Código não encontrado/Não digitado")</f>
        <v>Código não encontrado/Não digitado</v>
      </c>
      <c r="J388" s="12" t="s">
        <v>68</v>
      </c>
      <c r="K388" s="12" t="str">
        <f>IFERROR(VLOOKUP(J388, DADOS_RM_EVENTOS_original!E:J, 2, FALSE), "Código não encontrado/Não digitado")</f>
        <v>Código não encontrado/Não digitado</v>
      </c>
      <c r="L388" s="12" t="s">
        <v>68</v>
      </c>
      <c r="M388" s="12" t="str">
        <f>IFERROR(VLOOKUP(L388, DADOS_RM_EVENTOS_original!K:L, 2, FALSE), "Código não encontrado/Não digitado")</f>
        <v>Código não encontrado/Não digitado</v>
      </c>
    </row>
    <row r="389" ht="15.75" hidden="1" customHeight="1">
      <c r="A389" s="11" t="s">
        <v>172</v>
      </c>
      <c r="B389" s="11" t="s">
        <v>390</v>
      </c>
      <c r="C389" s="11" t="s">
        <v>2907</v>
      </c>
      <c r="D389" s="11" t="s">
        <v>120</v>
      </c>
      <c r="E389" s="11" t="s">
        <v>1029</v>
      </c>
      <c r="F389" s="11" t="s">
        <v>2158</v>
      </c>
      <c r="G389" s="12" t="s">
        <v>2907</v>
      </c>
      <c r="H389" s="12" t="s">
        <v>68</v>
      </c>
      <c r="I389" s="12" t="str">
        <f>IFERROR(VLOOKUP(H389, DADOS_RM_EVENTOS_original!C:D, 2, FALSE), "Código não encontrado/Não digitado")</f>
        <v>Código não encontrado/Não digitado</v>
      </c>
      <c r="J389" s="12" t="s">
        <v>68</v>
      </c>
      <c r="K389" s="12" t="str">
        <f>IFERROR(VLOOKUP(J389, DADOS_RM_EVENTOS_original!E:J, 2, FALSE), "Código não encontrado/Não digitado")</f>
        <v>Código não encontrado/Não digitado</v>
      </c>
      <c r="L389" s="12" t="s">
        <v>68</v>
      </c>
      <c r="M389" s="12" t="str">
        <f>IFERROR(VLOOKUP(L389, DADOS_RM_EVENTOS_original!K:L, 2, FALSE), "Código não encontrado/Não digitado")</f>
        <v>Código não encontrado/Não digitado</v>
      </c>
    </row>
    <row r="390" ht="15.75" hidden="1" customHeight="1">
      <c r="A390" s="11" t="s">
        <v>97</v>
      </c>
      <c r="B390" s="11" t="s">
        <v>390</v>
      </c>
      <c r="C390" s="11" t="s">
        <v>2907</v>
      </c>
      <c r="D390" s="11" t="s">
        <v>120</v>
      </c>
      <c r="E390" s="11" t="s">
        <v>972</v>
      </c>
      <c r="F390" s="11" t="s">
        <v>2158</v>
      </c>
      <c r="G390" s="12" t="s">
        <v>2907</v>
      </c>
      <c r="H390" s="12" t="s">
        <v>68</v>
      </c>
      <c r="I390" s="12" t="str">
        <f>IFERROR(VLOOKUP(H390, DADOS_RM_EVENTOS_original!C:D, 2, FALSE), "Código não encontrado/Não digitado")</f>
        <v>Código não encontrado/Não digitado</v>
      </c>
      <c r="J390" s="12" t="s">
        <v>68</v>
      </c>
      <c r="K390" s="12" t="str">
        <f>IFERROR(VLOOKUP(J390, DADOS_RM_EVENTOS_original!E:J, 2, FALSE), "Código não encontrado/Não digitado")</f>
        <v>Código não encontrado/Não digitado</v>
      </c>
      <c r="L390" s="12" t="s">
        <v>68</v>
      </c>
      <c r="M390" s="12" t="str">
        <f>IFERROR(VLOOKUP(L390, DADOS_RM_EVENTOS_original!K:L, 2, FALSE), "Código não encontrado/Não digitado")</f>
        <v>Código não encontrado/Não digitado</v>
      </c>
    </row>
    <row r="391" ht="15.75" hidden="1" customHeight="1">
      <c r="A391" s="11" t="s">
        <v>142</v>
      </c>
      <c r="B391" s="11" t="s">
        <v>390</v>
      </c>
      <c r="C391" s="11" t="s">
        <v>2907</v>
      </c>
      <c r="D391" s="11" t="s">
        <v>120</v>
      </c>
      <c r="E391" s="11" t="s">
        <v>985</v>
      </c>
      <c r="F391" s="11" t="s">
        <v>2158</v>
      </c>
      <c r="G391" s="12" t="s">
        <v>2907</v>
      </c>
      <c r="H391" s="12" t="s">
        <v>68</v>
      </c>
      <c r="I391" s="12" t="str">
        <f>IFERROR(VLOOKUP(H391, DADOS_RM_EVENTOS_original!C:D, 2, FALSE), "Código não encontrado/Não digitado")</f>
        <v>Código não encontrado/Não digitado</v>
      </c>
      <c r="J391" s="12" t="s">
        <v>68</v>
      </c>
      <c r="K391" s="12" t="str">
        <f>IFERROR(VLOOKUP(J391, DADOS_RM_EVENTOS_original!E:J, 2, FALSE), "Código não encontrado/Não digitado")</f>
        <v>Código não encontrado/Não digitado</v>
      </c>
      <c r="L391" s="12" t="s">
        <v>68</v>
      </c>
      <c r="M391" s="12" t="str">
        <f>IFERROR(VLOOKUP(L391, DADOS_RM_EVENTOS_original!K:L, 2, FALSE), "Código não encontrado/Não digitado")</f>
        <v>Código não encontrado/Não digitado</v>
      </c>
    </row>
    <row r="392" ht="15.75" customHeight="1">
      <c r="A392" s="11" t="s">
        <v>38</v>
      </c>
      <c r="B392" s="11" t="s">
        <v>393</v>
      </c>
      <c r="C392" s="11" t="s">
        <v>3292</v>
      </c>
      <c r="D392" s="11" t="s">
        <v>120</v>
      </c>
      <c r="E392" s="11" t="s">
        <v>47</v>
      </c>
      <c r="F392" s="11" t="s">
        <v>49</v>
      </c>
      <c r="G392" s="12" t="s">
        <v>63</v>
      </c>
      <c r="H392" s="12" t="s">
        <v>68</v>
      </c>
      <c r="I392" s="12" t="str">
        <f>IFERROR(VLOOKUP(H392, DADOS_RM_EVENTOS_original!C:D, 2, FALSE), "Código não encontrado/Não digitado")</f>
        <v>Código não encontrado/Não digitado</v>
      </c>
      <c r="J392" s="12" t="s">
        <v>68</v>
      </c>
      <c r="K392" s="12" t="str">
        <f>IFERROR(VLOOKUP(J392, DADOS_RM_EVENTOS_original!E:J, 2, FALSE), "Código não encontrado/Não digitado")</f>
        <v>Código não encontrado/Não digitado</v>
      </c>
      <c r="L392" s="12" t="s">
        <v>68</v>
      </c>
      <c r="M392" s="12" t="str">
        <f>IFERROR(VLOOKUP(L392, DADOS_RM_EVENTOS_original!K:L, 2, FALSE), "Código não encontrado/Não digitado")</f>
        <v>Código não encontrado/Não digitado</v>
      </c>
    </row>
    <row r="393" ht="15.75" customHeight="1">
      <c r="A393" s="11" t="s">
        <v>172</v>
      </c>
      <c r="B393" s="11" t="s">
        <v>393</v>
      </c>
      <c r="C393" s="11" t="s">
        <v>3889</v>
      </c>
      <c r="D393" s="11" t="s">
        <v>120</v>
      </c>
      <c r="E393" s="11" t="s">
        <v>1029</v>
      </c>
      <c r="F393" s="11" t="s">
        <v>49</v>
      </c>
      <c r="G393" s="12" t="s">
        <v>63</v>
      </c>
      <c r="H393" s="12" t="s">
        <v>68</v>
      </c>
      <c r="I393" s="12" t="str">
        <f>IFERROR(VLOOKUP(H393, DADOS_RM_EVENTOS_original!C:D, 2, FALSE), "Código não encontrado/Não digitado")</f>
        <v>Código não encontrado/Não digitado</v>
      </c>
      <c r="J393" s="12" t="s">
        <v>68</v>
      </c>
      <c r="K393" s="12" t="str">
        <f>IFERROR(VLOOKUP(J393, DADOS_RM_EVENTOS_original!E:J, 2, FALSE), "Código não encontrado/Não digitado")</f>
        <v>Código não encontrado/Não digitado</v>
      </c>
      <c r="L393" s="12" t="s">
        <v>68</v>
      </c>
      <c r="M393" s="12" t="str">
        <f>IFERROR(VLOOKUP(L393, DADOS_RM_EVENTOS_original!K:L, 2, FALSE), "Código não encontrado/Não digitado")</f>
        <v>Código não encontrado/Não digitado</v>
      </c>
    </row>
    <row r="394" ht="15.75" customHeight="1">
      <c r="A394" s="11" t="s">
        <v>97</v>
      </c>
      <c r="B394" s="11" t="s">
        <v>393</v>
      </c>
      <c r="C394" s="11" t="s">
        <v>3889</v>
      </c>
      <c r="D394" s="11" t="s">
        <v>120</v>
      </c>
      <c r="E394" s="11" t="s">
        <v>972</v>
      </c>
      <c r="F394" s="11" t="s">
        <v>49</v>
      </c>
      <c r="G394" s="12" t="s">
        <v>63</v>
      </c>
      <c r="H394" s="12" t="s">
        <v>68</v>
      </c>
      <c r="I394" s="12" t="str">
        <f>IFERROR(VLOOKUP(H394, DADOS_RM_EVENTOS_original!C:D, 2, FALSE), "Código não encontrado/Não digitado")</f>
        <v>Código não encontrado/Não digitado</v>
      </c>
      <c r="J394" s="12" t="s">
        <v>68</v>
      </c>
      <c r="K394" s="12" t="str">
        <f>IFERROR(VLOOKUP(J394, DADOS_RM_EVENTOS_original!E:J, 2, FALSE), "Código não encontrado/Não digitado")</f>
        <v>Código não encontrado/Não digitado</v>
      </c>
      <c r="L394" s="12" t="s">
        <v>68</v>
      </c>
      <c r="M394" s="12" t="str">
        <f>IFERROR(VLOOKUP(L394, DADOS_RM_EVENTOS_original!K:L, 2, FALSE), "Código não encontrado/Não digitado")</f>
        <v>Código não encontrado/Não digitado</v>
      </c>
    </row>
    <row r="395" ht="15.75" hidden="1" customHeight="1">
      <c r="A395" s="11" t="s">
        <v>38</v>
      </c>
      <c r="B395" s="11" t="s">
        <v>396</v>
      </c>
      <c r="C395" s="11" t="s">
        <v>2169</v>
      </c>
      <c r="D395" s="11" t="s">
        <v>120</v>
      </c>
      <c r="E395" s="11" t="s">
        <v>47</v>
      </c>
      <c r="F395" s="11" t="s">
        <v>2168</v>
      </c>
      <c r="G395" s="12" t="s">
        <v>2912</v>
      </c>
      <c r="H395" s="12" t="s">
        <v>68</v>
      </c>
      <c r="I395" s="12" t="str">
        <f>IFERROR(VLOOKUP(H395, DADOS_RM_EVENTOS_original!C:D, 2, FALSE), "Código não encontrado/Não digitado")</f>
        <v>Código não encontrado/Não digitado</v>
      </c>
      <c r="J395" s="12" t="s">
        <v>68</v>
      </c>
      <c r="K395" s="12" t="str">
        <f>IFERROR(VLOOKUP(J395, DADOS_RM_EVENTOS_original!E:J, 2, FALSE), "Código não encontrado/Não digitado")</f>
        <v>Código não encontrado/Não digitado</v>
      </c>
      <c r="L395" s="12" t="s">
        <v>68</v>
      </c>
      <c r="M395" s="12" t="str">
        <f>IFERROR(VLOOKUP(L395, DADOS_RM_EVENTOS_original!K:L, 2, FALSE), "Código não encontrado/Não digitado")</f>
        <v>Código não encontrado/Não digitado</v>
      </c>
    </row>
    <row r="396" ht="15.75" customHeight="1">
      <c r="A396" s="11" t="s">
        <v>38</v>
      </c>
      <c r="B396" s="11" t="s">
        <v>1645</v>
      </c>
      <c r="C396" s="11" t="s">
        <v>3294</v>
      </c>
      <c r="D396" s="11" t="s">
        <v>120</v>
      </c>
      <c r="E396" s="11" t="s">
        <v>47</v>
      </c>
      <c r="F396" s="11" t="s">
        <v>49</v>
      </c>
      <c r="G396" s="12" t="s">
        <v>63</v>
      </c>
      <c r="H396" s="12" t="s">
        <v>68</v>
      </c>
      <c r="I396" s="12" t="str">
        <f>IFERROR(VLOOKUP(H396, DADOS_RM_EVENTOS_original!C:D, 2, FALSE), "Código não encontrado/Não digitado")</f>
        <v>Código não encontrado/Não digitado</v>
      </c>
      <c r="J396" s="12" t="s">
        <v>68</v>
      </c>
      <c r="K396" s="12" t="str">
        <f>IFERROR(VLOOKUP(J396, DADOS_RM_EVENTOS_original!E:J, 2, FALSE), "Código não encontrado/Não digitado")</f>
        <v>Código não encontrado/Não digitado</v>
      </c>
      <c r="L396" s="12" t="s">
        <v>68</v>
      </c>
      <c r="M396" s="12" t="str">
        <f>IFERROR(VLOOKUP(L396, DADOS_RM_EVENTOS_original!K:L, 2, FALSE), "Código não encontrado/Não digitado")</f>
        <v>Código não encontrado/Não digitado</v>
      </c>
    </row>
    <row r="397" ht="15.75" customHeight="1">
      <c r="A397" s="11" t="s">
        <v>115</v>
      </c>
      <c r="B397" s="11" t="s">
        <v>457</v>
      </c>
      <c r="C397" s="11" t="s">
        <v>3976</v>
      </c>
      <c r="D397" s="11" t="s">
        <v>120</v>
      </c>
      <c r="E397" s="11" t="s">
        <v>121</v>
      </c>
      <c r="F397" s="11" t="s">
        <v>49</v>
      </c>
      <c r="G397" s="12" t="s">
        <v>63</v>
      </c>
      <c r="H397" s="12" t="s">
        <v>68</v>
      </c>
      <c r="I397" s="12" t="str">
        <f>IFERROR(VLOOKUP(H397, DADOS_RM_EVENTOS_original!C:D, 2, FALSE), "Código não encontrado/Não digitado")</f>
        <v>Código não encontrado/Não digitado</v>
      </c>
      <c r="J397" s="12" t="s">
        <v>68</v>
      </c>
      <c r="K397" s="12" t="str">
        <f>IFERROR(VLOOKUP(J397, DADOS_RM_EVENTOS_original!E:J, 2, FALSE), "Código não encontrado/Não digitado")</f>
        <v>Código não encontrado/Não digitado</v>
      </c>
      <c r="L397" s="12" t="s">
        <v>68</v>
      </c>
      <c r="M397" s="12" t="str">
        <f>IFERROR(VLOOKUP(L397, DADOS_RM_EVENTOS_original!K:L, 2, FALSE), "Código não encontrado/Não digitado")</f>
        <v>Código não encontrado/Não digitado</v>
      </c>
    </row>
    <row r="398" ht="15.75" customHeight="1">
      <c r="A398" s="11" t="s">
        <v>38</v>
      </c>
      <c r="B398" s="11" t="s">
        <v>832</v>
      </c>
      <c r="C398" s="11" t="s">
        <v>3999</v>
      </c>
      <c r="D398" s="11" t="s">
        <v>120</v>
      </c>
      <c r="E398" s="11" t="s">
        <v>47</v>
      </c>
      <c r="F398" s="11" t="s">
        <v>49</v>
      </c>
      <c r="G398" s="12" t="s">
        <v>63</v>
      </c>
      <c r="H398" s="12" t="s">
        <v>68</v>
      </c>
      <c r="I398" s="12" t="str">
        <f>IFERROR(VLOOKUP(H398, DADOS_RM_EVENTOS_original!C:D, 2, FALSE), "Código não encontrado/Não digitado")</f>
        <v>Código não encontrado/Não digitado</v>
      </c>
      <c r="J398" s="12" t="s">
        <v>68</v>
      </c>
      <c r="K398" s="12" t="str">
        <f>IFERROR(VLOOKUP(J398, DADOS_RM_EVENTOS_original!E:J, 2, FALSE), "Código não encontrado/Não digitado")</f>
        <v>Código não encontrado/Não digitado</v>
      </c>
      <c r="L398" s="12" t="s">
        <v>68</v>
      </c>
      <c r="M398" s="12" t="str">
        <f>IFERROR(VLOOKUP(L398, DADOS_RM_EVENTOS_original!K:L, 2, FALSE), "Código não encontrado/Não digitado")</f>
        <v>Código não encontrado/Não digitado</v>
      </c>
    </row>
    <row r="399" ht="15.75" customHeight="1">
      <c r="A399" s="11" t="s">
        <v>38</v>
      </c>
      <c r="B399" s="11" t="s">
        <v>4018</v>
      </c>
      <c r="C399" s="11" t="s">
        <v>3297</v>
      </c>
      <c r="D399" s="11" t="s">
        <v>120</v>
      </c>
      <c r="E399" s="11" t="s">
        <v>47</v>
      </c>
      <c r="F399" s="11" t="s">
        <v>49</v>
      </c>
      <c r="G399" s="12" t="s">
        <v>63</v>
      </c>
      <c r="H399" s="12" t="s">
        <v>68</v>
      </c>
      <c r="I399" s="12" t="str">
        <f>IFERROR(VLOOKUP(H399, DADOS_RM_EVENTOS_original!C:D, 2, FALSE), "Código não encontrado/Não digitado")</f>
        <v>Código não encontrado/Não digitado</v>
      </c>
      <c r="J399" s="12" t="s">
        <v>68</v>
      </c>
      <c r="K399" s="12" t="str">
        <f>IFERROR(VLOOKUP(J399, DADOS_RM_EVENTOS_original!E:J, 2, FALSE), "Código não encontrado/Não digitado")</f>
        <v>Código não encontrado/Não digitado</v>
      </c>
      <c r="L399" s="12" t="s">
        <v>68</v>
      </c>
      <c r="M399" s="12" t="str">
        <f>IFERROR(VLOOKUP(L399, DADOS_RM_EVENTOS_original!K:L, 2, FALSE), "Código não encontrado/Não digitado")</f>
        <v>Código não encontrado/Não digitado</v>
      </c>
    </row>
    <row r="400" ht="15.75" hidden="1" customHeight="1">
      <c r="A400" s="11" t="s">
        <v>38</v>
      </c>
      <c r="B400" s="11" t="s">
        <v>275</v>
      </c>
      <c r="C400" s="11" t="s">
        <v>4043</v>
      </c>
      <c r="D400" s="11" t="s">
        <v>120</v>
      </c>
      <c r="E400" s="11" t="s">
        <v>47</v>
      </c>
      <c r="F400" s="11" t="s">
        <v>311</v>
      </c>
      <c r="G400" s="12" t="s">
        <v>342</v>
      </c>
      <c r="H400" s="12" t="s">
        <v>68</v>
      </c>
      <c r="I400" s="12" t="str">
        <f>IFERROR(VLOOKUP(H400, DADOS_RM_EVENTOS_original!C:D, 2, FALSE), "Código não encontrado/Não digitado")</f>
        <v>Código não encontrado/Não digitado</v>
      </c>
      <c r="J400" s="12" t="s">
        <v>68</v>
      </c>
      <c r="K400" s="12" t="str">
        <f>IFERROR(VLOOKUP(J400, DADOS_RM_EVENTOS_original!E:J, 2, FALSE), "Código não encontrado/Não digitado")</f>
        <v>Código não encontrado/Não digitado</v>
      </c>
      <c r="L400" s="12" t="s">
        <v>68</v>
      </c>
      <c r="M400" s="12" t="str">
        <f>IFERROR(VLOOKUP(L400, DADOS_RM_EVENTOS_original!K:L, 2, FALSE), "Código não encontrado/Não digitado")</f>
        <v>Código não encontrado/Não digitado</v>
      </c>
    </row>
    <row r="401" ht="15.75" hidden="1" customHeight="1">
      <c r="A401" s="11" t="s">
        <v>38</v>
      </c>
      <c r="B401" s="11" t="s">
        <v>165</v>
      </c>
      <c r="C401" s="11" t="s">
        <v>4059</v>
      </c>
      <c r="D401" s="11" t="s">
        <v>120</v>
      </c>
      <c r="E401" s="11" t="s">
        <v>47</v>
      </c>
      <c r="F401" s="11" t="s">
        <v>1415</v>
      </c>
      <c r="G401" s="12" t="s">
        <v>1924</v>
      </c>
      <c r="H401" s="12" t="s">
        <v>68</v>
      </c>
      <c r="I401" s="12" t="str">
        <f>IFERROR(VLOOKUP(H401, DADOS_RM_EVENTOS_original!C:D, 2, FALSE), "Código não encontrado/Não digitado")</f>
        <v>Código não encontrado/Não digitado</v>
      </c>
      <c r="J401" s="12" t="s">
        <v>68</v>
      </c>
      <c r="K401" s="12" t="str">
        <f>IFERROR(VLOOKUP(J401, DADOS_RM_EVENTOS_original!E:J, 2, FALSE), "Código não encontrado/Não digitado")</f>
        <v>Código não encontrado/Não digitado</v>
      </c>
      <c r="L401" s="12" t="s">
        <v>68</v>
      </c>
      <c r="M401" s="12" t="str">
        <f>IFERROR(VLOOKUP(L401, DADOS_RM_EVENTOS_original!K:L, 2, FALSE), "Código não encontrado/Não digitado")</f>
        <v>Código não encontrado/Não digitado</v>
      </c>
    </row>
    <row r="402" ht="15.75" hidden="1" customHeight="1">
      <c r="A402" s="11" t="s">
        <v>97</v>
      </c>
      <c r="B402" s="11" t="s">
        <v>165</v>
      </c>
      <c r="C402" s="11" t="s">
        <v>4086</v>
      </c>
      <c r="D402" s="11" t="s">
        <v>120</v>
      </c>
      <c r="E402" s="11" t="s">
        <v>972</v>
      </c>
      <c r="F402" s="11" t="s">
        <v>1415</v>
      </c>
      <c r="G402" s="12" t="s">
        <v>1924</v>
      </c>
      <c r="H402" s="12" t="s">
        <v>68</v>
      </c>
      <c r="I402" s="12" t="str">
        <f>IFERROR(VLOOKUP(H402, DADOS_RM_EVENTOS_original!C:D, 2, FALSE), "Código não encontrado/Não digitado")</f>
        <v>Código não encontrado/Não digitado</v>
      </c>
      <c r="J402" s="12" t="s">
        <v>68</v>
      </c>
      <c r="K402" s="12" t="str">
        <f>IFERROR(VLOOKUP(J402, DADOS_RM_EVENTOS_original!E:J, 2, FALSE), "Código não encontrado/Não digitado")</f>
        <v>Código não encontrado/Não digitado</v>
      </c>
      <c r="L402" s="12" t="s">
        <v>68</v>
      </c>
      <c r="M402" s="12" t="str">
        <f>IFERROR(VLOOKUP(L402, DADOS_RM_EVENTOS_original!K:L, 2, FALSE), "Código não encontrado/Não digitado")</f>
        <v>Código não encontrado/Não digitado</v>
      </c>
    </row>
    <row r="403" ht="15.75" hidden="1" customHeight="1">
      <c r="A403" s="11" t="s">
        <v>38</v>
      </c>
      <c r="B403" s="11" t="s">
        <v>1151</v>
      </c>
      <c r="C403" s="11" t="s">
        <v>4114</v>
      </c>
      <c r="D403" s="11" t="s">
        <v>44</v>
      </c>
      <c r="E403" s="11" t="s">
        <v>47</v>
      </c>
      <c r="F403" s="11" t="s">
        <v>84</v>
      </c>
      <c r="G403" s="12" t="s">
        <v>86</v>
      </c>
      <c r="H403" s="12" t="s">
        <v>68</v>
      </c>
      <c r="I403" s="12" t="str">
        <f>IFERROR(VLOOKUP(H403, DADOS_RM_EVENTOS_original!C:D, 2, FALSE), "Código não encontrado/Não digitado")</f>
        <v>Código não encontrado/Não digitado</v>
      </c>
      <c r="J403" s="12" t="s">
        <v>68</v>
      </c>
      <c r="K403" s="12" t="str">
        <f>IFERROR(VLOOKUP(J403, DADOS_RM_EVENTOS_original!E:J, 2, FALSE), "Código não encontrado/Não digitado")</f>
        <v>Código não encontrado/Não digitado</v>
      </c>
      <c r="L403" s="12" t="s">
        <v>68</v>
      </c>
      <c r="M403" s="12" t="str">
        <f>IFERROR(VLOOKUP(L403, DADOS_RM_EVENTOS_original!K:L, 2, FALSE), "Código não encontrado/Não digitado")</f>
        <v>Código não encontrado/Não digitado</v>
      </c>
    </row>
    <row r="404" ht="15.75" hidden="1" customHeight="1">
      <c r="A404" s="11" t="s">
        <v>115</v>
      </c>
      <c r="B404" s="11" t="s">
        <v>1151</v>
      </c>
      <c r="C404" s="11" t="s">
        <v>4114</v>
      </c>
      <c r="D404" s="11" t="s">
        <v>44</v>
      </c>
      <c r="E404" s="11" t="s">
        <v>121</v>
      </c>
      <c r="F404" s="11" t="s">
        <v>84</v>
      </c>
      <c r="G404" s="12" t="s">
        <v>86</v>
      </c>
      <c r="H404" s="12" t="s">
        <v>68</v>
      </c>
      <c r="I404" s="12" t="str">
        <f>IFERROR(VLOOKUP(H404, DADOS_RM_EVENTOS_original!C:D, 2, FALSE), "Código não encontrado/Não digitado")</f>
        <v>Código não encontrado/Não digitado</v>
      </c>
      <c r="J404" s="12" t="s">
        <v>68</v>
      </c>
      <c r="K404" s="12" t="str">
        <f>IFERROR(VLOOKUP(J404, DADOS_RM_EVENTOS_original!E:J, 2, FALSE), "Código não encontrado/Não digitado")</f>
        <v>Código não encontrado/Não digitado</v>
      </c>
      <c r="L404" s="12" t="s">
        <v>68</v>
      </c>
      <c r="M404" s="12" t="str">
        <f>IFERROR(VLOOKUP(L404, DADOS_RM_EVENTOS_original!K:L, 2, FALSE), "Código não encontrado/Não digitado")</f>
        <v>Código não encontrado/Não digitado</v>
      </c>
    </row>
    <row r="405" ht="15.75" hidden="1" customHeight="1">
      <c r="A405" s="11" t="s">
        <v>172</v>
      </c>
      <c r="B405" s="11" t="s">
        <v>1151</v>
      </c>
      <c r="C405" s="11" t="s">
        <v>4114</v>
      </c>
      <c r="D405" s="11" t="s">
        <v>44</v>
      </c>
      <c r="E405" s="11" t="s">
        <v>1029</v>
      </c>
      <c r="F405" s="11" t="s">
        <v>84</v>
      </c>
      <c r="G405" s="12" t="s">
        <v>86</v>
      </c>
      <c r="H405" s="12" t="s">
        <v>68</v>
      </c>
      <c r="I405" s="12" t="str">
        <f>IFERROR(VLOOKUP(H405, DADOS_RM_EVENTOS_original!C:D, 2, FALSE), "Código não encontrado/Não digitado")</f>
        <v>Código não encontrado/Não digitado</v>
      </c>
      <c r="J405" s="12" t="s">
        <v>68</v>
      </c>
      <c r="K405" s="12" t="str">
        <f>IFERROR(VLOOKUP(J405, DADOS_RM_EVENTOS_original!E:J, 2, FALSE), "Código não encontrado/Não digitado")</f>
        <v>Código não encontrado/Não digitado</v>
      </c>
      <c r="L405" s="12" t="s">
        <v>68</v>
      </c>
      <c r="M405" s="12" t="str">
        <f>IFERROR(VLOOKUP(L405, DADOS_RM_EVENTOS_original!K:L, 2, FALSE), "Código não encontrado/Não digitado")</f>
        <v>Código não encontrado/Não digitado</v>
      </c>
    </row>
    <row r="406" ht="15.75" hidden="1" customHeight="1">
      <c r="A406" s="11" t="s">
        <v>97</v>
      </c>
      <c r="B406" s="11" t="s">
        <v>1151</v>
      </c>
      <c r="C406" s="11" t="s">
        <v>4114</v>
      </c>
      <c r="D406" s="11" t="s">
        <v>44</v>
      </c>
      <c r="E406" s="11" t="s">
        <v>972</v>
      </c>
      <c r="F406" s="11" t="s">
        <v>84</v>
      </c>
      <c r="G406" s="12" t="s">
        <v>86</v>
      </c>
      <c r="H406" s="12" t="s">
        <v>68</v>
      </c>
      <c r="I406" s="12" t="str">
        <f>IFERROR(VLOOKUP(H406, DADOS_RM_EVENTOS_original!C:D, 2, FALSE), "Código não encontrado/Não digitado")</f>
        <v>Código não encontrado/Não digitado</v>
      </c>
      <c r="J406" s="12" t="s">
        <v>68</v>
      </c>
      <c r="K406" s="12" t="str">
        <f>IFERROR(VLOOKUP(J406, DADOS_RM_EVENTOS_original!E:J, 2, FALSE), "Código não encontrado/Não digitado")</f>
        <v>Código não encontrado/Não digitado</v>
      </c>
      <c r="L406" s="12" t="s">
        <v>68</v>
      </c>
      <c r="M406" s="12" t="str">
        <f>IFERROR(VLOOKUP(L406, DADOS_RM_EVENTOS_original!K:L, 2, FALSE), "Código não encontrado/Não digitado")</f>
        <v>Código não encontrado/Não digitado</v>
      </c>
    </row>
    <row r="407" ht="15.75" hidden="1" customHeight="1">
      <c r="A407" s="11" t="s">
        <v>142</v>
      </c>
      <c r="B407" s="11" t="s">
        <v>1151</v>
      </c>
      <c r="C407" s="11" t="s">
        <v>4114</v>
      </c>
      <c r="D407" s="11" t="s">
        <v>44</v>
      </c>
      <c r="E407" s="11" t="s">
        <v>985</v>
      </c>
      <c r="F407" s="11" t="s">
        <v>84</v>
      </c>
      <c r="G407" s="12" t="s">
        <v>86</v>
      </c>
      <c r="H407" s="12" t="s">
        <v>68</v>
      </c>
      <c r="I407" s="12" t="str">
        <f>IFERROR(VLOOKUP(H407, DADOS_RM_EVENTOS_original!C:D, 2, FALSE), "Código não encontrado/Não digitado")</f>
        <v>Código não encontrado/Não digitado</v>
      </c>
      <c r="J407" s="12" t="s">
        <v>68</v>
      </c>
      <c r="K407" s="12" t="str">
        <f>IFERROR(VLOOKUP(J407, DADOS_RM_EVENTOS_original!E:J, 2, FALSE), "Código não encontrado/Não digitado")</f>
        <v>Código não encontrado/Não digitado</v>
      </c>
      <c r="L407" s="12" t="s">
        <v>68</v>
      </c>
      <c r="M407" s="12" t="str">
        <f>IFERROR(VLOOKUP(L407, DADOS_RM_EVENTOS_original!K:L, 2, FALSE), "Código não encontrado/Não digitado")</f>
        <v>Código não encontrado/Não digitado</v>
      </c>
    </row>
    <row r="408" ht="15.75" hidden="1" customHeight="1">
      <c r="A408" s="11" t="s">
        <v>199</v>
      </c>
      <c r="B408" s="11" t="s">
        <v>1151</v>
      </c>
      <c r="C408" s="11" t="s">
        <v>4114</v>
      </c>
      <c r="D408" s="11" t="s">
        <v>44</v>
      </c>
      <c r="E408" s="11" t="s">
        <v>1074</v>
      </c>
      <c r="F408" s="11" t="s">
        <v>84</v>
      </c>
      <c r="G408" s="12" t="s">
        <v>86</v>
      </c>
      <c r="H408" s="12" t="s">
        <v>68</v>
      </c>
      <c r="I408" s="12" t="str">
        <f>IFERROR(VLOOKUP(H408, DADOS_RM_EVENTOS_original!C:D, 2, FALSE), "Código não encontrado/Não digitado")</f>
        <v>Código não encontrado/Não digitado</v>
      </c>
      <c r="J408" s="12" t="s">
        <v>68</v>
      </c>
      <c r="K408" s="12" t="str">
        <f>IFERROR(VLOOKUP(J408, DADOS_RM_EVENTOS_original!E:J, 2, FALSE), "Código não encontrado/Não digitado")</f>
        <v>Código não encontrado/Não digitado</v>
      </c>
      <c r="L408" s="12" t="s">
        <v>68</v>
      </c>
      <c r="M408" s="12" t="str">
        <f>IFERROR(VLOOKUP(L408, DADOS_RM_EVENTOS_original!K:L, 2, FALSE), "Código não encontrado/Não digitado")</f>
        <v>Código não encontrado/Não digitado</v>
      </c>
    </row>
    <row r="409" ht="15.75" hidden="1" customHeight="1">
      <c r="A409" s="11" t="s">
        <v>38</v>
      </c>
      <c r="B409" s="11" t="s">
        <v>1685</v>
      </c>
      <c r="C409" s="11" t="s">
        <v>4231</v>
      </c>
      <c r="D409" s="11" t="s">
        <v>44</v>
      </c>
      <c r="E409" s="11" t="s">
        <v>47</v>
      </c>
      <c r="F409" s="11" t="s">
        <v>84</v>
      </c>
      <c r="G409" s="12" t="s">
        <v>86</v>
      </c>
      <c r="H409" s="12" t="s">
        <v>68</v>
      </c>
      <c r="I409" s="12" t="str">
        <f>IFERROR(VLOOKUP(H409, DADOS_RM_EVENTOS_original!C:D, 2, FALSE), "Código não encontrado/Não digitado")</f>
        <v>Código não encontrado/Não digitado</v>
      </c>
      <c r="J409" s="12" t="s">
        <v>68</v>
      </c>
      <c r="K409" s="12" t="str">
        <f>IFERROR(VLOOKUP(J409, DADOS_RM_EVENTOS_original!E:J, 2, FALSE), "Código não encontrado/Não digitado")</f>
        <v>Código não encontrado/Não digitado</v>
      </c>
      <c r="L409" s="12" t="s">
        <v>68</v>
      </c>
      <c r="M409" s="12" t="str">
        <f>IFERROR(VLOOKUP(L409, DADOS_RM_EVENTOS_original!K:L, 2, FALSE), "Código não encontrado/Não digitado")</f>
        <v>Código não encontrado/Não digitado</v>
      </c>
    </row>
    <row r="410" ht="15.75" hidden="1" customHeight="1">
      <c r="A410" s="11" t="s">
        <v>115</v>
      </c>
      <c r="B410" s="11" t="s">
        <v>1685</v>
      </c>
      <c r="C410" s="11" t="s">
        <v>4231</v>
      </c>
      <c r="D410" s="11" t="s">
        <v>44</v>
      </c>
      <c r="E410" s="11" t="s">
        <v>121</v>
      </c>
      <c r="F410" s="11" t="s">
        <v>84</v>
      </c>
      <c r="G410" s="12" t="s">
        <v>86</v>
      </c>
      <c r="H410" s="12" t="s">
        <v>68</v>
      </c>
      <c r="I410" s="12" t="str">
        <f>IFERROR(VLOOKUP(H410, DADOS_RM_EVENTOS_original!C:D, 2, FALSE), "Código não encontrado/Não digitado")</f>
        <v>Código não encontrado/Não digitado</v>
      </c>
      <c r="J410" s="12" t="s">
        <v>68</v>
      </c>
      <c r="K410" s="12" t="str">
        <f>IFERROR(VLOOKUP(J410, DADOS_RM_EVENTOS_original!E:J, 2, FALSE), "Código não encontrado/Não digitado")</f>
        <v>Código não encontrado/Não digitado</v>
      </c>
      <c r="L410" s="12" t="s">
        <v>68</v>
      </c>
      <c r="M410" s="12" t="str">
        <f>IFERROR(VLOOKUP(L410, DADOS_RM_EVENTOS_original!K:L, 2, FALSE), "Código não encontrado/Não digitado")</f>
        <v>Código não encontrado/Não digitado</v>
      </c>
    </row>
    <row r="411" ht="15.75" hidden="1" customHeight="1">
      <c r="A411" s="11" t="s">
        <v>172</v>
      </c>
      <c r="B411" s="11" t="s">
        <v>1685</v>
      </c>
      <c r="C411" s="11" t="s">
        <v>4280</v>
      </c>
      <c r="D411" s="11" t="s">
        <v>44</v>
      </c>
      <c r="E411" s="11" t="s">
        <v>1029</v>
      </c>
      <c r="F411" s="11" t="s">
        <v>84</v>
      </c>
      <c r="G411" s="12" t="s">
        <v>86</v>
      </c>
      <c r="H411" s="12" t="s">
        <v>68</v>
      </c>
      <c r="I411" s="12" t="str">
        <f>IFERROR(VLOOKUP(H411, DADOS_RM_EVENTOS_original!C:D, 2, FALSE), "Código não encontrado/Não digitado")</f>
        <v>Código não encontrado/Não digitado</v>
      </c>
      <c r="J411" s="12" t="s">
        <v>68</v>
      </c>
      <c r="K411" s="12" t="str">
        <f>IFERROR(VLOOKUP(J411, DADOS_RM_EVENTOS_original!E:J, 2, FALSE), "Código não encontrado/Não digitado")</f>
        <v>Código não encontrado/Não digitado</v>
      </c>
      <c r="L411" s="12" t="s">
        <v>68</v>
      </c>
      <c r="M411" s="12" t="str">
        <f>IFERROR(VLOOKUP(L411, DADOS_RM_EVENTOS_original!K:L, 2, FALSE), "Código não encontrado/Não digitado")</f>
        <v>Código não encontrado/Não digitado</v>
      </c>
    </row>
    <row r="412" ht="15.75" hidden="1" customHeight="1">
      <c r="A412" s="11" t="s">
        <v>97</v>
      </c>
      <c r="B412" s="11" t="s">
        <v>1685</v>
      </c>
      <c r="C412" s="11" t="s">
        <v>4280</v>
      </c>
      <c r="D412" s="11" t="s">
        <v>44</v>
      </c>
      <c r="E412" s="11" t="s">
        <v>972</v>
      </c>
      <c r="F412" s="11" t="s">
        <v>84</v>
      </c>
      <c r="G412" s="12" t="s">
        <v>86</v>
      </c>
      <c r="H412" s="12" t="s">
        <v>68</v>
      </c>
      <c r="I412" s="12" t="str">
        <f>IFERROR(VLOOKUP(H412, DADOS_RM_EVENTOS_original!C:D, 2, FALSE), "Código não encontrado/Não digitado")</f>
        <v>Código não encontrado/Não digitado</v>
      </c>
      <c r="J412" s="12" t="s">
        <v>68</v>
      </c>
      <c r="K412" s="12" t="str">
        <f>IFERROR(VLOOKUP(J412, DADOS_RM_EVENTOS_original!E:J, 2, FALSE), "Código não encontrado/Não digitado")</f>
        <v>Código não encontrado/Não digitado</v>
      </c>
      <c r="L412" s="12" t="s">
        <v>68</v>
      </c>
      <c r="M412" s="12" t="str">
        <f>IFERROR(VLOOKUP(L412, DADOS_RM_EVENTOS_original!K:L, 2, FALSE), "Código não encontrado/Não digitado")</f>
        <v>Código não encontrado/Não digitado</v>
      </c>
    </row>
    <row r="413" ht="15.75" hidden="1" customHeight="1">
      <c r="A413" s="11" t="s">
        <v>142</v>
      </c>
      <c r="B413" s="11" t="s">
        <v>1685</v>
      </c>
      <c r="C413" s="11" t="s">
        <v>4280</v>
      </c>
      <c r="D413" s="11" t="s">
        <v>44</v>
      </c>
      <c r="E413" s="11" t="s">
        <v>985</v>
      </c>
      <c r="F413" s="11" t="s">
        <v>84</v>
      </c>
      <c r="G413" s="12" t="s">
        <v>86</v>
      </c>
      <c r="H413" s="12" t="s">
        <v>68</v>
      </c>
      <c r="I413" s="12" t="str">
        <f>IFERROR(VLOOKUP(H413, DADOS_RM_EVENTOS_original!C:D, 2, FALSE), "Código não encontrado/Não digitado")</f>
        <v>Código não encontrado/Não digitado</v>
      </c>
      <c r="J413" s="12" t="s">
        <v>68</v>
      </c>
      <c r="K413" s="12" t="str">
        <f>IFERROR(VLOOKUP(J413, DADOS_RM_EVENTOS_original!E:J, 2, FALSE), "Código não encontrado/Não digitado")</f>
        <v>Código não encontrado/Não digitado</v>
      </c>
      <c r="L413" s="12" t="s">
        <v>68</v>
      </c>
      <c r="M413" s="12" t="str">
        <f>IFERROR(VLOOKUP(L413, DADOS_RM_EVENTOS_original!K:L, 2, FALSE), "Código não encontrado/Não digitado")</f>
        <v>Código não encontrado/Não digitado</v>
      </c>
    </row>
    <row r="414" ht="15.75" hidden="1" customHeight="1">
      <c r="A414" s="11" t="s">
        <v>199</v>
      </c>
      <c r="B414" s="11" t="s">
        <v>1685</v>
      </c>
      <c r="C414" s="11" t="s">
        <v>4280</v>
      </c>
      <c r="D414" s="11" t="s">
        <v>44</v>
      </c>
      <c r="E414" s="11" t="s">
        <v>1074</v>
      </c>
      <c r="F414" s="11" t="s">
        <v>84</v>
      </c>
      <c r="G414" s="12" t="s">
        <v>86</v>
      </c>
      <c r="H414" s="12" t="s">
        <v>68</v>
      </c>
      <c r="I414" s="12" t="str">
        <f>IFERROR(VLOOKUP(H414, DADOS_RM_EVENTOS_original!C:D, 2, FALSE), "Código não encontrado/Não digitado")</f>
        <v>Código não encontrado/Não digitado</v>
      </c>
      <c r="J414" s="12" t="s">
        <v>68</v>
      </c>
      <c r="K414" s="12" t="str">
        <f>IFERROR(VLOOKUP(J414, DADOS_RM_EVENTOS_original!E:J, 2, FALSE), "Código não encontrado/Não digitado")</f>
        <v>Código não encontrado/Não digitado</v>
      </c>
      <c r="L414" s="12" t="s">
        <v>68</v>
      </c>
      <c r="M414" s="12" t="str">
        <f>IFERROR(VLOOKUP(L414, DADOS_RM_EVENTOS_original!K:L, 2, FALSE), "Código não encontrado/Não digitado")</f>
        <v>Código não encontrado/Não digitado</v>
      </c>
    </row>
    <row r="415" ht="15.75" hidden="1" customHeight="1">
      <c r="A415" s="11" t="s">
        <v>38</v>
      </c>
      <c r="B415" s="11" t="s">
        <v>1694</v>
      </c>
      <c r="C415" s="11" t="s">
        <v>4367</v>
      </c>
      <c r="D415" s="11" t="s">
        <v>44</v>
      </c>
      <c r="E415" s="11" t="s">
        <v>47</v>
      </c>
      <c r="F415" s="11" t="s">
        <v>137</v>
      </c>
      <c r="G415" s="12" t="s">
        <v>138</v>
      </c>
      <c r="H415" s="12" t="s">
        <v>68</v>
      </c>
      <c r="I415" s="12" t="str">
        <f>IFERROR(VLOOKUP(H415, DADOS_RM_EVENTOS_original!C:D, 2, FALSE), "Código não encontrado/Não digitado")</f>
        <v>Código não encontrado/Não digitado</v>
      </c>
      <c r="J415" s="12" t="s">
        <v>68</v>
      </c>
      <c r="K415" s="12" t="str">
        <f>IFERROR(VLOOKUP(J415, DADOS_RM_EVENTOS_original!E:J, 2, FALSE), "Código não encontrado/Não digitado")</f>
        <v>Código não encontrado/Não digitado</v>
      </c>
      <c r="L415" s="12" t="s">
        <v>68</v>
      </c>
      <c r="M415" s="12" t="str">
        <f>IFERROR(VLOOKUP(L415, DADOS_RM_EVENTOS_original!K:L, 2, FALSE), "Código não encontrado/Não digitado")</f>
        <v>Código não encontrado/Não digitado</v>
      </c>
    </row>
    <row r="416" ht="15.75" hidden="1" customHeight="1">
      <c r="A416" s="11" t="s">
        <v>115</v>
      </c>
      <c r="B416" s="11" t="s">
        <v>1694</v>
      </c>
      <c r="C416" s="11" t="s">
        <v>4367</v>
      </c>
      <c r="D416" s="11" t="s">
        <v>44</v>
      </c>
      <c r="E416" s="11" t="s">
        <v>121</v>
      </c>
      <c r="F416" s="11" t="s">
        <v>137</v>
      </c>
      <c r="G416" s="12" t="s">
        <v>138</v>
      </c>
      <c r="H416" s="12" t="s">
        <v>68</v>
      </c>
      <c r="I416" s="12" t="str">
        <f>IFERROR(VLOOKUP(H416, DADOS_RM_EVENTOS_original!C:D, 2, FALSE), "Código não encontrado/Não digitado")</f>
        <v>Código não encontrado/Não digitado</v>
      </c>
      <c r="J416" s="12" t="s">
        <v>68</v>
      </c>
      <c r="K416" s="12" t="str">
        <f>IFERROR(VLOOKUP(J416, DADOS_RM_EVENTOS_original!E:J, 2, FALSE), "Código não encontrado/Não digitado")</f>
        <v>Código não encontrado/Não digitado</v>
      </c>
      <c r="L416" s="12" t="s">
        <v>68</v>
      </c>
      <c r="M416" s="12" t="str">
        <f>IFERROR(VLOOKUP(L416, DADOS_RM_EVENTOS_original!K:L, 2, FALSE), "Código não encontrado/Não digitado")</f>
        <v>Código não encontrado/Não digitado</v>
      </c>
    </row>
    <row r="417" ht="15.75" hidden="1" customHeight="1">
      <c r="A417" s="11" t="s">
        <v>172</v>
      </c>
      <c r="B417" s="11" t="s">
        <v>1694</v>
      </c>
      <c r="C417" s="11" t="s">
        <v>4409</v>
      </c>
      <c r="D417" s="11" t="s">
        <v>44</v>
      </c>
      <c r="E417" s="11" t="s">
        <v>1029</v>
      </c>
      <c r="F417" s="11" t="s">
        <v>137</v>
      </c>
      <c r="G417" s="12" t="s">
        <v>138</v>
      </c>
      <c r="H417" s="12" t="s">
        <v>68</v>
      </c>
      <c r="I417" s="12" t="str">
        <f>IFERROR(VLOOKUP(H417, DADOS_RM_EVENTOS_original!C:D, 2, FALSE), "Código não encontrado/Não digitado")</f>
        <v>Código não encontrado/Não digitado</v>
      </c>
      <c r="J417" s="12" t="s">
        <v>68</v>
      </c>
      <c r="K417" s="12" t="str">
        <f>IFERROR(VLOOKUP(J417, DADOS_RM_EVENTOS_original!E:J, 2, FALSE), "Código não encontrado/Não digitado")</f>
        <v>Código não encontrado/Não digitado</v>
      </c>
      <c r="L417" s="12" t="s">
        <v>68</v>
      </c>
      <c r="M417" s="12" t="str">
        <f>IFERROR(VLOOKUP(L417, DADOS_RM_EVENTOS_original!K:L, 2, FALSE), "Código não encontrado/Não digitado")</f>
        <v>Código não encontrado/Não digitado</v>
      </c>
    </row>
    <row r="418" ht="15.75" hidden="1" customHeight="1">
      <c r="A418" s="11" t="s">
        <v>97</v>
      </c>
      <c r="B418" s="11" t="s">
        <v>1694</v>
      </c>
      <c r="C418" s="11" t="s">
        <v>4409</v>
      </c>
      <c r="D418" s="11" t="s">
        <v>44</v>
      </c>
      <c r="E418" s="11" t="s">
        <v>972</v>
      </c>
      <c r="F418" s="11" t="s">
        <v>137</v>
      </c>
      <c r="G418" s="12" t="s">
        <v>138</v>
      </c>
      <c r="H418" s="12" t="s">
        <v>68</v>
      </c>
      <c r="I418" s="12" t="str">
        <f>IFERROR(VLOOKUP(H418, DADOS_RM_EVENTOS_original!C:D, 2, FALSE), "Código não encontrado/Não digitado")</f>
        <v>Código não encontrado/Não digitado</v>
      </c>
      <c r="J418" s="12" t="s">
        <v>68</v>
      </c>
      <c r="K418" s="12" t="str">
        <f>IFERROR(VLOOKUP(J418, DADOS_RM_EVENTOS_original!E:J, 2, FALSE), "Código não encontrado/Não digitado")</f>
        <v>Código não encontrado/Não digitado</v>
      </c>
      <c r="L418" s="12" t="s">
        <v>68</v>
      </c>
      <c r="M418" s="12" t="str">
        <f>IFERROR(VLOOKUP(L418, DADOS_RM_EVENTOS_original!K:L, 2, FALSE), "Código não encontrado/Não digitado")</f>
        <v>Código não encontrado/Não digitado</v>
      </c>
    </row>
    <row r="419" ht="15.75" hidden="1" customHeight="1">
      <c r="A419" s="11" t="s">
        <v>142</v>
      </c>
      <c r="B419" s="11" t="s">
        <v>1694</v>
      </c>
      <c r="C419" s="11" t="s">
        <v>4409</v>
      </c>
      <c r="D419" s="11" t="s">
        <v>44</v>
      </c>
      <c r="E419" s="11" t="s">
        <v>985</v>
      </c>
      <c r="F419" s="11" t="s">
        <v>137</v>
      </c>
      <c r="G419" s="12" t="s">
        <v>138</v>
      </c>
      <c r="H419" s="12" t="s">
        <v>68</v>
      </c>
      <c r="I419" s="12" t="str">
        <f>IFERROR(VLOOKUP(H419, DADOS_RM_EVENTOS_original!C:D, 2, FALSE), "Código não encontrado/Não digitado")</f>
        <v>Código não encontrado/Não digitado</v>
      </c>
      <c r="J419" s="12" t="s">
        <v>68</v>
      </c>
      <c r="K419" s="12" t="str">
        <f>IFERROR(VLOOKUP(J419, DADOS_RM_EVENTOS_original!E:J, 2, FALSE), "Código não encontrado/Não digitado")</f>
        <v>Código não encontrado/Não digitado</v>
      </c>
      <c r="L419" s="12" t="s">
        <v>68</v>
      </c>
      <c r="M419" s="12" t="str">
        <f>IFERROR(VLOOKUP(L419, DADOS_RM_EVENTOS_original!K:L, 2, FALSE), "Código não encontrado/Não digitado")</f>
        <v>Código não encontrado/Não digitado</v>
      </c>
    </row>
    <row r="420" ht="15.75" hidden="1" customHeight="1">
      <c r="A420" s="11" t="s">
        <v>199</v>
      </c>
      <c r="B420" s="11" t="s">
        <v>1694</v>
      </c>
      <c r="C420" s="11" t="s">
        <v>4409</v>
      </c>
      <c r="D420" s="11" t="s">
        <v>44</v>
      </c>
      <c r="E420" s="11" t="s">
        <v>1074</v>
      </c>
      <c r="F420" s="11" t="s">
        <v>137</v>
      </c>
      <c r="G420" s="12" t="s">
        <v>138</v>
      </c>
      <c r="H420" s="12" t="s">
        <v>68</v>
      </c>
      <c r="I420" s="12" t="str">
        <f>IFERROR(VLOOKUP(H420, DADOS_RM_EVENTOS_original!C:D, 2, FALSE), "Código não encontrado/Não digitado")</f>
        <v>Código não encontrado/Não digitado</v>
      </c>
      <c r="J420" s="12" t="s">
        <v>68</v>
      </c>
      <c r="K420" s="12" t="str">
        <f>IFERROR(VLOOKUP(J420, DADOS_RM_EVENTOS_original!E:J, 2, FALSE), "Código não encontrado/Não digitado")</f>
        <v>Código não encontrado/Não digitado</v>
      </c>
      <c r="L420" s="12" t="s">
        <v>68</v>
      </c>
      <c r="M420" s="12" t="str">
        <f>IFERROR(VLOOKUP(L420, DADOS_RM_EVENTOS_original!K:L, 2, FALSE), "Código não encontrado/Não digitado")</f>
        <v>Código não encontrado/Não digitado</v>
      </c>
    </row>
    <row r="421" ht="15.75" hidden="1" customHeight="1">
      <c r="A421" s="11" t="s">
        <v>172</v>
      </c>
      <c r="B421" s="11" t="s">
        <v>452</v>
      </c>
      <c r="C421" s="11" t="s">
        <v>4475</v>
      </c>
      <c r="D421" s="11" t="s">
        <v>96</v>
      </c>
      <c r="E421" s="11" t="s">
        <v>1029</v>
      </c>
      <c r="F421" s="11" t="s">
        <v>99</v>
      </c>
      <c r="G421" s="12" t="s">
        <v>63</v>
      </c>
      <c r="H421" s="12" t="s">
        <v>68</v>
      </c>
      <c r="I421" s="12" t="str">
        <f>IFERROR(VLOOKUP(H421, DADOS_RM_EVENTOS_original!C:D, 2, FALSE), "Código não encontrado/Não digitado")</f>
        <v>Código não encontrado/Não digitado</v>
      </c>
      <c r="J421" s="12" t="s">
        <v>68</v>
      </c>
      <c r="K421" s="12" t="str">
        <f>IFERROR(VLOOKUP(J421, DADOS_RM_EVENTOS_original!E:J, 2, FALSE), "Código não encontrado/Não digitado")</f>
        <v>Código não encontrado/Não digitado</v>
      </c>
      <c r="L421" s="12" t="s">
        <v>68</v>
      </c>
      <c r="M421" s="12" t="str">
        <f>IFERROR(VLOOKUP(L421, DADOS_RM_EVENTOS_original!K:L, 2, FALSE), "Código não encontrado/Não digitado")</f>
        <v>Código não encontrado/Não digitado</v>
      </c>
    </row>
    <row r="422" ht="15.75" hidden="1" customHeight="1">
      <c r="A422" s="11" t="s">
        <v>97</v>
      </c>
      <c r="B422" s="11" t="s">
        <v>452</v>
      </c>
      <c r="C422" s="11" t="s">
        <v>4475</v>
      </c>
      <c r="D422" s="11" t="s">
        <v>96</v>
      </c>
      <c r="E422" s="11" t="s">
        <v>972</v>
      </c>
      <c r="F422" s="11" t="s">
        <v>99</v>
      </c>
      <c r="G422" s="12" t="s">
        <v>63</v>
      </c>
      <c r="H422" s="12" t="s">
        <v>68</v>
      </c>
      <c r="I422" s="12" t="str">
        <f>IFERROR(VLOOKUP(H422, DADOS_RM_EVENTOS_original!C:D, 2, FALSE), "Código não encontrado/Não digitado")</f>
        <v>Código não encontrado/Não digitado</v>
      </c>
      <c r="J422" s="12" t="s">
        <v>68</v>
      </c>
      <c r="K422" s="12" t="str">
        <f>IFERROR(VLOOKUP(J422, DADOS_RM_EVENTOS_original!E:J, 2, FALSE), "Código não encontrado/Não digitado")</f>
        <v>Código não encontrado/Não digitado</v>
      </c>
      <c r="L422" s="12" t="s">
        <v>68</v>
      </c>
      <c r="M422" s="12" t="str">
        <f>IFERROR(VLOOKUP(L422, DADOS_RM_EVENTOS_original!K:L, 2, FALSE), "Código não encontrado/Não digitado")</f>
        <v>Código não encontrado/Não digitado</v>
      </c>
    </row>
    <row r="423" ht="15.75" hidden="1" customHeight="1">
      <c r="A423" s="11" t="s">
        <v>142</v>
      </c>
      <c r="B423" s="11" t="s">
        <v>452</v>
      </c>
      <c r="C423" s="11" t="s">
        <v>4475</v>
      </c>
      <c r="D423" s="11" t="s">
        <v>96</v>
      </c>
      <c r="E423" s="11" t="s">
        <v>985</v>
      </c>
      <c r="F423" s="11" t="s">
        <v>99</v>
      </c>
      <c r="G423" s="12" t="s">
        <v>63</v>
      </c>
      <c r="H423" s="12" t="s">
        <v>68</v>
      </c>
      <c r="I423" s="12" t="str">
        <f>IFERROR(VLOOKUP(H423, DADOS_RM_EVENTOS_original!C:D, 2, FALSE), "Código não encontrado/Não digitado")</f>
        <v>Código não encontrado/Não digitado</v>
      </c>
      <c r="J423" s="12" t="s">
        <v>68</v>
      </c>
      <c r="K423" s="12" t="str">
        <f>IFERROR(VLOOKUP(J423, DADOS_RM_EVENTOS_original!E:J, 2, FALSE), "Código não encontrado/Não digitado")</f>
        <v>Código não encontrado/Não digitado</v>
      </c>
      <c r="L423" s="12" t="s">
        <v>68</v>
      </c>
      <c r="M423" s="12" t="str">
        <f>IFERROR(VLOOKUP(L423, DADOS_RM_EVENTOS_original!K:L, 2, FALSE), "Código não encontrado/Não digitado")</f>
        <v>Código não encontrado/Não digitado</v>
      </c>
    </row>
    <row r="424" ht="15.75" hidden="1" customHeight="1">
      <c r="A424" s="11" t="s">
        <v>199</v>
      </c>
      <c r="B424" s="11" t="s">
        <v>452</v>
      </c>
      <c r="C424" s="11" t="s">
        <v>4475</v>
      </c>
      <c r="D424" s="11" t="s">
        <v>96</v>
      </c>
      <c r="E424" s="11" t="s">
        <v>1074</v>
      </c>
      <c r="F424" s="11" t="s">
        <v>99</v>
      </c>
      <c r="G424" s="12" t="s">
        <v>63</v>
      </c>
      <c r="H424" s="12" t="s">
        <v>68</v>
      </c>
      <c r="I424" s="12" t="str">
        <f>IFERROR(VLOOKUP(H424, DADOS_RM_EVENTOS_original!C:D, 2, FALSE), "Código não encontrado/Não digitado")</f>
        <v>Código não encontrado/Não digitado</v>
      </c>
      <c r="J424" s="12" t="s">
        <v>68</v>
      </c>
      <c r="K424" s="12" t="str">
        <f>IFERROR(VLOOKUP(J424, DADOS_RM_EVENTOS_original!E:J, 2, FALSE), "Código não encontrado/Não digitado")</f>
        <v>Código não encontrado/Não digitado</v>
      </c>
      <c r="L424" s="12" t="s">
        <v>68</v>
      </c>
      <c r="M424" s="12" t="str">
        <f>IFERROR(VLOOKUP(L424, DADOS_RM_EVENTOS_original!K:L, 2, FALSE), "Código não encontrado/Não digitado")</f>
        <v>Código não encontrado/Não digitado</v>
      </c>
    </row>
    <row r="425" ht="15.75" hidden="1" customHeight="1">
      <c r="A425" s="11" t="s">
        <v>38</v>
      </c>
      <c r="B425" s="11" t="s">
        <v>1539</v>
      </c>
      <c r="C425" s="11" t="s">
        <v>4519</v>
      </c>
      <c r="D425" s="11" t="s">
        <v>44</v>
      </c>
      <c r="E425" s="11" t="s">
        <v>47</v>
      </c>
      <c r="F425" s="11" t="s">
        <v>38</v>
      </c>
      <c r="G425" s="12" t="s">
        <v>91</v>
      </c>
      <c r="H425" s="12" t="s">
        <v>68</v>
      </c>
      <c r="I425" s="12" t="str">
        <f>IFERROR(VLOOKUP(H425, DADOS_RM_EVENTOS_original!C:D, 2, FALSE), "Código não encontrado/Não digitado")</f>
        <v>Código não encontrado/Não digitado</v>
      </c>
      <c r="J425" s="12" t="s">
        <v>68</v>
      </c>
      <c r="K425" s="12" t="str">
        <f>IFERROR(VLOOKUP(J425, DADOS_RM_EVENTOS_original!E:J, 2, FALSE), "Código não encontrado/Não digitado")</f>
        <v>Código não encontrado/Não digitado</v>
      </c>
      <c r="L425" s="12" t="s">
        <v>68</v>
      </c>
      <c r="M425" s="12" t="str">
        <f>IFERROR(VLOOKUP(L425, DADOS_RM_EVENTOS_original!K:L, 2, FALSE), "Código não encontrado/Não digitado")</f>
        <v>Código não encontrado/Não digitado</v>
      </c>
    </row>
    <row r="426" ht="15.75" hidden="1" customHeight="1">
      <c r="A426" s="11" t="s">
        <v>115</v>
      </c>
      <c r="B426" s="11" t="s">
        <v>1539</v>
      </c>
      <c r="C426" s="11" t="s">
        <v>4519</v>
      </c>
      <c r="D426" s="11" t="s">
        <v>44</v>
      </c>
      <c r="E426" s="11" t="s">
        <v>121</v>
      </c>
      <c r="F426" s="11" t="s">
        <v>38</v>
      </c>
      <c r="G426" s="12" t="s">
        <v>91</v>
      </c>
      <c r="H426" s="12" t="s">
        <v>68</v>
      </c>
      <c r="I426" s="12" t="str">
        <f>IFERROR(VLOOKUP(H426, DADOS_RM_EVENTOS_original!C:D, 2, FALSE), "Código não encontrado/Não digitado")</f>
        <v>Código não encontrado/Não digitado</v>
      </c>
      <c r="J426" s="12" t="s">
        <v>68</v>
      </c>
      <c r="K426" s="12" t="str">
        <f>IFERROR(VLOOKUP(J426, DADOS_RM_EVENTOS_original!E:J, 2, FALSE), "Código não encontrado/Não digitado")</f>
        <v>Código não encontrado/Não digitado</v>
      </c>
      <c r="L426" s="12" t="s">
        <v>68</v>
      </c>
      <c r="M426" s="12" t="str">
        <f>IFERROR(VLOOKUP(L426, DADOS_RM_EVENTOS_original!K:L, 2, FALSE), "Código não encontrado/Não digitado")</f>
        <v>Código não encontrado/Não digitado</v>
      </c>
    </row>
    <row r="427" ht="15.75" hidden="1" customHeight="1">
      <c r="A427" s="11" t="s">
        <v>172</v>
      </c>
      <c r="B427" s="11" t="s">
        <v>1539</v>
      </c>
      <c r="C427" s="11" t="s">
        <v>4519</v>
      </c>
      <c r="D427" s="11" t="s">
        <v>44</v>
      </c>
      <c r="E427" s="11" t="s">
        <v>1029</v>
      </c>
      <c r="F427" s="11" t="s">
        <v>38</v>
      </c>
      <c r="G427" s="12" t="s">
        <v>91</v>
      </c>
      <c r="H427" s="12" t="s">
        <v>68</v>
      </c>
      <c r="I427" s="12" t="str">
        <f>IFERROR(VLOOKUP(H427, DADOS_RM_EVENTOS_original!C:D, 2, FALSE), "Código não encontrado/Não digitado")</f>
        <v>Código não encontrado/Não digitado</v>
      </c>
      <c r="J427" s="12" t="s">
        <v>68</v>
      </c>
      <c r="K427" s="12" t="str">
        <f>IFERROR(VLOOKUP(J427, DADOS_RM_EVENTOS_original!E:J, 2, FALSE), "Código não encontrado/Não digitado")</f>
        <v>Código não encontrado/Não digitado</v>
      </c>
      <c r="L427" s="12" t="s">
        <v>68</v>
      </c>
      <c r="M427" s="12" t="str">
        <f>IFERROR(VLOOKUP(L427, DADOS_RM_EVENTOS_original!K:L, 2, FALSE), "Código não encontrado/Não digitado")</f>
        <v>Código não encontrado/Não digitado</v>
      </c>
    </row>
    <row r="428" ht="15.75" hidden="1" customHeight="1">
      <c r="A428" s="11" t="s">
        <v>97</v>
      </c>
      <c r="B428" s="11" t="s">
        <v>1539</v>
      </c>
      <c r="C428" s="11" t="s">
        <v>4519</v>
      </c>
      <c r="D428" s="11" t="s">
        <v>44</v>
      </c>
      <c r="E428" s="11" t="s">
        <v>972</v>
      </c>
      <c r="F428" s="11" t="s">
        <v>38</v>
      </c>
      <c r="G428" s="12" t="s">
        <v>91</v>
      </c>
      <c r="H428" s="12" t="s">
        <v>68</v>
      </c>
      <c r="I428" s="12" t="str">
        <f>IFERROR(VLOOKUP(H428, DADOS_RM_EVENTOS_original!C:D, 2, FALSE), "Código não encontrado/Não digitado")</f>
        <v>Código não encontrado/Não digitado</v>
      </c>
      <c r="J428" s="12" t="s">
        <v>68</v>
      </c>
      <c r="K428" s="12" t="str">
        <f>IFERROR(VLOOKUP(J428, DADOS_RM_EVENTOS_original!E:J, 2, FALSE), "Código não encontrado/Não digitado")</f>
        <v>Código não encontrado/Não digitado</v>
      </c>
      <c r="L428" s="12" t="s">
        <v>68</v>
      </c>
      <c r="M428" s="12" t="str">
        <f>IFERROR(VLOOKUP(L428, DADOS_RM_EVENTOS_original!K:L, 2, FALSE), "Código não encontrado/Não digitado")</f>
        <v>Código não encontrado/Não digitado</v>
      </c>
    </row>
    <row r="429" ht="15.75" hidden="1" customHeight="1">
      <c r="A429" s="11" t="s">
        <v>142</v>
      </c>
      <c r="B429" s="11" t="s">
        <v>1539</v>
      </c>
      <c r="C429" s="11" t="s">
        <v>4519</v>
      </c>
      <c r="D429" s="11" t="s">
        <v>44</v>
      </c>
      <c r="E429" s="11" t="s">
        <v>985</v>
      </c>
      <c r="F429" s="11" t="s">
        <v>38</v>
      </c>
      <c r="G429" s="12" t="s">
        <v>91</v>
      </c>
      <c r="H429" s="12" t="s">
        <v>68</v>
      </c>
      <c r="I429" s="12" t="str">
        <f>IFERROR(VLOOKUP(H429, DADOS_RM_EVENTOS_original!C:D, 2, FALSE), "Código não encontrado/Não digitado")</f>
        <v>Código não encontrado/Não digitado</v>
      </c>
      <c r="J429" s="12" t="s">
        <v>68</v>
      </c>
      <c r="K429" s="12" t="str">
        <f>IFERROR(VLOOKUP(J429, DADOS_RM_EVENTOS_original!E:J, 2, FALSE), "Código não encontrado/Não digitado")</f>
        <v>Código não encontrado/Não digitado</v>
      </c>
      <c r="L429" s="12" t="s">
        <v>68</v>
      </c>
      <c r="M429" s="12" t="str">
        <f>IFERROR(VLOOKUP(L429, DADOS_RM_EVENTOS_original!K:L, 2, FALSE), "Código não encontrado/Não digitado")</f>
        <v>Código não encontrado/Não digitado</v>
      </c>
    </row>
    <row r="430" ht="15.75" hidden="1" customHeight="1">
      <c r="A430" s="11" t="s">
        <v>38</v>
      </c>
      <c r="B430" s="11" t="s">
        <v>1696</v>
      </c>
      <c r="C430" s="11" t="s">
        <v>4520</v>
      </c>
      <c r="D430" s="11" t="s">
        <v>44</v>
      </c>
      <c r="E430" s="11" t="s">
        <v>47</v>
      </c>
      <c r="F430" s="11" t="s">
        <v>38</v>
      </c>
      <c r="G430" s="12" t="s">
        <v>91</v>
      </c>
      <c r="H430" s="12" t="s">
        <v>68</v>
      </c>
      <c r="I430" s="12" t="str">
        <f>IFERROR(VLOOKUP(H430, DADOS_RM_EVENTOS_original!C:D, 2, FALSE), "Código não encontrado/Não digitado")</f>
        <v>Código não encontrado/Não digitado</v>
      </c>
      <c r="J430" s="12" t="s">
        <v>68</v>
      </c>
      <c r="K430" s="12" t="str">
        <f>IFERROR(VLOOKUP(J430, DADOS_RM_EVENTOS_original!E:J, 2, FALSE), "Código não encontrado/Não digitado")</f>
        <v>Código não encontrado/Não digitado</v>
      </c>
      <c r="L430" s="12" t="s">
        <v>68</v>
      </c>
      <c r="M430" s="12" t="str">
        <f>IFERROR(VLOOKUP(L430, DADOS_RM_EVENTOS_original!K:L, 2, FALSE), "Código não encontrado/Não digitado")</f>
        <v>Código não encontrado/Não digitado</v>
      </c>
    </row>
    <row r="431" ht="15.75" hidden="1" customHeight="1">
      <c r="A431" s="11" t="s">
        <v>97</v>
      </c>
      <c r="B431" s="11" t="s">
        <v>1696</v>
      </c>
      <c r="C431" s="11" t="s">
        <v>4521</v>
      </c>
      <c r="D431" s="11" t="s">
        <v>44</v>
      </c>
      <c r="E431" s="11" t="s">
        <v>972</v>
      </c>
      <c r="F431" s="11" t="s">
        <v>38</v>
      </c>
      <c r="G431" s="12" t="s">
        <v>91</v>
      </c>
      <c r="H431" s="12" t="s">
        <v>68</v>
      </c>
      <c r="I431" s="12" t="str">
        <f>IFERROR(VLOOKUP(H431, DADOS_RM_EVENTOS_original!C:D, 2, FALSE), "Código não encontrado/Não digitado")</f>
        <v>Código não encontrado/Não digitado</v>
      </c>
      <c r="J431" s="12" t="s">
        <v>68</v>
      </c>
      <c r="K431" s="12" t="str">
        <f>IFERROR(VLOOKUP(J431, DADOS_RM_EVENTOS_original!E:J, 2, FALSE), "Código não encontrado/Não digitado")</f>
        <v>Código não encontrado/Não digitado</v>
      </c>
      <c r="L431" s="12" t="s">
        <v>68</v>
      </c>
      <c r="M431" s="12" t="str">
        <f>IFERROR(VLOOKUP(L431, DADOS_RM_EVENTOS_original!K:L, 2, FALSE), "Código não encontrado/Não digitado")</f>
        <v>Código não encontrado/Não digitado</v>
      </c>
    </row>
    <row r="432" ht="15.75" hidden="1" customHeight="1">
      <c r="A432" s="11" t="s">
        <v>38</v>
      </c>
      <c r="B432" s="11" t="s">
        <v>1700</v>
      </c>
      <c r="C432" s="11" t="s">
        <v>4522</v>
      </c>
      <c r="D432" s="11" t="s">
        <v>44</v>
      </c>
      <c r="E432" s="11" t="s">
        <v>47</v>
      </c>
      <c r="F432" s="11" t="s">
        <v>2563</v>
      </c>
      <c r="G432" s="12" t="s">
        <v>3086</v>
      </c>
      <c r="H432" s="12" t="s">
        <v>68</v>
      </c>
      <c r="I432" s="12" t="str">
        <f>IFERROR(VLOOKUP(H432, DADOS_RM_EVENTOS_original!C:D, 2, FALSE), "Código não encontrado/Não digitado")</f>
        <v>Código não encontrado/Não digitado</v>
      </c>
      <c r="J432" s="12" t="s">
        <v>68</v>
      </c>
      <c r="K432" s="12" t="str">
        <f>IFERROR(VLOOKUP(J432, DADOS_RM_EVENTOS_original!E:J, 2, FALSE), "Código não encontrado/Não digitado")</f>
        <v>Código não encontrado/Não digitado</v>
      </c>
      <c r="L432" s="12" t="s">
        <v>68</v>
      </c>
      <c r="M432" s="12" t="str">
        <f>IFERROR(VLOOKUP(L432, DADOS_RM_EVENTOS_original!K:L, 2, FALSE), "Código não encontrado/Não digitado")</f>
        <v>Código não encontrado/Não digitado</v>
      </c>
    </row>
    <row r="433" ht="15.75" hidden="1" customHeight="1">
      <c r="A433" s="11" t="s">
        <v>172</v>
      </c>
      <c r="B433" s="11" t="s">
        <v>482</v>
      </c>
      <c r="C433" s="11" t="s">
        <v>4523</v>
      </c>
      <c r="D433" s="11" t="s">
        <v>96</v>
      </c>
      <c r="E433" s="11" t="s">
        <v>1029</v>
      </c>
      <c r="F433" s="11" t="s">
        <v>99</v>
      </c>
      <c r="G433" s="12" t="s">
        <v>63</v>
      </c>
      <c r="H433" s="12" t="s">
        <v>68</v>
      </c>
      <c r="I433" s="12" t="str">
        <f>IFERROR(VLOOKUP(H433, DADOS_RM_EVENTOS_original!C:D, 2, FALSE), "Código não encontrado/Não digitado")</f>
        <v>Código não encontrado/Não digitado</v>
      </c>
      <c r="J433" s="12" t="s">
        <v>68</v>
      </c>
      <c r="K433" s="12" t="str">
        <f>IFERROR(VLOOKUP(J433, DADOS_RM_EVENTOS_original!E:J, 2, FALSE), "Código não encontrado/Não digitado")</f>
        <v>Código não encontrado/Não digitado</v>
      </c>
      <c r="L433" s="12" t="s">
        <v>68</v>
      </c>
      <c r="M433" s="12" t="str">
        <f>IFERROR(VLOOKUP(L433, DADOS_RM_EVENTOS_original!K:L, 2, FALSE), "Código não encontrado/Não digitado")</f>
        <v>Código não encontrado/Não digitado</v>
      </c>
    </row>
    <row r="434" ht="15.75" hidden="1" customHeight="1">
      <c r="A434" s="11" t="s">
        <v>97</v>
      </c>
      <c r="B434" s="11" t="s">
        <v>482</v>
      </c>
      <c r="C434" s="11" t="s">
        <v>4523</v>
      </c>
      <c r="D434" s="11" t="s">
        <v>96</v>
      </c>
      <c r="E434" s="11" t="s">
        <v>972</v>
      </c>
      <c r="F434" s="11" t="s">
        <v>99</v>
      </c>
      <c r="G434" s="12" t="s">
        <v>63</v>
      </c>
      <c r="H434" s="12" t="s">
        <v>68</v>
      </c>
      <c r="I434" s="12" t="str">
        <f>IFERROR(VLOOKUP(H434, DADOS_RM_EVENTOS_original!C:D, 2, FALSE), "Código não encontrado/Não digitado")</f>
        <v>Código não encontrado/Não digitado</v>
      </c>
      <c r="J434" s="12" t="s">
        <v>68</v>
      </c>
      <c r="K434" s="12" t="str">
        <f>IFERROR(VLOOKUP(J434, DADOS_RM_EVENTOS_original!E:J, 2, FALSE), "Código não encontrado/Não digitado")</f>
        <v>Código não encontrado/Não digitado</v>
      </c>
      <c r="L434" s="12" t="s">
        <v>68</v>
      </c>
      <c r="M434" s="12" t="str">
        <f>IFERROR(VLOOKUP(L434, DADOS_RM_EVENTOS_original!K:L, 2, FALSE), "Código não encontrado/Não digitado")</f>
        <v>Código não encontrado/Não digitado</v>
      </c>
    </row>
    <row r="435" ht="15.75" hidden="1" customHeight="1">
      <c r="A435" s="11" t="s">
        <v>142</v>
      </c>
      <c r="B435" s="11" t="s">
        <v>482</v>
      </c>
      <c r="C435" s="11" t="s">
        <v>4523</v>
      </c>
      <c r="D435" s="11" t="s">
        <v>96</v>
      </c>
      <c r="E435" s="11" t="s">
        <v>985</v>
      </c>
      <c r="F435" s="11" t="s">
        <v>99</v>
      </c>
      <c r="G435" s="12" t="s">
        <v>63</v>
      </c>
      <c r="H435" s="12" t="s">
        <v>68</v>
      </c>
      <c r="I435" s="12" t="str">
        <f>IFERROR(VLOOKUP(H435, DADOS_RM_EVENTOS_original!C:D, 2, FALSE), "Código não encontrado/Não digitado")</f>
        <v>Código não encontrado/Não digitado</v>
      </c>
      <c r="J435" s="12" t="s">
        <v>68</v>
      </c>
      <c r="K435" s="12" t="str">
        <f>IFERROR(VLOOKUP(J435, DADOS_RM_EVENTOS_original!E:J, 2, FALSE), "Código não encontrado/Não digitado")</f>
        <v>Código não encontrado/Não digitado</v>
      </c>
      <c r="L435" s="12" t="s">
        <v>68</v>
      </c>
      <c r="M435" s="12" t="str">
        <f>IFERROR(VLOOKUP(L435, DADOS_RM_EVENTOS_original!K:L, 2, FALSE), "Código não encontrado/Não digitado")</f>
        <v>Código não encontrado/Não digitado</v>
      </c>
    </row>
    <row r="436" ht="15.75" hidden="1" customHeight="1">
      <c r="A436" s="11" t="s">
        <v>199</v>
      </c>
      <c r="B436" s="11" t="s">
        <v>482</v>
      </c>
      <c r="C436" s="11" t="s">
        <v>4523</v>
      </c>
      <c r="D436" s="11" t="s">
        <v>96</v>
      </c>
      <c r="E436" s="11" t="s">
        <v>1074</v>
      </c>
      <c r="F436" s="11" t="s">
        <v>99</v>
      </c>
      <c r="G436" s="12" t="s">
        <v>63</v>
      </c>
      <c r="H436" s="12" t="s">
        <v>68</v>
      </c>
      <c r="I436" s="12" t="str">
        <f>IFERROR(VLOOKUP(H436, DADOS_RM_EVENTOS_original!C:D, 2, FALSE), "Código não encontrado/Não digitado")</f>
        <v>Código não encontrado/Não digitado</v>
      </c>
      <c r="J436" s="12" t="s">
        <v>68</v>
      </c>
      <c r="K436" s="12" t="str">
        <f>IFERROR(VLOOKUP(J436, DADOS_RM_EVENTOS_original!E:J, 2, FALSE), "Código não encontrado/Não digitado")</f>
        <v>Código não encontrado/Não digitado</v>
      </c>
      <c r="L436" s="12" t="s">
        <v>68</v>
      </c>
      <c r="M436" s="12" t="str">
        <f>IFERROR(VLOOKUP(L436, DADOS_RM_EVENTOS_original!K:L, 2, FALSE), "Código não encontrado/Não digitado")</f>
        <v>Código não encontrado/Não digitado</v>
      </c>
    </row>
    <row r="437" ht="15.75" hidden="1" customHeight="1">
      <c r="A437" s="11" t="s">
        <v>38</v>
      </c>
      <c r="B437" s="11" t="s">
        <v>511</v>
      </c>
      <c r="C437" s="11" t="s">
        <v>3367</v>
      </c>
      <c r="D437" s="11" t="s">
        <v>120</v>
      </c>
      <c r="E437" s="11" t="s">
        <v>47</v>
      </c>
      <c r="F437" s="11" t="s">
        <v>556</v>
      </c>
      <c r="G437" s="12" t="s">
        <v>669</v>
      </c>
      <c r="H437" s="12" t="s">
        <v>68</v>
      </c>
      <c r="I437" s="12" t="str">
        <f>IFERROR(VLOOKUP(H437, DADOS_RM_EVENTOS_original!C:D, 2, FALSE), "Código não encontrado/Não digitado")</f>
        <v>Código não encontrado/Não digitado</v>
      </c>
      <c r="J437" s="12" t="s">
        <v>68</v>
      </c>
      <c r="K437" s="12" t="str">
        <f>IFERROR(VLOOKUP(J437, DADOS_RM_EVENTOS_original!E:J, 2, FALSE), "Código não encontrado/Não digitado")</f>
        <v>Código não encontrado/Não digitado</v>
      </c>
      <c r="L437" s="12" t="s">
        <v>68</v>
      </c>
      <c r="M437" s="12" t="str">
        <f>IFERROR(VLOOKUP(L437, DADOS_RM_EVENTOS_original!K:L, 2, FALSE), "Código não encontrado/Não digitado")</f>
        <v>Código não encontrado/Não digitado</v>
      </c>
    </row>
    <row r="438" ht="15.75" hidden="1" customHeight="1">
      <c r="A438" s="11" t="s">
        <v>38</v>
      </c>
      <c r="B438" s="11" t="s">
        <v>490</v>
      </c>
      <c r="C438" s="11" t="s">
        <v>4524</v>
      </c>
      <c r="D438" s="11" t="s">
        <v>120</v>
      </c>
      <c r="E438" s="11" t="s">
        <v>47</v>
      </c>
      <c r="F438" s="11" t="s">
        <v>1572</v>
      </c>
      <c r="G438" s="12" t="s">
        <v>2149</v>
      </c>
      <c r="H438" s="12" t="s">
        <v>68</v>
      </c>
      <c r="I438" s="12" t="str">
        <f>IFERROR(VLOOKUP(H438, DADOS_RM_EVENTOS_original!C:D, 2, FALSE), "Código não encontrado/Não digitado")</f>
        <v>Código não encontrado/Não digitado</v>
      </c>
      <c r="J438" s="12" t="s">
        <v>68</v>
      </c>
      <c r="K438" s="12" t="str">
        <f>IFERROR(VLOOKUP(J438, DADOS_RM_EVENTOS_original!E:J, 2, FALSE), "Código não encontrado/Não digitado")</f>
        <v>Código não encontrado/Não digitado</v>
      </c>
      <c r="L438" s="12" t="s">
        <v>68</v>
      </c>
      <c r="M438" s="12" t="str">
        <f>IFERROR(VLOOKUP(L438, DADOS_RM_EVENTOS_original!K:L, 2, FALSE), "Código não encontrado/Não digitado")</f>
        <v>Código não encontrado/Não digitado</v>
      </c>
    </row>
    <row r="439" ht="15.75" hidden="1" customHeight="1">
      <c r="A439" s="11" t="s">
        <v>172</v>
      </c>
      <c r="B439" s="11" t="s">
        <v>490</v>
      </c>
      <c r="C439" s="11" t="s">
        <v>4525</v>
      </c>
      <c r="D439" s="11" t="s">
        <v>120</v>
      </c>
      <c r="E439" s="11" t="s">
        <v>1029</v>
      </c>
      <c r="F439" s="11" t="s">
        <v>1572</v>
      </c>
      <c r="G439" s="12" t="s">
        <v>2149</v>
      </c>
      <c r="H439" s="12" t="s">
        <v>68</v>
      </c>
      <c r="I439" s="12" t="str">
        <f>IFERROR(VLOOKUP(H439, DADOS_RM_EVENTOS_original!C:D, 2, FALSE), "Código não encontrado/Não digitado")</f>
        <v>Código não encontrado/Não digitado</v>
      </c>
      <c r="J439" s="12" t="s">
        <v>68</v>
      </c>
      <c r="K439" s="12" t="str">
        <f>IFERROR(VLOOKUP(J439, DADOS_RM_EVENTOS_original!E:J, 2, FALSE), "Código não encontrado/Não digitado")</f>
        <v>Código não encontrado/Não digitado</v>
      </c>
      <c r="L439" s="12" t="s">
        <v>68</v>
      </c>
      <c r="M439" s="12" t="str">
        <f>IFERROR(VLOOKUP(L439, DADOS_RM_EVENTOS_original!K:L, 2, FALSE), "Código não encontrado/Não digitado")</f>
        <v>Código não encontrado/Não digitado</v>
      </c>
    </row>
    <row r="440" ht="15.75" hidden="1" customHeight="1">
      <c r="A440" s="11" t="s">
        <v>97</v>
      </c>
      <c r="B440" s="11" t="s">
        <v>490</v>
      </c>
      <c r="C440" s="11" t="s">
        <v>4525</v>
      </c>
      <c r="D440" s="11" t="s">
        <v>120</v>
      </c>
      <c r="E440" s="11" t="s">
        <v>972</v>
      </c>
      <c r="F440" s="11" t="s">
        <v>1572</v>
      </c>
      <c r="G440" s="12" t="s">
        <v>2149</v>
      </c>
      <c r="H440" s="12" t="s">
        <v>68</v>
      </c>
      <c r="I440" s="12" t="str">
        <f>IFERROR(VLOOKUP(H440, DADOS_RM_EVENTOS_original!C:D, 2, FALSE), "Código não encontrado/Não digitado")</f>
        <v>Código não encontrado/Não digitado</v>
      </c>
      <c r="J440" s="12" t="s">
        <v>68</v>
      </c>
      <c r="K440" s="12" t="str">
        <f>IFERROR(VLOOKUP(J440, DADOS_RM_EVENTOS_original!E:J, 2, FALSE), "Código não encontrado/Não digitado")</f>
        <v>Código não encontrado/Não digitado</v>
      </c>
      <c r="L440" s="12" t="s">
        <v>68</v>
      </c>
      <c r="M440" s="12" t="str">
        <f>IFERROR(VLOOKUP(L440, DADOS_RM_EVENTOS_original!K:L, 2, FALSE), "Código não encontrado/Não digitado")</f>
        <v>Código não encontrado/Não digitado</v>
      </c>
    </row>
    <row r="441" ht="15.75" hidden="1" customHeight="1">
      <c r="A441" s="11" t="s">
        <v>142</v>
      </c>
      <c r="B441" s="11" t="s">
        <v>490</v>
      </c>
      <c r="C441" s="11" t="s">
        <v>4525</v>
      </c>
      <c r="D441" s="11" t="s">
        <v>120</v>
      </c>
      <c r="E441" s="11" t="s">
        <v>985</v>
      </c>
      <c r="F441" s="11" t="s">
        <v>1572</v>
      </c>
      <c r="G441" s="12" t="s">
        <v>2149</v>
      </c>
      <c r="H441" s="12" t="s">
        <v>68</v>
      </c>
      <c r="I441" s="12" t="str">
        <f>IFERROR(VLOOKUP(H441, DADOS_RM_EVENTOS_original!C:D, 2, FALSE), "Código não encontrado/Não digitado")</f>
        <v>Código não encontrado/Não digitado</v>
      </c>
      <c r="J441" s="12" t="s">
        <v>68</v>
      </c>
      <c r="K441" s="12" t="str">
        <f>IFERROR(VLOOKUP(J441, DADOS_RM_EVENTOS_original!E:J, 2, FALSE), "Código não encontrado/Não digitado")</f>
        <v>Código não encontrado/Não digitado</v>
      </c>
      <c r="L441" s="12" t="s">
        <v>68</v>
      </c>
      <c r="M441" s="12" t="str">
        <f>IFERROR(VLOOKUP(L441, DADOS_RM_EVENTOS_original!K:L, 2, FALSE), "Código não encontrado/Não digitado")</f>
        <v>Código não encontrado/Não digitado</v>
      </c>
    </row>
    <row r="442" ht="15.75" hidden="1" customHeight="1">
      <c r="A442" s="11" t="s">
        <v>38</v>
      </c>
      <c r="B442" s="11" t="s">
        <v>1365</v>
      </c>
      <c r="C442" s="11" t="s">
        <v>4526</v>
      </c>
      <c r="D442" s="11" t="s">
        <v>44</v>
      </c>
      <c r="E442" s="11" t="s">
        <v>47</v>
      </c>
      <c r="F442" s="11" t="s">
        <v>173</v>
      </c>
      <c r="G442" s="12" t="s">
        <v>193</v>
      </c>
      <c r="H442" s="12" t="s">
        <v>68</v>
      </c>
      <c r="I442" s="12" t="str">
        <f>IFERROR(VLOOKUP(H442, DADOS_RM_EVENTOS_original!C:D, 2, FALSE), "Código não encontrado/Não digitado")</f>
        <v>Código não encontrado/Não digitado</v>
      </c>
      <c r="J442" s="12" t="s">
        <v>68</v>
      </c>
      <c r="K442" s="12" t="str">
        <f>IFERROR(VLOOKUP(J442, DADOS_RM_EVENTOS_original!E:J, 2, FALSE), "Código não encontrado/Não digitado")</f>
        <v>Código não encontrado/Não digitado</v>
      </c>
      <c r="L442" s="12" t="s">
        <v>68</v>
      </c>
      <c r="M442" s="12" t="str">
        <f>IFERROR(VLOOKUP(L442, DADOS_RM_EVENTOS_original!K:L, 2, FALSE), "Código não encontrado/Não digitado")</f>
        <v>Código não encontrado/Não digitado</v>
      </c>
    </row>
    <row r="443" ht="15.75" hidden="1" customHeight="1">
      <c r="A443" s="11" t="s">
        <v>97</v>
      </c>
      <c r="B443" s="11" t="s">
        <v>1365</v>
      </c>
      <c r="C443" s="11" t="s">
        <v>4527</v>
      </c>
      <c r="D443" s="11" t="s">
        <v>44</v>
      </c>
      <c r="E443" s="11" t="s">
        <v>972</v>
      </c>
      <c r="F443" s="11" t="s">
        <v>173</v>
      </c>
      <c r="G443" s="12" t="s">
        <v>193</v>
      </c>
      <c r="H443" s="12" t="s">
        <v>68</v>
      </c>
      <c r="I443" s="12" t="str">
        <f>IFERROR(VLOOKUP(H443, DADOS_RM_EVENTOS_original!C:D, 2, FALSE), "Código não encontrado/Não digitado")</f>
        <v>Código não encontrado/Não digitado</v>
      </c>
      <c r="J443" s="12" t="s">
        <v>68</v>
      </c>
      <c r="K443" s="12" t="str">
        <f>IFERROR(VLOOKUP(J443, DADOS_RM_EVENTOS_original!E:J, 2, FALSE), "Código não encontrado/Não digitado")</f>
        <v>Código não encontrado/Não digitado</v>
      </c>
      <c r="L443" s="12" t="s">
        <v>68</v>
      </c>
      <c r="M443" s="12" t="str">
        <f>IFERROR(VLOOKUP(L443, DADOS_RM_EVENTOS_original!K:L, 2, FALSE), "Código não encontrado/Não digitado")</f>
        <v>Código não encontrado/Não digitado</v>
      </c>
    </row>
    <row r="444" ht="15.75" hidden="1" customHeight="1">
      <c r="A444" s="11" t="s">
        <v>38</v>
      </c>
      <c r="B444" s="11" t="s">
        <v>1186</v>
      </c>
      <c r="C444" s="11" t="s">
        <v>4528</v>
      </c>
      <c r="D444" s="11" t="s">
        <v>44</v>
      </c>
      <c r="E444" s="11" t="s">
        <v>47</v>
      </c>
      <c r="F444" s="11" t="s">
        <v>245</v>
      </c>
      <c r="G444" s="12" t="s">
        <v>262</v>
      </c>
      <c r="H444" s="12" t="s">
        <v>68</v>
      </c>
      <c r="I444" s="12" t="str">
        <f>IFERROR(VLOOKUP(H444, DADOS_RM_EVENTOS_original!C:D, 2, FALSE), "Código não encontrado/Não digitado")</f>
        <v>Código não encontrado/Não digitado</v>
      </c>
      <c r="J444" s="12" t="s">
        <v>68</v>
      </c>
      <c r="K444" s="12" t="str">
        <f>IFERROR(VLOOKUP(J444, DADOS_RM_EVENTOS_original!E:J, 2, FALSE), "Código não encontrado/Não digitado")</f>
        <v>Código não encontrado/Não digitado</v>
      </c>
      <c r="L444" s="12" t="s">
        <v>68</v>
      </c>
      <c r="M444" s="12" t="str">
        <f>IFERROR(VLOOKUP(L444, DADOS_RM_EVENTOS_original!K:L, 2, FALSE), "Código não encontrado/Não digitado")</f>
        <v>Código não encontrado/Não digitado</v>
      </c>
    </row>
    <row r="445" ht="15.75" hidden="1" customHeight="1">
      <c r="A445" s="11" t="s">
        <v>97</v>
      </c>
      <c r="B445" s="11" t="s">
        <v>1186</v>
      </c>
      <c r="C445" s="11" t="s">
        <v>4529</v>
      </c>
      <c r="D445" s="11" t="s">
        <v>44</v>
      </c>
      <c r="E445" s="11" t="s">
        <v>972</v>
      </c>
      <c r="F445" s="11" t="s">
        <v>245</v>
      </c>
      <c r="G445" s="12" t="s">
        <v>262</v>
      </c>
      <c r="H445" s="12" t="s">
        <v>68</v>
      </c>
      <c r="I445" s="12" t="str">
        <f>IFERROR(VLOOKUP(H445, DADOS_RM_EVENTOS_original!C:D, 2, FALSE), "Código não encontrado/Não digitado")</f>
        <v>Código não encontrado/Não digitado</v>
      </c>
      <c r="J445" s="12" t="s">
        <v>68</v>
      </c>
      <c r="K445" s="12" t="str">
        <f>IFERROR(VLOOKUP(J445, DADOS_RM_EVENTOS_original!E:J, 2, FALSE), "Código não encontrado/Não digitado")</f>
        <v>Código não encontrado/Não digitado</v>
      </c>
      <c r="L445" s="12" t="s">
        <v>68</v>
      </c>
      <c r="M445" s="12" t="str">
        <f>IFERROR(VLOOKUP(L445, DADOS_RM_EVENTOS_original!K:L, 2, FALSE), "Código não encontrado/Não digitado")</f>
        <v>Código não encontrado/Não digitado</v>
      </c>
    </row>
    <row r="446" ht="15.75" hidden="1" customHeight="1">
      <c r="A446" s="11" t="s">
        <v>172</v>
      </c>
      <c r="B446" s="11" t="s">
        <v>631</v>
      </c>
      <c r="C446" s="11" t="s">
        <v>4530</v>
      </c>
      <c r="D446" s="11" t="s">
        <v>96</v>
      </c>
      <c r="E446" s="11" t="s">
        <v>1029</v>
      </c>
      <c r="F446" s="11" t="s">
        <v>99</v>
      </c>
      <c r="G446" s="12" t="s">
        <v>63</v>
      </c>
      <c r="H446" s="12" t="s">
        <v>68</v>
      </c>
      <c r="I446" s="12" t="str">
        <f>IFERROR(VLOOKUP(H446, DADOS_RM_EVENTOS_original!C:D, 2, FALSE), "Código não encontrado/Não digitado")</f>
        <v>Código não encontrado/Não digitado</v>
      </c>
      <c r="J446" s="12" t="s">
        <v>68</v>
      </c>
      <c r="K446" s="12" t="str">
        <f>IFERROR(VLOOKUP(J446, DADOS_RM_EVENTOS_original!E:J, 2, FALSE), "Código não encontrado/Não digitado")</f>
        <v>Código não encontrado/Não digitado</v>
      </c>
      <c r="L446" s="12" t="s">
        <v>68</v>
      </c>
      <c r="M446" s="12" t="str">
        <f>IFERROR(VLOOKUP(L446, DADOS_RM_EVENTOS_original!K:L, 2, FALSE), "Código não encontrado/Não digitado")</f>
        <v>Código não encontrado/Não digitado</v>
      </c>
    </row>
    <row r="447" ht="15.75" hidden="1" customHeight="1">
      <c r="A447" s="11" t="s">
        <v>97</v>
      </c>
      <c r="B447" s="11" t="s">
        <v>631</v>
      </c>
      <c r="C447" s="11" t="s">
        <v>4530</v>
      </c>
      <c r="D447" s="11" t="s">
        <v>96</v>
      </c>
      <c r="E447" s="11" t="s">
        <v>972</v>
      </c>
      <c r="F447" s="11" t="s">
        <v>99</v>
      </c>
      <c r="G447" s="12" t="s">
        <v>63</v>
      </c>
      <c r="H447" s="12" t="s">
        <v>68</v>
      </c>
      <c r="I447" s="12" t="str">
        <f>IFERROR(VLOOKUP(H447, DADOS_RM_EVENTOS_original!C:D, 2, FALSE), "Código não encontrado/Não digitado")</f>
        <v>Código não encontrado/Não digitado</v>
      </c>
      <c r="J447" s="12" t="s">
        <v>68</v>
      </c>
      <c r="K447" s="12" t="str">
        <f>IFERROR(VLOOKUP(J447, DADOS_RM_EVENTOS_original!E:J, 2, FALSE), "Código não encontrado/Não digitado")</f>
        <v>Código não encontrado/Não digitado</v>
      </c>
      <c r="L447" s="12" t="s">
        <v>68</v>
      </c>
      <c r="M447" s="12" t="str">
        <f>IFERROR(VLOOKUP(L447, DADOS_RM_EVENTOS_original!K:L, 2, FALSE), "Código não encontrado/Não digitado")</f>
        <v>Código não encontrado/Não digitado</v>
      </c>
    </row>
    <row r="448" ht="15.75" hidden="1" customHeight="1">
      <c r="A448" s="11" t="s">
        <v>142</v>
      </c>
      <c r="B448" s="11" t="s">
        <v>631</v>
      </c>
      <c r="C448" s="11" t="s">
        <v>4530</v>
      </c>
      <c r="D448" s="11" t="s">
        <v>96</v>
      </c>
      <c r="E448" s="11" t="s">
        <v>985</v>
      </c>
      <c r="F448" s="11" t="s">
        <v>99</v>
      </c>
      <c r="G448" s="12" t="s">
        <v>63</v>
      </c>
      <c r="H448" s="12" t="s">
        <v>68</v>
      </c>
      <c r="I448" s="12" t="str">
        <f>IFERROR(VLOOKUP(H448, DADOS_RM_EVENTOS_original!C:D, 2, FALSE), "Código não encontrado/Não digitado")</f>
        <v>Código não encontrado/Não digitado</v>
      </c>
      <c r="J448" s="12" t="s">
        <v>68</v>
      </c>
      <c r="K448" s="12" t="str">
        <f>IFERROR(VLOOKUP(J448, DADOS_RM_EVENTOS_original!E:J, 2, FALSE), "Código não encontrado/Não digitado")</f>
        <v>Código não encontrado/Não digitado</v>
      </c>
      <c r="L448" s="12" t="s">
        <v>68</v>
      </c>
      <c r="M448" s="12" t="str">
        <f>IFERROR(VLOOKUP(L448, DADOS_RM_EVENTOS_original!K:L, 2, FALSE), "Código não encontrado/Não digitado")</f>
        <v>Código não encontrado/Não digitado</v>
      </c>
    </row>
    <row r="449" ht="15.75" hidden="1" customHeight="1">
      <c r="A449" s="11" t="s">
        <v>199</v>
      </c>
      <c r="B449" s="11" t="s">
        <v>631</v>
      </c>
      <c r="C449" s="11" t="s">
        <v>4530</v>
      </c>
      <c r="D449" s="11" t="s">
        <v>96</v>
      </c>
      <c r="E449" s="11" t="s">
        <v>1074</v>
      </c>
      <c r="F449" s="11" t="s">
        <v>99</v>
      </c>
      <c r="G449" s="12" t="s">
        <v>63</v>
      </c>
      <c r="H449" s="12" t="s">
        <v>68</v>
      </c>
      <c r="I449" s="12" t="str">
        <f>IFERROR(VLOOKUP(H449, DADOS_RM_EVENTOS_original!C:D, 2, FALSE), "Código não encontrado/Não digitado")</f>
        <v>Código não encontrado/Não digitado</v>
      </c>
      <c r="J449" s="12" t="s">
        <v>68</v>
      </c>
      <c r="K449" s="12" t="str">
        <f>IFERROR(VLOOKUP(J449, DADOS_RM_EVENTOS_original!E:J, 2, FALSE), "Código não encontrado/Não digitado")</f>
        <v>Código não encontrado/Não digitado</v>
      </c>
      <c r="L449" s="12" t="s">
        <v>68</v>
      </c>
      <c r="M449" s="12" t="str">
        <f>IFERROR(VLOOKUP(L449, DADOS_RM_EVENTOS_original!K:L, 2, FALSE), "Código não encontrado/Não digitado")</f>
        <v>Código não encontrado/Não digitado</v>
      </c>
    </row>
    <row r="450" ht="15.75" hidden="1" customHeight="1">
      <c r="A450" s="11" t="s">
        <v>97</v>
      </c>
      <c r="B450" s="11" t="s">
        <v>662</v>
      </c>
      <c r="C450" s="11" t="s">
        <v>4531</v>
      </c>
      <c r="D450" s="11" t="s">
        <v>96</v>
      </c>
      <c r="E450" s="11" t="s">
        <v>972</v>
      </c>
      <c r="F450" s="11" t="s">
        <v>99</v>
      </c>
      <c r="G450" s="12" t="s">
        <v>63</v>
      </c>
      <c r="H450" s="12" t="s">
        <v>68</v>
      </c>
      <c r="I450" s="12" t="str">
        <f>IFERROR(VLOOKUP(H450, DADOS_RM_EVENTOS_original!C:D, 2, FALSE), "Código não encontrado/Não digitado")</f>
        <v>Código não encontrado/Não digitado</v>
      </c>
      <c r="J450" s="12" t="s">
        <v>68</v>
      </c>
      <c r="K450" s="12" t="str">
        <f>IFERROR(VLOOKUP(J450, DADOS_RM_EVENTOS_original!E:J, 2, FALSE), "Código não encontrado/Não digitado")</f>
        <v>Código não encontrado/Não digitado</v>
      </c>
      <c r="L450" s="12" t="s">
        <v>68</v>
      </c>
      <c r="M450" s="12" t="str">
        <f>IFERROR(VLOOKUP(L450, DADOS_RM_EVENTOS_original!K:L, 2, FALSE), "Código não encontrado/Não digitado")</f>
        <v>Código não encontrado/Não digitado</v>
      </c>
    </row>
    <row r="451" ht="15.75" hidden="1" customHeight="1">
      <c r="A451" s="11" t="s">
        <v>142</v>
      </c>
      <c r="B451" s="11" t="s">
        <v>662</v>
      </c>
      <c r="C451" s="11" t="s">
        <v>4531</v>
      </c>
      <c r="D451" s="11" t="s">
        <v>96</v>
      </c>
      <c r="E451" s="11" t="s">
        <v>985</v>
      </c>
      <c r="F451" s="11" t="s">
        <v>99</v>
      </c>
      <c r="G451" s="12" t="s">
        <v>63</v>
      </c>
      <c r="H451" s="12" t="s">
        <v>68</v>
      </c>
      <c r="I451" s="12" t="str">
        <f>IFERROR(VLOOKUP(H451, DADOS_RM_EVENTOS_original!C:D, 2, FALSE), "Código não encontrado/Não digitado")</f>
        <v>Código não encontrado/Não digitado</v>
      </c>
      <c r="J451" s="12" t="s">
        <v>68</v>
      </c>
      <c r="K451" s="12" t="str">
        <f>IFERROR(VLOOKUP(J451, DADOS_RM_EVENTOS_original!E:J, 2, FALSE), "Código não encontrado/Não digitado")</f>
        <v>Código não encontrado/Não digitado</v>
      </c>
      <c r="L451" s="12" t="s">
        <v>68</v>
      </c>
      <c r="M451" s="12" t="str">
        <f>IFERROR(VLOOKUP(L451, DADOS_RM_EVENTOS_original!K:L, 2, FALSE), "Código não encontrado/Não digitado")</f>
        <v>Código não encontrado/Não digitado</v>
      </c>
    </row>
    <row r="452" ht="15.75" hidden="1" customHeight="1">
      <c r="A452" s="11" t="s">
        <v>142</v>
      </c>
      <c r="B452" s="11" t="s">
        <v>4532</v>
      </c>
      <c r="C452" s="11" t="s">
        <v>4533</v>
      </c>
      <c r="D452" s="11" t="s">
        <v>44</v>
      </c>
      <c r="E452" s="11" t="s">
        <v>985</v>
      </c>
      <c r="F452" s="11" t="s">
        <v>782</v>
      </c>
      <c r="G452" s="12" t="s">
        <v>784</v>
      </c>
      <c r="H452" s="12" t="s">
        <v>68</v>
      </c>
      <c r="I452" s="12" t="str">
        <f>IFERROR(VLOOKUP(H452, DADOS_RM_EVENTOS_original!C:D, 2, FALSE), "Código não encontrado/Não digitado")</f>
        <v>Código não encontrado/Não digitado</v>
      </c>
      <c r="J452" s="12" t="s">
        <v>68</v>
      </c>
      <c r="K452" s="12" t="str">
        <f>IFERROR(VLOOKUP(J452, DADOS_RM_EVENTOS_original!E:J, 2, FALSE), "Código não encontrado/Não digitado")</f>
        <v>Código não encontrado/Não digitado</v>
      </c>
      <c r="L452" s="12" t="s">
        <v>68</v>
      </c>
      <c r="M452" s="12" t="str">
        <f>IFERROR(VLOOKUP(L452, DADOS_RM_EVENTOS_original!K:L, 2, FALSE), "Código não encontrado/Não digitado")</f>
        <v>Código não encontrado/Não digitado</v>
      </c>
    </row>
    <row r="453" ht="15.75" customHeight="1">
      <c r="A453" s="11" t="s">
        <v>38</v>
      </c>
      <c r="B453" s="11" t="s">
        <v>1992</v>
      </c>
      <c r="C453" s="11" t="s">
        <v>4534</v>
      </c>
      <c r="D453" s="11" t="s">
        <v>44</v>
      </c>
      <c r="E453" s="11" t="s">
        <v>47</v>
      </c>
      <c r="F453" s="11" t="s">
        <v>49</v>
      </c>
      <c r="G453" s="12" t="s">
        <v>63</v>
      </c>
      <c r="H453" s="12" t="s">
        <v>68</v>
      </c>
      <c r="I453" s="12" t="str">
        <f>IFERROR(VLOOKUP(H453, DADOS_RM_EVENTOS_original!C:D, 2, FALSE), "Código não encontrado/Não digitado")</f>
        <v>Código não encontrado/Não digitado</v>
      </c>
      <c r="J453" s="12" t="s">
        <v>68</v>
      </c>
      <c r="K453" s="12" t="str">
        <f>IFERROR(VLOOKUP(J453, DADOS_RM_EVENTOS_original!E:J, 2, FALSE), "Código não encontrado/Não digitado")</f>
        <v>Código não encontrado/Não digitado</v>
      </c>
      <c r="L453" s="12" t="s">
        <v>68</v>
      </c>
      <c r="M453" s="12" t="str">
        <f>IFERROR(VLOOKUP(L453, DADOS_RM_EVENTOS_original!K:L, 2, FALSE), "Código não encontrado/Não digitado")</f>
        <v>Código não encontrado/Não digitado</v>
      </c>
    </row>
    <row r="454" ht="15.75" customHeight="1">
      <c r="A454" s="11" t="s">
        <v>97</v>
      </c>
      <c r="B454" s="11" t="s">
        <v>1992</v>
      </c>
      <c r="C454" s="11" t="s">
        <v>4535</v>
      </c>
      <c r="D454" s="11" t="s">
        <v>44</v>
      </c>
      <c r="E454" s="11" t="s">
        <v>972</v>
      </c>
      <c r="F454" s="11" t="s">
        <v>49</v>
      </c>
      <c r="G454" s="12" t="s">
        <v>63</v>
      </c>
      <c r="H454" s="12" t="s">
        <v>68</v>
      </c>
      <c r="I454" s="12" t="str">
        <f>IFERROR(VLOOKUP(H454, DADOS_RM_EVENTOS_original!C:D, 2, FALSE), "Código não encontrado/Não digitado")</f>
        <v>Código não encontrado/Não digitado</v>
      </c>
      <c r="J454" s="12" t="s">
        <v>68</v>
      </c>
      <c r="K454" s="12" t="str">
        <f>IFERROR(VLOOKUP(J454, DADOS_RM_EVENTOS_original!E:J, 2, FALSE), "Código não encontrado/Não digitado")</f>
        <v>Código não encontrado/Não digitado</v>
      </c>
      <c r="L454" s="12" t="s">
        <v>68</v>
      </c>
      <c r="M454" s="12" t="str">
        <f>IFERROR(VLOOKUP(L454, DADOS_RM_EVENTOS_original!K:L, 2, FALSE), "Código não encontrado/Não digitado")</f>
        <v>Código não encontrado/Não digitado</v>
      </c>
    </row>
    <row r="455" ht="15.75" customHeight="1">
      <c r="A455" s="11" t="s">
        <v>199</v>
      </c>
      <c r="B455" s="11" t="s">
        <v>1992</v>
      </c>
      <c r="C455" s="11" t="s">
        <v>4535</v>
      </c>
      <c r="D455" s="11" t="s">
        <v>44</v>
      </c>
      <c r="E455" s="11" t="s">
        <v>1074</v>
      </c>
      <c r="F455" s="11" t="s">
        <v>49</v>
      </c>
      <c r="G455" s="12" t="s">
        <v>63</v>
      </c>
      <c r="H455" s="12" t="s">
        <v>68</v>
      </c>
      <c r="I455" s="12" t="str">
        <f>IFERROR(VLOOKUP(H455, DADOS_RM_EVENTOS_original!C:D, 2, FALSE), "Código não encontrado/Não digitado")</f>
        <v>Código não encontrado/Não digitado</v>
      </c>
      <c r="J455" s="12" t="s">
        <v>68</v>
      </c>
      <c r="K455" s="12" t="str">
        <f>IFERROR(VLOOKUP(J455, DADOS_RM_EVENTOS_original!E:J, 2, FALSE), "Código não encontrado/Não digitado")</f>
        <v>Código não encontrado/Não digitado</v>
      </c>
      <c r="L455" s="12" t="s">
        <v>68</v>
      </c>
      <c r="M455" s="12" t="str">
        <f>IFERROR(VLOOKUP(L455, DADOS_RM_EVENTOS_original!K:L, 2, FALSE), "Código não encontrado/Não digitado")</f>
        <v>Código não encontrado/Não digitado</v>
      </c>
    </row>
    <row r="456" ht="15.75" customHeight="1">
      <c r="A456" s="11" t="s">
        <v>97</v>
      </c>
      <c r="B456" s="11" t="s">
        <v>679</v>
      </c>
      <c r="C456" s="11" t="s">
        <v>4536</v>
      </c>
      <c r="D456" s="11" t="s">
        <v>120</v>
      </c>
      <c r="E456" s="11" t="s">
        <v>972</v>
      </c>
      <c r="F456" s="11" t="s">
        <v>49</v>
      </c>
      <c r="G456" s="12" t="s">
        <v>63</v>
      </c>
      <c r="H456" s="12" t="s">
        <v>68</v>
      </c>
      <c r="I456" s="12" t="str">
        <f>IFERROR(VLOOKUP(H456, DADOS_RM_EVENTOS_original!C:D, 2, FALSE), "Código não encontrado/Não digitado")</f>
        <v>Código não encontrado/Não digitado</v>
      </c>
      <c r="J456" s="12" t="s">
        <v>68</v>
      </c>
      <c r="K456" s="12" t="str">
        <f>IFERROR(VLOOKUP(J456, DADOS_RM_EVENTOS_original!E:J, 2, FALSE), "Código não encontrado/Não digitado")</f>
        <v>Código não encontrado/Não digitado</v>
      </c>
      <c r="L456" s="12" t="s">
        <v>68</v>
      </c>
      <c r="M456" s="12" t="str">
        <f>IFERROR(VLOOKUP(L456, DADOS_RM_EVENTOS_original!K:L, 2, FALSE), "Código não encontrado/Não digitado")</f>
        <v>Código não encontrado/Não digitado</v>
      </c>
    </row>
    <row r="457" ht="15.75" hidden="1" customHeight="1">
      <c r="A457" s="11" t="s">
        <v>97</v>
      </c>
      <c r="B457" s="11" t="s">
        <v>1284</v>
      </c>
      <c r="C457" s="11" t="s">
        <v>4537</v>
      </c>
      <c r="D457" s="11" t="s">
        <v>120</v>
      </c>
      <c r="E457" s="11" t="s">
        <v>972</v>
      </c>
      <c r="F457" s="11" t="s">
        <v>694</v>
      </c>
      <c r="G457" s="12" t="s">
        <v>696</v>
      </c>
      <c r="H457" s="12" t="s">
        <v>68</v>
      </c>
      <c r="I457" s="12" t="str">
        <f>IFERROR(VLOOKUP(H457, DADOS_RM_EVENTOS_original!C:D, 2, FALSE), "Código não encontrado/Não digitado")</f>
        <v>Código não encontrado/Não digitado</v>
      </c>
      <c r="J457" s="12" t="s">
        <v>68</v>
      </c>
      <c r="K457" s="12" t="str">
        <f>IFERROR(VLOOKUP(J457, DADOS_RM_EVENTOS_original!E:J, 2, FALSE), "Código não encontrado/Não digitado")</f>
        <v>Código não encontrado/Não digitado</v>
      </c>
      <c r="L457" s="12" t="s">
        <v>68</v>
      </c>
      <c r="M457" s="12" t="str">
        <f>IFERROR(VLOOKUP(L457, DADOS_RM_EVENTOS_original!K:L, 2, FALSE), "Código não encontrado/Não digitado")</f>
        <v>Código não encontrado/Não digitado</v>
      </c>
    </row>
    <row r="458" ht="15.75" hidden="1" customHeight="1">
      <c r="A458" s="11" t="s">
        <v>142</v>
      </c>
      <c r="B458" s="11" t="s">
        <v>1284</v>
      </c>
      <c r="C458" s="11" t="s">
        <v>4537</v>
      </c>
      <c r="D458" s="11" t="s">
        <v>120</v>
      </c>
      <c r="E458" s="11" t="s">
        <v>985</v>
      </c>
      <c r="F458" s="11" t="s">
        <v>694</v>
      </c>
      <c r="G458" s="12" t="s">
        <v>696</v>
      </c>
      <c r="H458" s="12" t="s">
        <v>68</v>
      </c>
      <c r="I458" s="12" t="str">
        <f>IFERROR(VLOOKUP(H458, DADOS_RM_EVENTOS_original!C:D, 2, FALSE), "Código não encontrado/Não digitado")</f>
        <v>Código não encontrado/Não digitado</v>
      </c>
      <c r="J458" s="12" t="s">
        <v>68</v>
      </c>
      <c r="K458" s="12" t="str">
        <f>IFERROR(VLOOKUP(J458, DADOS_RM_EVENTOS_original!E:J, 2, FALSE), "Código não encontrado/Não digitado")</f>
        <v>Código não encontrado/Não digitado</v>
      </c>
      <c r="L458" s="12" t="s">
        <v>68</v>
      </c>
      <c r="M458" s="12" t="str">
        <f>IFERROR(VLOOKUP(L458, DADOS_RM_EVENTOS_original!K:L, 2, FALSE), "Código não encontrado/Não digitado")</f>
        <v>Código não encontrado/Não digitado</v>
      </c>
    </row>
    <row r="459" ht="15.75" hidden="1" customHeight="1">
      <c r="A459" s="11" t="s">
        <v>38</v>
      </c>
      <c r="B459" s="11" t="s">
        <v>844</v>
      </c>
      <c r="C459" s="11" t="s">
        <v>4538</v>
      </c>
      <c r="D459" s="11" t="s">
        <v>120</v>
      </c>
      <c r="E459" s="11" t="s">
        <v>47</v>
      </c>
      <c r="F459" s="11" t="s">
        <v>694</v>
      </c>
      <c r="G459" s="12" t="s">
        <v>696</v>
      </c>
      <c r="H459" s="12" t="s">
        <v>68</v>
      </c>
      <c r="I459" s="12" t="str">
        <f>IFERROR(VLOOKUP(H459, DADOS_RM_EVENTOS_original!C:D, 2, FALSE), "Código não encontrado/Não digitado")</f>
        <v>Código não encontrado/Não digitado</v>
      </c>
      <c r="J459" s="12" t="s">
        <v>68</v>
      </c>
      <c r="K459" s="12" t="str">
        <f>IFERROR(VLOOKUP(J459, DADOS_RM_EVENTOS_original!E:J, 2, FALSE), "Código não encontrado/Não digitado")</f>
        <v>Código não encontrado/Não digitado</v>
      </c>
      <c r="L459" s="12" t="s">
        <v>68</v>
      </c>
      <c r="M459" s="12" t="str">
        <f>IFERROR(VLOOKUP(L459, DADOS_RM_EVENTOS_original!K:L, 2, FALSE), "Código não encontrado/Não digitado")</f>
        <v>Código não encontrado/Não digitado</v>
      </c>
    </row>
    <row r="460" ht="15.75" hidden="1" customHeight="1">
      <c r="A460" s="11" t="s">
        <v>38</v>
      </c>
      <c r="B460" s="11" t="s">
        <v>806</v>
      </c>
      <c r="C460" s="11" t="s">
        <v>4539</v>
      </c>
      <c r="D460" s="11" t="s">
        <v>120</v>
      </c>
      <c r="E460" s="11" t="s">
        <v>47</v>
      </c>
      <c r="F460" s="11" t="s">
        <v>694</v>
      </c>
      <c r="G460" s="12" t="s">
        <v>696</v>
      </c>
      <c r="H460" s="12" t="s">
        <v>68</v>
      </c>
      <c r="I460" s="12" t="str">
        <f>IFERROR(VLOOKUP(H460, DADOS_RM_EVENTOS_original!C:D, 2, FALSE), "Código não encontrado/Não digitado")</f>
        <v>Código não encontrado/Não digitado</v>
      </c>
      <c r="J460" s="12" t="s">
        <v>68</v>
      </c>
      <c r="K460" s="12" t="str">
        <f>IFERROR(VLOOKUP(J460, DADOS_RM_EVENTOS_original!E:J, 2, FALSE), "Código não encontrado/Não digitado")</f>
        <v>Código não encontrado/Não digitado</v>
      </c>
      <c r="L460" s="12" t="s">
        <v>68</v>
      </c>
      <c r="M460" s="12" t="str">
        <f>IFERROR(VLOOKUP(L460, DADOS_RM_EVENTOS_original!K:L, 2, FALSE), "Código não encontrado/Não digitado")</f>
        <v>Código não encontrado/Não digitado</v>
      </c>
    </row>
    <row r="461" ht="15.75" hidden="1" customHeight="1">
      <c r="A461" s="11" t="s">
        <v>38</v>
      </c>
      <c r="B461" s="11" t="s">
        <v>755</v>
      </c>
      <c r="C461" s="11" t="s">
        <v>4540</v>
      </c>
      <c r="D461" s="11" t="s">
        <v>120</v>
      </c>
      <c r="E461" s="11" t="s">
        <v>47</v>
      </c>
      <c r="F461" s="11" t="s">
        <v>694</v>
      </c>
      <c r="G461" s="12" t="s">
        <v>696</v>
      </c>
      <c r="H461" s="12" t="s">
        <v>68</v>
      </c>
      <c r="I461" s="12" t="str">
        <f>IFERROR(VLOOKUP(H461, DADOS_RM_EVENTOS_original!C:D, 2, FALSE), "Código não encontrado/Não digitado")</f>
        <v>Código não encontrado/Não digitado</v>
      </c>
      <c r="J461" s="12" t="s">
        <v>68</v>
      </c>
      <c r="K461" s="12" t="str">
        <f>IFERROR(VLOOKUP(J461, DADOS_RM_EVENTOS_original!E:J, 2, FALSE), "Código não encontrado/Não digitado")</f>
        <v>Código não encontrado/Não digitado</v>
      </c>
      <c r="L461" s="12" t="s">
        <v>68</v>
      </c>
      <c r="M461" s="12" t="str">
        <f>IFERROR(VLOOKUP(L461, DADOS_RM_EVENTOS_original!K:L, 2, FALSE), "Código não encontrado/Não digitado")</f>
        <v>Código não encontrado/Não digitado</v>
      </c>
    </row>
    <row r="462" ht="15.75" hidden="1" customHeight="1">
      <c r="A462" s="11" t="s">
        <v>38</v>
      </c>
      <c r="B462" s="11" t="s">
        <v>821</v>
      </c>
      <c r="C462" s="11" t="s">
        <v>4541</v>
      </c>
      <c r="D462" s="11" t="s">
        <v>120</v>
      </c>
      <c r="E462" s="11" t="s">
        <v>47</v>
      </c>
      <c r="F462" s="11" t="s">
        <v>694</v>
      </c>
      <c r="G462" s="12" t="s">
        <v>696</v>
      </c>
      <c r="H462" s="12" t="s">
        <v>68</v>
      </c>
      <c r="I462" s="12" t="str">
        <f>IFERROR(VLOOKUP(H462, DADOS_RM_EVENTOS_original!C:D, 2, FALSE), "Código não encontrado/Não digitado")</f>
        <v>Código não encontrado/Não digitado</v>
      </c>
      <c r="J462" s="12" t="s">
        <v>68</v>
      </c>
      <c r="K462" s="12" t="str">
        <f>IFERROR(VLOOKUP(J462, DADOS_RM_EVENTOS_original!E:J, 2, FALSE), "Código não encontrado/Não digitado")</f>
        <v>Código não encontrado/Não digitado</v>
      </c>
      <c r="L462" s="12" t="s">
        <v>68</v>
      </c>
      <c r="M462" s="12" t="str">
        <f>IFERROR(VLOOKUP(L462, DADOS_RM_EVENTOS_original!K:L, 2, FALSE), "Código não encontrado/Não digitado")</f>
        <v>Código não encontrado/Não digitado</v>
      </c>
    </row>
    <row r="463" ht="15.75" hidden="1" customHeight="1">
      <c r="A463" s="11" t="s">
        <v>38</v>
      </c>
      <c r="B463" s="11" t="s">
        <v>728</v>
      </c>
      <c r="C463" s="11" t="s">
        <v>4542</v>
      </c>
      <c r="D463" s="11" t="s">
        <v>120</v>
      </c>
      <c r="E463" s="11" t="s">
        <v>47</v>
      </c>
      <c r="F463" s="11" t="s">
        <v>694</v>
      </c>
      <c r="G463" s="12" t="s">
        <v>696</v>
      </c>
      <c r="H463" s="12" t="s">
        <v>68</v>
      </c>
      <c r="I463" s="12" t="str">
        <f>IFERROR(VLOOKUP(H463, DADOS_RM_EVENTOS_original!C:D, 2, FALSE), "Código não encontrado/Não digitado")</f>
        <v>Código não encontrado/Não digitado</v>
      </c>
      <c r="J463" s="12" t="s">
        <v>68</v>
      </c>
      <c r="K463" s="12" t="str">
        <f>IFERROR(VLOOKUP(J463, DADOS_RM_EVENTOS_original!E:J, 2, FALSE), "Código não encontrado/Não digitado")</f>
        <v>Código não encontrado/Não digitado</v>
      </c>
      <c r="L463" s="12" t="s">
        <v>68</v>
      </c>
      <c r="M463" s="12" t="str">
        <f>IFERROR(VLOOKUP(L463, DADOS_RM_EVENTOS_original!K:L, 2, FALSE), "Código não encontrado/Não digitado")</f>
        <v>Código não encontrado/Não digitado</v>
      </c>
    </row>
    <row r="464" ht="15.75" hidden="1" customHeight="1">
      <c r="A464" s="11" t="s">
        <v>38</v>
      </c>
      <c r="B464" s="11" t="s">
        <v>811</v>
      </c>
      <c r="C464" s="11" t="s">
        <v>4543</v>
      </c>
      <c r="D464" s="11" t="s">
        <v>120</v>
      </c>
      <c r="E464" s="11" t="s">
        <v>47</v>
      </c>
      <c r="F464" s="11" t="s">
        <v>694</v>
      </c>
      <c r="G464" s="12" t="s">
        <v>696</v>
      </c>
      <c r="H464" s="12" t="s">
        <v>68</v>
      </c>
      <c r="I464" s="12" t="str">
        <f>IFERROR(VLOOKUP(H464, DADOS_RM_EVENTOS_original!C:D, 2, FALSE), "Código não encontrado/Não digitado")</f>
        <v>Código não encontrado/Não digitado</v>
      </c>
      <c r="J464" s="12" t="s">
        <v>68</v>
      </c>
      <c r="K464" s="12" t="str">
        <f>IFERROR(VLOOKUP(J464, DADOS_RM_EVENTOS_original!E:J, 2, FALSE), "Código não encontrado/Não digitado")</f>
        <v>Código não encontrado/Não digitado</v>
      </c>
      <c r="L464" s="12" t="s">
        <v>68</v>
      </c>
      <c r="M464" s="12" t="str">
        <f>IFERROR(VLOOKUP(L464, DADOS_RM_EVENTOS_original!K:L, 2, FALSE), "Código não encontrado/Não digitado")</f>
        <v>Código não encontrado/Não digitado</v>
      </c>
    </row>
    <row r="465" ht="15.75" hidden="1" customHeight="1">
      <c r="A465" s="11" t="s">
        <v>38</v>
      </c>
      <c r="B465" s="11" t="s">
        <v>1670</v>
      </c>
      <c r="C465" s="11" t="s">
        <v>4544</v>
      </c>
      <c r="D465" s="11" t="s">
        <v>120</v>
      </c>
      <c r="E465" s="11" t="s">
        <v>47</v>
      </c>
      <c r="F465" s="11" t="s">
        <v>694</v>
      </c>
      <c r="G465" s="12" t="s">
        <v>696</v>
      </c>
      <c r="H465" s="12" t="s">
        <v>68</v>
      </c>
      <c r="I465" s="12" t="str">
        <f>IFERROR(VLOOKUP(H465, DADOS_RM_EVENTOS_original!C:D, 2, FALSE), "Código não encontrado/Não digitado")</f>
        <v>Código não encontrado/Não digitado</v>
      </c>
      <c r="J465" s="12" t="s">
        <v>68</v>
      </c>
      <c r="K465" s="12" t="str">
        <f>IFERROR(VLOOKUP(J465, DADOS_RM_EVENTOS_original!E:J, 2, FALSE), "Código não encontrado/Não digitado")</f>
        <v>Código não encontrado/Não digitado</v>
      </c>
      <c r="L465" s="12" t="s">
        <v>68</v>
      </c>
      <c r="M465" s="12" t="str">
        <f>IFERROR(VLOOKUP(L465, DADOS_RM_EVENTOS_original!K:L, 2, FALSE), "Código não encontrado/Não digitado")</f>
        <v>Código não encontrado/Não digitado</v>
      </c>
    </row>
    <row r="466" ht="15.75" hidden="1" customHeight="1">
      <c r="A466" s="11" t="s">
        <v>38</v>
      </c>
      <c r="B466" s="11" t="s">
        <v>825</v>
      </c>
      <c r="C466" s="11" t="s">
        <v>4545</v>
      </c>
      <c r="D466" s="11" t="s">
        <v>120</v>
      </c>
      <c r="E466" s="11" t="s">
        <v>47</v>
      </c>
      <c r="F466" s="11" t="s">
        <v>694</v>
      </c>
      <c r="G466" s="12" t="s">
        <v>696</v>
      </c>
      <c r="H466" s="12" t="s">
        <v>68</v>
      </c>
      <c r="I466" s="12" t="str">
        <f>IFERROR(VLOOKUP(H466, DADOS_RM_EVENTOS_original!C:D, 2, FALSE), "Código não encontrado/Não digitado")</f>
        <v>Código não encontrado/Não digitado</v>
      </c>
      <c r="J466" s="12" t="s">
        <v>68</v>
      </c>
      <c r="K466" s="12" t="str">
        <f>IFERROR(VLOOKUP(J466, DADOS_RM_EVENTOS_original!E:J, 2, FALSE), "Código não encontrado/Não digitado")</f>
        <v>Código não encontrado/Não digitado</v>
      </c>
      <c r="L466" s="12" t="s">
        <v>68</v>
      </c>
      <c r="M466" s="12" t="str">
        <f>IFERROR(VLOOKUP(L466, DADOS_RM_EVENTOS_original!K:L, 2, FALSE), "Código não encontrado/Não digitado")</f>
        <v>Código não encontrado/Não digitado</v>
      </c>
    </row>
    <row r="467" ht="15.75" hidden="1" customHeight="1">
      <c r="A467" s="11" t="s">
        <v>38</v>
      </c>
      <c r="B467" s="11" t="s">
        <v>318</v>
      </c>
      <c r="C467" s="11" t="s">
        <v>4546</v>
      </c>
      <c r="D467" s="11" t="s">
        <v>120</v>
      </c>
      <c r="E467" s="11" t="s">
        <v>47</v>
      </c>
      <c r="F467" s="11" t="s">
        <v>694</v>
      </c>
      <c r="G467" s="12" t="s">
        <v>696</v>
      </c>
      <c r="H467" s="12" t="s">
        <v>68</v>
      </c>
      <c r="I467" s="12" t="str">
        <f>IFERROR(VLOOKUP(H467, DADOS_RM_EVENTOS_original!C:D, 2, FALSE), "Código não encontrado/Não digitado")</f>
        <v>Código não encontrado/Não digitado</v>
      </c>
      <c r="J467" s="12" t="s">
        <v>68</v>
      </c>
      <c r="K467" s="12" t="str">
        <f>IFERROR(VLOOKUP(J467, DADOS_RM_EVENTOS_original!E:J, 2, FALSE), "Código não encontrado/Não digitado")</f>
        <v>Código não encontrado/Não digitado</v>
      </c>
      <c r="L467" s="12" t="s">
        <v>68</v>
      </c>
      <c r="M467" s="12" t="str">
        <f>IFERROR(VLOOKUP(L467, DADOS_RM_EVENTOS_original!K:L, 2, FALSE), "Código não encontrado/Não digitado")</f>
        <v>Código não encontrado/Não digitado</v>
      </c>
    </row>
    <row r="468" ht="15.75" hidden="1" customHeight="1">
      <c r="A468" s="11" t="s">
        <v>38</v>
      </c>
      <c r="B468" s="11" t="s">
        <v>497</v>
      </c>
      <c r="C468" s="11" t="s">
        <v>4547</v>
      </c>
      <c r="D468" s="11" t="s">
        <v>120</v>
      </c>
      <c r="E468" s="11" t="s">
        <v>47</v>
      </c>
      <c r="F468" s="11" t="s">
        <v>694</v>
      </c>
      <c r="G468" s="12" t="s">
        <v>696</v>
      </c>
      <c r="H468" s="12" t="s">
        <v>68</v>
      </c>
      <c r="I468" s="12" t="str">
        <f>IFERROR(VLOOKUP(H468, DADOS_RM_EVENTOS_original!C:D, 2, FALSE), "Código não encontrado/Não digitado")</f>
        <v>Código não encontrado/Não digitado</v>
      </c>
      <c r="J468" s="12" t="s">
        <v>68</v>
      </c>
      <c r="K468" s="12" t="str">
        <f>IFERROR(VLOOKUP(J468, DADOS_RM_EVENTOS_original!E:J, 2, FALSE), "Código não encontrado/Não digitado")</f>
        <v>Código não encontrado/Não digitado</v>
      </c>
      <c r="L468" s="12" t="s">
        <v>68</v>
      </c>
      <c r="M468" s="12" t="str">
        <f>IFERROR(VLOOKUP(L468, DADOS_RM_EVENTOS_original!K:L, 2, FALSE), "Código não encontrado/Não digitado")</f>
        <v>Código não encontrado/Não digitado</v>
      </c>
    </row>
    <row r="469" ht="15.75" hidden="1" customHeight="1">
      <c r="A469" s="11" t="s">
        <v>38</v>
      </c>
      <c r="B469" s="11" t="s">
        <v>351</v>
      </c>
      <c r="C469" s="11" t="s">
        <v>4548</v>
      </c>
      <c r="D469" s="11" t="s">
        <v>120</v>
      </c>
      <c r="E469" s="11" t="s">
        <v>47</v>
      </c>
      <c r="F469" s="11" t="s">
        <v>694</v>
      </c>
      <c r="G469" s="12" t="s">
        <v>696</v>
      </c>
      <c r="H469" s="12" t="s">
        <v>68</v>
      </c>
      <c r="I469" s="12" t="str">
        <f>IFERROR(VLOOKUP(H469, DADOS_RM_EVENTOS_original!C:D, 2, FALSE), "Código não encontrado/Não digitado")</f>
        <v>Código não encontrado/Não digitado</v>
      </c>
      <c r="J469" s="12" t="s">
        <v>68</v>
      </c>
      <c r="K469" s="12" t="str">
        <f>IFERROR(VLOOKUP(J469, DADOS_RM_EVENTOS_original!E:J, 2, FALSE), "Código não encontrado/Não digitado")</f>
        <v>Código não encontrado/Não digitado</v>
      </c>
      <c r="L469" s="12" t="s">
        <v>68</v>
      </c>
      <c r="M469" s="12" t="str">
        <f>IFERROR(VLOOKUP(L469, DADOS_RM_EVENTOS_original!K:L, 2, FALSE), "Código não encontrado/Não digitado")</f>
        <v>Código não encontrado/Não digitado</v>
      </c>
    </row>
    <row r="470" ht="15.75" hidden="1" customHeight="1">
      <c r="A470" s="11" t="s">
        <v>38</v>
      </c>
      <c r="B470" s="11" t="s">
        <v>504</v>
      </c>
      <c r="C470" s="11" t="s">
        <v>4549</v>
      </c>
      <c r="D470" s="11" t="s">
        <v>120</v>
      </c>
      <c r="E470" s="11" t="s">
        <v>47</v>
      </c>
      <c r="F470" s="11" t="s">
        <v>694</v>
      </c>
      <c r="G470" s="12" t="s">
        <v>696</v>
      </c>
      <c r="H470" s="12" t="s">
        <v>68</v>
      </c>
      <c r="I470" s="12" t="str">
        <f>IFERROR(VLOOKUP(H470, DADOS_RM_EVENTOS_original!C:D, 2, FALSE), "Código não encontrado/Não digitado")</f>
        <v>Código não encontrado/Não digitado</v>
      </c>
      <c r="J470" s="12" t="s">
        <v>68</v>
      </c>
      <c r="K470" s="12" t="str">
        <f>IFERROR(VLOOKUP(J470, DADOS_RM_EVENTOS_original!E:J, 2, FALSE), "Código não encontrado/Não digitado")</f>
        <v>Código não encontrado/Não digitado</v>
      </c>
      <c r="L470" s="12" t="s">
        <v>68</v>
      </c>
      <c r="M470" s="12" t="str">
        <f>IFERROR(VLOOKUP(L470, DADOS_RM_EVENTOS_original!K:L, 2, FALSE), "Código não encontrado/Não digitado")</f>
        <v>Código não encontrado/Não digitado</v>
      </c>
    </row>
    <row r="471" ht="15.75" hidden="1" customHeight="1">
      <c r="A471" s="11" t="s">
        <v>38</v>
      </c>
      <c r="B471" s="11" t="s">
        <v>368</v>
      </c>
      <c r="C471" s="11" t="s">
        <v>4550</v>
      </c>
      <c r="D471" s="11" t="s">
        <v>120</v>
      </c>
      <c r="E471" s="11" t="s">
        <v>47</v>
      </c>
      <c r="F471" s="11" t="s">
        <v>694</v>
      </c>
      <c r="G471" s="12" t="s">
        <v>696</v>
      </c>
      <c r="H471" s="12" t="s">
        <v>68</v>
      </c>
      <c r="I471" s="12" t="str">
        <f>IFERROR(VLOOKUP(H471, DADOS_RM_EVENTOS_original!C:D, 2, FALSE), "Código não encontrado/Não digitado")</f>
        <v>Código não encontrado/Não digitado</v>
      </c>
      <c r="J471" s="12" t="s">
        <v>68</v>
      </c>
      <c r="K471" s="12" t="str">
        <f>IFERROR(VLOOKUP(J471, DADOS_RM_EVENTOS_original!E:J, 2, FALSE), "Código não encontrado/Não digitado")</f>
        <v>Código não encontrado/Não digitado</v>
      </c>
      <c r="L471" s="12" t="s">
        <v>68</v>
      </c>
      <c r="M471" s="12" t="str">
        <f>IFERROR(VLOOKUP(L471, DADOS_RM_EVENTOS_original!K:L, 2, FALSE), "Código não encontrado/Não digitado")</f>
        <v>Código não encontrado/Não digitado</v>
      </c>
    </row>
    <row r="472" ht="15.75" hidden="1" customHeight="1">
      <c r="A472" s="11" t="s">
        <v>38</v>
      </c>
      <c r="B472" s="11" t="s">
        <v>514</v>
      </c>
      <c r="C472" s="11" t="s">
        <v>4551</v>
      </c>
      <c r="D472" s="11" t="s">
        <v>120</v>
      </c>
      <c r="E472" s="11" t="s">
        <v>47</v>
      </c>
      <c r="F472" s="11" t="s">
        <v>694</v>
      </c>
      <c r="G472" s="12" t="s">
        <v>696</v>
      </c>
      <c r="H472" s="12" t="s">
        <v>68</v>
      </c>
      <c r="I472" s="12" t="str">
        <f>IFERROR(VLOOKUP(H472, DADOS_RM_EVENTOS_original!C:D, 2, FALSE), "Código não encontrado/Não digitado")</f>
        <v>Código não encontrado/Não digitado</v>
      </c>
      <c r="J472" s="12" t="s">
        <v>68</v>
      </c>
      <c r="K472" s="12" t="str">
        <f>IFERROR(VLOOKUP(J472, DADOS_RM_EVENTOS_original!E:J, 2, FALSE), "Código não encontrado/Não digitado")</f>
        <v>Código não encontrado/Não digitado</v>
      </c>
      <c r="L472" s="12" t="s">
        <v>68</v>
      </c>
      <c r="M472" s="12" t="str">
        <f>IFERROR(VLOOKUP(L472, DADOS_RM_EVENTOS_original!K:L, 2, FALSE), "Código não encontrado/Não digitado")</f>
        <v>Código não encontrado/Não digitado</v>
      </c>
    </row>
    <row r="473" ht="15.75" hidden="1" customHeight="1">
      <c r="A473" s="11" t="s">
        <v>38</v>
      </c>
      <c r="B473" s="11" t="s">
        <v>376</v>
      </c>
      <c r="C473" s="11" t="s">
        <v>4552</v>
      </c>
      <c r="D473" s="11" t="s">
        <v>120</v>
      </c>
      <c r="E473" s="11" t="s">
        <v>47</v>
      </c>
      <c r="F473" s="11" t="s">
        <v>694</v>
      </c>
      <c r="G473" s="12" t="s">
        <v>696</v>
      </c>
      <c r="H473" s="12" t="s">
        <v>68</v>
      </c>
      <c r="I473" s="12" t="str">
        <f>IFERROR(VLOOKUP(H473, DADOS_RM_EVENTOS_original!C:D, 2, FALSE), "Código não encontrado/Não digitado")</f>
        <v>Código não encontrado/Não digitado</v>
      </c>
      <c r="J473" s="12" t="s">
        <v>68</v>
      </c>
      <c r="K473" s="12" t="str">
        <f>IFERROR(VLOOKUP(J473, DADOS_RM_EVENTOS_original!E:J, 2, FALSE), "Código não encontrado/Não digitado")</f>
        <v>Código não encontrado/Não digitado</v>
      </c>
      <c r="L473" s="12" t="s">
        <v>68</v>
      </c>
      <c r="M473" s="12" t="str">
        <f>IFERROR(VLOOKUP(L473, DADOS_RM_EVENTOS_original!K:L, 2, FALSE), "Código não encontrado/Não digitado")</f>
        <v>Código não encontrado/Não digitado</v>
      </c>
    </row>
    <row r="474" ht="15.75" hidden="1" customHeight="1">
      <c r="A474" s="11" t="s">
        <v>38</v>
      </c>
      <c r="B474" s="11" t="s">
        <v>521</v>
      </c>
      <c r="C474" s="11" t="s">
        <v>4553</v>
      </c>
      <c r="D474" s="11" t="s">
        <v>120</v>
      </c>
      <c r="E474" s="11" t="s">
        <v>47</v>
      </c>
      <c r="F474" s="11" t="s">
        <v>694</v>
      </c>
      <c r="G474" s="12" t="s">
        <v>696</v>
      </c>
      <c r="H474" s="12" t="s">
        <v>68</v>
      </c>
      <c r="I474" s="12" t="str">
        <f>IFERROR(VLOOKUP(H474, DADOS_RM_EVENTOS_original!C:D, 2, FALSE), "Código não encontrado/Não digitado")</f>
        <v>Código não encontrado/Não digitado</v>
      </c>
      <c r="J474" s="12" t="s">
        <v>68</v>
      </c>
      <c r="K474" s="12" t="str">
        <f>IFERROR(VLOOKUP(J474, DADOS_RM_EVENTOS_original!E:J, 2, FALSE), "Código não encontrado/Não digitado")</f>
        <v>Código não encontrado/Não digitado</v>
      </c>
      <c r="L474" s="12" t="s">
        <v>68</v>
      </c>
      <c r="M474" s="12" t="str">
        <f>IFERROR(VLOOKUP(L474, DADOS_RM_EVENTOS_original!K:L, 2, FALSE), "Código não encontrado/Não digitado")</f>
        <v>Código não encontrado/Não digitado</v>
      </c>
    </row>
    <row r="475" ht="15.75" hidden="1" customHeight="1">
      <c r="A475" s="11" t="s">
        <v>38</v>
      </c>
      <c r="B475" s="11" t="s">
        <v>415</v>
      </c>
      <c r="C475" s="11" t="s">
        <v>4554</v>
      </c>
      <c r="D475" s="11" t="s">
        <v>120</v>
      </c>
      <c r="E475" s="11" t="s">
        <v>47</v>
      </c>
      <c r="F475" s="11" t="s">
        <v>694</v>
      </c>
      <c r="G475" s="12" t="s">
        <v>696</v>
      </c>
      <c r="H475" s="12" t="s">
        <v>68</v>
      </c>
      <c r="I475" s="12" t="str">
        <f>IFERROR(VLOOKUP(H475, DADOS_RM_EVENTOS_original!C:D, 2, FALSE), "Código não encontrado/Não digitado")</f>
        <v>Código não encontrado/Não digitado</v>
      </c>
      <c r="J475" s="12" t="s">
        <v>68</v>
      </c>
      <c r="K475" s="12" t="str">
        <f>IFERROR(VLOOKUP(J475, DADOS_RM_EVENTOS_original!E:J, 2, FALSE), "Código não encontrado/Não digitado")</f>
        <v>Código não encontrado/Não digitado</v>
      </c>
      <c r="L475" s="12" t="s">
        <v>68</v>
      </c>
      <c r="M475" s="12" t="str">
        <f>IFERROR(VLOOKUP(L475, DADOS_RM_EVENTOS_original!K:L, 2, FALSE), "Código não encontrado/Não digitado")</f>
        <v>Código não encontrado/Não digitado</v>
      </c>
    </row>
    <row r="476" ht="15.75" hidden="1" customHeight="1">
      <c r="A476" s="11" t="s">
        <v>38</v>
      </c>
      <c r="B476" s="11" t="s">
        <v>569</v>
      </c>
      <c r="C476" s="11" t="s">
        <v>4555</v>
      </c>
      <c r="D476" s="11" t="s">
        <v>120</v>
      </c>
      <c r="E476" s="11" t="s">
        <v>47</v>
      </c>
      <c r="F476" s="11" t="s">
        <v>694</v>
      </c>
      <c r="G476" s="12" t="s">
        <v>696</v>
      </c>
      <c r="H476" s="12" t="s">
        <v>68</v>
      </c>
      <c r="I476" s="12" t="str">
        <f>IFERROR(VLOOKUP(H476, DADOS_RM_EVENTOS_original!C:D, 2, FALSE), "Código não encontrado/Não digitado")</f>
        <v>Código não encontrado/Não digitado</v>
      </c>
      <c r="J476" s="12" t="s">
        <v>68</v>
      </c>
      <c r="K476" s="12" t="str">
        <f>IFERROR(VLOOKUP(J476, DADOS_RM_EVENTOS_original!E:J, 2, FALSE), "Código não encontrado/Não digitado")</f>
        <v>Código não encontrado/Não digitado</v>
      </c>
      <c r="L476" s="12" t="s">
        <v>68</v>
      </c>
      <c r="M476" s="12" t="str">
        <f>IFERROR(VLOOKUP(L476, DADOS_RM_EVENTOS_original!K:L, 2, FALSE), "Código não encontrado/Não digitado")</f>
        <v>Código não encontrado/Não digitado</v>
      </c>
    </row>
    <row r="477" ht="15.75" hidden="1" customHeight="1">
      <c r="A477" s="11" t="s">
        <v>38</v>
      </c>
      <c r="B477" s="11" t="s">
        <v>439</v>
      </c>
      <c r="C477" s="11" t="s">
        <v>4556</v>
      </c>
      <c r="D477" s="11" t="s">
        <v>120</v>
      </c>
      <c r="E477" s="11" t="s">
        <v>47</v>
      </c>
      <c r="F477" s="11" t="s">
        <v>694</v>
      </c>
      <c r="G477" s="12" t="s">
        <v>696</v>
      </c>
      <c r="H477" s="12" t="s">
        <v>68</v>
      </c>
      <c r="I477" s="12" t="str">
        <f>IFERROR(VLOOKUP(H477, DADOS_RM_EVENTOS_original!C:D, 2, FALSE), "Código não encontrado/Não digitado")</f>
        <v>Código não encontrado/Não digitado</v>
      </c>
      <c r="J477" s="12" t="s">
        <v>68</v>
      </c>
      <c r="K477" s="12" t="str">
        <f>IFERROR(VLOOKUP(J477, DADOS_RM_EVENTOS_original!E:J, 2, FALSE), "Código não encontrado/Não digitado")</f>
        <v>Código não encontrado/Não digitado</v>
      </c>
      <c r="L477" s="12" t="s">
        <v>68</v>
      </c>
      <c r="M477" s="12" t="str">
        <f>IFERROR(VLOOKUP(L477, DADOS_RM_EVENTOS_original!K:L, 2, FALSE), "Código não encontrado/Não digitado")</f>
        <v>Código não encontrado/Não digitado</v>
      </c>
    </row>
    <row r="478" ht="15.75" hidden="1" customHeight="1">
      <c r="A478" s="11" t="s">
        <v>38</v>
      </c>
      <c r="B478" s="11" t="s">
        <v>603</v>
      </c>
      <c r="C478" s="11" t="s">
        <v>4557</v>
      </c>
      <c r="D478" s="11" t="s">
        <v>120</v>
      </c>
      <c r="E478" s="11" t="s">
        <v>47</v>
      </c>
      <c r="F478" s="11" t="s">
        <v>694</v>
      </c>
      <c r="G478" s="12" t="s">
        <v>696</v>
      </c>
      <c r="H478" s="12" t="s">
        <v>68</v>
      </c>
      <c r="I478" s="12" t="str">
        <f>IFERROR(VLOOKUP(H478, DADOS_RM_EVENTOS_original!C:D, 2, FALSE), "Código não encontrado/Não digitado")</f>
        <v>Código não encontrado/Não digitado</v>
      </c>
      <c r="J478" s="12" t="s">
        <v>68</v>
      </c>
      <c r="K478" s="12" t="str">
        <f>IFERROR(VLOOKUP(J478, DADOS_RM_EVENTOS_original!E:J, 2, FALSE), "Código não encontrado/Não digitado")</f>
        <v>Código não encontrado/Não digitado</v>
      </c>
      <c r="L478" s="12" t="s">
        <v>68</v>
      </c>
      <c r="M478" s="12" t="str">
        <f>IFERROR(VLOOKUP(L478, DADOS_RM_EVENTOS_original!K:L, 2, FALSE), "Código não encontrado/Não digitado")</f>
        <v>Código não encontrado/Não digitado</v>
      </c>
    </row>
    <row r="479" ht="15.75" hidden="1" customHeight="1">
      <c r="A479" s="11" t="s">
        <v>38</v>
      </c>
      <c r="B479" s="11" t="s">
        <v>901</v>
      </c>
      <c r="C479" s="11" t="s">
        <v>4558</v>
      </c>
      <c r="D479" s="11" t="s">
        <v>120</v>
      </c>
      <c r="E479" s="11" t="s">
        <v>47</v>
      </c>
      <c r="F479" s="11" t="s">
        <v>694</v>
      </c>
      <c r="G479" s="12" t="s">
        <v>696</v>
      </c>
      <c r="H479" s="12" t="s">
        <v>68</v>
      </c>
      <c r="I479" s="12" t="str">
        <f>IFERROR(VLOOKUP(H479, DADOS_RM_EVENTOS_original!C:D, 2, FALSE), "Código não encontrado/Não digitado")</f>
        <v>Código não encontrado/Não digitado</v>
      </c>
      <c r="J479" s="12" t="s">
        <v>68</v>
      </c>
      <c r="K479" s="12" t="str">
        <f>IFERROR(VLOOKUP(J479, DADOS_RM_EVENTOS_original!E:J, 2, FALSE), "Código não encontrado/Não digitado")</f>
        <v>Código não encontrado/Não digitado</v>
      </c>
      <c r="L479" s="12" t="s">
        <v>68</v>
      </c>
      <c r="M479" s="12" t="str">
        <f>IFERROR(VLOOKUP(L479, DADOS_RM_EVENTOS_original!K:L, 2, FALSE), "Código não encontrado/Não digitado")</f>
        <v>Código não encontrado/Não digitado</v>
      </c>
    </row>
    <row r="480" ht="15.75" hidden="1" customHeight="1">
      <c r="A480" s="11" t="s">
        <v>38</v>
      </c>
      <c r="B480" s="11" t="s">
        <v>357</v>
      </c>
      <c r="C480" s="11" t="s">
        <v>4559</v>
      </c>
      <c r="D480" s="11" t="s">
        <v>120</v>
      </c>
      <c r="E480" s="11" t="s">
        <v>47</v>
      </c>
      <c r="F480" s="11" t="s">
        <v>694</v>
      </c>
      <c r="G480" s="12" t="s">
        <v>696</v>
      </c>
      <c r="H480" s="12" t="s">
        <v>68</v>
      </c>
      <c r="I480" s="12" t="str">
        <f>IFERROR(VLOOKUP(H480, DADOS_RM_EVENTOS_original!C:D, 2, FALSE), "Código não encontrado/Não digitado")</f>
        <v>Código não encontrado/Não digitado</v>
      </c>
      <c r="J480" s="12" t="s">
        <v>68</v>
      </c>
      <c r="K480" s="12" t="str">
        <f>IFERROR(VLOOKUP(J480, DADOS_RM_EVENTOS_original!E:J, 2, FALSE), "Código não encontrado/Não digitado")</f>
        <v>Código não encontrado/Não digitado</v>
      </c>
      <c r="L480" s="12" t="s">
        <v>68</v>
      </c>
      <c r="M480" s="12" t="str">
        <f>IFERROR(VLOOKUP(L480, DADOS_RM_EVENTOS_original!K:L, 2, FALSE), "Código não encontrado/Não digitado")</f>
        <v>Código não encontrado/Não digitado</v>
      </c>
    </row>
    <row r="481" ht="15.75" hidden="1" customHeight="1">
      <c r="A481" s="11" t="s">
        <v>38</v>
      </c>
      <c r="B481" s="11" t="s">
        <v>447</v>
      </c>
      <c r="C481" s="11" t="s">
        <v>4560</v>
      </c>
      <c r="D481" s="11" t="s">
        <v>120</v>
      </c>
      <c r="E481" s="11" t="s">
        <v>47</v>
      </c>
      <c r="F481" s="11" t="s">
        <v>694</v>
      </c>
      <c r="G481" s="12" t="s">
        <v>696</v>
      </c>
      <c r="H481" s="12" t="s">
        <v>68</v>
      </c>
      <c r="I481" s="12" t="str">
        <f>IFERROR(VLOOKUP(H481, DADOS_RM_EVENTOS_original!C:D, 2, FALSE), "Código não encontrado/Não digitado")</f>
        <v>Código não encontrado/Não digitado</v>
      </c>
      <c r="J481" s="12" t="s">
        <v>68</v>
      </c>
      <c r="K481" s="12" t="str">
        <f>IFERROR(VLOOKUP(J481, DADOS_RM_EVENTOS_original!E:J, 2, FALSE), "Código não encontrado/Não digitado")</f>
        <v>Código não encontrado/Não digitado</v>
      </c>
      <c r="L481" s="12" t="s">
        <v>68</v>
      </c>
      <c r="M481" s="12" t="str">
        <f>IFERROR(VLOOKUP(L481, DADOS_RM_EVENTOS_original!K:L, 2, FALSE), "Código não encontrado/Não digitado")</f>
        <v>Código não encontrado/Não digitado</v>
      </c>
    </row>
    <row r="482" ht="15.75" hidden="1" customHeight="1">
      <c r="A482" s="11" t="s">
        <v>38</v>
      </c>
      <c r="B482" s="11" t="s">
        <v>644</v>
      </c>
      <c r="C482" s="11" t="s">
        <v>4561</v>
      </c>
      <c r="D482" s="11" t="s">
        <v>120</v>
      </c>
      <c r="E482" s="11" t="s">
        <v>47</v>
      </c>
      <c r="F482" s="11" t="s">
        <v>694</v>
      </c>
      <c r="G482" s="12" t="s">
        <v>696</v>
      </c>
      <c r="H482" s="12" t="s">
        <v>68</v>
      </c>
      <c r="I482" s="12" t="str">
        <f>IFERROR(VLOOKUP(H482, DADOS_RM_EVENTOS_original!C:D, 2, FALSE), "Código não encontrado/Não digitado")</f>
        <v>Código não encontrado/Não digitado</v>
      </c>
      <c r="J482" s="12" t="s">
        <v>68</v>
      </c>
      <c r="K482" s="12" t="str">
        <f>IFERROR(VLOOKUP(J482, DADOS_RM_EVENTOS_original!E:J, 2, FALSE), "Código não encontrado/Não digitado")</f>
        <v>Código não encontrado/Não digitado</v>
      </c>
      <c r="L482" s="12" t="s">
        <v>68</v>
      </c>
      <c r="M482" s="12" t="str">
        <f>IFERROR(VLOOKUP(L482, DADOS_RM_EVENTOS_original!K:L, 2, FALSE), "Código não encontrado/Não digitado")</f>
        <v>Código não encontrado/Não digitado</v>
      </c>
    </row>
    <row r="483" ht="15.75" hidden="1" customHeight="1">
      <c r="A483" s="11" t="s">
        <v>38</v>
      </c>
      <c r="B483" s="11" t="s">
        <v>365</v>
      </c>
      <c r="C483" s="11" t="s">
        <v>4562</v>
      </c>
      <c r="D483" s="11" t="s">
        <v>120</v>
      </c>
      <c r="E483" s="11" t="s">
        <v>47</v>
      </c>
      <c r="F483" s="11" t="s">
        <v>694</v>
      </c>
      <c r="G483" s="12" t="s">
        <v>696</v>
      </c>
      <c r="H483" s="12" t="s">
        <v>68</v>
      </c>
      <c r="I483" s="12" t="str">
        <f>IFERROR(VLOOKUP(H483, DADOS_RM_EVENTOS_original!C:D, 2, FALSE), "Código não encontrado/Não digitado")</f>
        <v>Código não encontrado/Não digitado</v>
      </c>
      <c r="J483" s="12" t="s">
        <v>68</v>
      </c>
      <c r="K483" s="12" t="str">
        <f>IFERROR(VLOOKUP(J483, DADOS_RM_EVENTOS_original!E:J, 2, FALSE), "Código não encontrado/Não digitado")</f>
        <v>Código não encontrado/Não digitado</v>
      </c>
      <c r="L483" s="12" t="s">
        <v>68</v>
      </c>
      <c r="M483" s="12" t="str">
        <f>IFERROR(VLOOKUP(L483, DADOS_RM_EVENTOS_original!K:L, 2, FALSE), "Código não encontrado/Não digitado")</f>
        <v>Código não encontrado/Não digitado</v>
      </c>
    </row>
    <row r="484" ht="15.75" hidden="1" customHeight="1">
      <c r="A484" s="11" t="s">
        <v>38</v>
      </c>
      <c r="B484" s="11" t="s">
        <v>449</v>
      </c>
      <c r="C484" s="11" t="s">
        <v>4563</v>
      </c>
      <c r="D484" s="11" t="s">
        <v>120</v>
      </c>
      <c r="E484" s="11" t="s">
        <v>47</v>
      </c>
      <c r="F484" s="11" t="s">
        <v>694</v>
      </c>
      <c r="G484" s="12" t="s">
        <v>696</v>
      </c>
      <c r="H484" s="12" t="s">
        <v>68</v>
      </c>
      <c r="I484" s="12" t="str">
        <f>IFERROR(VLOOKUP(H484, DADOS_RM_EVENTOS_original!C:D, 2, FALSE), "Código não encontrado/Não digitado")</f>
        <v>Código não encontrado/Não digitado</v>
      </c>
      <c r="J484" s="12" t="s">
        <v>68</v>
      </c>
      <c r="K484" s="12" t="str">
        <f>IFERROR(VLOOKUP(J484, DADOS_RM_EVENTOS_original!E:J, 2, FALSE), "Código não encontrado/Não digitado")</f>
        <v>Código não encontrado/Não digitado</v>
      </c>
      <c r="L484" s="12" t="s">
        <v>68</v>
      </c>
      <c r="M484" s="12" t="str">
        <f>IFERROR(VLOOKUP(L484, DADOS_RM_EVENTOS_original!K:L, 2, FALSE), "Código não encontrado/Não digitado")</f>
        <v>Código não encontrado/Não digitado</v>
      </c>
    </row>
    <row r="485" ht="15.75" hidden="1" customHeight="1">
      <c r="A485" s="11" t="s">
        <v>38</v>
      </c>
      <c r="B485" s="11" t="s">
        <v>646</v>
      </c>
      <c r="C485" s="11" t="s">
        <v>4564</v>
      </c>
      <c r="D485" s="11" t="s">
        <v>120</v>
      </c>
      <c r="E485" s="11" t="s">
        <v>47</v>
      </c>
      <c r="F485" s="11" t="s">
        <v>694</v>
      </c>
      <c r="G485" s="12" t="s">
        <v>696</v>
      </c>
      <c r="H485" s="12" t="s">
        <v>68</v>
      </c>
      <c r="I485" s="12" t="str">
        <f>IFERROR(VLOOKUP(H485, DADOS_RM_EVENTOS_original!C:D, 2, FALSE), "Código não encontrado/Não digitado")</f>
        <v>Código não encontrado/Não digitado</v>
      </c>
      <c r="J485" s="12" t="s">
        <v>68</v>
      </c>
      <c r="K485" s="12" t="str">
        <f>IFERROR(VLOOKUP(J485, DADOS_RM_EVENTOS_original!E:J, 2, FALSE), "Código não encontrado/Não digitado")</f>
        <v>Código não encontrado/Não digitado</v>
      </c>
      <c r="L485" s="12" t="s">
        <v>68</v>
      </c>
      <c r="M485" s="12" t="str">
        <f>IFERROR(VLOOKUP(L485, DADOS_RM_EVENTOS_original!K:L, 2, FALSE), "Código não encontrado/Não digitado")</f>
        <v>Código não encontrado/Não digitado</v>
      </c>
    </row>
    <row r="486" ht="15.75" hidden="1" customHeight="1">
      <c r="A486" s="11" t="s">
        <v>38</v>
      </c>
      <c r="B486" s="11" t="s">
        <v>237</v>
      </c>
      <c r="C486" s="11" t="s">
        <v>4565</v>
      </c>
      <c r="D486" s="11" t="s">
        <v>120</v>
      </c>
      <c r="E486" s="11" t="s">
        <v>47</v>
      </c>
      <c r="F486" s="11" t="s">
        <v>694</v>
      </c>
      <c r="G486" s="12" t="s">
        <v>696</v>
      </c>
      <c r="H486" s="12" t="s">
        <v>68</v>
      </c>
      <c r="I486" s="12" t="str">
        <f>IFERROR(VLOOKUP(H486, DADOS_RM_EVENTOS_original!C:D, 2, FALSE), "Código não encontrado/Não digitado")</f>
        <v>Código não encontrado/Não digitado</v>
      </c>
      <c r="J486" s="12" t="s">
        <v>68</v>
      </c>
      <c r="K486" s="12" t="str">
        <f>IFERROR(VLOOKUP(J486, DADOS_RM_EVENTOS_original!E:J, 2, FALSE), "Código não encontrado/Não digitado")</f>
        <v>Código não encontrado/Não digitado</v>
      </c>
      <c r="L486" s="12" t="s">
        <v>68</v>
      </c>
      <c r="M486" s="12" t="str">
        <f>IFERROR(VLOOKUP(L486, DADOS_RM_EVENTOS_original!K:L, 2, FALSE), "Código não encontrado/Não digitado")</f>
        <v>Código não encontrado/Não digitado</v>
      </c>
    </row>
    <row r="487" ht="15.75" hidden="1" customHeight="1">
      <c r="A487" s="11" t="s">
        <v>38</v>
      </c>
      <c r="B487" s="11" t="s">
        <v>463</v>
      </c>
      <c r="C487" s="11" t="s">
        <v>4566</v>
      </c>
      <c r="D487" s="11" t="s">
        <v>120</v>
      </c>
      <c r="E487" s="11" t="s">
        <v>47</v>
      </c>
      <c r="F487" s="11" t="s">
        <v>694</v>
      </c>
      <c r="G487" s="12" t="s">
        <v>696</v>
      </c>
      <c r="H487" s="12" t="s">
        <v>68</v>
      </c>
      <c r="I487" s="12" t="str">
        <f>IFERROR(VLOOKUP(H487, DADOS_RM_EVENTOS_original!C:D, 2, FALSE), "Código não encontrado/Não digitado")</f>
        <v>Código não encontrado/Não digitado</v>
      </c>
      <c r="J487" s="12" t="s">
        <v>68</v>
      </c>
      <c r="K487" s="12" t="str">
        <f>IFERROR(VLOOKUP(J487, DADOS_RM_EVENTOS_original!E:J, 2, FALSE), "Código não encontrado/Não digitado")</f>
        <v>Código não encontrado/Não digitado</v>
      </c>
      <c r="L487" s="12" t="s">
        <v>68</v>
      </c>
      <c r="M487" s="12" t="str">
        <f>IFERROR(VLOOKUP(L487, DADOS_RM_EVENTOS_original!K:L, 2, FALSE), "Código não encontrado/Não digitado")</f>
        <v>Código não encontrado/Não digitado</v>
      </c>
    </row>
    <row r="488" ht="15.75" hidden="1" customHeight="1">
      <c r="A488" s="11" t="s">
        <v>38</v>
      </c>
      <c r="B488" s="11" t="s">
        <v>301</v>
      </c>
      <c r="C488" s="11" t="s">
        <v>4567</v>
      </c>
      <c r="D488" s="11" t="s">
        <v>120</v>
      </c>
      <c r="E488" s="11" t="s">
        <v>47</v>
      </c>
      <c r="F488" s="11" t="s">
        <v>694</v>
      </c>
      <c r="G488" s="12" t="s">
        <v>696</v>
      </c>
      <c r="H488" s="12" t="s">
        <v>68</v>
      </c>
      <c r="I488" s="12" t="str">
        <f>IFERROR(VLOOKUP(H488, DADOS_RM_EVENTOS_original!C:D, 2, FALSE), "Código não encontrado/Não digitado")</f>
        <v>Código não encontrado/Não digitado</v>
      </c>
      <c r="J488" s="12" t="s">
        <v>68</v>
      </c>
      <c r="K488" s="12" t="str">
        <f>IFERROR(VLOOKUP(J488, DADOS_RM_EVENTOS_original!E:J, 2, FALSE), "Código não encontrado/Não digitado")</f>
        <v>Código não encontrado/Não digitado</v>
      </c>
      <c r="L488" s="12" t="s">
        <v>68</v>
      </c>
      <c r="M488" s="12" t="str">
        <f>IFERROR(VLOOKUP(L488, DADOS_RM_EVENTOS_original!K:L, 2, FALSE), "Código não encontrado/Não digitado")</f>
        <v>Código não encontrado/Não digitado</v>
      </c>
    </row>
    <row r="489" ht="15.75" hidden="1" customHeight="1">
      <c r="A489" s="11" t="s">
        <v>38</v>
      </c>
      <c r="B489" s="11" t="s">
        <v>468</v>
      </c>
      <c r="C489" s="11" t="s">
        <v>4568</v>
      </c>
      <c r="D489" s="11" t="s">
        <v>120</v>
      </c>
      <c r="E489" s="11" t="s">
        <v>47</v>
      </c>
      <c r="F489" s="11" t="s">
        <v>694</v>
      </c>
      <c r="G489" s="12" t="s">
        <v>696</v>
      </c>
      <c r="H489" s="12" t="s">
        <v>68</v>
      </c>
      <c r="I489" s="12" t="str">
        <f>IFERROR(VLOOKUP(H489, DADOS_RM_EVENTOS_original!C:D, 2, FALSE), "Código não encontrado/Não digitado")</f>
        <v>Código não encontrado/Não digitado</v>
      </c>
      <c r="J489" s="12" t="s">
        <v>68</v>
      </c>
      <c r="K489" s="12" t="str">
        <f>IFERROR(VLOOKUP(J489, DADOS_RM_EVENTOS_original!E:J, 2, FALSE), "Código não encontrado/Não digitado")</f>
        <v>Código não encontrado/Não digitado</v>
      </c>
      <c r="L489" s="12" t="s">
        <v>68</v>
      </c>
      <c r="M489" s="12" t="str">
        <f>IFERROR(VLOOKUP(L489, DADOS_RM_EVENTOS_original!K:L, 2, FALSE), "Código não encontrado/Não digitado")</f>
        <v>Código não encontrado/Não digitado</v>
      </c>
    </row>
    <row r="490" ht="15.75" hidden="1" customHeight="1">
      <c r="A490" s="11" t="s">
        <v>38</v>
      </c>
      <c r="B490" s="11" t="s">
        <v>313</v>
      </c>
      <c r="C490" s="11" t="s">
        <v>4569</v>
      </c>
      <c r="D490" s="11" t="s">
        <v>120</v>
      </c>
      <c r="E490" s="11" t="s">
        <v>47</v>
      </c>
      <c r="F490" s="11" t="s">
        <v>694</v>
      </c>
      <c r="G490" s="12" t="s">
        <v>696</v>
      </c>
      <c r="H490" s="12" t="s">
        <v>68</v>
      </c>
      <c r="I490" s="12" t="str">
        <f>IFERROR(VLOOKUP(H490, DADOS_RM_EVENTOS_original!C:D, 2, FALSE), "Código não encontrado/Não digitado")</f>
        <v>Código não encontrado/Não digitado</v>
      </c>
      <c r="J490" s="12" t="s">
        <v>68</v>
      </c>
      <c r="K490" s="12" t="str">
        <f>IFERROR(VLOOKUP(J490, DADOS_RM_EVENTOS_original!E:J, 2, FALSE), "Código não encontrado/Não digitado")</f>
        <v>Código não encontrado/Não digitado</v>
      </c>
      <c r="L490" s="12" t="s">
        <v>68</v>
      </c>
      <c r="M490" s="12" t="str">
        <f>IFERROR(VLOOKUP(L490, DADOS_RM_EVENTOS_original!K:L, 2, FALSE), "Código não encontrado/Não digitado")</f>
        <v>Código não encontrado/Não digitado</v>
      </c>
    </row>
    <row r="491" ht="15.75" hidden="1" customHeight="1">
      <c r="A491" s="11" t="s">
        <v>38</v>
      </c>
      <c r="B491" s="11" t="s">
        <v>477</v>
      </c>
      <c r="C491" s="11" t="s">
        <v>4570</v>
      </c>
      <c r="D491" s="11" t="s">
        <v>120</v>
      </c>
      <c r="E491" s="11" t="s">
        <v>47</v>
      </c>
      <c r="F491" s="11" t="s">
        <v>694</v>
      </c>
      <c r="G491" s="12" t="s">
        <v>696</v>
      </c>
      <c r="H491" s="12" t="s">
        <v>68</v>
      </c>
      <c r="I491" s="12" t="str">
        <f>IFERROR(VLOOKUP(H491, DADOS_RM_EVENTOS_original!C:D, 2, FALSE), "Código não encontrado/Não digitado")</f>
        <v>Código não encontrado/Não digitado</v>
      </c>
      <c r="J491" s="12" t="s">
        <v>68</v>
      </c>
      <c r="K491" s="12" t="str">
        <f>IFERROR(VLOOKUP(J491, DADOS_RM_EVENTOS_original!E:J, 2, FALSE), "Código não encontrado/Não digitado")</f>
        <v>Código não encontrado/Não digitado</v>
      </c>
      <c r="L491" s="12" t="s">
        <v>68</v>
      </c>
      <c r="M491" s="12" t="str">
        <f>IFERROR(VLOOKUP(L491, DADOS_RM_EVENTOS_original!K:L, 2, FALSE), "Código não encontrado/Não digitado")</f>
        <v>Código não encontrado/Não digitado</v>
      </c>
    </row>
    <row r="492" ht="15.75" hidden="1" customHeight="1">
      <c r="A492" s="11" t="s">
        <v>38</v>
      </c>
      <c r="B492" s="11" t="s">
        <v>316</v>
      </c>
      <c r="C492" s="11" t="s">
        <v>4576</v>
      </c>
      <c r="D492" s="11" t="s">
        <v>120</v>
      </c>
      <c r="E492" s="11" t="s">
        <v>47</v>
      </c>
      <c r="F492" s="11" t="s">
        <v>694</v>
      </c>
      <c r="G492" s="12" t="s">
        <v>696</v>
      </c>
      <c r="H492" s="12" t="s">
        <v>68</v>
      </c>
      <c r="I492" s="12" t="str">
        <f>IFERROR(VLOOKUP(H492, DADOS_RM_EVENTOS_original!C:D, 2, FALSE), "Código não encontrado/Não digitado")</f>
        <v>Código não encontrado/Não digitado</v>
      </c>
      <c r="J492" s="12" t="s">
        <v>68</v>
      </c>
      <c r="K492" s="12" t="str">
        <f>IFERROR(VLOOKUP(J492, DADOS_RM_EVENTOS_original!E:J, 2, FALSE), "Código não encontrado/Não digitado")</f>
        <v>Código não encontrado/Não digitado</v>
      </c>
      <c r="L492" s="12" t="s">
        <v>68</v>
      </c>
      <c r="M492" s="12" t="str">
        <f>IFERROR(VLOOKUP(L492, DADOS_RM_EVENTOS_original!K:L, 2, FALSE), "Código não encontrado/Não digitado")</f>
        <v>Código não encontrado/Não digitado</v>
      </c>
    </row>
    <row r="493" ht="15.75" hidden="1" customHeight="1">
      <c r="A493" s="11" t="s">
        <v>38</v>
      </c>
      <c r="B493" s="11" t="s">
        <v>480</v>
      </c>
      <c r="C493" s="11" t="s">
        <v>4590</v>
      </c>
      <c r="D493" s="11" t="s">
        <v>120</v>
      </c>
      <c r="E493" s="11" t="s">
        <v>47</v>
      </c>
      <c r="F493" s="11" t="s">
        <v>694</v>
      </c>
      <c r="G493" s="12" t="s">
        <v>696</v>
      </c>
      <c r="H493" s="12" t="s">
        <v>68</v>
      </c>
      <c r="I493" s="12" t="str">
        <f>IFERROR(VLOOKUP(H493, DADOS_RM_EVENTOS_original!C:D, 2, FALSE), "Código não encontrado/Não digitado")</f>
        <v>Código não encontrado/Não digitado</v>
      </c>
      <c r="J493" s="12" t="s">
        <v>68</v>
      </c>
      <c r="K493" s="12" t="str">
        <f>IFERROR(VLOOKUP(J493, DADOS_RM_EVENTOS_original!E:J, 2, FALSE), "Código não encontrado/Não digitado")</f>
        <v>Código não encontrado/Não digitado</v>
      </c>
      <c r="L493" s="12" t="s">
        <v>68</v>
      </c>
      <c r="M493" s="12" t="str">
        <f>IFERROR(VLOOKUP(L493, DADOS_RM_EVENTOS_original!K:L, 2, FALSE), "Código não encontrado/Não digitado")</f>
        <v>Código não encontrado/Não digitado</v>
      </c>
    </row>
    <row r="494" ht="15.75" hidden="1" customHeight="1">
      <c r="A494" s="11" t="s">
        <v>38</v>
      </c>
      <c r="B494" s="11" t="s">
        <v>829</v>
      </c>
      <c r="C494" s="11" t="s">
        <v>4607</v>
      </c>
      <c r="D494" s="11" t="s">
        <v>120</v>
      </c>
      <c r="E494" s="11" t="s">
        <v>47</v>
      </c>
      <c r="F494" s="11" t="s">
        <v>694</v>
      </c>
      <c r="G494" s="12" t="s">
        <v>696</v>
      </c>
      <c r="H494" s="12" t="s">
        <v>68</v>
      </c>
      <c r="I494" s="12" t="str">
        <f>IFERROR(VLOOKUP(H494, DADOS_RM_EVENTOS_original!C:D, 2, FALSE), "Código não encontrado/Não digitado")</f>
        <v>Código não encontrado/Não digitado</v>
      </c>
      <c r="J494" s="12" t="s">
        <v>68</v>
      </c>
      <c r="K494" s="12" t="str">
        <f>IFERROR(VLOOKUP(J494, DADOS_RM_EVENTOS_original!E:J, 2, FALSE), "Código não encontrado/Não digitado")</f>
        <v>Código não encontrado/Não digitado</v>
      </c>
      <c r="L494" s="12" t="s">
        <v>68</v>
      </c>
      <c r="M494" s="12" t="str">
        <f>IFERROR(VLOOKUP(L494, DADOS_RM_EVENTOS_original!K:L, 2, FALSE), "Código não encontrado/Não digitado")</f>
        <v>Código não encontrado/Não digitado</v>
      </c>
    </row>
    <row r="495" ht="15.75" hidden="1" customHeight="1">
      <c r="A495" s="11" t="s">
        <v>38</v>
      </c>
      <c r="B495" s="11" t="s">
        <v>1284</v>
      </c>
      <c r="C495" s="11" t="s">
        <v>4618</v>
      </c>
      <c r="D495" s="11" t="s">
        <v>120</v>
      </c>
      <c r="E495" s="11" t="s">
        <v>47</v>
      </c>
      <c r="F495" s="11" t="s">
        <v>694</v>
      </c>
      <c r="G495" s="12" t="s">
        <v>696</v>
      </c>
      <c r="H495" s="12" t="s">
        <v>68</v>
      </c>
      <c r="I495" s="12" t="str">
        <f>IFERROR(VLOOKUP(H495, DADOS_RM_EVENTOS_original!C:D, 2, FALSE), "Código não encontrado/Não digitado")</f>
        <v>Código não encontrado/Não digitado</v>
      </c>
      <c r="J495" s="12" t="s">
        <v>68</v>
      </c>
      <c r="K495" s="12" t="str">
        <f>IFERROR(VLOOKUP(J495, DADOS_RM_EVENTOS_original!E:J, 2, FALSE), "Código não encontrado/Não digitado")</f>
        <v>Código não encontrado/Não digitado</v>
      </c>
      <c r="L495" s="12" t="s">
        <v>68</v>
      </c>
      <c r="M495" s="12" t="str">
        <f>IFERROR(VLOOKUP(L495, DADOS_RM_EVENTOS_original!K:L, 2, FALSE), "Código não encontrado/Não digitado")</f>
        <v>Código não encontrado/Não digitado</v>
      </c>
    </row>
    <row r="496" ht="15.75" hidden="1" customHeight="1">
      <c r="A496" s="11" t="s">
        <v>38</v>
      </c>
      <c r="B496" s="11" t="s">
        <v>443</v>
      </c>
      <c r="C496" s="11" t="s">
        <v>4623</v>
      </c>
      <c r="D496" s="11" t="s">
        <v>120</v>
      </c>
      <c r="E496" s="11" t="s">
        <v>47</v>
      </c>
      <c r="F496" s="11" t="s">
        <v>694</v>
      </c>
      <c r="G496" s="12" t="s">
        <v>696</v>
      </c>
      <c r="H496" s="12" t="s">
        <v>68</v>
      </c>
      <c r="I496" s="12" t="str">
        <f>IFERROR(VLOOKUP(H496, DADOS_RM_EVENTOS_original!C:D, 2, FALSE), "Código não encontrado/Não digitado")</f>
        <v>Código não encontrado/Não digitado</v>
      </c>
      <c r="J496" s="12" t="s">
        <v>68</v>
      </c>
      <c r="K496" s="12" t="str">
        <f>IFERROR(VLOOKUP(J496, DADOS_RM_EVENTOS_original!E:J, 2, FALSE), "Código não encontrado/Não digitado")</f>
        <v>Código não encontrado/Não digitado</v>
      </c>
      <c r="L496" s="12" t="s">
        <v>68</v>
      </c>
      <c r="M496" s="12" t="str">
        <f>IFERROR(VLOOKUP(L496, DADOS_RM_EVENTOS_original!K:L, 2, FALSE), "Código não encontrado/Não digitado")</f>
        <v>Código não encontrado/Não digitado</v>
      </c>
    </row>
    <row r="497" ht="15.75" hidden="1" customHeight="1">
      <c r="A497" s="11" t="s">
        <v>172</v>
      </c>
      <c r="B497" s="11" t="s">
        <v>1284</v>
      </c>
      <c r="C497" s="11" t="s">
        <v>4624</v>
      </c>
      <c r="D497" s="11" t="s">
        <v>120</v>
      </c>
      <c r="E497" s="11" t="s">
        <v>1029</v>
      </c>
      <c r="F497" s="11" t="s">
        <v>694</v>
      </c>
      <c r="G497" s="12" t="s">
        <v>696</v>
      </c>
      <c r="H497" s="12" t="s">
        <v>68</v>
      </c>
      <c r="I497" s="12" t="str">
        <f>IFERROR(VLOOKUP(H497, DADOS_RM_EVENTOS_original!C:D, 2, FALSE), "Código não encontrado/Não digitado")</f>
        <v>Código não encontrado/Não digitado</v>
      </c>
      <c r="J497" s="12" t="s">
        <v>68</v>
      </c>
      <c r="K497" s="12" t="str">
        <f>IFERROR(VLOOKUP(J497, DADOS_RM_EVENTOS_original!E:J, 2, FALSE), "Código não encontrado/Não digitado")</f>
        <v>Código não encontrado/Não digitado</v>
      </c>
      <c r="L497" s="12" t="s">
        <v>68</v>
      </c>
      <c r="M497" s="12" t="str">
        <f>IFERROR(VLOOKUP(L497, DADOS_RM_EVENTOS_original!K:L, 2, FALSE), "Código não encontrado/Não digitado")</f>
        <v>Código não encontrado/Não digitado</v>
      </c>
    </row>
    <row r="498" ht="15.75" hidden="1" customHeight="1">
      <c r="A498" s="11" t="s">
        <v>38</v>
      </c>
      <c r="B498" s="11" t="s">
        <v>3623</v>
      </c>
      <c r="C498" s="11" t="s">
        <v>4625</v>
      </c>
      <c r="D498" s="11" t="s">
        <v>44</v>
      </c>
      <c r="E498" s="11" t="s">
        <v>47</v>
      </c>
      <c r="F498" s="11" t="s">
        <v>147</v>
      </c>
      <c r="G498" s="12" t="s">
        <v>149</v>
      </c>
      <c r="H498" s="12" t="s">
        <v>68</v>
      </c>
      <c r="I498" s="12" t="str">
        <f>IFERROR(VLOOKUP(H498, DADOS_RM_EVENTOS_original!C:D, 2, FALSE), "Código não encontrado/Não digitado")</f>
        <v>Código não encontrado/Não digitado</v>
      </c>
      <c r="J498" s="12" t="s">
        <v>68</v>
      </c>
      <c r="K498" s="12" t="str">
        <f>IFERROR(VLOOKUP(J498, DADOS_RM_EVENTOS_original!E:J, 2, FALSE), "Código não encontrado/Não digitado")</f>
        <v>Código não encontrado/Não digitado</v>
      </c>
      <c r="L498" s="12" t="s">
        <v>68</v>
      </c>
      <c r="M498" s="12" t="str">
        <f>IFERROR(VLOOKUP(L498, DADOS_RM_EVENTOS_original!K:L, 2, FALSE), "Código não encontrado/Não digitado")</f>
        <v>Código não encontrado/Não digitado</v>
      </c>
    </row>
    <row r="499" ht="15.75" hidden="1" customHeight="1">
      <c r="A499" s="11" t="s">
        <v>38</v>
      </c>
      <c r="B499" s="11" t="s">
        <v>655</v>
      </c>
      <c r="C499" s="11" t="s">
        <v>4626</v>
      </c>
      <c r="D499" s="11" t="s">
        <v>44</v>
      </c>
      <c r="E499" s="11" t="s">
        <v>47</v>
      </c>
      <c r="F499" s="11" t="s">
        <v>147</v>
      </c>
      <c r="G499" s="12" t="s">
        <v>149</v>
      </c>
      <c r="H499" s="12" t="s">
        <v>68</v>
      </c>
      <c r="I499" s="12" t="str">
        <f>IFERROR(VLOOKUP(H499, DADOS_RM_EVENTOS_original!C:D, 2, FALSE), "Código não encontrado/Não digitado")</f>
        <v>Código não encontrado/Não digitado</v>
      </c>
      <c r="J499" s="12" t="s">
        <v>68</v>
      </c>
      <c r="K499" s="12" t="str">
        <f>IFERROR(VLOOKUP(J499, DADOS_RM_EVENTOS_original!E:J, 2, FALSE), "Código não encontrado/Não digitado")</f>
        <v>Código não encontrado/Não digitado</v>
      </c>
      <c r="L499" s="12" t="s">
        <v>68</v>
      </c>
      <c r="M499" s="12" t="str">
        <f>IFERROR(VLOOKUP(L499, DADOS_RM_EVENTOS_original!K:L, 2, FALSE), "Código não encontrado/Não digitado")</f>
        <v>Código não encontrado/Não digitado</v>
      </c>
    </row>
    <row r="500" ht="15.75" hidden="1" customHeight="1">
      <c r="A500" s="11" t="s">
        <v>115</v>
      </c>
      <c r="B500" s="11" t="s">
        <v>3623</v>
      </c>
      <c r="C500" s="11" t="s">
        <v>4625</v>
      </c>
      <c r="D500" s="11" t="s">
        <v>44</v>
      </c>
      <c r="E500" s="11" t="s">
        <v>121</v>
      </c>
      <c r="F500" s="11" t="s">
        <v>147</v>
      </c>
      <c r="G500" s="12" t="s">
        <v>149</v>
      </c>
      <c r="H500" s="12" t="s">
        <v>68</v>
      </c>
      <c r="I500" s="12" t="str">
        <f>IFERROR(VLOOKUP(H500, DADOS_RM_EVENTOS_original!C:D, 2, FALSE), "Código não encontrado/Não digitado")</f>
        <v>Código não encontrado/Não digitado</v>
      </c>
      <c r="J500" s="12" t="s">
        <v>68</v>
      </c>
      <c r="K500" s="12" t="str">
        <f>IFERROR(VLOOKUP(J500, DADOS_RM_EVENTOS_original!E:J, 2, FALSE), "Código não encontrado/Não digitado")</f>
        <v>Código não encontrado/Não digitado</v>
      </c>
      <c r="L500" s="12" t="s">
        <v>68</v>
      </c>
      <c r="M500" s="12" t="str">
        <f>IFERROR(VLOOKUP(L500, DADOS_RM_EVENTOS_original!K:L, 2, FALSE), "Código não encontrado/Não digitado")</f>
        <v>Código não encontrado/Não digitado</v>
      </c>
    </row>
    <row r="501" ht="15.75" hidden="1" customHeight="1">
      <c r="A501" s="11" t="s">
        <v>38</v>
      </c>
      <c r="B501" s="11" t="s">
        <v>700</v>
      </c>
      <c r="C501" s="11" t="s">
        <v>4627</v>
      </c>
      <c r="D501" s="11" t="s">
        <v>44</v>
      </c>
      <c r="E501" s="11" t="s">
        <v>47</v>
      </c>
      <c r="F501" s="11" t="s">
        <v>1003</v>
      </c>
      <c r="G501" s="12" t="s">
        <v>1309</v>
      </c>
      <c r="H501" s="12" t="s">
        <v>68</v>
      </c>
      <c r="I501" s="12" t="str">
        <f>IFERROR(VLOOKUP(H501, DADOS_RM_EVENTOS_original!C:D, 2, FALSE), "Código não encontrado/Não digitado")</f>
        <v>Código não encontrado/Não digitado</v>
      </c>
      <c r="J501" s="12" t="s">
        <v>68</v>
      </c>
      <c r="K501" s="12" t="str">
        <f>IFERROR(VLOOKUP(J501, DADOS_RM_EVENTOS_original!E:J, 2, FALSE), "Código não encontrado/Não digitado")</f>
        <v>Código não encontrado/Não digitado</v>
      </c>
      <c r="L501" s="12" t="s">
        <v>68</v>
      </c>
      <c r="M501" s="12" t="str">
        <f>IFERROR(VLOOKUP(L501, DADOS_RM_EVENTOS_original!K:L, 2, FALSE), "Código não encontrado/Não digitado")</f>
        <v>Código não encontrado/Não digitado</v>
      </c>
    </row>
    <row r="502" ht="15.75" hidden="1" customHeight="1">
      <c r="A502" s="11" t="s">
        <v>38</v>
      </c>
      <c r="B502" s="11" t="s">
        <v>690</v>
      </c>
      <c r="C502" s="11" t="s">
        <v>4628</v>
      </c>
      <c r="D502" s="11" t="s">
        <v>44</v>
      </c>
      <c r="E502" s="11" t="s">
        <v>47</v>
      </c>
      <c r="F502" s="11" t="s">
        <v>2678</v>
      </c>
      <c r="G502" s="12" t="s">
        <v>3142</v>
      </c>
      <c r="H502" s="12" t="s">
        <v>68</v>
      </c>
      <c r="I502" s="12" t="str">
        <f>IFERROR(VLOOKUP(H502, DADOS_RM_EVENTOS_original!C:D, 2, FALSE), "Código não encontrado/Não digitado")</f>
        <v>Código não encontrado/Não digitado</v>
      </c>
      <c r="J502" s="12" t="s">
        <v>68</v>
      </c>
      <c r="K502" s="12" t="str">
        <f>IFERROR(VLOOKUP(J502, DADOS_RM_EVENTOS_original!E:J, 2, FALSE), "Código não encontrado/Não digitado")</f>
        <v>Código não encontrado/Não digitado</v>
      </c>
      <c r="L502" s="12" t="s">
        <v>68</v>
      </c>
      <c r="M502" s="12" t="str">
        <f>IFERROR(VLOOKUP(L502, DADOS_RM_EVENTOS_original!K:L, 2, FALSE), "Código não encontrado/Não digitado")</f>
        <v>Código não encontrado/Não digitado</v>
      </c>
    </row>
    <row r="503" ht="15.75" customHeight="1">
      <c r="A503" s="11" t="s">
        <v>38</v>
      </c>
      <c r="B503" s="11" t="s">
        <v>703</v>
      </c>
      <c r="C503" s="11" t="s">
        <v>4629</v>
      </c>
      <c r="D503" s="11" t="s">
        <v>44</v>
      </c>
      <c r="E503" s="11" t="s">
        <v>47</v>
      </c>
      <c r="F503" s="11" t="s">
        <v>49</v>
      </c>
      <c r="G503" s="12" t="s">
        <v>63</v>
      </c>
      <c r="H503" s="12" t="s">
        <v>68</v>
      </c>
      <c r="I503" s="12" t="str">
        <f>IFERROR(VLOOKUP(H503, DADOS_RM_EVENTOS_original!C:D, 2, FALSE), "Código não encontrado/Não digitado")</f>
        <v>Código não encontrado/Não digitado</v>
      </c>
      <c r="J503" s="12" t="s">
        <v>68</v>
      </c>
      <c r="K503" s="12" t="str">
        <f>IFERROR(VLOOKUP(J503, DADOS_RM_EVENTOS_original!E:J, 2, FALSE), "Código não encontrado/Não digitado")</f>
        <v>Código não encontrado/Não digitado</v>
      </c>
      <c r="L503" s="12" t="s">
        <v>68</v>
      </c>
      <c r="M503" s="12" t="str">
        <f>IFERROR(VLOOKUP(L503, DADOS_RM_EVENTOS_original!K:L, 2, FALSE), "Código não encontrado/Não digitado")</f>
        <v>Código não encontrado/Não digitado</v>
      </c>
    </row>
    <row r="504" ht="15.75" hidden="1" customHeight="1">
      <c r="A504" s="11" t="s">
        <v>38</v>
      </c>
      <c r="B504" s="11" t="s">
        <v>688</v>
      </c>
      <c r="C504" s="11" t="s">
        <v>4630</v>
      </c>
      <c r="D504" s="11" t="s">
        <v>44</v>
      </c>
      <c r="E504" s="11" t="s">
        <v>47</v>
      </c>
      <c r="F504" s="11" t="s">
        <v>147</v>
      </c>
      <c r="G504" s="12" t="s">
        <v>149</v>
      </c>
      <c r="H504" s="12" t="s">
        <v>68</v>
      </c>
      <c r="I504" s="12" t="str">
        <f>IFERROR(VLOOKUP(H504, DADOS_RM_EVENTOS_original!C:D, 2, FALSE), "Código não encontrado/Não digitado")</f>
        <v>Código não encontrado/Não digitado</v>
      </c>
      <c r="J504" s="12" t="s">
        <v>68</v>
      </c>
      <c r="K504" s="12" t="str">
        <f>IFERROR(VLOOKUP(J504, DADOS_RM_EVENTOS_original!E:J, 2, FALSE), "Código não encontrado/Não digitado")</f>
        <v>Código não encontrado/Não digitado</v>
      </c>
      <c r="L504" s="12" t="s">
        <v>68</v>
      </c>
      <c r="M504" s="12" t="str">
        <f>IFERROR(VLOOKUP(L504, DADOS_RM_EVENTOS_original!K:L, 2, FALSE), "Código não encontrado/Não digitado")</f>
        <v>Código não encontrado/Não digitado</v>
      </c>
    </row>
    <row r="505" ht="15.75" hidden="1" customHeight="1">
      <c r="A505" s="11" t="s">
        <v>38</v>
      </c>
      <c r="B505" s="11" t="s">
        <v>1240</v>
      </c>
      <c r="C505" s="11" t="s">
        <v>4631</v>
      </c>
      <c r="D505" s="11" t="s">
        <v>44</v>
      </c>
      <c r="E505" s="11" t="s">
        <v>47</v>
      </c>
      <c r="F505" s="11" t="s">
        <v>147</v>
      </c>
      <c r="G505" s="12" t="s">
        <v>149</v>
      </c>
      <c r="H505" s="12" t="s">
        <v>68</v>
      </c>
      <c r="I505" s="12" t="str">
        <f>IFERROR(VLOOKUP(H505, DADOS_RM_EVENTOS_original!C:D, 2, FALSE), "Código não encontrado/Não digitado")</f>
        <v>Código não encontrado/Não digitado</v>
      </c>
      <c r="J505" s="12" t="s">
        <v>68</v>
      </c>
      <c r="K505" s="12" t="str">
        <f>IFERROR(VLOOKUP(J505, DADOS_RM_EVENTOS_original!E:J, 2, FALSE), "Código não encontrado/Não digitado")</f>
        <v>Código não encontrado/Não digitado</v>
      </c>
      <c r="L505" s="12" t="s">
        <v>68</v>
      </c>
      <c r="M505" s="12" t="str">
        <f>IFERROR(VLOOKUP(L505, DADOS_RM_EVENTOS_original!K:L, 2, FALSE), "Código não encontrado/Não digitado")</f>
        <v>Código não encontrado/Não digitado</v>
      </c>
    </row>
    <row r="506" ht="15.75" hidden="1" customHeight="1">
      <c r="A506" s="11" t="s">
        <v>97</v>
      </c>
      <c r="B506" s="11" t="s">
        <v>1240</v>
      </c>
      <c r="C506" s="11" t="s">
        <v>4632</v>
      </c>
      <c r="D506" s="11" t="s">
        <v>44</v>
      </c>
      <c r="E506" s="11" t="s">
        <v>972</v>
      </c>
      <c r="F506" s="11" t="s">
        <v>147</v>
      </c>
      <c r="G506" s="12" t="s">
        <v>149</v>
      </c>
      <c r="H506" s="12" t="s">
        <v>68</v>
      </c>
      <c r="I506" s="12" t="str">
        <f>IFERROR(VLOOKUP(H506, DADOS_RM_EVENTOS_original!C:D, 2, FALSE), "Código não encontrado/Não digitado")</f>
        <v>Código não encontrado/Não digitado</v>
      </c>
      <c r="J506" s="12" t="s">
        <v>68</v>
      </c>
      <c r="K506" s="12" t="str">
        <f>IFERROR(VLOOKUP(J506, DADOS_RM_EVENTOS_original!E:J, 2, FALSE), "Código não encontrado/Não digitado")</f>
        <v>Código não encontrado/Não digitado</v>
      </c>
      <c r="L506" s="12" t="s">
        <v>68</v>
      </c>
      <c r="M506" s="12" t="str">
        <f>IFERROR(VLOOKUP(L506, DADOS_RM_EVENTOS_original!K:L, 2, FALSE), "Código não encontrado/Não digitado")</f>
        <v>Código não encontrado/Não digitado</v>
      </c>
    </row>
    <row r="507" ht="15.75" hidden="1" customHeight="1">
      <c r="A507" s="11" t="s">
        <v>38</v>
      </c>
      <c r="B507" s="11" t="s">
        <v>682</v>
      </c>
      <c r="C507" s="11" t="s">
        <v>4633</v>
      </c>
      <c r="D507" s="11" t="s">
        <v>44</v>
      </c>
      <c r="E507" s="11" t="s">
        <v>47</v>
      </c>
      <c r="F507" s="11" t="s">
        <v>1003</v>
      </c>
      <c r="G507" s="12" t="s">
        <v>1309</v>
      </c>
      <c r="H507" s="12" t="s">
        <v>68</v>
      </c>
      <c r="I507" s="12" t="str">
        <f>IFERROR(VLOOKUP(H507, DADOS_RM_EVENTOS_original!C:D, 2, FALSE), "Código não encontrado/Não digitado")</f>
        <v>Código não encontrado/Não digitado</v>
      </c>
      <c r="J507" s="12" t="s">
        <v>68</v>
      </c>
      <c r="K507" s="12" t="str">
        <f>IFERROR(VLOOKUP(J507, DADOS_RM_EVENTOS_original!E:J, 2, FALSE), "Código não encontrado/Não digitado")</f>
        <v>Código não encontrado/Não digitado</v>
      </c>
      <c r="L507" s="12" t="s">
        <v>68</v>
      </c>
      <c r="M507" s="12" t="str">
        <f>IFERROR(VLOOKUP(L507, DADOS_RM_EVENTOS_original!K:L, 2, FALSE), "Código não encontrado/Não digitado")</f>
        <v>Código não encontrado/Não digitado</v>
      </c>
    </row>
    <row r="508" ht="15.75" hidden="1" customHeight="1">
      <c r="A508" s="11" t="s">
        <v>38</v>
      </c>
      <c r="B508" s="11" t="s">
        <v>676</v>
      </c>
      <c r="C508" s="11" t="s">
        <v>4634</v>
      </c>
      <c r="D508" s="11" t="s">
        <v>44</v>
      </c>
      <c r="E508" s="11" t="s">
        <v>47</v>
      </c>
      <c r="F508" s="11" t="s">
        <v>2678</v>
      </c>
      <c r="G508" s="12" t="s">
        <v>3142</v>
      </c>
      <c r="H508" s="12" t="s">
        <v>68</v>
      </c>
      <c r="I508" s="12" t="str">
        <f>IFERROR(VLOOKUP(H508, DADOS_RM_EVENTOS_original!C:D, 2, FALSE), "Código não encontrado/Não digitado")</f>
        <v>Código não encontrado/Não digitado</v>
      </c>
      <c r="J508" s="12" t="s">
        <v>68</v>
      </c>
      <c r="K508" s="12" t="str">
        <f>IFERROR(VLOOKUP(J508, DADOS_RM_EVENTOS_original!E:J, 2, FALSE), "Código não encontrado/Não digitado")</f>
        <v>Código não encontrado/Não digitado</v>
      </c>
      <c r="L508" s="12" t="s">
        <v>68</v>
      </c>
      <c r="M508" s="12" t="str">
        <f>IFERROR(VLOOKUP(L508, DADOS_RM_EVENTOS_original!K:L, 2, FALSE), "Código não encontrado/Não digitado")</f>
        <v>Código não encontrado/Não digitado</v>
      </c>
    </row>
    <row r="509" ht="15.75" hidden="1" customHeight="1">
      <c r="A509" s="11" t="s">
        <v>38</v>
      </c>
      <c r="B509" s="11" t="s">
        <v>2922</v>
      </c>
      <c r="C509" s="11" t="s">
        <v>4635</v>
      </c>
      <c r="D509" s="11" t="s">
        <v>44</v>
      </c>
      <c r="E509" s="11" t="s">
        <v>47</v>
      </c>
      <c r="F509" s="11" t="s">
        <v>147</v>
      </c>
      <c r="G509" s="12" t="s">
        <v>149</v>
      </c>
      <c r="H509" s="12" t="s">
        <v>68</v>
      </c>
      <c r="I509" s="12" t="str">
        <f>IFERROR(VLOOKUP(H509, DADOS_RM_EVENTOS_original!C:D, 2, FALSE), "Código não encontrado/Não digitado")</f>
        <v>Código não encontrado/Não digitado</v>
      </c>
      <c r="J509" s="12" t="s">
        <v>68</v>
      </c>
      <c r="K509" s="12" t="str">
        <f>IFERROR(VLOOKUP(J509, DADOS_RM_EVENTOS_original!E:J, 2, FALSE), "Código não encontrado/Não digitado")</f>
        <v>Código não encontrado/Não digitado</v>
      </c>
      <c r="L509" s="12" t="s">
        <v>68</v>
      </c>
      <c r="M509" s="12" t="str">
        <f>IFERROR(VLOOKUP(L509, DADOS_RM_EVENTOS_original!K:L, 2, FALSE), "Código não encontrado/Não digitado")</f>
        <v>Código não encontrado/Não digitado</v>
      </c>
    </row>
    <row r="510" ht="15.75" hidden="1" customHeight="1">
      <c r="A510" s="11" t="s">
        <v>97</v>
      </c>
      <c r="B510" s="11" t="s">
        <v>710</v>
      </c>
      <c r="C510" s="11" t="s">
        <v>4636</v>
      </c>
      <c r="D510" s="11" t="s">
        <v>44</v>
      </c>
      <c r="E510" s="11" t="s">
        <v>972</v>
      </c>
      <c r="F510" s="11" t="s">
        <v>147</v>
      </c>
      <c r="G510" s="12" t="s">
        <v>149</v>
      </c>
      <c r="H510" s="12" t="s">
        <v>68</v>
      </c>
      <c r="I510" s="12" t="str">
        <f>IFERROR(VLOOKUP(H510, DADOS_RM_EVENTOS_original!C:D, 2, FALSE), "Código não encontrado/Não digitado")</f>
        <v>Código não encontrado/Não digitado</v>
      </c>
      <c r="J510" s="12" t="s">
        <v>68</v>
      </c>
      <c r="K510" s="12" t="str">
        <f>IFERROR(VLOOKUP(J510, DADOS_RM_EVENTOS_original!E:J, 2, FALSE), "Código não encontrado/Não digitado")</f>
        <v>Código não encontrado/Não digitado</v>
      </c>
      <c r="L510" s="12" t="s">
        <v>68</v>
      </c>
      <c r="M510" s="12" t="str">
        <f>IFERROR(VLOOKUP(L510, DADOS_RM_EVENTOS_original!K:L, 2, FALSE), "Código não encontrado/Não digitado")</f>
        <v>Código não encontrado/Não digitado</v>
      </c>
    </row>
    <row r="511" ht="15.75" hidden="1" customHeight="1">
      <c r="A511" s="11" t="s">
        <v>38</v>
      </c>
      <c r="B511" s="11" t="s">
        <v>4637</v>
      </c>
      <c r="C511" s="11" t="s">
        <v>4638</v>
      </c>
      <c r="D511" s="11" t="s">
        <v>44</v>
      </c>
      <c r="E511" s="11" t="s">
        <v>47</v>
      </c>
      <c r="F511" s="11" t="s">
        <v>147</v>
      </c>
      <c r="G511" s="12" t="s">
        <v>149</v>
      </c>
      <c r="H511" s="12" t="s">
        <v>68</v>
      </c>
      <c r="I511" s="12" t="str">
        <f>IFERROR(VLOOKUP(H511, DADOS_RM_EVENTOS_original!C:D, 2, FALSE), "Código não encontrado/Não digitado")</f>
        <v>Código não encontrado/Não digitado</v>
      </c>
      <c r="J511" s="12" t="s">
        <v>68</v>
      </c>
      <c r="K511" s="12" t="str">
        <f>IFERROR(VLOOKUP(J511, DADOS_RM_EVENTOS_original!E:J, 2, FALSE), "Código não encontrado/Não digitado")</f>
        <v>Código não encontrado/Não digitado</v>
      </c>
      <c r="L511" s="12" t="s">
        <v>68</v>
      </c>
      <c r="M511" s="12" t="str">
        <f>IFERROR(VLOOKUP(L511, DADOS_RM_EVENTOS_original!K:L, 2, FALSE), "Código não encontrado/Não digitado")</f>
        <v>Código não encontrado/Não digitado</v>
      </c>
    </row>
    <row r="512" ht="15.75" hidden="1" customHeight="1">
      <c r="A512" s="11" t="s">
        <v>38</v>
      </c>
      <c r="B512" s="11" t="s">
        <v>4639</v>
      </c>
      <c r="C512" s="11" t="s">
        <v>4640</v>
      </c>
      <c r="D512" s="11" t="s">
        <v>44</v>
      </c>
      <c r="E512" s="11" t="s">
        <v>47</v>
      </c>
      <c r="F512" s="11" t="s">
        <v>147</v>
      </c>
      <c r="G512" s="12" t="s">
        <v>149</v>
      </c>
      <c r="H512" s="12" t="s">
        <v>68</v>
      </c>
      <c r="I512" s="12" t="str">
        <f>IFERROR(VLOOKUP(H512, DADOS_RM_EVENTOS_original!C:D, 2, FALSE), "Código não encontrado/Não digitado")</f>
        <v>Código não encontrado/Não digitado</v>
      </c>
      <c r="J512" s="12" t="s">
        <v>68</v>
      </c>
      <c r="K512" s="12" t="str">
        <f>IFERROR(VLOOKUP(J512, DADOS_RM_EVENTOS_original!E:J, 2, FALSE), "Código não encontrado/Não digitado")</f>
        <v>Código não encontrado/Não digitado</v>
      </c>
      <c r="L512" s="12" t="s">
        <v>68</v>
      </c>
      <c r="M512" s="12" t="str">
        <f>IFERROR(VLOOKUP(L512, DADOS_RM_EVENTOS_original!K:L, 2, FALSE), "Código não encontrado/Não digitado")</f>
        <v>Código não encontrado/Não digitado</v>
      </c>
    </row>
    <row r="513" ht="15.75" hidden="1" customHeight="1">
      <c r="A513" s="11" t="s">
        <v>97</v>
      </c>
      <c r="B513" s="11" t="s">
        <v>4639</v>
      </c>
      <c r="C513" s="11" t="s">
        <v>4641</v>
      </c>
      <c r="D513" s="11" t="s">
        <v>44</v>
      </c>
      <c r="E513" s="11" t="s">
        <v>972</v>
      </c>
      <c r="F513" s="11" t="s">
        <v>147</v>
      </c>
      <c r="G513" s="12" t="s">
        <v>149</v>
      </c>
      <c r="H513" s="12" t="s">
        <v>68</v>
      </c>
      <c r="I513" s="12" t="str">
        <f>IFERROR(VLOOKUP(H513, DADOS_RM_EVENTOS_original!C:D, 2, FALSE), "Código não encontrado/Não digitado")</f>
        <v>Código não encontrado/Não digitado</v>
      </c>
      <c r="J513" s="12" t="s">
        <v>68</v>
      </c>
      <c r="K513" s="12" t="str">
        <f>IFERROR(VLOOKUP(J513, DADOS_RM_EVENTOS_original!E:J, 2, FALSE), "Código não encontrado/Não digitado")</f>
        <v>Código não encontrado/Não digitado</v>
      </c>
      <c r="L513" s="12" t="s">
        <v>68</v>
      </c>
      <c r="M513" s="12" t="str">
        <f>IFERROR(VLOOKUP(L513, DADOS_RM_EVENTOS_original!K:L, 2, FALSE), "Código não encontrado/Não digitado")</f>
        <v>Código não encontrado/Não digitado</v>
      </c>
    </row>
    <row r="514" ht="15.75" hidden="1" customHeight="1">
      <c r="A514" s="11" t="s">
        <v>38</v>
      </c>
      <c r="B514" s="11" t="s">
        <v>147</v>
      </c>
      <c r="C514" s="11" t="s">
        <v>4642</v>
      </c>
      <c r="D514" s="11" t="s">
        <v>120</v>
      </c>
      <c r="E514" s="11" t="s">
        <v>47</v>
      </c>
      <c r="F514" s="11" t="s">
        <v>206</v>
      </c>
      <c r="G514" s="12" t="s">
        <v>207</v>
      </c>
      <c r="H514" s="12" t="s">
        <v>68</v>
      </c>
      <c r="I514" s="12" t="str">
        <f>IFERROR(VLOOKUP(H514, DADOS_RM_EVENTOS_original!C:D, 2, FALSE), "Código não encontrado/Não digitado")</f>
        <v>Código não encontrado/Não digitado</v>
      </c>
      <c r="J514" s="12" t="s">
        <v>68</v>
      </c>
      <c r="K514" s="12" t="str">
        <f>IFERROR(VLOOKUP(J514, DADOS_RM_EVENTOS_original!E:J, 2, FALSE), "Código não encontrado/Não digitado")</f>
        <v>Código não encontrado/Não digitado</v>
      </c>
      <c r="L514" s="12" t="s">
        <v>68</v>
      </c>
      <c r="M514" s="12" t="str">
        <f>IFERROR(VLOOKUP(L514, DADOS_RM_EVENTOS_original!K:L, 2, FALSE), "Código não encontrado/Não digitado")</f>
        <v>Código não encontrado/Não digitado</v>
      </c>
    </row>
    <row r="515" ht="15.75" hidden="1" customHeight="1">
      <c r="A515" s="11" t="s">
        <v>172</v>
      </c>
      <c r="B515" s="11" t="s">
        <v>147</v>
      </c>
      <c r="C515" s="11" t="s">
        <v>4643</v>
      </c>
      <c r="D515" s="11" t="s">
        <v>120</v>
      </c>
      <c r="E515" s="11" t="s">
        <v>1029</v>
      </c>
      <c r="F515" s="11" t="s">
        <v>206</v>
      </c>
      <c r="G515" s="12" t="s">
        <v>207</v>
      </c>
      <c r="H515" s="12" t="s">
        <v>68</v>
      </c>
      <c r="I515" s="12" t="str">
        <f>IFERROR(VLOOKUP(H515, DADOS_RM_EVENTOS_original!C:D, 2, FALSE), "Código não encontrado/Não digitado")</f>
        <v>Código não encontrado/Não digitado</v>
      </c>
      <c r="J515" s="12" t="s">
        <v>68</v>
      </c>
      <c r="K515" s="12" t="str">
        <f>IFERROR(VLOOKUP(J515, DADOS_RM_EVENTOS_original!E:J, 2, FALSE), "Código não encontrado/Não digitado")</f>
        <v>Código não encontrado/Não digitado</v>
      </c>
      <c r="L515" s="12" t="s">
        <v>68</v>
      </c>
      <c r="M515" s="12" t="str">
        <f>IFERROR(VLOOKUP(L515, DADOS_RM_EVENTOS_original!K:L, 2, FALSE), "Código não encontrado/Não digitado")</f>
        <v>Código não encontrado/Não digitado</v>
      </c>
    </row>
    <row r="516" ht="15.75" hidden="1" customHeight="1">
      <c r="A516" s="11" t="s">
        <v>97</v>
      </c>
      <c r="B516" s="11" t="s">
        <v>147</v>
      </c>
      <c r="C516" s="11" t="s">
        <v>4643</v>
      </c>
      <c r="D516" s="11" t="s">
        <v>120</v>
      </c>
      <c r="E516" s="11" t="s">
        <v>972</v>
      </c>
      <c r="F516" s="11" t="s">
        <v>206</v>
      </c>
      <c r="G516" s="12" t="s">
        <v>207</v>
      </c>
      <c r="H516" s="12" t="s">
        <v>68</v>
      </c>
      <c r="I516" s="12" t="str">
        <f>IFERROR(VLOOKUP(H516, DADOS_RM_EVENTOS_original!C:D, 2, FALSE), "Código não encontrado/Não digitado")</f>
        <v>Código não encontrado/Não digitado</v>
      </c>
      <c r="J516" s="12" t="s">
        <v>68</v>
      </c>
      <c r="K516" s="12" t="str">
        <f>IFERROR(VLOOKUP(J516, DADOS_RM_EVENTOS_original!E:J, 2, FALSE), "Código não encontrado/Não digitado")</f>
        <v>Código não encontrado/Não digitado</v>
      </c>
      <c r="L516" s="12" t="s">
        <v>68</v>
      </c>
      <c r="M516" s="12" t="str">
        <f>IFERROR(VLOOKUP(L516, DADOS_RM_EVENTOS_original!K:L, 2, FALSE), "Código não encontrado/Não digitado")</f>
        <v>Código não encontrado/Não digitado</v>
      </c>
    </row>
    <row r="517" ht="15.75" hidden="1" customHeight="1">
      <c r="A517" s="11" t="s">
        <v>38</v>
      </c>
      <c r="B517" s="11" t="s">
        <v>1199</v>
      </c>
      <c r="C517" s="11" t="s">
        <v>4644</v>
      </c>
      <c r="D517" s="11" t="s">
        <v>44</v>
      </c>
      <c r="E517" s="11" t="s">
        <v>47</v>
      </c>
      <c r="F517" s="11" t="s">
        <v>834</v>
      </c>
      <c r="G517" s="12" t="s">
        <v>2736</v>
      </c>
      <c r="H517" s="12" t="s">
        <v>68</v>
      </c>
      <c r="I517" s="12" t="str">
        <f>IFERROR(VLOOKUP(H517, DADOS_RM_EVENTOS_original!C:D, 2, FALSE), "Código não encontrado/Não digitado")</f>
        <v>Código não encontrado/Não digitado</v>
      </c>
      <c r="J517" s="12" t="s">
        <v>68</v>
      </c>
      <c r="K517" s="12" t="str">
        <f>IFERROR(VLOOKUP(J517, DADOS_RM_EVENTOS_original!E:J, 2, FALSE), "Código não encontrado/Não digitado")</f>
        <v>Código não encontrado/Não digitado</v>
      </c>
      <c r="L517" s="12" t="s">
        <v>68</v>
      </c>
      <c r="M517" s="12" t="str">
        <f>IFERROR(VLOOKUP(L517, DADOS_RM_EVENTOS_original!K:L, 2, FALSE), "Código não encontrado/Não digitado")</f>
        <v>Código não encontrado/Não digitado</v>
      </c>
    </row>
    <row r="518" ht="15.75" hidden="1" customHeight="1">
      <c r="A518" s="11" t="s">
        <v>115</v>
      </c>
      <c r="B518" s="11" t="s">
        <v>1199</v>
      </c>
      <c r="C518" s="11" t="s">
        <v>4644</v>
      </c>
      <c r="D518" s="11" t="s">
        <v>44</v>
      </c>
      <c r="E518" s="11" t="s">
        <v>121</v>
      </c>
      <c r="F518" s="11" t="s">
        <v>834</v>
      </c>
      <c r="G518" s="12" t="s">
        <v>2736</v>
      </c>
      <c r="H518" s="12" t="s">
        <v>68</v>
      </c>
      <c r="I518" s="12" t="str">
        <f>IFERROR(VLOOKUP(H518, DADOS_RM_EVENTOS_original!C:D, 2, FALSE), "Código não encontrado/Não digitado")</f>
        <v>Código não encontrado/Não digitado</v>
      </c>
      <c r="J518" s="12" t="s">
        <v>68</v>
      </c>
      <c r="K518" s="12" t="str">
        <f>IFERROR(VLOOKUP(J518, DADOS_RM_EVENTOS_original!E:J, 2, FALSE), "Código não encontrado/Não digitado")</f>
        <v>Código não encontrado/Não digitado</v>
      </c>
      <c r="L518" s="12" t="s">
        <v>68</v>
      </c>
      <c r="M518" s="12" t="str">
        <f>IFERROR(VLOOKUP(L518, DADOS_RM_EVENTOS_original!K:L, 2, FALSE), "Código não encontrado/Não digitado")</f>
        <v>Código não encontrado/Não digitado</v>
      </c>
    </row>
    <row r="519" ht="15.75" customHeight="1">
      <c r="A519" s="11" t="s">
        <v>142</v>
      </c>
      <c r="B519" s="11" t="s">
        <v>2246</v>
      </c>
      <c r="C519" s="11" t="s">
        <v>4645</v>
      </c>
      <c r="D519" s="11" t="s">
        <v>44</v>
      </c>
      <c r="E519" s="11" t="s">
        <v>985</v>
      </c>
      <c r="F519" s="11" t="s">
        <v>49</v>
      </c>
      <c r="G519" s="12" t="s">
        <v>63</v>
      </c>
      <c r="H519" s="12" t="s">
        <v>68</v>
      </c>
      <c r="I519" s="12" t="str">
        <f>IFERROR(VLOOKUP(H519, DADOS_RM_EVENTOS_original!C:D, 2, FALSE), "Código não encontrado/Não digitado")</f>
        <v>Código não encontrado/Não digitado</v>
      </c>
      <c r="J519" s="12" t="s">
        <v>68</v>
      </c>
      <c r="K519" s="12" t="str">
        <f>IFERROR(VLOOKUP(J519, DADOS_RM_EVENTOS_original!E:J, 2, FALSE), "Código não encontrado/Não digitado")</f>
        <v>Código não encontrado/Não digitado</v>
      </c>
      <c r="L519" s="12" t="s">
        <v>68</v>
      </c>
      <c r="M519" s="12" t="str">
        <f>IFERROR(VLOOKUP(L519, DADOS_RM_EVENTOS_original!K:L, 2, FALSE), "Código não encontrado/Não digitado")</f>
        <v>Código não encontrado/Não digitado</v>
      </c>
    </row>
    <row r="520" ht="15.75" customHeight="1">
      <c r="A520" s="11" t="s">
        <v>142</v>
      </c>
      <c r="B520" s="11" t="s">
        <v>2914</v>
      </c>
      <c r="C520" s="11" t="s">
        <v>4646</v>
      </c>
      <c r="D520" s="11" t="s">
        <v>44</v>
      </c>
      <c r="E520" s="11" t="s">
        <v>985</v>
      </c>
      <c r="F520" s="11" t="s">
        <v>49</v>
      </c>
      <c r="G520" s="12" t="s">
        <v>63</v>
      </c>
      <c r="H520" s="12" t="s">
        <v>68</v>
      </c>
      <c r="I520" s="12" t="str">
        <f>IFERROR(VLOOKUP(H520, DADOS_RM_EVENTOS_original!C:D, 2, FALSE), "Código não encontrado/Não digitado")</f>
        <v>Código não encontrado/Não digitado</v>
      </c>
      <c r="J520" s="12" t="s">
        <v>68</v>
      </c>
      <c r="K520" s="12" t="str">
        <f>IFERROR(VLOOKUP(J520, DADOS_RM_EVENTOS_original!E:J, 2, FALSE), "Código não encontrado/Não digitado")</f>
        <v>Código não encontrado/Não digitado</v>
      </c>
      <c r="L520" s="12" t="s">
        <v>68</v>
      </c>
      <c r="M520" s="12" t="str">
        <f>IFERROR(VLOOKUP(L520, DADOS_RM_EVENTOS_original!K:L, 2, FALSE), "Código não encontrado/Não digitado")</f>
        <v>Código não encontrado/Não digitado</v>
      </c>
    </row>
    <row r="521" ht="15.75" customHeight="1">
      <c r="A521" s="11" t="s">
        <v>199</v>
      </c>
      <c r="B521" s="11" t="s">
        <v>3242</v>
      </c>
      <c r="C521" s="11" t="s">
        <v>4646</v>
      </c>
      <c r="D521" s="11" t="s">
        <v>44</v>
      </c>
      <c r="E521" s="11" t="s">
        <v>1074</v>
      </c>
      <c r="F521" s="11" t="s">
        <v>49</v>
      </c>
      <c r="G521" s="12" t="s">
        <v>63</v>
      </c>
      <c r="H521" s="12" t="s">
        <v>68</v>
      </c>
      <c r="I521" s="12" t="str">
        <f>IFERROR(VLOOKUP(H521, DADOS_RM_EVENTOS_original!C:D, 2, FALSE), "Código não encontrado/Não digitado")</f>
        <v>Código não encontrado/Não digitado</v>
      </c>
      <c r="J521" s="12" t="s">
        <v>68</v>
      </c>
      <c r="K521" s="12" t="str">
        <f>IFERROR(VLOOKUP(J521, DADOS_RM_EVENTOS_original!E:J, 2, FALSE), "Código não encontrado/Não digitado")</f>
        <v>Código não encontrado/Não digitado</v>
      </c>
      <c r="L521" s="12" t="s">
        <v>68</v>
      </c>
      <c r="M521" s="12" t="str">
        <f>IFERROR(VLOOKUP(L521, DADOS_RM_EVENTOS_original!K:L, 2, FALSE), "Código não encontrado/Não digitado")</f>
        <v>Código não encontrado/Não digitado</v>
      </c>
    </row>
    <row r="522" ht="15.75" customHeight="1">
      <c r="A522" s="11" t="s">
        <v>97</v>
      </c>
      <c r="B522" s="11" t="s">
        <v>1312</v>
      </c>
      <c r="C522" s="11" t="s">
        <v>3309</v>
      </c>
      <c r="D522" s="11" t="s">
        <v>44</v>
      </c>
      <c r="E522" s="11" t="s">
        <v>972</v>
      </c>
      <c r="F522" s="11" t="s">
        <v>49</v>
      </c>
      <c r="G522" s="12" t="s">
        <v>63</v>
      </c>
      <c r="H522" s="12" t="s">
        <v>68</v>
      </c>
      <c r="I522" s="12" t="str">
        <f>IFERROR(VLOOKUP(H522, DADOS_RM_EVENTOS_original!C:D, 2, FALSE), "Código não encontrado/Não digitado")</f>
        <v>Código não encontrado/Não digitado</v>
      </c>
      <c r="J522" s="12" t="s">
        <v>68</v>
      </c>
      <c r="K522" s="12" t="str">
        <f>IFERROR(VLOOKUP(J522, DADOS_RM_EVENTOS_original!E:J, 2, FALSE), "Código não encontrado/Não digitado")</f>
        <v>Código não encontrado/Não digitado</v>
      </c>
      <c r="L522" s="12" t="s">
        <v>68</v>
      </c>
      <c r="M522" s="12" t="str">
        <f>IFERROR(VLOOKUP(L522, DADOS_RM_EVENTOS_original!K:L, 2, FALSE), "Código não encontrado/Não digitado")</f>
        <v>Código não encontrado/Não digitado</v>
      </c>
    </row>
    <row r="523" ht="15.75" hidden="1" customHeight="1">
      <c r="A523" s="11" t="s">
        <v>38</v>
      </c>
      <c r="B523" s="11" t="s">
        <v>1202</v>
      </c>
      <c r="C523" s="11" t="s">
        <v>4647</v>
      </c>
      <c r="D523" s="11" t="s">
        <v>44</v>
      </c>
      <c r="E523" s="11" t="s">
        <v>47</v>
      </c>
      <c r="F523" s="11" t="s">
        <v>452</v>
      </c>
      <c r="G523" s="12" t="s">
        <v>2744</v>
      </c>
      <c r="H523" s="12" t="s">
        <v>68</v>
      </c>
      <c r="I523" s="12" t="str">
        <f>IFERROR(VLOOKUP(H523, DADOS_RM_EVENTOS_original!C:D, 2, FALSE), "Código não encontrado/Não digitado")</f>
        <v>Código não encontrado/Não digitado</v>
      </c>
      <c r="J523" s="12" t="s">
        <v>68</v>
      </c>
      <c r="K523" s="12" t="str">
        <f>IFERROR(VLOOKUP(J523, DADOS_RM_EVENTOS_original!E:J, 2, FALSE), "Código não encontrado/Não digitado")</f>
        <v>Código não encontrado/Não digitado</v>
      </c>
      <c r="L523" s="12" t="s">
        <v>68</v>
      </c>
      <c r="M523" s="12" t="str">
        <f>IFERROR(VLOOKUP(L523, DADOS_RM_EVENTOS_original!K:L, 2, FALSE), "Código não encontrado/Não digitado")</f>
        <v>Código não encontrado/Não digitado</v>
      </c>
    </row>
    <row r="524" ht="15.75" hidden="1" customHeight="1">
      <c r="A524" s="11" t="s">
        <v>115</v>
      </c>
      <c r="B524" s="11" t="s">
        <v>1202</v>
      </c>
      <c r="C524" s="11" t="s">
        <v>4647</v>
      </c>
      <c r="D524" s="11" t="s">
        <v>44</v>
      </c>
      <c r="E524" s="11" t="s">
        <v>121</v>
      </c>
      <c r="F524" s="11" t="s">
        <v>452</v>
      </c>
      <c r="G524" s="12" t="s">
        <v>2744</v>
      </c>
      <c r="H524" s="12" t="s">
        <v>68</v>
      </c>
      <c r="I524" s="12" t="str">
        <f>IFERROR(VLOOKUP(H524, DADOS_RM_EVENTOS_original!C:D, 2, FALSE), "Código não encontrado/Não digitado")</f>
        <v>Código não encontrado/Não digitado</v>
      </c>
      <c r="J524" s="12" t="s">
        <v>68</v>
      </c>
      <c r="K524" s="12" t="str">
        <f>IFERROR(VLOOKUP(J524, DADOS_RM_EVENTOS_original!E:J, 2, FALSE), "Código não encontrado/Não digitado")</f>
        <v>Código não encontrado/Não digitado</v>
      </c>
      <c r="L524" s="12" t="s">
        <v>68</v>
      </c>
      <c r="M524" s="12" t="str">
        <f>IFERROR(VLOOKUP(L524, DADOS_RM_EVENTOS_original!K:L, 2, FALSE), "Código não encontrado/Não digitado")</f>
        <v>Código não encontrado/Não digitado</v>
      </c>
    </row>
    <row r="525" ht="15.75" hidden="1" customHeight="1">
      <c r="A525" s="11" t="s">
        <v>38</v>
      </c>
      <c r="B525" s="11" t="s">
        <v>4648</v>
      </c>
      <c r="C525" s="11" t="s">
        <v>4649</v>
      </c>
      <c r="D525" s="11" t="s">
        <v>44</v>
      </c>
      <c r="E525" s="11" t="s">
        <v>47</v>
      </c>
      <c r="F525" s="11" t="s">
        <v>889</v>
      </c>
      <c r="G525" s="12" t="s">
        <v>2770</v>
      </c>
      <c r="H525" s="12" t="s">
        <v>68</v>
      </c>
      <c r="I525" s="12" t="str">
        <f>IFERROR(VLOOKUP(H525, DADOS_RM_EVENTOS_original!C:D, 2, FALSE), "Código não encontrado/Não digitado")</f>
        <v>Código não encontrado/Não digitado</v>
      </c>
      <c r="J525" s="12" t="s">
        <v>68</v>
      </c>
      <c r="K525" s="12" t="str">
        <f>IFERROR(VLOOKUP(J525, DADOS_RM_EVENTOS_original!E:J, 2, FALSE), "Código não encontrado/Não digitado")</f>
        <v>Código não encontrado/Não digitado</v>
      </c>
      <c r="L525" s="12" t="s">
        <v>68</v>
      </c>
      <c r="M525" s="12" t="str">
        <f>IFERROR(VLOOKUP(L525, DADOS_RM_EVENTOS_original!K:L, 2, FALSE), "Código não encontrado/Não digitado")</f>
        <v>Código não encontrado/Não digitado</v>
      </c>
    </row>
    <row r="526" ht="15.75" hidden="1" customHeight="1">
      <c r="A526" s="11" t="s">
        <v>38</v>
      </c>
      <c r="B526" s="11" t="s">
        <v>4650</v>
      </c>
      <c r="C526" s="11" t="s">
        <v>4651</v>
      </c>
      <c r="D526" s="11" t="s">
        <v>44</v>
      </c>
      <c r="E526" s="11" t="s">
        <v>47</v>
      </c>
      <c r="F526" s="11" t="s">
        <v>2016</v>
      </c>
      <c r="G526" s="12" t="s">
        <v>2763</v>
      </c>
      <c r="H526" s="12" t="s">
        <v>68</v>
      </c>
      <c r="I526" s="12" t="str">
        <f>IFERROR(VLOOKUP(H526, DADOS_RM_EVENTOS_original!C:D, 2, FALSE), "Código não encontrado/Não digitado")</f>
        <v>Código não encontrado/Não digitado</v>
      </c>
      <c r="J526" s="12" t="s">
        <v>68</v>
      </c>
      <c r="K526" s="12" t="str">
        <f>IFERROR(VLOOKUP(J526, DADOS_RM_EVENTOS_original!E:J, 2, FALSE), "Código não encontrado/Não digitado")</f>
        <v>Código não encontrado/Não digitado</v>
      </c>
      <c r="L526" s="12" t="s">
        <v>68</v>
      </c>
      <c r="M526" s="12" t="str">
        <f>IFERROR(VLOOKUP(L526, DADOS_RM_EVENTOS_original!K:L, 2, FALSE), "Código não encontrado/Não digitado")</f>
        <v>Código não encontrado/Não digitado</v>
      </c>
    </row>
    <row r="527" ht="15.75" hidden="1" customHeight="1">
      <c r="A527" s="11" t="s">
        <v>97</v>
      </c>
      <c r="B527" s="11" t="s">
        <v>4650</v>
      </c>
      <c r="C527" s="11" t="s">
        <v>4652</v>
      </c>
      <c r="D527" s="11" t="s">
        <v>44</v>
      </c>
      <c r="E527" s="11" t="s">
        <v>972</v>
      </c>
      <c r="F527" s="11" t="s">
        <v>2016</v>
      </c>
      <c r="G527" s="12" t="s">
        <v>2763</v>
      </c>
      <c r="H527" s="12" t="s">
        <v>68</v>
      </c>
      <c r="I527" s="12" t="str">
        <f>IFERROR(VLOOKUP(H527, DADOS_RM_EVENTOS_original!C:D, 2, FALSE), "Código não encontrado/Não digitado")</f>
        <v>Código não encontrado/Não digitado</v>
      </c>
      <c r="J527" s="12" t="s">
        <v>68</v>
      </c>
      <c r="K527" s="12" t="str">
        <f>IFERROR(VLOOKUP(J527, DADOS_RM_EVENTOS_original!E:J, 2, FALSE), "Código não encontrado/Não digitado")</f>
        <v>Código não encontrado/Não digitado</v>
      </c>
      <c r="L527" s="12" t="s">
        <v>68</v>
      </c>
      <c r="M527" s="12" t="str">
        <f>IFERROR(VLOOKUP(L527, DADOS_RM_EVENTOS_original!K:L, 2, FALSE), "Código não encontrado/Não digitado")</f>
        <v>Código não encontrado/Não digitado</v>
      </c>
    </row>
    <row r="528" ht="15.75" hidden="1" customHeight="1">
      <c r="A528" s="11" t="s">
        <v>97</v>
      </c>
      <c r="B528" s="11" t="s">
        <v>1202</v>
      </c>
      <c r="C528" s="11" t="s">
        <v>4653</v>
      </c>
      <c r="D528" s="11" t="s">
        <v>44</v>
      </c>
      <c r="E528" s="11" t="s">
        <v>972</v>
      </c>
      <c r="F528" s="11" t="s">
        <v>834</v>
      </c>
      <c r="G528" s="12" t="s">
        <v>2736</v>
      </c>
      <c r="H528" s="12" t="s">
        <v>68</v>
      </c>
      <c r="I528" s="12" t="str">
        <f>IFERROR(VLOOKUP(H528, DADOS_RM_EVENTOS_original!C:D, 2, FALSE), "Código não encontrado/Não digitado")</f>
        <v>Código não encontrado/Não digitado</v>
      </c>
      <c r="J528" s="12" t="s">
        <v>68</v>
      </c>
      <c r="K528" s="12" t="str">
        <f>IFERROR(VLOOKUP(J528, DADOS_RM_EVENTOS_original!E:J, 2, FALSE), "Código não encontrado/Não digitado")</f>
        <v>Código não encontrado/Não digitado</v>
      </c>
      <c r="L528" s="12" t="s">
        <v>68</v>
      </c>
      <c r="M528" s="12" t="str">
        <f>IFERROR(VLOOKUP(L528, DADOS_RM_EVENTOS_original!K:L, 2, FALSE), "Código não encontrado/Não digitado")</f>
        <v>Código não encontrado/Não digitado</v>
      </c>
    </row>
    <row r="529" ht="15.75" hidden="1" customHeight="1">
      <c r="A529" s="11" t="s">
        <v>38</v>
      </c>
      <c r="B529" s="11" t="s">
        <v>1249</v>
      </c>
      <c r="C529" s="11" t="s">
        <v>4654</v>
      </c>
      <c r="D529" s="11" t="s">
        <v>44</v>
      </c>
      <c r="E529" s="11" t="s">
        <v>47</v>
      </c>
      <c r="F529" s="11" t="s">
        <v>834</v>
      </c>
      <c r="G529" s="12" t="s">
        <v>2736</v>
      </c>
      <c r="H529" s="12" t="s">
        <v>68</v>
      </c>
      <c r="I529" s="12" t="str">
        <f>IFERROR(VLOOKUP(H529, DADOS_RM_EVENTOS_original!C:D, 2, FALSE), "Código não encontrado/Não digitado")</f>
        <v>Código não encontrado/Não digitado</v>
      </c>
      <c r="J529" s="12" t="s">
        <v>68</v>
      </c>
      <c r="K529" s="12" t="str">
        <f>IFERROR(VLOOKUP(J529, DADOS_RM_EVENTOS_original!E:J, 2, FALSE), "Código não encontrado/Não digitado")</f>
        <v>Código não encontrado/Não digitado</v>
      </c>
      <c r="L529" s="12" t="s">
        <v>68</v>
      </c>
      <c r="M529" s="12" t="str">
        <f>IFERROR(VLOOKUP(L529, DADOS_RM_EVENTOS_original!K:L, 2, FALSE), "Código não encontrado/Não digitado")</f>
        <v>Código não encontrado/Não digitado</v>
      </c>
    </row>
    <row r="530" ht="15.75" hidden="1" customHeight="1">
      <c r="A530" s="11" t="s">
        <v>38</v>
      </c>
      <c r="B530" s="11" t="s">
        <v>4655</v>
      </c>
      <c r="C530" s="11" t="s">
        <v>4656</v>
      </c>
      <c r="D530" s="11" t="s">
        <v>44</v>
      </c>
      <c r="E530" s="11" t="s">
        <v>47</v>
      </c>
      <c r="F530" s="11" t="s">
        <v>834</v>
      </c>
      <c r="G530" s="12" t="s">
        <v>2736</v>
      </c>
      <c r="H530" s="12" t="s">
        <v>68</v>
      </c>
      <c r="I530" s="12" t="str">
        <f>IFERROR(VLOOKUP(H530, DADOS_RM_EVENTOS_original!C:D, 2, FALSE), "Código não encontrado/Não digitado")</f>
        <v>Código não encontrado/Não digitado</v>
      </c>
      <c r="J530" s="12" t="s">
        <v>68</v>
      </c>
      <c r="K530" s="12" t="str">
        <f>IFERROR(VLOOKUP(J530, DADOS_RM_EVENTOS_original!E:J, 2, FALSE), "Código não encontrado/Não digitado")</f>
        <v>Código não encontrado/Não digitado</v>
      </c>
      <c r="L530" s="12" t="s">
        <v>68</v>
      </c>
      <c r="M530" s="12" t="str">
        <f>IFERROR(VLOOKUP(L530, DADOS_RM_EVENTOS_original!K:L, 2, FALSE), "Código não encontrado/Não digitado")</f>
        <v>Código não encontrado/Não digitado</v>
      </c>
    </row>
    <row r="531" ht="15.75" hidden="1" customHeight="1">
      <c r="A531" s="11" t="s">
        <v>38</v>
      </c>
      <c r="B531" s="11" t="s">
        <v>3616</v>
      </c>
      <c r="C531" s="11" t="s">
        <v>4657</v>
      </c>
      <c r="D531" s="11" t="s">
        <v>44</v>
      </c>
      <c r="E531" s="11" t="s">
        <v>47</v>
      </c>
      <c r="F531" s="11" t="s">
        <v>834</v>
      </c>
      <c r="G531" s="12" t="s">
        <v>2736</v>
      </c>
      <c r="H531" s="12" t="s">
        <v>68</v>
      </c>
      <c r="I531" s="12" t="str">
        <f>IFERROR(VLOOKUP(H531, DADOS_RM_EVENTOS_original!C:D, 2, FALSE), "Código não encontrado/Não digitado")</f>
        <v>Código não encontrado/Não digitado</v>
      </c>
      <c r="J531" s="12" t="s">
        <v>68</v>
      </c>
      <c r="K531" s="12" t="str">
        <f>IFERROR(VLOOKUP(J531, DADOS_RM_EVENTOS_original!E:J, 2, FALSE), "Código não encontrado/Não digitado")</f>
        <v>Código não encontrado/Não digitado</v>
      </c>
      <c r="L531" s="12" t="s">
        <v>68</v>
      </c>
      <c r="M531" s="12" t="str">
        <f>IFERROR(VLOOKUP(L531, DADOS_RM_EVENTOS_original!K:L, 2, FALSE), "Código não encontrado/Não digitado")</f>
        <v>Código não encontrado/Não digitado</v>
      </c>
    </row>
    <row r="532" ht="15.75" hidden="1" customHeight="1">
      <c r="A532" s="11" t="s">
        <v>38</v>
      </c>
      <c r="B532" s="11" t="s">
        <v>4658</v>
      </c>
      <c r="C532" s="11" t="s">
        <v>4659</v>
      </c>
      <c r="D532" s="11" t="s">
        <v>44</v>
      </c>
      <c r="E532" s="11" t="s">
        <v>47</v>
      </c>
      <c r="F532" s="11" t="s">
        <v>782</v>
      </c>
      <c r="G532" s="12" t="s">
        <v>784</v>
      </c>
      <c r="H532" s="12" t="s">
        <v>68</v>
      </c>
      <c r="I532" s="12" t="str">
        <f>IFERROR(VLOOKUP(H532, DADOS_RM_EVENTOS_original!C:D, 2, FALSE), "Código não encontrado/Não digitado")</f>
        <v>Código não encontrado/Não digitado</v>
      </c>
      <c r="J532" s="12" t="s">
        <v>68</v>
      </c>
      <c r="K532" s="12" t="str">
        <f>IFERROR(VLOOKUP(J532, DADOS_RM_EVENTOS_original!E:J, 2, FALSE), "Código não encontrado/Não digitado")</f>
        <v>Código não encontrado/Não digitado</v>
      </c>
      <c r="L532" s="12" t="s">
        <v>68</v>
      </c>
      <c r="M532" s="12" t="str">
        <f>IFERROR(VLOOKUP(L532, DADOS_RM_EVENTOS_original!K:L, 2, FALSE), "Código não encontrado/Não digitado")</f>
        <v>Código não encontrado/Não digitado</v>
      </c>
    </row>
    <row r="533" ht="15.75" hidden="1" customHeight="1">
      <c r="A533" s="11" t="s">
        <v>115</v>
      </c>
      <c r="B533" s="11" t="s">
        <v>4658</v>
      </c>
      <c r="C533" s="11" t="s">
        <v>4659</v>
      </c>
      <c r="D533" s="11" t="s">
        <v>44</v>
      </c>
      <c r="E533" s="11" t="s">
        <v>121</v>
      </c>
      <c r="F533" s="11" t="s">
        <v>782</v>
      </c>
      <c r="G533" s="12" t="s">
        <v>784</v>
      </c>
      <c r="H533" s="12" t="s">
        <v>68</v>
      </c>
      <c r="I533" s="12" t="str">
        <f>IFERROR(VLOOKUP(H533, DADOS_RM_EVENTOS_original!C:D, 2, FALSE), "Código não encontrado/Não digitado")</f>
        <v>Código não encontrado/Não digitado</v>
      </c>
      <c r="J533" s="12" t="s">
        <v>68</v>
      </c>
      <c r="K533" s="12" t="str">
        <f>IFERROR(VLOOKUP(J533, DADOS_RM_EVENTOS_original!E:J, 2, FALSE), "Código não encontrado/Não digitado")</f>
        <v>Código não encontrado/Não digitado</v>
      </c>
      <c r="L533" s="12" t="s">
        <v>68</v>
      </c>
      <c r="M533" s="12" t="str">
        <f>IFERROR(VLOOKUP(L533, DADOS_RM_EVENTOS_original!K:L, 2, FALSE), "Código não encontrado/Não digitado")</f>
        <v>Código não encontrado/Não digitado</v>
      </c>
    </row>
    <row r="534" ht="15.75" hidden="1" customHeight="1">
      <c r="A534" s="11" t="s">
        <v>38</v>
      </c>
      <c r="B534" s="11" t="s">
        <v>769</v>
      </c>
      <c r="C534" s="11" t="s">
        <v>4660</v>
      </c>
      <c r="D534" s="11" t="s">
        <v>44</v>
      </c>
      <c r="E534" s="11" t="s">
        <v>47</v>
      </c>
      <c r="F534" s="11" t="s">
        <v>1240</v>
      </c>
      <c r="G534" s="12" t="s">
        <v>1655</v>
      </c>
      <c r="H534" s="12" t="s">
        <v>68</v>
      </c>
      <c r="I534" s="12" t="str">
        <f>IFERROR(VLOOKUP(H534, DADOS_RM_EVENTOS_original!C:D, 2, FALSE), "Código não encontrado/Não digitado")</f>
        <v>Código não encontrado/Não digitado</v>
      </c>
      <c r="J534" s="12" t="s">
        <v>68</v>
      </c>
      <c r="K534" s="12" t="str">
        <f>IFERROR(VLOOKUP(J534, DADOS_RM_EVENTOS_original!E:J, 2, FALSE), "Código não encontrado/Não digitado")</f>
        <v>Código não encontrado/Não digitado</v>
      </c>
      <c r="L534" s="12" t="s">
        <v>68</v>
      </c>
      <c r="M534" s="12" t="str">
        <f>IFERROR(VLOOKUP(L534, DADOS_RM_EVENTOS_original!K:L, 2, FALSE), "Código não encontrado/Não digitado")</f>
        <v>Código não encontrado/Não digitado</v>
      </c>
    </row>
    <row r="535" ht="15.75" hidden="1" customHeight="1">
      <c r="A535" s="11" t="s">
        <v>97</v>
      </c>
      <c r="B535" s="11" t="s">
        <v>778</v>
      </c>
      <c r="C535" s="11" t="s">
        <v>4661</v>
      </c>
      <c r="D535" s="11" t="s">
        <v>44</v>
      </c>
      <c r="E535" s="11" t="s">
        <v>972</v>
      </c>
      <c r="F535" s="11" t="s">
        <v>782</v>
      </c>
      <c r="G535" s="12" t="s">
        <v>784</v>
      </c>
      <c r="H535" s="12" t="s">
        <v>68</v>
      </c>
      <c r="I535" s="12" t="str">
        <f>IFERROR(VLOOKUP(H535, DADOS_RM_EVENTOS_original!C:D, 2, FALSE), "Código não encontrado/Não digitado")</f>
        <v>Código não encontrado/Não digitado</v>
      </c>
      <c r="J535" s="12" t="s">
        <v>68</v>
      </c>
      <c r="K535" s="12" t="str">
        <f>IFERROR(VLOOKUP(J535, DADOS_RM_EVENTOS_original!E:J, 2, FALSE), "Código não encontrado/Não digitado")</f>
        <v>Código não encontrado/Não digitado</v>
      </c>
      <c r="L535" s="12" t="s">
        <v>68</v>
      </c>
      <c r="M535" s="12" t="str">
        <f>IFERROR(VLOOKUP(L535, DADOS_RM_EVENTOS_original!K:L, 2, FALSE), "Código não encontrado/Não digitado")</f>
        <v>Código não encontrado/Não digitado</v>
      </c>
    </row>
    <row r="536" ht="15.75" hidden="1" customHeight="1">
      <c r="A536" s="11" t="s">
        <v>97</v>
      </c>
      <c r="B536" s="11" t="s">
        <v>4658</v>
      </c>
      <c r="C536" s="11" t="s">
        <v>4662</v>
      </c>
      <c r="D536" s="11" t="s">
        <v>44</v>
      </c>
      <c r="E536" s="11" t="s">
        <v>972</v>
      </c>
      <c r="F536" s="11" t="s">
        <v>1240</v>
      </c>
      <c r="G536" s="12" t="s">
        <v>1655</v>
      </c>
      <c r="H536" s="12" t="s">
        <v>68</v>
      </c>
      <c r="I536" s="12" t="str">
        <f>IFERROR(VLOOKUP(H536, DADOS_RM_EVENTOS_original!C:D, 2, FALSE), "Código não encontrado/Não digitado")</f>
        <v>Código não encontrado/Não digitado</v>
      </c>
      <c r="J536" s="12" t="s">
        <v>68</v>
      </c>
      <c r="K536" s="12" t="str">
        <f>IFERROR(VLOOKUP(J536, DADOS_RM_EVENTOS_original!E:J, 2, FALSE), "Código não encontrado/Não digitado")</f>
        <v>Código não encontrado/Não digitado</v>
      </c>
      <c r="L536" s="12" t="s">
        <v>68</v>
      </c>
      <c r="M536" s="12" t="str">
        <f>IFERROR(VLOOKUP(L536, DADOS_RM_EVENTOS_original!K:L, 2, FALSE), "Código não encontrado/Não digitado")</f>
        <v>Código não encontrado/Não digitado</v>
      </c>
    </row>
    <row r="537" ht="15.75" hidden="1" customHeight="1">
      <c r="A537" s="11" t="s">
        <v>172</v>
      </c>
      <c r="B537" s="11" t="s">
        <v>1390</v>
      </c>
      <c r="C537" s="11" t="s">
        <v>4663</v>
      </c>
      <c r="D537" s="11" t="s">
        <v>120</v>
      </c>
      <c r="E537" s="11" t="s">
        <v>1029</v>
      </c>
      <c r="F537" s="11" t="s">
        <v>694</v>
      </c>
      <c r="G537" s="12" t="s">
        <v>696</v>
      </c>
      <c r="H537" s="12" t="s">
        <v>68</v>
      </c>
      <c r="I537" s="12" t="str">
        <f>IFERROR(VLOOKUP(H537, DADOS_RM_EVENTOS_original!C:D, 2, FALSE), "Código não encontrado/Não digitado")</f>
        <v>Código não encontrado/Não digitado</v>
      </c>
      <c r="J537" s="12" t="s">
        <v>68</v>
      </c>
      <c r="K537" s="12" t="str">
        <f>IFERROR(VLOOKUP(J537, DADOS_RM_EVENTOS_original!E:J, 2, FALSE), "Código não encontrado/Não digitado")</f>
        <v>Código não encontrado/Não digitado</v>
      </c>
      <c r="L537" s="12" t="s">
        <v>68</v>
      </c>
      <c r="M537" s="12" t="str">
        <f>IFERROR(VLOOKUP(L537, DADOS_RM_EVENTOS_original!K:L, 2, FALSE), "Código não encontrado/Não digitado")</f>
        <v>Código não encontrado/Não digitado</v>
      </c>
    </row>
    <row r="538" ht="15.75" hidden="1" customHeight="1">
      <c r="A538" s="11" t="s">
        <v>38</v>
      </c>
      <c r="B538" s="11" t="s">
        <v>772</v>
      </c>
      <c r="C538" s="11" t="s">
        <v>4664</v>
      </c>
      <c r="D538" s="11" t="s">
        <v>120</v>
      </c>
      <c r="E538" s="11" t="s">
        <v>47</v>
      </c>
      <c r="F538" s="11" t="s">
        <v>694</v>
      </c>
      <c r="G538" s="12" t="s">
        <v>696</v>
      </c>
      <c r="H538" s="12" t="s">
        <v>68</v>
      </c>
      <c r="I538" s="12" t="str">
        <f>IFERROR(VLOOKUP(H538, DADOS_RM_EVENTOS_original!C:D, 2, FALSE), "Código não encontrado/Não digitado")</f>
        <v>Código não encontrado/Não digitado</v>
      </c>
      <c r="J538" s="12" t="s">
        <v>68</v>
      </c>
      <c r="K538" s="12" t="str">
        <f>IFERROR(VLOOKUP(J538, DADOS_RM_EVENTOS_original!E:J, 2, FALSE), "Código não encontrado/Não digitado")</f>
        <v>Código não encontrado/Não digitado</v>
      </c>
      <c r="L538" s="12" t="s">
        <v>68</v>
      </c>
      <c r="M538" s="12" t="str">
        <f>IFERROR(VLOOKUP(L538, DADOS_RM_EVENTOS_original!K:L, 2, FALSE), "Código não encontrado/Não digitado")</f>
        <v>Código não encontrado/Não digitado</v>
      </c>
    </row>
    <row r="539" ht="15.75" hidden="1" customHeight="1">
      <c r="A539" s="11" t="s">
        <v>38</v>
      </c>
      <c r="B539" s="11" t="s">
        <v>308</v>
      </c>
      <c r="C539" s="11" t="s">
        <v>4665</v>
      </c>
      <c r="D539" s="11" t="s">
        <v>120</v>
      </c>
      <c r="E539" s="11" t="s">
        <v>47</v>
      </c>
      <c r="F539" s="11" t="s">
        <v>694</v>
      </c>
      <c r="G539" s="12" t="s">
        <v>696</v>
      </c>
      <c r="H539" s="12" t="s">
        <v>68</v>
      </c>
      <c r="I539" s="12" t="str">
        <f>IFERROR(VLOOKUP(H539, DADOS_RM_EVENTOS_original!C:D, 2, FALSE), "Código não encontrado/Não digitado")</f>
        <v>Código não encontrado/Não digitado</v>
      </c>
      <c r="J539" s="12" t="s">
        <v>68</v>
      </c>
      <c r="K539" s="12" t="str">
        <f>IFERROR(VLOOKUP(J539, DADOS_RM_EVENTOS_original!E:J, 2, FALSE), "Código não encontrado/Não digitado")</f>
        <v>Código não encontrado/Não digitado</v>
      </c>
      <c r="L539" s="12" t="s">
        <v>68</v>
      </c>
      <c r="M539" s="12" t="str">
        <f>IFERROR(VLOOKUP(L539, DADOS_RM_EVENTOS_original!K:L, 2, FALSE), "Código não encontrado/Não digitado")</f>
        <v>Código não encontrado/Não digitado</v>
      </c>
    </row>
    <row r="540" ht="15.75" hidden="1" customHeight="1">
      <c r="A540" s="11" t="s">
        <v>172</v>
      </c>
      <c r="B540" s="11" t="s">
        <v>2821</v>
      </c>
      <c r="C540" s="11" t="s">
        <v>4666</v>
      </c>
      <c r="D540" s="11" t="s">
        <v>120</v>
      </c>
      <c r="E540" s="11" t="s">
        <v>1029</v>
      </c>
      <c r="F540" s="11" t="s">
        <v>694</v>
      </c>
      <c r="G540" s="12" t="s">
        <v>696</v>
      </c>
      <c r="H540" s="12" t="s">
        <v>68</v>
      </c>
      <c r="I540" s="12" t="str">
        <f>IFERROR(VLOOKUP(H540, DADOS_RM_EVENTOS_original!C:D, 2, FALSE), "Código não encontrado/Não digitado")</f>
        <v>Código não encontrado/Não digitado</v>
      </c>
      <c r="J540" s="12" t="s">
        <v>68</v>
      </c>
      <c r="K540" s="12" t="str">
        <f>IFERROR(VLOOKUP(J540, DADOS_RM_EVENTOS_original!E:J, 2, FALSE), "Código não encontrado/Não digitado")</f>
        <v>Código não encontrado/Não digitado</v>
      </c>
      <c r="L540" s="12" t="s">
        <v>68</v>
      </c>
      <c r="M540" s="12" t="str">
        <f>IFERROR(VLOOKUP(L540, DADOS_RM_EVENTOS_original!K:L, 2, FALSE), "Código não encontrado/Não digitado")</f>
        <v>Código não encontrado/Não digitado</v>
      </c>
    </row>
    <row r="541" ht="15.75" hidden="1" customHeight="1">
      <c r="A541" s="11" t="s">
        <v>38</v>
      </c>
      <c r="B541" s="11" t="s">
        <v>216</v>
      </c>
      <c r="C541" s="11" t="s">
        <v>4667</v>
      </c>
      <c r="D541" s="11" t="s">
        <v>120</v>
      </c>
      <c r="E541" s="11" t="s">
        <v>47</v>
      </c>
      <c r="F541" s="11" t="s">
        <v>694</v>
      </c>
      <c r="G541" s="12" t="s">
        <v>696</v>
      </c>
      <c r="H541" s="12" t="s">
        <v>68</v>
      </c>
      <c r="I541" s="12" t="str">
        <f>IFERROR(VLOOKUP(H541, DADOS_RM_EVENTOS_original!C:D, 2, FALSE), "Código não encontrado/Não digitado")</f>
        <v>Código não encontrado/Não digitado</v>
      </c>
      <c r="J541" s="12" t="s">
        <v>68</v>
      </c>
      <c r="K541" s="12" t="str">
        <f>IFERROR(VLOOKUP(J541, DADOS_RM_EVENTOS_original!E:J, 2, FALSE), "Código não encontrado/Não digitado")</f>
        <v>Código não encontrado/Não digitado</v>
      </c>
      <c r="L541" s="12" t="s">
        <v>68</v>
      </c>
      <c r="M541" s="12" t="str">
        <f>IFERROR(VLOOKUP(L541, DADOS_RM_EVENTOS_original!K:L, 2, FALSE), "Código não encontrado/Não digitado")</f>
        <v>Código não encontrado/Não digitado</v>
      </c>
    </row>
    <row r="542" ht="15.75" customHeight="1">
      <c r="A542" s="11" t="s">
        <v>38</v>
      </c>
      <c r="B542" s="11" t="s">
        <v>225</v>
      </c>
      <c r="C542" s="11" t="s">
        <v>3310</v>
      </c>
      <c r="D542" s="11" t="s">
        <v>120</v>
      </c>
      <c r="E542" s="11" t="s">
        <v>47</v>
      </c>
      <c r="F542" s="11" t="s">
        <v>49</v>
      </c>
      <c r="G542" s="12" t="s">
        <v>63</v>
      </c>
      <c r="H542" s="12" t="s">
        <v>68</v>
      </c>
      <c r="I542" s="12" t="str">
        <f>IFERROR(VLOOKUP(H542, DADOS_RM_EVENTOS_original!C:D, 2, FALSE), "Código não encontrado/Não digitado")</f>
        <v>Código não encontrado/Não digitado</v>
      </c>
      <c r="J542" s="12" t="s">
        <v>68</v>
      </c>
      <c r="K542" s="12" t="str">
        <f>IFERROR(VLOOKUP(J542, DADOS_RM_EVENTOS_original!E:J, 2, FALSE), "Código não encontrado/Não digitado")</f>
        <v>Código não encontrado/Não digitado</v>
      </c>
      <c r="L542" s="12" t="s">
        <v>68</v>
      </c>
      <c r="M542" s="12" t="str">
        <f>IFERROR(VLOOKUP(L542, DADOS_RM_EVENTOS_original!K:L, 2, FALSE), "Código não encontrado/Não digitado")</f>
        <v>Código não encontrado/Não digitado</v>
      </c>
    </row>
    <row r="543" ht="15.75" customHeight="1">
      <c r="A543" s="11" t="s">
        <v>38</v>
      </c>
      <c r="B543" s="11" t="s">
        <v>231</v>
      </c>
      <c r="C543" s="11" t="s">
        <v>3312</v>
      </c>
      <c r="D543" s="11" t="s">
        <v>120</v>
      </c>
      <c r="E543" s="11" t="s">
        <v>47</v>
      </c>
      <c r="F543" s="11" t="s">
        <v>49</v>
      </c>
      <c r="G543" s="12" t="s">
        <v>63</v>
      </c>
      <c r="H543" s="12" t="s">
        <v>68</v>
      </c>
      <c r="I543" s="12" t="str">
        <f>IFERROR(VLOOKUP(H543, DADOS_RM_EVENTOS_original!C:D, 2, FALSE), "Código não encontrado/Não digitado")</f>
        <v>Código não encontrado/Não digitado</v>
      </c>
      <c r="J543" s="12" t="s">
        <v>68</v>
      </c>
      <c r="K543" s="12" t="str">
        <f>IFERROR(VLOOKUP(J543, DADOS_RM_EVENTOS_original!E:J, 2, FALSE), "Código não encontrado/Não digitado")</f>
        <v>Código não encontrado/Não digitado</v>
      </c>
      <c r="L543" s="12" t="s">
        <v>68</v>
      </c>
      <c r="M543" s="12" t="str">
        <f>IFERROR(VLOOKUP(L543, DADOS_RM_EVENTOS_original!K:L, 2, FALSE), "Código não encontrado/Não digitado")</f>
        <v>Código não encontrado/Não digitado</v>
      </c>
    </row>
    <row r="544" ht="15.75" hidden="1" customHeight="1">
      <c r="A544" s="11" t="s">
        <v>38</v>
      </c>
      <c r="B544" s="11" t="s">
        <v>2747</v>
      </c>
      <c r="C544" s="11" t="s">
        <v>4668</v>
      </c>
      <c r="D544" s="11" t="s">
        <v>120</v>
      </c>
      <c r="E544" s="11" t="s">
        <v>47</v>
      </c>
      <c r="F544" s="11" t="s">
        <v>2831</v>
      </c>
      <c r="G544" s="12" t="s">
        <v>3252</v>
      </c>
      <c r="H544" s="12" t="s">
        <v>68</v>
      </c>
      <c r="I544" s="12" t="str">
        <f>IFERROR(VLOOKUP(H544, DADOS_RM_EVENTOS_original!C:D, 2, FALSE), "Código não encontrado/Não digitado")</f>
        <v>Código não encontrado/Não digitado</v>
      </c>
      <c r="J544" s="12" t="s">
        <v>68</v>
      </c>
      <c r="K544" s="12" t="str">
        <f>IFERROR(VLOOKUP(J544, DADOS_RM_EVENTOS_original!E:J, 2, FALSE), "Código não encontrado/Não digitado")</f>
        <v>Código não encontrado/Não digitado</v>
      </c>
      <c r="L544" s="12" t="s">
        <v>68</v>
      </c>
      <c r="M544" s="12" t="str">
        <f>IFERROR(VLOOKUP(L544, DADOS_RM_EVENTOS_original!K:L, 2, FALSE), "Código não encontrado/Não digitado")</f>
        <v>Código não encontrado/Não digitado</v>
      </c>
    </row>
    <row r="545" ht="15.75" hidden="1" customHeight="1">
      <c r="A545" s="11" t="s">
        <v>38</v>
      </c>
      <c r="B545" s="11" t="s">
        <v>155</v>
      </c>
      <c r="C545" s="11" t="s">
        <v>4669</v>
      </c>
      <c r="D545" s="11" t="s">
        <v>120</v>
      </c>
      <c r="E545" s="11" t="s">
        <v>47</v>
      </c>
      <c r="F545" s="11" t="s">
        <v>533</v>
      </c>
      <c r="G545" s="12" t="s">
        <v>629</v>
      </c>
      <c r="H545" s="12" t="s">
        <v>68</v>
      </c>
      <c r="I545" s="12" t="str">
        <f>IFERROR(VLOOKUP(H545, DADOS_RM_EVENTOS_original!C:D, 2, FALSE), "Código não encontrado/Não digitado")</f>
        <v>Código não encontrado/Não digitado</v>
      </c>
      <c r="J545" s="12" t="s">
        <v>68</v>
      </c>
      <c r="K545" s="12" t="str">
        <f>IFERROR(VLOOKUP(J545, DADOS_RM_EVENTOS_original!E:J, 2, FALSE), "Código não encontrado/Não digitado")</f>
        <v>Código não encontrado/Não digitado</v>
      </c>
      <c r="L545" s="12" t="s">
        <v>68</v>
      </c>
      <c r="M545" s="12" t="str">
        <f>IFERROR(VLOOKUP(L545, DADOS_RM_EVENTOS_original!K:L, 2, FALSE), "Código não encontrado/Não digitado")</f>
        <v>Código não encontrado/Não digitado</v>
      </c>
    </row>
    <row r="546" ht="15.75" hidden="1" customHeight="1">
      <c r="A546" s="11" t="s">
        <v>172</v>
      </c>
      <c r="B546" s="11" t="s">
        <v>155</v>
      </c>
      <c r="C546" s="11" t="s">
        <v>4670</v>
      </c>
      <c r="D546" s="11" t="s">
        <v>120</v>
      </c>
      <c r="E546" s="11" t="s">
        <v>1029</v>
      </c>
      <c r="F546" s="11" t="s">
        <v>533</v>
      </c>
      <c r="G546" s="12" t="s">
        <v>629</v>
      </c>
      <c r="H546" s="12" t="s">
        <v>68</v>
      </c>
      <c r="I546" s="12" t="str">
        <f>IFERROR(VLOOKUP(H546, DADOS_RM_EVENTOS_original!C:D, 2, FALSE), "Código não encontrado/Não digitado")</f>
        <v>Código não encontrado/Não digitado</v>
      </c>
      <c r="J546" s="12" t="s">
        <v>68</v>
      </c>
      <c r="K546" s="12" t="str">
        <f>IFERROR(VLOOKUP(J546, DADOS_RM_EVENTOS_original!E:J, 2, FALSE), "Código não encontrado/Não digitado")</f>
        <v>Código não encontrado/Não digitado</v>
      </c>
      <c r="L546" s="12" t="s">
        <v>68</v>
      </c>
      <c r="M546" s="12" t="str">
        <f>IFERROR(VLOOKUP(L546, DADOS_RM_EVENTOS_original!K:L, 2, FALSE), "Código não encontrado/Não digitado")</f>
        <v>Código não encontrado/Não digitado</v>
      </c>
    </row>
    <row r="547" ht="15.75" hidden="1" customHeight="1">
      <c r="A547" s="11" t="s">
        <v>97</v>
      </c>
      <c r="B547" s="11" t="s">
        <v>155</v>
      </c>
      <c r="C547" s="11" t="s">
        <v>4670</v>
      </c>
      <c r="D547" s="11" t="s">
        <v>120</v>
      </c>
      <c r="E547" s="11" t="s">
        <v>972</v>
      </c>
      <c r="F547" s="11" t="s">
        <v>533</v>
      </c>
      <c r="G547" s="12" t="s">
        <v>629</v>
      </c>
      <c r="H547" s="12" t="s">
        <v>68</v>
      </c>
      <c r="I547" s="12" t="str">
        <f>IFERROR(VLOOKUP(H547, DADOS_RM_EVENTOS_original!C:D, 2, FALSE), "Código não encontrado/Não digitado")</f>
        <v>Código não encontrado/Não digitado</v>
      </c>
      <c r="J547" s="12" t="s">
        <v>68</v>
      </c>
      <c r="K547" s="12" t="str">
        <f>IFERROR(VLOOKUP(J547, DADOS_RM_EVENTOS_original!E:J, 2, FALSE), "Código não encontrado/Não digitado")</f>
        <v>Código não encontrado/Não digitado</v>
      </c>
      <c r="L547" s="12" t="s">
        <v>68</v>
      </c>
      <c r="M547" s="12" t="str">
        <f>IFERROR(VLOOKUP(L547, DADOS_RM_EVENTOS_original!K:L, 2, FALSE), "Código não encontrado/Não digitado")</f>
        <v>Código não encontrado/Não digitado</v>
      </c>
    </row>
    <row r="548" ht="15.75" hidden="1" customHeight="1">
      <c r="A548" s="11" t="s">
        <v>38</v>
      </c>
      <c r="B548" s="11" t="s">
        <v>1124</v>
      </c>
      <c r="C548" s="11" t="s">
        <v>4673</v>
      </c>
      <c r="D548" s="11" t="s">
        <v>44</v>
      </c>
      <c r="E548" s="11" t="s">
        <v>47</v>
      </c>
      <c r="F548" s="11" t="s">
        <v>1648</v>
      </c>
      <c r="G548" s="12" t="s">
        <v>2302</v>
      </c>
      <c r="H548" s="12" t="s">
        <v>68</v>
      </c>
      <c r="I548" s="12" t="str">
        <f>IFERROR(VLOOKUP(H548, DADOS_RM_EVENTOS_original!C:D, 2, FALSE), "Código não encontrado/Não digitado")</f>
        <v>Código não encontrado/Não digitado</v>
      </c>
      <c r="J548" s="12" t="s">
        <v>68</v>
      </c>
      <c r="K548" s="12" t="str">
        <f>IFERROR(VLOOKUP(J548, DADOS_RM_EVENTOS_original!E:J, 2, FALSE), "Código não encontrado/Não digitado")</f>
        <v>Código não encontrado/Não digitado</v>
      </c>
      <c r="L548" s="12" t="s">
        <v>68</v>
      </c>
      <c r="M548" s="12" t="str">
        <f>IFERROR(VLOOKUP(L548, DADOS_RM_EVENTOS_original!K:L, 2, FALSE), "Código não encontrado/Não digitado")</f>
        <v>Código não encontrado/Não digitado</v>
      </c>
    </row>
    <row r="549" ht="15.75" hidden="1" customHeight="1">
      <c r="A549" s="11" t="s">
        <v>172</v>
      </c>
      <c r="B549" s="11" t="s">
        <v>1124</v>
      </c>
      <c r="C549" s="11" t="s">
        <v>4673</v>
      </c>
      <c r="D549" s="11" t="s">
        <v>44</v>
      </c>
      <c r="E549" s="11" t="s">
        <v>1029</v>
      </c>
      <c r="F549" s="11" t="s">
        <v>1648</v>
      </c>
      <c r="G549" s="12" t="s">
        <v>2302</v>
      </c>
      <c r="H549" s="12" t="s">
        <v>68</v>
      </c>
      <c r="I549" s="12" t="str">
        <f>IFERROR(VLOOKUP(H549, DADOS_RM_EVENTOS_original!C:D, 2, FALSE), "Código não encontrado/Não digitado")</f>
        <v>Código não encontrado/Não digitado</v>
      </c>
      <c r="J549" s="12" t="s">
        <v>68</v>
      </c>
      <c r="K549" s="12" t="str">
        <f>IFERROR(VLOOKUP(J549, DADOS_RM_EVENTOS_original!E:J, 2, FALSE), "Código não encontrado/Não digitado")</f>
        <v>Código não encontrado/Não digitado</v>
      </c>
      <c r="L549" s="12" t="s">
        <v>68</v>
      </c>
      <c r="M549" s="12" t="str">
        <f>IFERROR(VLOOKUP(L549, DADOS_RM_EVENTOS_original!K:L, 2, FALSE), "Código não encontrado/Não digitado")</f>
        <v>Código não encontrado/Não digitado</v>
      </c>
    </row>
    <row r="550" ht="15.75" hidden="1" customHeight="1">
      <c r="A550" s="11" t="s">
        <v>38</v>
      </c>
      <c r="B550" s="11" t="s">
        <v>895</v>
      </c>
      <c r="C550" s="11" t="s">
        <v>4680</v>
      </c>
      <c r="D550" s="11" t="s">
        <v>120</v>
      </c>
      <c r="E550" s="11" t="s">
        <v>47</v>
      </c>
      <c r="F550" s="11" t="s">
        <v>2278</v>
      </c>
      <c r="G550" s="12" t="s">
        <v>2280</v>
      </c>
      <c r="H550" s="12" t="s">
        <v>68</v>
      </c>
      <c r="I550" s="12" t="str">
        <f>IFERROR(VLOOKUP(H550, DADOS_RM_EVENTOS_original!C:D, 2, FALSE), "Código não encontrado/Não digitado")</f>
        <v>Código não encontrado/Não digitado</v>
      </c>
      <c r="J550" s="12" t="s">
        <v>68</v>
      </c>
      <c r="K550" s="12" t="str">
        <f>IFERROR(VLOOKUP(J550, DADOS_RM_EVENTOS_original!E:J, 2, FALSE), "Código não encontrado/Não digitado")</f>
        <v>Código não encontrado/Não digitado</v>
      </c>
      <c r="L550" s="12" t="s">
        <v>68</v>
      </c>
      <c r="M550" s="12" t="str">
        <f>IFERROR(VLOOKUP(L550, DADOS_RM_EVENTOS_original!K:L, 2, FALSE), "Código não encontrado/Não digitado")</f>
        <v>Código não encontrado/Não digitado</v>
      </c>
    </row>
    <row r="551" ht="15.75" hidden="1" customHeight="1">
      <c r="A551" s="11" t="s">
        <v>172</v>
      </c>
      <c r="B551" s="11" t="s">
        <v>521</v>
      </c>
      <c r="C551" s="11" t="s">
        <v>4680</v>
      </c>
      <c r="D551" s="11" t="s">
        <v>120</v>
      </c>
      <c r="E551" s="11" t="s">
        <v>1029</v>
      </c>
      <c r="F551" s="11" t="s">
        <v>2278</v>
      </c>
      <c r="G551" s="12" t="s">
        <v>2280</v>
      </c>
      <c r="H551" s="12" t="s">
        <v>68</v>
      </c>
      <c r="I551" s="12" t="str">
        <f>IFERROR(VLOOKUP(H551, DADOS_RM_EVENTOS_original!C:D, 2, FALSE), "Código não encontrado/Não digitado")</f>
        <v>Código não encontrado/Não digitado</v>
      </c>
      <c r="J551" s="12" t="s">
        <v>68</v>
      </c>
      <c r="K551" s="12" t="str">
        <f>IFERROR(VLOOKUP(J551, DADOS_RM_EVENTOS_original!E:J, 2, FALSE), "Código não encontrado/Não digitado")</f>
        <v>Código não encontrado/Não digitado</v>
      </c>
      <c r="L551" s="12" t="s">
        <v>68</v>
      </c>
      <c r="M551" s="12" t="str">
        <f>IFERROR(VLOOKUP(L551, DADOS_RM_EVENTOS_original!K:L, 2, FALSE), "Código não encontrado/Não digitado")</f>
        <v>Código não encontrado/Não digitado</v>
      </c>
    </row>
    <row r="552" ht="15.75" hidden="1" customHeight="1">
      <c r="A552" s="11" t="s">
        <v>38</v>
      </c>
      <c r="B552" s="11" t="s">
        <v>707</v>
      </c>
      <c r="C552" s="11" t="s">
        <v>4689</v>
      </c>
      <c r="D552" s="11" t="s">
        <v>120</v>
      </c>
      <c r="E552" s="11" t="s">
        <v>47</v>
      </c>
      <c r="F552" s="11" t="s">
        <v>281</v>
      </c>
      <c r="G552" s="12" t="s">
        <v>284</v>
      </c>
      <c r="H552" s="12" t="s">
        <v>68</v>
      </c>
      <c r="I552" s="12" t="str">
        <f>IFERROR(VLOOKUP(H552, DADOS_RM_EVENTOS_original!C:D, 2, FALSE), "Código não encontrado/Não digitado")</f>
        <v>Código não encontrado/Não digitado</v>
      </c>
      <c r="J552" s="12" t="s">
        <v>68</v>
      </c>
      <c r="K552" s="12" t="str">
        <f>IFERROR(VLOOKUP(J552, DADOS_RM_EVENTOS_original!E:J, 2, FALSE), "Código não encontrado/Não digitado")</f>
        <v>Código não encontrado/Não digitado</v>
      </c>
      <c r="L552" s="12" t="s">
        <v>68</v>
      </c>
      <c r="M552" s="12" t="str">
        <f>IFERROR(VLOOKUP(L552, DADOS_RM_EVENTOS_original!K:L, 2, FALSE), "Código não encontrado/Não digitado")</f>
        <v>Código não encontrado/Não digitado</v>
      </c>
    </row>
    <row r="553" ht="15.75" hidden="1" customHeight="1">
      <c r="A553" s="11" t="s">
        <v>38</v>
      </c>
      <c r="B553" s="11" t="s">
        <v>240</v>
      </c>
      <c r="C553" s="11" t="s">
        <v>4694</v>
      </c>
      <c r="D553" s="11" t="s">
        <v>120</v>
      </c>
      <c r="E553" s="11" t="s">
        <v>47</v>
      </c>
      <c r="F553" s="11" t="s">
        <v>1304</v>
      </c>
      <c r="G553" s="12" t="s">
        <v>1765</v>
      </c>
      <c r="H553" s="12" t="s">
        <v>68</v>
      </c>
      <c r="I553" s="12" t="str">
        <f>IFERROR(VLOOKUP(H553, DADOS_RM_EVENTOS_original!C:D, 2, FALSE), "Código não encontrado/Não digitado")</f>
        <v>Código não encontrado/Não digitado</v>
      </c>
      <c r="J553" s="12" t="s">
        <v>68</v>
      </c>
      <c r="K553" s="12" t="str">
        <f>IFERROR(VLOOKUP(J553, DADOS_RM_EVENTOS_original!E:J, 2, FALSE), "Código não encontrado/Não digitado")</f>
        <v>Código não encontrado/Não digitado</v>
      </c>
      <c r="L553" s="12" t="s">
        <v>68</v>
      </c>
      <c r="M553" s="12" t="str">
        <f>IFERROR(VLOOKUP(L553, DADOS_RM_EVENTOS_original!K:L, 2, FALSE), "Código não encontrado/Não digitado")</f>
        <v>Código não encontrado/Não digitado</v>
      </c>
    </row>
    <row r="554" ht="15.75" hidden="1" customHeight="1">
      <c r="A554" s="11" t="s">
        <v>97</v>
      </c>
      <c r="B554" s="11" t="s">
        <v>3324</v>
      </c>
      <c r="C554" s="11" t="s">
        <v>4694</v>
      </c>
      <c r="D554" s="11" t="s">
        <v>120</v>
      </c>
      <c r="E554" s="11" t="s">
        <v>972</v>
      </c>
      <c r="F554" s="11" t="s">
        <v>1304</v>
      </c>
      <c r="G554" s="12" t="s">
        <v>1765</v>
      </c>
      <c r="H554" s="12" t="s">
        <v>68</v>
      </c>
      <c r="I554" s="12" t="str">
        <f>IFERROR(VLOOKUP(H554, DADOS_RM_EVENTOS_original!C:D, 2, FALSE), "Código não encontrado/Não digitado")</f>
        <v>Código não encontrado/Não digitado</v>
      </c>
      <c r="J554" s="12" t="s">
        <v>68</v>
      </c>
      <c r="K554" s="12" t="str">
        <f>IFERROR(VLOOKUP(J554, DADOS_RM_EVENTOS_original!E:J, 2, FALSE), "Código não encontrado/Não digitado")</f>
        <v>Código não encontrado/Não digitado</v>
      </c>
      <c r="L554" s="12" t="s">
        <v>68</v>
      </c>
      <c r="M554" s="12" t="str">
        <f>IFERROR(VLOOKUP(L554, DADOS_RM_EVENTOS_original!K:L, 2, FALSE), "Código não encontrado/Não digitado")</f>
        <v>Código não encontrado/Não digitado</v>
      </c>
    </row>
    <row r="555" ht="15.75" hidden="1" customHeight="1">
      <c r="A555" s="11" t="s">
        <v>38</v>
      </c>
      <c r="B555" s="11" t="s">
        <v>733</v>
      </c>
      <c r="C555" s="11" t="s">
        <v>4704</v>
      </c>
      <c r="D555" s="11" t="s">
        <v>120</v>
      </c>
      <c r="E555" s="11" t="s">
        <v>47</v>
      </c>
      <c r="F555" s="11" t="s">
        <v>778</v>
      </c>
      <c r="G555" s="12" t="s">
        <v>1758</v>
      </c>
      <c r="H555" s="12" t="s">
        <v>68</v>
      </c>
      <c r="I555" s="12" t="str">
        <f>IFERROR(VLOOKUP(H555, DADOS_RM_EVENTOS_original!C:D, 2, FALSE), "Código não encontrado/Não digitado")</f>
        <v>Código não encontrado/Não digitado</v>
      </c>
      <c r="J555" s="12" t="s">
        <v>68</v>
      </c>
      <c r="K555" s="12" t="str">
        <f>IFERROR(VLOOKUP(J555, DADOS_RM_EVENTOS_original!E:J, 2, FALSE), "Código não encontrado/Não digitado")</f>
        <v>Código não encontrado/Não digitado</v>
      </c>
      <c r="L555" s="12" t="s">
        <v>68</v>
      </c>
      <c r="M555" s="12" t="str">
        <f>IFERROR(VLOOKUP(L555, DADOS_RM_EVENTOS_original!K:L, 2, FALSE), "Código não encontrado/Não digitado")</f>
        <v>Código não encontrado/Não digitado</v>
      </c>
    </row>
    <row r="556" ht="15.75" hidden="1" customHeight="1">
      <c r="A556" s="11" t="s">
        <v>97</v>
      </c>
      <c r="B556" s="11" t="s">
        <v>3217</v>
      </c>
      <c r="C556" s="11" t="s">
        <v>4704</v>
      </c>
      <c r="D556" s="11" t="s">
        <v>120</v>
      </c>
      <c r="E556" s="11" t="s">
        <v>972</v>
      </c>
      <c r="F556" s="11" t="s">
        <v>778</v>
      </c>
      <c r="G556" s="12" t="s">
        <v>1758</v>
      </c>
      <c r="H556" s="12" t="s">
        <v>68</v>
      </c>
      <c r="I556" s="12" t="str">
        <f>IFERROR(VLOOKUP(H556, DADOS_RM_EVENTOS_original!C:D, 2, FALSE), "Código não encontrado/Não digitado")</f>
        <v>Código não encontrado/Não digitado</v>
      </c>
      <c r="J556" s="12" t="s">
        <v>68</v>
      </c>
      <c r="K556" s="12" t="str">
        <f>IFERROR(VLOOKUP(J556, DADOS_RM_EVENTOS_original!E:J, 2, FALSE), "Código não encontrado/Não digitado")</f>
        <v>Código não encontrado/Não digitado</v>
      </c>
      <c r="L556" s="12" t="s">
        <v>68</v>
      </c>
      <c r="M556" s="12" t="str">
        <f>IFERROR(VLOOKUP(L556, DADOS_RM_EVENTOS_original!K:L, 2, FALSE), "Código não encontrado/Não digitado")</f>
        <v>Código não encontrado/Não digitado</v>
      </c>
    </row>
    <row r="557" ht="15.75" hidden="1" customHeight="1">
      <c r="A557" s="11" t="s">
        <v>38</v>
      </c>
      <c r="B557" s="11" t="s">
        <v>2135</v>
      </c>
      <c r="C557" s="11" t="s">
        <v>4715</v>
      </c>
      <c r="D557" s="11" t="s">
        <v>120</v>
      </c>
      <c r="E557" s="11" t="s">
        <v>47</v>
      </c>
      <c r="F557" s="11" t="s">
        <v>844</v>
      </c>
      <c r="G557" s="12" t="s">
        <v>846</v>
      </c>
      <c r="H557" s="12" t="s">
        <v>68</v>
      </c>
      <c r="I557" s="12" t="str">
        <f>IFERROR(VLOOKUP(H557, DADOS_RM_EVENTOS_original!C:D, 2, FALSE), "Código não encontrado/Não digitado")</f>
        <v>Código não encontrado/Não digitado</v>
      </c>
      <c r="J557" s="12" t="s">
        <v>68</v>
      </c>
      <c r="K557" s="12" t="str">
        <f>IFERROR(VLOOKUP(J557, DADOS_RM_EVENTOS_original!E:J, 2, FALSE), "Código não encontrado/Não digitado")</f>
        <v>Código não encontrado/Não digitado</v>
      </c>
      <c r="L557" s="12" t="s">
        <v>68</v>
      </c>
      <c r="M557" s="12" t="str">
        <f>IFERROR(VLOOKUP(L557, DADOS_RM_EVENTOS_original!K:L, 2, FALSE), "Código não encontrado/Não digitado")</f>
        <v>Código não encontrado/Não digitado</v>
      </c>
    </row>
    <row r="558" ht="15.75" hidden="1" customHeight="1">
      <c r="A558" s="11" t="s">
        <v>142</v>
      </c>
      <c r="B558" s="11" t="s">
        <v>2541</v>
      </c>
      <c r="C558" s="11" t="s">
        <v>4721</v>
      </c>
      <c r="D558" s="11" t="s">
        <v>120</v>
      </c>
      <c r="E558" s="11" t="s">
        <v>985</v>
      </c>
      <c r="F558" s="11" t="s">
        <v>844</v>
      </c>
      <c r="G558" s="12" t="s">
        <v>846</v>
      </c>
      <c r="H558" s="12" t="s">
        <v>68</v>
      </c>
      <c r="I558" s="12" t="str">
        <f>IFERROR(VLOOKUP(H558, DADOS_RM_EVENTOS_original!C:D, 2, FALSE), "Código não encontrado/Não digitado")</f>
        <v>Código não encontrado/Não digitado</v>
      </c>
      <c r="J558" s="12" t="s">
        <v>68</v>
      </c>
      <c r="K558" s="12" t="str">
        <f>IFERROR(VLOOKUP(J558, DADOS_RM_EVENTOS_original!E:J, 2, FALSE), "Código não encontrado/Não digitado")</f>
        <v>Código não encontrado/Não digitado</v>
      </c>
      <c r="L558" s="12" t="s">
        <v>68</v>
      </c>
      <c r="M558" s="12" t="str">
        <f>IFERROR(VLOOKUP(L558, DADOS_RM_EVENTOS_original!K:L, 2, FALSE), "Código não encontrado/Não digitado")</f>
        <v>Código não encontrado/Não digitado</v>
      </c>
    </row>
    <row r="559" ht="15.75" hidden="1" customHeight="1">
      <c r="A559" s="11" t="s">
        <v>38</v>
      </c>
      <c r="B559" s="11" t="s">
        <v>551</v>
      </c>
      <c r="C559" s="11" t="s">
        <v>4726</v>
      </c>
      <c r="D559" s="11" t="s">
        <v>120</v>
      </c>
      <c r="E559" s="11" t="s">
        <v>47</v>
      </c>
      <c r="F559" s="11" t="s">
        <v>301</v>
      </c>
      <c r="G559" s="12" t="s">
        <v>312</v>
      </c>
      <c r="H559" s="11" t="s">
        <v>301</v>
      </c>
      <c r="I559" s="12" t="str">
        <f>IFERROR(VLOOKUP(H559, DADOS_RM_EVENTOS_original!A:D, 2, FALSE), "Código não encontrado/Não digitado")</f>
        <v>Ferias no Mes</v>
      </c>
      <c r="J559" s="11" t="s">
        <v>304</v>
      </c>
      <c r="K559" s="12" t="str">
        <f>IFERROR(VLOOKUP(J559, DADOS_RM_EVENTOS_original!A:J, 2, FALSE), "Código não encontrado/Não digitado")</f>
        <v>Ferias no Proximo Mes</v>
      </c>
      <c r="L559" s="11" t="s">
        <v>286</v>
      </c>
      <c r="M559" s="12" t="str">
        <f>IFERROR(VLOOKUP(L559, DADOS_RM_EVENTOS_original!A:L, 2, FALSE), "Código não encontrado/Não digitado")</f>
        <v>Dias de Ferias (Recibo)</v>
      </c>
    </row>
    <row r="560" ht="15.75" hidden="1" customHeight="1">
      <c r="A560" s="11" t="s">
        <v>115</v>
      </c>
      <c r="B560" s="11" t="s">
        <v>551</v>
      </c>
      <c r="C560" s="11" t="s">
        <v>4726</v>
      </c>
      <c r="D560" s="11" t="s">
        <v>120</v>
      </c>
      <c r="E560" s="11" t="s">
        <v>121</v>
      </c>
      <c r="F560" s="11" t="s">
        <v>301</v>
      </c>
      <c r="G560" s="12" t="s">
        <v>312</v>
      </c>
      <c r="H560" s="11" t="s">
        <v>301</v>
      </c>
      <c r="I560" s="12" t="str">
        <f>IFERROR(VLOOKUP(H560, DADOS_RM_EVENTOS_original!A:D, 2, FALSE), "Código não encontrado/Não digitado")</f>
        <v>Ferias no Mes</v>
      </c>
      <c r="J560" s="11" t="s">
        <v>304</v>
      </c>
      <c r="K560" s="12" t="str">
        <f>IFERROR(VLOOKUP(J560, DADOS_RM_EVENTOS_original!A:J, 2, FALSE), "Código não encontrado/Não digitado")</f>
        <v>Ferias no Proximo Mes</v>
      </c>
      <c r="L560" s="11" t="s">
        <v>286</v>
      </c>
      <c r="M560" s="12" t="str">
        <f>IFERROR(VLOOKUP(L560, DADOS_RM_EVENTOS_original!A:L, 2, FALSE), "Código não encontrado/Não digitado")</f>
        <v>Dias de Ferias (Recibo)</v>
      </c>
    </row>
    <row r="561" ht="15.75" hidden="1" customHeight="1">
      <c r="A561" s="11" t="s">
        <v>172</v>
      </c>
      <c r="B561" s="11" t="s">
        <v>551</v>
      </c>
      <c r="C561" s="11" t="s">
        <v>4738</v>
      </c>
      <c r="D561" s="11" t="s">
        <v>120</v>
      </c>
      <c r="E561" s="11" t="s">
        <v>1029</v>
      </c>
      <c r="F561" s="11" t="s">
        <v>165</v>
      </c>
      <c r="G561" s="12" t="s">
        <v>166</v>
      </c>
      <c r="H561" s="12" t="s">
        <v>68</v>
      </c>
      <c r="I561" s="12" t="str">
        <f>IFERROR(VLOOKUP(H561, DADOS_RM_EVENTOS_original!C:D, 2, FALSE), "Código não encontrado/Não digitado")</f>
        <v>Código não encontrado/Não digitado</v>
      </c>
      <c r="J561" s="12" t="s">
        <v>68</v>
      </c>
      <c r="K561" s="12" t="str">
        <f>IFERROR(VLOOKUP(J561, DADOS_RM_EVENTOS_original!E:J, 2, FALSE), "Código não encontrado/Não digitado")</f>
        <v>Código não encontrado/Não digitado</v>
      </c>
      <c r="L561" s="12" t="s">
        <v>68</v>
      </c>
      <c r="M561" s="12" t="str">
        <f>IFERROR(VLOOKUP(L561, DADOS_RM_EVENTOS_original!K:L, 2, FALSE), "Código não encontrado/Não digitado")</f>
        <v>Código não encontrado/Não digitado</v>
      </c>
    </row>
    <row r="562" ht="15.75" hidden="1" customHeight="1">
      <c r="A562" s="11" t="s">
        <v>97</v>
      </c>
      <c r="B562" s="11" t="s">
        <v>551</v>
      </c>
      <c r="C562" s="11" t="s">
        <v>4738</v>
      </c>
      <c r="D562" s="11" t="s">
        <v>120</v>
      </c>
      <c r="E562" s="11" t="s">
        <v>972</v>
      </c>
      <c r="F562" s="11" t="s">
        <v>301</v>
      </c>
      <c r="G562" s="12" t="s">
        <v>312</v>
      </c>
      <c r="H562" s="11" t="s">
        <v>301</v>
      </c>
      <c r="I562" s="12" t="str">
        <f>IFERROR(VLOOKUP(H562, DADOS_RM_EVENTOS_original!A:D, 2, FALSE), "Código não encontrado/Não digitado")</f>
        <v>Ferias no Mes</v>
      </c>
      <c r="J562" s="11" t="s">
        <v>304</v>
      </c>
      <c r="K562" s="12" t="str">
        <f>IFERROR(VLOOKUP(J562, DADOS_RM_EVENTOS_original!A:J, 2, FALSE), "Código não encontrado/Não digitado")</f>
        <v>Ferias no Proximo Mes</v>
      </c>
      <c r="L562" s="11" t="s">
        <v>286</v>
      </c>
      <c r="M562" s="12" t="str">
        <f>IFERROR(VLOOKUP(L562, DADOS_RM_EVENTOS_original!A:L, 2, FALSE), "Código não encontrado/Não digitado")</f>
        <v>Dias de Ferias (Recibo)</v>
      </c>
    </row>
    <row r="563" ht="15.75" hidden="1" customHeight="1">
      <c r="A563" s="11" t="s">
        <v>142</v>
      </c>
      <c r="B563" s="11" t="s">
        <v>551</v>
      </c>
      <c r="C563" s="11" t="s">
        <v>4738</v>
      </c>
      <c r="D563" s="11" t="s">
        <v>120</v>
      </c>
      <c r="E563" s="11" t="s">
        <v>985</v>
      </c>
      <c r="F563" s="11" t="s">
        <v>301</v>
      </c>
      <c r="G563" s="12" t="s">
        <v>312</v>
      </c>
      <c r="H563" s="11" t="s">
        <v>301</v>
      </c>
      <c r="I563" s="12" t="str">
        <f>IFERROR(VLOOKUP(H563, DADOS_RM_EVENTOS_original!A:D, 2, FALSE), "Código não encontrado/Não digitado")</f>
        <v>Ferias no Mes</v>
      </c>
      <c r="J563" s="11" t="s">
        <v>304</v>
      </c>
      <c r="K563" s="12" t="str">
        <f>IFERROR(VLOOKUP(J563, DADOS_RM_EVENTOS_original!A:J, 2, FALSE), "Código não encontrado/Não digitado")</f>
        <v>Ferias no Proximo Mes</v>
      </c>
      <c r="L563" s="11" t="s">
        <v>286</v>
      </c>
      <c r="M563" s="12" t="str">
        <f>IFERROR(VLOOKUP(L563, DADOS_RM_EVENTOS_original!A:L, 2, FALSE), "Código não encontrado/Não digitado")</f>
        <v>Dias de Ferias (Recibo)</v>
      </c>
    </row>
    <row r="564" ht="15.75" hidden="1" customHeight="1">
      <c r="A564" s="11" t="s">
        <v>199</v>
      </c>
      <c r="B564" s="11" t="s">
        <v>551</v>
      </c>
      <c r="C564" s="11" t="s">
        <v>4738</v>
      </c>
      <c r="D564" s="11" t="s">
        <v>120</v>
      </c>
      <c r="E564" s="11" t="s">
        <v>1074</v>
      </c>
      <c r="F564" s="11" t="s">
        <v>301</v>
      </c>
      <c r="G564" s="12" t="s">
        <v>312</v>
      </c>
      <c r="H564" s="11" t="s">
        <v>301</v>
      </c>
      <c r="I564" s="12" t="str">
        <f>IFERROR(VLOOKUP(H564, DADOS_RM_EVENTOS_original!A:D, 2, FALSE), "Código não encontrado/Não digitado")</f>
        <v>Ferias no Mes</v>
      </c>
      <c r="J564" s="11" t="s">
        <v>304</v>
      </c>
      <c r="K564" s="12" t="str">
        <f>IFERROR(VLOOKUP(J564, DADOS_RM_EVENTOS_original!A:J, 2, FALSE), "Código não encontrado/Não digitado")</f>
        <v>Ferias no Proximo Mes</v>
      </c>
      <c r="L564" s="11" t="s">
        <v>286</v>
      </c>
      <c r="M564" s="12" t="str">
        <f>IFERROR(VLOOKUP(L564, DADOS_RM_EVENTOS_original!A:L, 2, FALSE), "Código não encontrado/Não digitado")</f>
        <v>Dias de Ferias (Recibo)</v>
      </c>
    </row>
    <row r="565" ht="15.75" hidden="1" customHeight="1">
      <c r="A565" s="11" t="s">
        <v>38</v>
      </c>
      <c r="B565" s="11" t="s">
        <v>556</v>
      </c>
      <c r="C565" s="11" t="s">
        <v>4763</v>
      </c>
      <c r="D565" s="11" t="s">
        <v>120</v>
      </c>
      <c r="E565" s="11" t="s">
        <v>47</v>
      </c>
      <c r="F565" s="11" t="s">
        <v>340</v>
      </c>
      <c r="G565" s="12" t="s">
        <v>385</v>
      </c>
      <c r="H565" s="12" t="s">
        <v>68</v>
      </c>
      <c r="I565" s="12" t="str">
        <f>IFERROR(VLOOKUP(H565, DADOS_RM_EVENTOS_original!C:D, 2, FALSE), "Código não encontrado/Não digitado")</f>
        <v>Código não encontrado/Não digitado</v>
      </c>
      <c r="J565" s="12" t="s">
        <v>68</v>
      </c>
      <c r="K565" s="12" t="str">
        <f>IFERROR(VLOOKUP(J565, DADOS_RM_EVENTOS_original!E:J, 2, FALSE), "Código não encontrado/Não digitado")</f>
        <v>Código não encontrado/Não digitado</v>
      </c>
      <c r="L565" s="12" t="s">
        <v>68</v>
      </c>
      <c r="M565" s="12" t="str">
        <f>IFERROR(VLOOKUP(L565, DADOS_RM_EVENTOS_original!K:L, 2, FALSE), "Código não encontrado/Não digitado")</f>
        <v>Código não encontrado/Não digitado</v>
      </c>
    </row>
    <row r="566" ht="15.75" hidden="1" customHeight="1">
      <c r="A566" s="11" t="s">
        <v>172</v>
      </c>
      <c r="B566" s="11" t="s">
        <v>797</v>
      </c>
      <c r="C566" s="11" t="s">
        <v>4768</v>
      </c>
      <c r="D566" s="11" t="s">
        <v>96</v>
      </c>
      <c r="E566" s="11" t="s">
        <v>1029</v>
      </c>
      <c r="F566" s="11" t="s">
        <v>99</v>
      </c>
      <c r="G566" s="12" t="s">
        <v>63</v>
      </c>
      <c r="H566" s="12" t="s">
        <v>68</v>
      </c>
      <c r="I566" s="12" t="str">
        <f>IFERROR(VLOOKUP(H566, DADOS_RM_EVENTOS_original!C:D, 2, FALSE), "Código não encontrado/Não digitado")</f>
        <v>Código não encontrado/Não digitado</v>
      </c>
      <c r="J566" s="12" t="s">
        <v>68</v>
      </c>
      <c r="K566" s="12" t="str">
        <f>IFERROR(VLOOKUP(J566, DADOS_RM_EVENTOS_original!E:J, 2, FALSE), "Código não encontrado/Não digitado")</f>
        <v>Código não encontrado/Não digitado</v>
      </c>
      <c r="L566" s="12" t="s">
        <v>68</v>
      </c>
      <c r="M566" s="12" t="str">
        <f>IFERROR(VLOOKUP(L566, DADOS_RM_EVENTOS_original!K:L, 2, FALSE), "Código não encontrado/Não digitado")</f>
        <v>Código não encontrado/Não digitado</v>
      </c>
    </row>
    <row r="567" ht="15.75" hidden="1" customHeight="1">
      <c r="A567" s="11" t="s">
        <v>97</v>
      </c>
      <c r="B567" s="11" t="s">
        <v>797</v>
      </c>
      <c r="C567" s="11" t="s">
        <v>4768</v>
      </c>
      <c r="D567" s="11" t="s">
        <v>96</v>
      </c>
      <c r="E567" s="11" t="s">
        <v>972</v>
      </c>
      <c r="F567" s="11" t="s">
        <v>99</v>
      </c>
      <c r="G567" s="12" t="s">
        <v>63</v>
      </c>
      <c r="H567" s="12" t="s">
        <v>68</v>
      </c>
      <c r="I567" s="12" t="str">
        <f>IFERROR(VLOOKUP(H567, DADOS_RM_EVENTOS_original!C:D, 2, FALSE), "Código não encontrado/Não digitado")</f>
        <v>Código não encontrado/Não digitado</v>
      </c>
      <c r="J567" s="12" t="s">
        <v>68</v>
      </c>
      <c r="K567" s="12" t="str">
        <f>IFERROR(VLOOKUP(J567, DADOS_RM_EVENTOS_original!E:J, 2, FALSE), "Código não encontrado/Não digitado")</f>
        <v>Código não encontrado/Não digitado</v>
      </c>
      <c r="L567" s="12" t="s">
        <v>68</v>
      </c>
      <c r="M567" s="12" t="str">
        <f>IFERROR(VLOOKUP(L567, DADOS_RM_EVENTOS_original!K:L, 2, FALSE), "Código não encontrado/Não digitado")</f>
        <v>Código não encontrado/Não digitado</v>
      </c>
    </row>
    <row r="568" ht="15.75" hidden="1" customHeight="1">
      <c r="A568" s="11" t="s">
        <v>142</v>
      </c>
      <c r="B568" s="11" t="s">
        <v>797</v>
      </c>
      <c r="C568" s="11" t="s">
        <v>4768</v>
      </c>
      <c r="D568" s="11" t="s">
        <v>96</v>
      </c>
      <c r="E568" s="11" t="s">
        <v>985</v>
      </c>
      <c r="F568" s="11" t="s">
        <v>99</v>
      </c>
      <c r="G568" s="12" t="s">
        <v>63</v>
      </c>
      <c r="H568" s="12" t="s">
        <v>68</v>
      </c>
      <c r="I568" s="12" t="str">
        <f>IFERROR(VLOOKUP(H568, DADOS_RM_EVENTOS_original!C:D, 2, FALSE), "Código não encontrado/Não digitado")</f>
        <v>Código não encontrado/Não digitado</v>
      </c>
      <c r="J568" s="12" t="s">
        <v>68</v>
      </c>
      <c r="K568" s="12" t="str">
        <f>IFERROR(VLOOKUP(J568, DADOS_RM_EVENTOS_original!E:J, 2, FALSE), "Código não encontrado/Não digitado")</f>
        <v>Código não encontrado/Não digitado</v>
      </c>
      <c r="L568" s="12" t="s">
        <v>68</v>
      </c>
      <c r="M568" s="12" t="str">
        <f>IFERROR(VLOOKUP(L568, DADOS_RM_EVENTOS_original!K:L, 2, FALSE), "Código não encontrado/Não digitado")</f>
        <v>Código não encontrado/Não digitado</v>
      </c>
    </row>
    <row r="569" ht="15.75" hidden="1" customHeight="1">
      <c r="A569" s="11" t="s">
        <v>199</v>
      </c>
      <c r="B569" s="11" t="s">
        <v>797</v>
      </c>
      <c r="C569" s="11" t="s">
        <v>4768</v>
      </c>
      <c r="D569" s="11" t="s">
        <v>96</v>
      </c>
      <c r="E569" s="11" t="s">
        <v>1074</v>
      </c>
      <c r="F569" s="11" t="s">
        <v>99</v>
      </c>
      <c r="G569" s="12" t="s">
        <v>63</v>
      </c>
      <c r="H569" s="12" t="s">
        <v>68</v>
      </c>
      <c r="I569" s="12" t="str">
        <f>IFERROR(VLOOKUP(H569, DADOS_RM_EVENTOS_original!C:D, 2, FALSE), "Código não encontrado/Não digitado")</f>
        <v>Código não encontrado/Não digitado</v>
      </c>
      <c r="J569" s="12" t="s">
        <v>68</v>
      </c>
      <c r="K569" s="12" t="str">
        <f>IFERROR(VLOOKUP(J569, DADOS_RM_EVENTOS_original!E:J, 2, FALSE), "Código não encontrado/Não digitado")</f>
        <v>Código não encontrado/Não digitado</v>
      </c>
      <c r="L569" s="12" t="s">
        <v>68</v>
      </c>
      <c r="M569" s="12" t="str">
        <f>IFERROR(VLOOKUP(L569, DADOS_RM_EVENTOS_original!K:L, 2, FALSE), "Código não encontrado/Não digitado")</f>
        <v>Código não encontrado/Não digitado</v>
      </c>
    </row>
    <row r="570" ht="15.75" customHeight="1">
      <c r="A570" s="11" t="s">
        <v>38</v>
      </c>
      <c r="B570" s="11" t="s">
        <v>4784</v>
      </c>
      <c r="C570" s="11" t="s">
        <v>4785</v>
      </c>
      <c r="D570" s="11" t="s">
        <v>120</v>
      </c>
      <c r="E570" s="11" t="s">
        <v>47</v>
      </c>
      <c r="F570" s="11" t="s">
        <v>49</v>
      </c>
      <c r="G570" s="12" t="s">
        <v>63</v>
      </c>
      <c r="H570" s="12" t="s">
        <v>68</v>
      </c>
      <c r="I570" s="12" t="str">
        <f>IFERROR(VLOOKUP(H570, DADOS_RM_EVENTOS_original!C:D, 2, FALSE), "Código não encontrado/Não digitado")</f>
        <v>Código não encontrado/Não digitado</v>
      </c>
      <c r="J570" s="12" t="s">
        <v>68</v>
      </c>
      <c r="K570" s="12" t="str">
        <f>IFERROR(VLOOKUP(J570, DADOS_RM_EVENTOS_original!E:J, 2, FALSE), "Código não encontrado/Não digitado")</f>
        <v>Código não encontrado/Não digitado</v>
      </c>
      <c r="L570" s="12" t="s">
        <v>68</v>
      </c>
      <c r="M570" s="12" t="str">
        <f>IFERROR(VLOOKUP(L570, DADOS_RM_EVENTOS_original!K:L, 2, FALSE), "Código não encontrado/Não digitado")</f>
        <v>Código não encontrado/Não digitado</v>
      </c>
    </row>
    <row r="571" ht="15.75" hidden="1" customHeight="1">
      <c r="A571" s="11" t="s">
        <v>38</v>
      </c>
      <c r="B571" s="11" t="s">
        <v>1683</v>
      </c>
      <c r="C571" s="11" t="s">
        <v>4790</v>
      </c>
      <c r="D571" s="11" t="s">
        <v>44</v>
      </c>
      <c r="E571" s="11" t="s">
        <v>47</v>
      </c>
      <c r="F571" s="11" t="s">
        <v>1722</v>
      </c>
      <c r="G571" s="12" t="s">
        <v>2391</v>
      </c>
      <c r="H571" s="12" t="s">
        <v>68</v>
      </c>
      <c r="I571" s="12" t="str">
        <f>IFERROR(VLOOKUP(H571, DADOS_RM_EVENTOS_original!C:D, 2, FALSE), "Código não encontrado/Não digitado")</f>
        <v>Código não encontrado/Não digitado</v>
      </c>
      <c r="J571" s="12" t="s">
        <v>68</v>
      </c>
      <c r="K571" s="12" t="str">
        <f>IFERROR(VLOOKUP(J571, DADOS_RM_EVENTOS_original!E:J, 2, FALSE), "Código não encontrado/Não digitado")</f>
        <v>Código não encontrado/Não digitado</v>
      </c>
      <c r="L571" s="12" t="s">
        <v>68</v>
      </c>
      <c r="M571" s="12" t="str">
        <f>IFERROR(VLOOKUP(L571, DADOS_RM_EVENTOS_original!K:L, 2, FALSE), "Código não encontrado/Não digitado")</f>
        <v>Código não encontrado/Não digitado</v>
      </c>
    </row>
    <row r="572" ht="15.75" hidden="1" customHeight="1">
      <c r="A572" s="11" t="s">
        <v>172</v>
      </c>
      <c r="B572" s="11" t="s">
        <v>1683</v>
      </c>
      <c r="C572" s="11" t="s">
        <v>4795</v>
      </c>
      <c r="D572" s="11" t="s">
        <v>44</v>
      </c>
      <c r="E572" s="11" t="s">
        <v>1029</v>
      </c>
      <c r="F572" s="11" t="s">
        <v>1722</v>
      </c>
      <c r="G572" s="12" t="s">
        <v>2391</v>
      </c>
      <c r="H572" s="12" t="s">
        <v>68</v>
      </c>
      <c r="I572" s="12" t="str">
        <f>IFERROR(VLOOKUP(H572, DADOS_RM_EVENTOS_original!C:D, 2, FALSE), "Código não encontrado/Não digitado")</f>
        <v>Código não encontrado/Não digitado</v>
      </c>
      <c r="J572" s="12" t="s">
        <v>68</v>
      </c>
      <c r="K572" s="12" t="str">
        <f>IFERROR(VLOOKUP(J572, DADOS_RM_EVENTOS_original!E:J, 2, FALSE), "Código não encontrado/Não digitado")</f>
        <v>Código não encontrado/Não digitado</v>
      </c>
      <c r="L572" s="12" t="s">
        <v>68</v>
      </c>
      <c r="M572" s="12" t="str">
        <f>IFERROR(VLOOKUP(L572, DADOS_RM_EVENTOS_original!K:L, 2, FALSE), "Código não encontrado/Não digitado")</f>
        <v>Código não encontrado/Não digitado</v>
      </c>
    </row>
    <row r="573" ht="15.75" hidden="1" customHeight="1">
      <c r="A573" s="11" t="s">
        <v>97</v>
      </c>
      <c r="B573" s="11" t="s">
        <v>1683</v>
      </c>
      <c r="C573" s="11" t="s">
        <v>4795</v>
      </c>
      <c r="D573" s="11" t="s">
        <v>44</v>
      </c>
      <c r="E573" s="11" t="s">
        <v>972</v>
      </c>
      <c r="F573" s="11" t="s">
        <v>1722</v>
      </c>
      <c r="G573" s="12" t="s">
        <v>2391</v>
      </c>
      <c r="H573" s="12" t="s">
        <v>68</v>
      </c>
      <c r="I573" s="12" t="str">
        <f>IFERROR(VLOOKUP(H573, DADOS_RM_EVENTOS_original!C:D, 2, FALSE), "Código não encontrado/Não digitado")</f>
        <v>Código não encontrado/Não digitado</v>
      </c>
      <c r="J573" s="12" t="s">
        <v>68</v>
      </c>
      <c r="K573" s="12" t="str">
        <f>IFERROR(VLOOKUP(J573, DADOS_RM_EVENTOS_original!E:J, 2, FALSE), "Código não encontrado/Não digitado")</f>
        <v>Código não encontrado/Não digitado</v>
      </c>
      <c r="L573" s="12" t="s">
        <v>68</v>
      </c>
      <c r="M573" s="12" t="str">
        <f>IFERROR(VLOOKUP(L573, DADOS_RM_EVENTOS_original!K:L, 2, FALSE), "Código não encontrado/Não digitado")</f>
        <v>Código não encontrado/Não digitado</v>
      </c>
    </row>
    <row r="574" ht="15.75" hidden="1" customHeight="1">
      <c r="A574" s="11" t="s">
        <v>38</v>
      </c>
      <c r="B574" s="11" t="s">
        <v>245</v>
      </c>
      <c r="C574" s="11" t="s">
        <v>4806</v>
      </c>
      <c r="D574" s="11" t="s">
        <v>120</v>
      </c>
      <c r="E574" s="11" t="s">
        <v>47</v>
      </c>
      <c r="F574" s="11" t="s">
        <v>733</v>
      </c>
      <c r="G574" s="12" t="s">
        <v>966</v>
      </c>
      <c r="H574" s="12" t="s">
        <v>68</v>
      </c>
      <c r="I574" s="12" t="str">
        <f>IFERROR(VLOOKUP(H574, DADOS_RM_EVENTOS_original!C:D, 2, FALSE), "Código não encontrado/Não digitado")</f>
        <v>Código não encontrado/Não digitado</v>
      </c>
      <c r="J574" s="12" t="s">
        <v>68</v>
      </c>
      <c r="K574" s="12" t="str">
        <f>IFERROR(VLOOKUP(J574, DADOS_RM_EVENTOS_original!E:J, 2, FALSE), "Código não encontrado/Não digitado")</f>
        <v>Código não encontrado/Não digitado</v>
      </c>
      <c r="L574" s="12" t="s">
        <v>68</v>
      </c>
      <c r="M574" s="12" t="str">
        <f>IFERROR(VLOOKUP(L574, DADOS_RM_EVENTOS_original!K:L, 2, FALSE), "Código não encontrado/Não digitado")</f>
        <v>Código não encontrado/Não digitado</v>
      </c>
    </row>
    <row r="575" ht="15.75" hidden="1" customHeight="1">
      <c r="A575" s="11" t="s">
        <v>172</v>
      </c>
      <c r="B575" s="11" t="s">
        <v>245</v>
      </c>
      <c r="C575" s="11" t="s">
        <v>4811</v>
      </c>
      <c r="D575" s="11" t="s">
        <v>120</v>
      </c>
      <c r="E575" s="11" t="s">
        <v>1029</v>
      </c>
      <c r="F575" s="11" t="s">
        <v>733</v>
      </c>
      <c r="G575" s="12" t="s">
        <v>966</v>
      </c>
      <c r="H575" s="12" t="s">
        <v>68</v>
      </c>
      <c r="I575" s="12" t="str">
        <f>IFERROR(VLOOKUP(H575, DADOS_RM_EVENTOS_original!C:D, 2, FALSE), "Código não encontrado/Não digitado")</f>
        <v>Código não encontrado/Não digitado</v>
      </c>
      <c r="J575" s="12" t="s">
        <v>68</v>
      </c>
      <c r="K575" s="12" t="str">
        <f>IFERROR(VLOOKUP(J575, DADOS_RM_EVENTOS_original!E:J, 2, FALSE), "Código não encontrado/Não digitado")</f>
        <v>Código não encontrado/Não digitado</v>
      </c>
      <c r="L575" s="12" t="s">
        <v>68</v>
      </c>
      <c r="M575" s="12" t="str">
        <f>IFERROR(VLOOKUP(L575, DADOS_RM_EVENTOS_original!K:L, 2, FALSE), "Código não encontrado/Não digitado")</f>
        <v>Código não encontrado/Não digitado</v>
      </c>
    </row>
    <row r="576" ht="15.75" hidden="1" customHeight="1">
      <c r="A576" s="11" t="s">
        <v>97</v>
      </c>
      <c r="B576" s="11" t="s">
        <v>245</v>
      </c>
      <c r="C576" s="11" t="s">
        <v>4811</v>
      </c>
      <c r="D576" s="11" t="s">
        <v>120</v>
      </c>
      <c r="E576" s="11" t="s">
        <v>972</v>
      </c>
      <c r="F576" s="11" t="s">
        <v>733</v>
      </c>
      <c r="G576" s="12" t="s">
        <v>966</v>
      </c>
      <c r="H576" s="12" t="s">
        <v>68</v>
      </c>
      <c r="I576" s="12" t="str">
        <f>IFERROR(VLOOKUP(H576, DADOS_RM_EVENTOS_original!C:D, 2, FALSE), "Código não encontrado/Não digitado")</f>
        <v>Código não encontrado/Não digitado</v>
      </c>
      <c r="J576" s="12" t="s">
        <v>68</v>
      </c>
      <c r="K576" s="12" t="str">
        <f>IFERROR(VLOOKUP(J576, DADOS_RM_EVENTOS_original!E:J, 2, FALSE), "Código não encontrado/Não digitado")</f>
        <v>Código não encontrado/Não digitado</v>
      </c>
      <c r="L576" s="12" t="s">
        <v>68</v>
      </c>
      <c r="M576" s="12" t="str">
        <f>IFERROR(VLOOKUP(L576, DADOS_RM_EVENTOS_original!K:L, 2, FALSE), "Código não encontrado/Não digitado")</f>
        <v>Código não encontrado/Não digitado</v>
      </c>
    </row>
    <row r="577" ht="15.75" hidden="1" customHeight="1">
      <c r="A577" s="11" t="s">
        <v>142</v>
      </c>
      <c r="B577" s="11" t="s">
        <v>245</v>
      </c>
      <c r="C577" s="11" t="s">
        <v>4811</v>
      </c>
      <c r="D577" s="11" t="s">
        <v>120</v>
      </c>
      <c r="E577" s="11" t="s">
        <v>985</v>
      </c>
      <c r="F577" s="11" t="s">
        <v>733</v>
      </c>
      <c r="G577" s="12" t="s">
        <v>966</v>
      </c>
      <c r="H577" s="12" t="s">
        <v>68</v>
      </c>
      <c r="I577" s="12" t="str">
        <f>IFERROR(VLOOKUP(H577, DADOS_RM_EVENTOS_original!C:D, 2, FALSE), "Código não encontrado/Não digitado")</f>
        <v>Código não encontrado/Não digitado</v>
      </c>
      <c r="J577" s="12" t="s">
        <v>68</v>
      </c>
      <c r="K577" s="12" t="str">
        <f>IFERROR(VLOOKUP(J577, DADOS_RM_EVENTOS_original!E:J, 2, FALSE), "Código não encontrado/Não digitado")</f>
        <v>Código não encontrado/Não digitado</v>
      </c>
      <c r="L577" s="12" t="s">
        <v>68</v>
      </c>
      <c r="M577" s="12" t="str">
        <f>IFERROR(VLOOKUP(L577, DADOS_RM_EVENTOS_original!K:L, 2, FALSE), "Código não encontrado/Não digitado")</f>
        <v>Código não encontrado/Não digitado</v>
      </c>
    </row>
    <row r="578" ht="15.75" hidden="1" customHeight="1">
      <c r="A578" s="11" t="s">
        <v>38</v>
      </c>
      <c r="B578" s="11" t="s">
        <v>601</v>
      </c>
      <c r="C578" s="11" t="s">
        <v>4825</v>
      </c>
      <c r="D578" s="11" t="s">
        <v>120</v>
      </c>
      <c r="E578" s="11" t="s">
        <v>47</v>
      </c>
      <c r="F578" s="11" t="s">
        <v>311</v>
      </c>
      <c r="G578" s="12" t="s">
        <v>342</v>
      </c>
      <c r="H578" s="12" t="s">
        <v>68</v>
      </c>
      <c r="I578" s="12" t="str">
        <f>IFERROR(VLOOKUP(H578, DADOS_RM_EVENTOS_original!C:D, 2, FALSE), "Código não encontrado/Não digitado")</f>
        <v>Código não encontrado/Não digitado</v>
      </c>
      <c r="J578" s="12" t="s">
        <v>68</v>
      </c>
      <c r="K578" s="12" t="str">
        <f>IFERROR(VLOOKUP(J578, DADOS_RM_EVENTOS_original!E:J, 2, FALSE), "Código não encontrado/Não digitado")</f>
        <v>Código não encontrado/Não digitado</v>
      </c>
      <c r="L578" s="12" t="s">
        <v>68</v>
      </c>
      <c r="M578" s="12" t="str">
        <f>IFERROR(VLOOKUP(L578, DADOS_RM_EVENTOS_original!K:L, 2, FALSE), "Código não encontrado/Não digitado")</f>
        <v>Código não encontrado/Não digitado</v>
      </c>
    </row>
    <row r="579" ht="15.75" hidden="1" customHeight="1">
      <c r="A579" s="11" t="s">
        <v>97</v>
      </c>
      <c r="B579" s="11" t="s">
        <v>619</v>
      </c>
      <c r="C579" s="11" t="s">
        <v>4830</v>
      </c>
      <c r="D579" s="11" t="s">
        <v>120</v>
      </c>
      <c r="E579" s="11" t="s">
        <v>972</v>
      </c>
      <c r="F579" s="11" t="s">
        <v>399</v>
      </c>
      <c r="G579" s="12" t="s">
        <v>420</v>
      </c>
      <c r="H579" s="12" t="s">
        <v>68</v>
      </c>
      <c r="I579" s="12" t="str">
        <f>IFERROR(VLOOKUP(H579, DADOS_RM_EVENTOS_original!C:D, 2, FALSE), "Código não encontrado/Não digitado")</f>
        <v>Código não encontrado/Não digitado</v>
      </c>
      <c r="J579" s="12" t="s">
        <v>68</v>
      </c>
      <c r="K579" s="12" t="str">
        <f>IFERROR(VLOOKUP(J579, DADOS_RM_EVENTOS_original!E:J, 2, FALSE), "Código não encontrado/Não digitado")</f>
        <v>Código não encontrado/Não digitado</v>
      </c>
      <c r="L579" s="12" t="s">
        <v>68</v>
      </c>
      <c r="M579" s="12" t="str">
        <f>IFERROR(VLOOKUP(L579, DADOS_RM_EVENTOS_original!K:L, 2, FALSE), "Código não encontrado/Não digitado")</f>
        <v>Código não encontrado/Não digitado</v>
      </c>
    </row>
    <row r="580" ht="15.75" hidden="1" customHeight="1">
      <c r="A580" s="11" t="s">
        <v>38</v>
      </c>
      <c r="B580" s="11" t="s">
        <v>4835</v>
      </c>
      <c r="C580" s="11" t="s">
        <v>4836</v>
      </c>
      <c r="D580" s="11" t="s">
        <v>120</v>
      </c>
      <c r="E580" s="11" t="s">
        <v>47</v>
      </c>
      <c r="F580" s="11" t="s">
        <v>2604</v>
      </c>
      <c r="G580" s="12" t="s">
        <v>3108</v>
      </c>
      <c r="H580" s="12" t="s">
        <v>68</v>
      </c>
      <c r="I580" s="12" t="str">
        <f>IFERROR(VLOOKUP(H580, DADOS_RM_EVENTOS_original!C:D, 2, FALSE), "Código não encontrado/Não digitado")</f>
        <v>Código não encontrado/Não digitado</v>
      </c>
      <c r="J580" s="12" t="s">
        <v>68</v>
      </c>
      <c r="K580" s="12" t="str">
        <f>IFERROR(VLOOKUP(J580, DADOS_RM_EVENTOS_original!E:J, 2, FALSE), "Código não encontrado/Não digitado")</f>
        <v>Código não encontrado/Não digitado</v>
      </c>
      <c r="L580" s="12" t="s">
        <v>68</v>
      </c>
      <c r="M580" s="12" t="str">
        <f>IFERROR(VLOOKUP(L580, DADOS_RM_EVENTOS_original!K:L, 2, FALSE), "Código não encontrado/Não digitado")</f>
        <v>Código não encontrado/Não digitado</v>
      </c>
    </row>
    <row r="581" ht="15.75" hidden="1" customHeight="1">
      <c r="A581" s="11" t="s">
        <v>97</v>
      </c>
      <c r="B581" s="11" t="s">
        <v>3597</v>
      </c>
      <c r="C581" s="11" t="s">
        <v>4836</v>
      </c>
      <c r="D581" s="11" t="s">
        <v>120</v>
      </c>
      <c r="E581" s="11" t="s">
        <v>972</v>
      </c>
      <c r="F581" s="11" t="s">
        <v>2604</v>
      </c>
      <c r="G581" s="12" t="s">
        <v>3108</v>
      </c>
      <c r="H581" s="12" t="s">
        <v>68</v>
      </c>
      <c r="I581" s="12" t="str">
        <f>IFERROR(VLOOKUP(H581, DADOS_RM_EVENTOS_original!C:D, 2, FALSE), "Código não encontrado/Não digitado")</f>
        <v>Código não encontrado/Não digitado</v>
      </c>
      <c r="J581" s="12" t="s">
        <v>68</v>
      </c>
      <c r="K581" s="12" t="str">
        <f>IFERROR(VLOOKUP(J581, DADOS_RM_EVENTOS_original!E:J, 2, FALSE), "Código não encontrado/Não digitado")</f>
        <v>Código não encontrado/Não digitado</v>
      </c>
      <c r="L581" s="12" t="s">
        <v>68</v>
      </c>
      <c r="M581" s="12" t="str">
        <f>IFERROR(VLOOKUP(L581, DADOS_RM_EVENTOS_original!K:L, 2, FALSE), "Código não encontrado/Não digitado")</f>
        <v>Código não encontrado/Não digitado</v>
      </c>
    </row>
    <row r="582" ht="15.75" hidden="1" customHeight="1">
      <c r="A582" s="11" t="s">
        <v>172</v>
      </c>
      <c r="B582" s="11" t="s">
        <v>834</v>
      </c>
      <c r="C582" s="11" t="s">
        <v>4846</v>
      </c>
      <c r="D582" s="11" t="s">
        <v>96</v>
      </c>
      <c r="E582" s="11" t="s">
        <v>1029</v>
      </c>
      <c r="F582" s="11" t="s">
        <v>99</v>
      </c>
      <c r="G582" s="12" t="s">
        <v>63</v>
      </c>
      <c r="H582" s="12" t="s">
        <v>68</v>
      </c>
      <c r="I582" s="12" t="str">
        <f>IFERROR(VLOOKUP(H582, DADOS_RM_EVENTOS_original!C:D, 2, FALSE), "Código não encontrado/Não digitado")</f>
        <v>Código não encontrado/Não digitado</v>
      </c>
      <c r="J582" s="12" t="s">
        <v>68</v>
      </c>
      <c r="K582" s="12" t="str">
        <f>IFERROR(VLOOKUP(J582, DADOS_RM_EVENTOS_original!E:J, 2, FALSE), "Código não encontrado/Não digitado")</f>
        <v>Código não encontrado/Não digitado</v>
      </c>
      <c r="L582" s="12" t="s">
        <v>68</v>
      </c>
      <c r="M582" s="12" t="str">
        <f>IFERROR(VLOOKUP(L582, DADOS_RM_EVENTOS_original!K:L, 2, FALSE), "Código não encontrado/Não digitado")</f>
        <v>Código não encontrado/Não digitado</v>
      </c>
    </row>
    <row r="583" ht="15.75" hidden="1" customHeight="1">
      <c r="A583" s="11" t="s">
        <v>97</v>
      </c>
      <c r="B583" s="11" t="s">
        <v>834</v>
      </c>
      <c r="C583" s="11" t="s">
        <v>4846</v>
      </c>
      <c r="D583" s="11" t="s">
        <v>96</v>
      </c>
      <c r="E583" s="11" t="s">
        <v>972</v>
      </c>
      <c r="F583" s="11" t="s">
        <v>99</v>
      </c>
      <c r="G583" s="12" t="s">
        <v>63</v>
      </c>
      <c r="H583" s="12" t="s">
        <v>68</v>
      </c>
      <c r="I583" s="12" t="str">
        <f>IFERROR(VLOOKUP(H583, DADOS_RM_EVENTOS_original!C:D, 2, FALSE), "Código não encontrado/Não digitado")</f>
        <v>Código não encontrado/Não digitado</v>
      </c>
      <c r="J583" s="12" t="s">
        <v>68</v>
      </c>
      <c r="K583" s="12" t="str">
        <f>IFERROR(VLOOKUP(J583, DADOS_RM_EVENTOS_original!E:J, 2, FALSE), "Código não encontrado/Não digitado")</f>
        <v>Código não encontrado/Não digitado</v>
      </c>
      <c r="L583" s="12" t="s">
        <v>68</v>
      </c>
      <c r="M583" s="12" t="str">
        <f>IFERROR(VLOOKUP(L583, DADOS_RM_EVENTOS_original!K:L, 2, FALSE), "Código não encontrado/Não digitado")</f>
        <v>Código não encontrado/Não digitado</v>
      </c>
    </row>
    <row r="584" ht="15.75" hidden="1" customHeight="1">
      <c r="A584" s="11" t="s">
        <v>142</v>
      </c>
      <c r="B584" s="11" t="s">
        <v>834</v>
      </c>
      <c r="C584" s="11" t="s">
        <v>4846</v>
      </c>
      <c r="D584" s="11" t="s">
        <v>96</v>
      </c>
      <c r="E584" s="11" t="s">
        <v>985</v>
      </c>
      <c r="F584" s="11" t="s">
        <v>99</v>
      </c>
      <c r="G584" s="12" t="s">
        <v>63</v>
      </c>
      <c r="H584" s="12" t="s">
        <v>68</v>
      </c>
      <c r="I584" s="12" t="str">
        <f>IFERROR(VLOOKUP(H584, DADOS_RM_EVENTOS_original!C:D, 2, FALSE), "Código não encontrado/Não digitado")</f>
        <v>Código não encontrado/Não digitado</v>
      </c>
      <c r="J584" s="12" t="s">
        <v>68</v>
      </c>
      <c r="K584" s="12" t="str">
        <f>IFERROR(VLOOKUP(J584, DADOS_RM_EVENTOS_original!E:J, 2, FALSE), "Código não encontrado/Não digitado")</f>
        <v>Código não encontrado/Não digitado</v>
      </c>
      <c r="L584" s="12" t="s">
        <v>68</v>
      </c>
      <c r="M584" s="12" t="str">
        <f>IFERROR(VLOOKUP(L584, DADOS_RM_EVENTOS_original!K:L, 2, FALSE), "Código não encontrado/Não digitado")</f>
        <v>Código não encontrado/Não digitado</v>
      </c>
    </row>
    <row r="585" ht="15.75" hidden="1" customHeight="1">
      <c r="A585" s="11" t="s">
        <v>199</v>
      </c>
      <c r="B585" s="11" t="s">
        <v>834</v>
      </c>
      <c r="C585" s="11" t="s">
        <v>4846</v>
      </c>
      <c r="D585" s="11" t="s">
        <v>96</v>
      </c>
      <c r="E585" s="11" t="s">
        <v>1074</v>
      </c>
      <c r="F585" s="11" t="s">
        <v>99</v>
      </c>
      <c r="G585" s="12" t="s">
        <v>63</v>
      </c>
      <c r="H585" s="12" t="s">
        <v>68</v>
      </c>
      <c r="I585" s="12" t="str">
        <f>IFERROR(VLOOKUP(H585, DADOS_RM_EVENTOS_original!C:D, 2, FALSE), "Código não encontrado/Não digitado")</f>
        <v>Código não encontrado/Não digitado</v>
      </c>
      <c r="J585" s="12" t="s">
        <v>68</v>
      </c>
      <c r="K585" s="12" t="str">
        <f>IFERROR(VLOOKUP(J585, DADOS_RM_EVENTOS_original!E:J, 2, FALSE), "Código não encontrado/Não digitado")</f>
        <v>Código não encontrado/Não digitado</v>
      </c>
      <c r="L585" s="12" t="s">
        <v>68</v>
      </c>
      <c r="M585" s="12" t="str">
        <f>IFERROR(VLOOKUP(L585, DADOS_RM_EVENTOS_original!K:L, 2, FALSE), "Código não encontrado/Não digitado")</f>
        <v>Código não encontrado/Não digitado</v>
      </c>
    </row>
    <row r="586" ht="15.75" hidden="1" customHeight="1">
      <c r="A586" s="11" t="s">
        <v>172</v>
      </c>
      <c r="B586" s="11" t="s">
        <v>250</v>
      </c>
      <c r="C586" s="11" t="s">
        <v>4863</v>
      </c>
      <c r="D586" s="11" t="s">
        <v>120</v>
      </c>
      <c r="E586" s="11" t="s">
        <v>1029</v>
      </c>
      <c r="F586" s="11" t="s">
        <v>646</v>
      </c>
      <c r="G586" s="12" t="s">
        <v>836</v>
      </c>
      <c r="H586" s="12" t="s">
        <v>68</v>
      </c>
      <c r="I586" s="12" t="str">
        <f>IFERROR(VLOOKUP(H586, DADOS_RM_EVENTOS_original!C:D, 2, FALSE), "Código não encontrado/Não digitado")</f>
        <v>Código não encontrado/Não digitado</v>
      </c>
      <c r="J586" s="12" t="s">
        <v>68</v>
      </c>
      <c r="K586" s="12" t="str">
        <f>IFERROR(VLOOKUP(J586, DADOS_RM_EVENTOS_original!E:J, 2, FALSE), "Código não encontrado/Não digitado")</f>
        <v>Código não encontrado/Não digitado</v>
      </c>
      <c r="L586" s="12" t="s">
        <v>68</v>
      </c>
      <c r="M586" s="12" t="str">
        <f>IFERROR(VLOOKUP(L586, DADOS_RM_EVENTOS_original!K:L, 2, FALSE), "Código não encontrado/Não digitado")</f>
        <v>Código não encontrado/Não digitado</v>
      </c>
    </row>
    <row r="587" ht="15.75" hidden="1" customHeight="1">
      <c r="A587" s="11" t="s">
        <v>38</v>
      </c>
      <c r="B587" s="11" t="s">
        <v>250</v>
      </c>
      <c r="C587" s="11" t="s">
        <v>4868</v>
      </c>
      <c r="D587" s="11" t="s">
        <v>120</v>
      </c>
      <c r="E587" s="11" t="s">
        <v>47</v>
      </c>
      <c r="F587" s="11" t="s">
        <v>646</v>
      </c>
      <c r="G587" s="12" t="s">
        <v>836</v>
      </c>
      <c r="H587" s="12" t="s">
        <v>68</v>
      </c>
      <c r="I587" s="12" t="str">
        <f>IFERROR(VLOOKUP(H587, DADOS_RM_EVENTOS_original!C:D, 2, FALSE), "Código não encontrado/Não digitado")</f>
        <v>Código não encontrado/Não digitado</v>
      </c>
      <c r="J587" s="12" t="s">
        <v>68</v>
      </c>
      <c r="K587" s="12" t="str">
        <f>IFERROR(VLOOKUP(J587, DADOS_RM_EVENTOS_original!E:J, 2, FALSE), "Código não encontrado/Não digitado")</f>
        <v>Código não encontrado/Não digitado</v>
      </c>
      <c r="L587" s="12" t="s">
        <v>68</v>
      </c>
      <c r="M587" s="12" t="str">
        <f>IFERROR(VLOOKUP(L587, DADOS_RM_EVENTOS_original!K:L, 2, FALSE), "Código não encontrado/Não digitado")</f>
        <v>Código não encontrado/Não digitado</v>
      </c>
    </row>
    <row r="588" ht="15.75" hidden="1" customHeight="1">
      <c r="A588" s="11" t="s">
        <v>115</v>
      </c>
      <c r="B588" s="11" t="s">
        <v>250</v>
      </c>
      <c r="C588" s="11" t="s">
        <v>4868</v>
      </c>
      <c r="D588" s="11" t="s">
        <v>120</v>
      </c>
      <c r="E588" s="11" t="s">
        <v>121</v>
      </c>
      <c r="F588" s="11" t="s">
        <v>646</v>
      </c>
      <c r="G588" s="12" t="s">
        <v>836</v>
      </c>
      <c r="H588" s="12" t="s">
        <v>68</v>
      </c>
      <c r="I588" s="12" t="str">
        <f>IFERROR(VLOOKUP(H588, DADOS_RM_EVENTOS_original!C:D, 2, FALSE), "Código não encontrado/Não digitado")</f>
        <v>Código não encontrado/Não digitado</v>
      </c>
      <c r="J588" s="12" t="s">
        <v>68</v>
      </c>
      <c r="K588" s="12" t="str">
        <f>IFERROR(VLOOKUP(J588, DADOS_RM_EVENTOS_original!E:J, 2, FALSE), "Código não encontrado/Não digitado")</f>
        <v>Código não encontrado/Não digitado</v>
      </c>
      <c r="L588" s="12" t="s">
        <v>68</v>
      </c>
      <c r="M588" s="12" t="str">
        <f>IFERROR(VLOOKUP(L588, DADOS_RM_EVENTOS_original!K:L, 2, FALSE), "Código não encontrado/Não digitado")</f>
        <v>Código não encontrado/Não digitado</v>
      </c>
    </row>
    <row r="589" ht="15.75" hidden="1" customHeight="1">
      <c r="A589" s="11" t="s">
        <v>97</v>
      </c>
      <c r="B589" s="11" t="s">
        <v>1159</v>
      </c>
      <c r="C589" s="11" t="s">
        <v>4868</v>
      </c>
      <c r="D589" s="11" t="s">
        <v>120</v>
      </c>
      <c r="E589" s="11" t="s">
        <v>972</v>
      </c>
      <c r="F589" s="11" t="s">
        <v>646</v>
      </c>
      <c r="G589" s="12" t="s">
        <v>836</v>
      </c>
      <c r="H589" s="12" t="s">
        <v>68</v>
      </c>
      <c r="I589" s="12" t="str">
        <f>IFERROR(VLOOKUP(H589, DADOS_RM_EVENTOS_original!C:D, 2, FALSE), "Código não encontrado/Não digitado")</f>
        <v>Código não encontrado/Não digitado</v>
      </c>
      <c r="J589" s="12" t="s">
        <v>68</v>
      </c>
      <c r="K589" s="12" t="str">
        <f>IFERROR(VLOOKUP(J589, DADOS_RM_EVENTOS_original!E:J, 2, FALSE), "Código não encontrado/Não digitado")</f>
        <v>Código não encontrado/Não digitado</v>
      </c>
      <c r="L589" s="12" t="s">
        <v>68</v>
      </c>
      <c r="M589" s="12" t="str">
        <f>IFERROR(VLOOKUP(L589, DADOS_RM_EVENTOS_original!K:L, 2, FALSE), "Código não encontrado/Não digitado")</f>
        <v>Código não encontrado/Não digitado</v>
      </c>
    </row>
    <row r="590" ht="15.75" hidden="1" customHeight="1">
      <c r="A590" s="11" t="s">
        <v>38</v>
      </c>
      <c r="B590" s="11" t="s">
        <v>253</v>
      </c>
      <c r="C590" s="11" t="s">
        <v>4882</v>
      </c>
      <c r="D590" s="11" t="s">
        <v>120</v>
      </c>
      <c r="E590" s="11" t="s">
        <v>47</v>
      </c>
      <c r="F590" s="11" t="s">
        <v>646</v>
      </c>
      <c r="G590" s="12" t="s">
        <v>836</v>
      </c>
      <c r="H590" s="12" t="s">
        <v>68</v>
      </c>
      <c r="I590" s="12" t="str">
        <f>IFERROR(VLOOKUP(H590, DADOS_RM_EVENTOS_original!C:D, 2, FALSE), "Código não encontrado/Não digitado")</f>
        <v>Código não encontrado/Não digitado</v>
      </c>
      <c r="J590" s="12" t="s">
        <v>68</v>
      </c>
      <c r="K590" s="12" t="str">
        <f>IFERROR(VLOOKUP(J590, DADOS_RM_EVENTOS_original!E:J, 2, FALSE), "Código não encontrado/Não digitado")</f>
        <v>Código não encontrado/Não digitado</v>
      </c>
      <c r="L590" s="12" t="s">
        <v>68</v>
      </c>
      <c r="M590" s="12" t="str">
        <f>IFERROR(VLOOKUP(L590, DADOS_RM_EVENTOS_original!K:L, 2, FALSE), "Código não encontrado/Não digitado")</f>
        <v>Código não encontrado/Não digitado</v>
      </c>
    </row>
    <row r="591" ht="15.75" hidden="1" customHeight="1">
      <c r="A591" s="11" t="s">
        <v>172</v>
      </c>
      <c r="B591" s="11" t="s">
        <v>4891</v>
      </c>
      <c r="C591" s="11" t="s">
        <v>4882</v>
      </c>
      <c r="D591" s="11" t="s">
        <v>120</v>
      </c>
      <c r="E591" s="11" t="s">
        <v>1029</v>
      </c>
      <c r="F591" s="11" t="s">
        <v>646</v>
      </c>
      <c r="G591" s="12" t="s">
        <v>836</v>
      </c>
      <c r="H591" s="12" t="s">
        <v>68</v>
      </c>
      <c r="I591" s="12" t="str">
        <f>IFERROR(VLOOKUP(H591, DADOS_RM_EVENTOS_original!C:D, 2, FALSE), "Código não encontrado/Não digitado")</f>
        <v>Código não encontrado/Não digitado</v>
      </c>
      <c r="J591" s="12" t="s">
        <v>68</v>
      </c>
      <c r="K591" s="12" t="str">
        <f>IFERROR(VLOOKUP(J591, DADOS_RM_EVENTOS_original!E:J, 2, FALSE), "Código não encontrado/Não digitado")</f>
        <v>Código não encontrado/Não digitado</v>
      </c>
      <c r="L591" s="12" t="s">
        <v>68</v>
      </c>
      <c r="M591" s="12" t="str">
        <f>IFERROR(VLOOKUP(L591, DADOS_RM_EVENTOS_original!K:L, 2, FALSE), "Código não encontrado/Não digitado")</f>
        <v>Código não encontrado/Não digitado</v>
      </c>
    </row>
    <row r="592" ht="15.75" hidden="1" customHeight="1">
      <c r="A592" s="11" t="s">
        <v>97</v>
      </c>
      <c r="B592" s="11" t="s">
        <v>1249</v>
      </c>
      <c r="C592" s="11" t="s">
        <v>4882</v>
      </c>
      <c r="D592" s="11" t="s">
        <v>120</v>
      </c>
      <c r="E592" s="11" t="s">
        <v>972</v>
      </c>
      <c r="F592" s="11" t="s">
        <v>646</v>
      </c>
      <c r="G592" s="12" t="s">
        <v>836</v>
      </c>
      <c r="H592" s="12" t="s">
        <v>68</v>
      </c>
      <c r="I592" s="12" t="str">
        <f>IFERROR(VLOOKUP(H592, DADOS_RM_EVENTOS_original!C:D, 2, FALSE), "Código não encontrado/Não digitado")</f>
        <v>Código não encontrado/Não digitado</v>
      </c>
      <c r="J592" s="12" t="s">
        <v>68</v>
      </c>
      <c r="K592" s="12" t="str">
        <f>IFERROR(VLOOKUP(J592, DADOS_RM_EVENTOS_original!E:J, 2, FALSE), "Código não encontrado/Não digitado")</f>
        <v>Código não encontrado/Não digitado</v>
      </c>
      <c r="L592" s="12" t="s">
        <v>68</v>
      </c>
      <c r="M592" s="12" t="str">
        <f>IFERROR(VLOOKUP(L592, DADOS_RM_EVENTOS_original!K:L, 2, FALSE), "Código não encontrado/Não digitado")</f>
        <v>Código não encontrado/Não digitado</v>
      </c>
    </row>
    <row r="593" ht="15.75" hidden="1" customHeight="1">
      <c r="A593" s="11" t="s">
        <v>38</v>
      </c>
      <c r="B593" s="11" t="s">
        <v>84</v>
      </c>
      <c r="C593" s="11" t="s">
        <v>4916</v>
      </c>
      <c r="D593" s="11" t="s">
        <v>120</v>
      </c>
      <c r="E593" s="11" t="s">
        <v>47</v>
      </c>
      <c r="F593" s="11" t="s">
        <v>172</v>
      </c>
      <c r="G593" s="12" t="s">
        <v>174</v>
      </c>
      <c r="H593" s="12" t="s">
        <v>68</v>
      </c>
      <c r="I593" s="12" t="str">
        <f>IFERROR(VLOOKUP(H593, DADOS_RM_EVENTOS_original!C:D, 2, FALSE), "Código não encontrado/Não digitado")</f>
        <v>Código não encontrado/Não digitado</v>
      </c>
      <c r="J593" s="12" t="s">
        <v>68</v>
      </c>
      <c r="K593" s="12" t="str">
        <f>IFERROR(VLOOKUP(J593, DADOS_RM_EVENTOS_original!E:J, 2, FALSE), "Código não encontrado/Não digitado")</f>
        <v>Código não encontrado/Não digitado</v>
      </c>
      <c r="L593" s="12" t="s">
        <v>68</v>
      </c>
      <c r="M593" s="12" t="str">
        <f>IFERROR(VLOOKUP(L593, DADOS_RM_EVENTOS_original!K:L, 2, FALSE), "Código não encontrado/Não digitado")</f>
        <v>Código não encontrado/Não digitado</v>
      </c>
    </row>
    <row r="594" ht="15.75" hidden="1" customHeight="1">
      <c r="A594" s="11" t="s">
        <v>38</v>
      </c>
      <c r="B594" s="11" t="s">
        <v>1666</v>
      </c>
      <c r="C594" s="11" t="s">
        <v>4923</v>
      </c>
      <c r="D594" s="11" t="s">
        <v>120</v>
      </c>
      <c r="E594" s="11" t="s">
        <v>47</v>
      </c>
      <c r="F594" s="11" t="s">
        <v>155</v>
      </c>
      <c r="G594" s="12" t="s">
        <v>158</v>
      </c>
      <c r="H594" s="12" t="s">
        <v>68</v>
      </c>
      <c r="I594" s="12" t="str">
        <f>IFERROR(VLOOKUP(H594, DADOS_RM_EVENTOS_original!C:D, 2, FALSE), "Código não encontrado/Não digitado")</f>
        <v>Código não encontrado/Não digitado</v>
      </c>
      <c r="J594" s="12" t="s">
        <v>68</v>
      </c>
      <c r="K594" s="12" t="str">
        <f>IFERROR(VLOOKUP(J594, DADOS_RM_EVENTOS_original!E:J, 2, FALSE), "Código não encontrado/Não digitado")</f>
        <v>Código não encontrado/Não digitado</v>
      </c>
      <c r="L594" s="12" t="s">
        <v>68</v>
      </c>
      <c r="M594" s="12" t="str">
        <f>IFERROR(VLOOKUP(L594, DADOS_RM_EVENTOS_original!K:L, 2, FALSE), "Código não encontrado/Não digitado")</f>
        <v>Código não encontrado/Não digitado</v>
      </c>
    </row>
    <row r="595" ht="15.75" hidden="1" customHeight="1">
      <c r="A595" s="11" t="s">
        <v>38</v>
      </c>
      <c r="B595" s="11" t="s">
        <v>137</v>
      </c>
      <c r="C595" s="11" t="s">
        <v>4929</v>
      </c>
      <c r="D595" s="11" t="s">
        <v>120</v>
      </c>
      <c r="E595" s="11" t="s">
        <v>47</v>
      </c>
      <c r="F595" s="11" t="s">
        <v>64</v>
      </c>
      <c r="G595" s="12" t="s">
        <v>70</v>
      </c>
      <c r="H595" s="12" t="s">
        <v>68</v>
      </c>
      <c r="I595" s="12" t="str">
        <f>IFERROR(VLOOKUP(H595, DADOS_RM_EVENTOS_original!C:D, 2, FALSE), "Código não encontrado/Não digitado")</f>
        <v>Código não encontrado/Não digitado</v>
      </c>
      <c r="J595" s="12" t="s">
        <v>68</v>
      </c>
      <c r="K595" s="12" t="str">
        <f>IFERROR(VLOOKUP(J595, DADOS_RM_EVENTOS_original!E:J, 2, FALSE), "Código não encontrado/Não digitado")</f>
        <v>Código não encontrado/Não digitado</v>
      </c>
      <c r="L595" s="12" t="s">
        <v>68</v>
      </c>
      <c r="M595" s="12" t="str">
        <f>IFERROR(VLOOKUP(L595, DADOS_RM_EVENTOS_original!K:L, 2, FALSE), "Código não encontrado/Não digitado")</f>
        <v>Código não encontrado/Não digitado</v>
      </c>
    </row>
    <row r="596" ht="15.75" hidden="1" customHeight="1">
      <c r="A596" s="11" t="s">
        <v>115</v>
      </c>
      <c r="B596" s="11" t="s">
        <v>137</v>
      </c>
      <c r="C596" s="11" t="s">
        <v>4929</v>
      </c>
      <c r="D596" s="11" t="s">
        <v>120</v>
      </c>
      <c r="E596" s="11" t="s">
        <v>121</v>
      </c>
      <c r="F596" s="11" t="s">
        <v>64</v>
      </c>
      <c r="G596" s="12" t="s">
        <v>70</v>
      </c>
      <c r="H596" s="12" t="s">
        <v>68</v>
      </c>
      <c r="I596" s="12" t="str">
        <f>IFERROR(VLOOKUP(H596, DADOS_RM_EVENTOS_original!C:D, 2, FALSE), "Código não encontrado/Não digitado")</f>
        <v>Código não encontrado/Não digitado</v>
      </c>
      <c r="J596" s="12" t="s">
        <v>68</v>
      </c>
      <c r="K596" s="12" t="str">
        <f>IFERROR(VLOOKUP(J596, DADOS_RM_EVENTOS_original!E:J, 2, FALSE), "Código não encontrado/Não digitado")</f>
        <v>Código não encontrado/Não digitado</v>
      </c>
      <c r="L596" s="12" t="s">
        <v>68</v>
      </c>
      <c r="M596" s="12" t="str">
        <f>IFERROR(VLOOKUP(L596, DADOS_RM_EVENTOS_original!K:L, 2, FALSE), "Código não encontrado/Não digitado")</f>
        <v>Código não encontrado/Não digitado</v>
      </c>
    </row>
    <row r="597" ht="15.75" hidden="1" customHeight="1">
      <c r="A597" s="11" t="s">
        <v>172</v>
      </c>
      <c r="B597" s="11" t="s">
        <v>137</v>
      </c>
      <c r="C597" s="11" t="s">
        <v>4939</v>
      </c>
      <c r="D597" s="11" t="s">
        <v>120</v>
      </c>
      <c r="E597" s="11" t="s">
        <v>1029</v>
      </c>
      <c r="F597" s="11" t="s">
        <v>64</v>
      </c>
      <c r="G597" s="12" t="s">
        <v>70</v>
      </c>
      <c r="H597" s="12" t="s">
        <v>68</v>
      </c>
      <c r="I597" s="12" t="str">
        <f>IFERROR(VLOOKUP(H597, DADOS_RM_EVENTOS_original!C:D, 2, FALSE), "Código não encontrado/Não digitado")</f>
        <v>Código não encontrado/Não digitado</v>
      </c>
      <c r="J597" s="12" t="s">
        <v>68</v>
      </c>
      <c r="K597" s="12" t="str">
        <f>IFERROR(VLOOKUP(J597, DADOS_RM_EVENTOS_original!E:J, 2, FALSE), "Código não encontrado/Não digitado")</f>
        <v>Código não encontrado/Não digitado</v>
      </c>
      <c r="L597" s="12" t="s">
        <v>68</v>
      </c>
      <c r="M597" s="12" t="str">
        <f>IFERROR(VLOOKUP(L597, DADOS_RM_EVENTOS_original!K:L, 2, FALSE), "Código não encontrado/Não digitado")</f>
        <v>Código não encontrado/Não digitado</v>
      </c>
    </row>
    <row r="598" ht="15.75" hidden="1" customHeight="1">
      <c r="A598" s="11" t="s">
        <v>97</v>
      </c>
      <c r="B598" s="11" t="s">
        <v>137</v>
      </c>
      <c r="C598" s="11" t="s">
        <v>4939</v>
      </c>
      <c r="D598" s="11" t="s">
        <v>120</v>
      </c>
      <c r="E598" s="11" t="s">
        <v>972</v>
      </c>
      <c r="F598" s="11" t="s">
        <v>64</v>
      </c>
      <c r="G598" s="12" t="s">
        <v>70</v>
      </c>
      <c r="H598" s="12" t="s">
        <v>68</v>
      </c>
      <c r="I598" s="12" t="str">
        <f>IFERROR(VLOOKUP(H598, DADOS_RM_EVENTOS_original!C:D, 2, FALSE), "Código não encontrado/Não digitado")</f>
        <v>Código não encontrado/Não digitado</v>
      </c>
      <c r="J598" s="12" t="s">
        <v>68</v>
      </c>
      <c r="K598" s="12" t="str">
        <f>IFERROR(VLOOKUP(J598, DADOS_RM_EVENTOS_original!E:J, 2, FALSE), "Código não encontrado/Não digitado")</f>
        <v>Código não encontrado/Não digitado</v>
      </c>
      <c r="L598" s="12" t="s">
        <v>68</v>
      </c>
      <c r="M598" s="12" t="str">
        <f>IFERROR(VLOOKUP(L598, DADOS_RM_EVENTOS_original!K:L, 2, FALSE), "Código não encontrado/Não digitado")</f>
        <v>Código não encontrado/Não digitado</v>
      </c>
    </row>
    <row r="599" ht="15.75" hidden="1" customHeight="1">
      <c r="A599" s="11" t="s">
        <v>142</v>
      </c>
      <c r="B599" s="11" t="s">
        <v>137</v>
      </c>
      <c r="C599" s="11" t="s">
        <v>4939</v>
      </c>
      <c r="D599" s="11" t="s">
        <v>120</v>
      </c>
      <c r="E599" s="11" t="s">
        <v>985</v>
      </c>
      <c r="F599" s="11" t="s">
        <v>64</v>
      </c>
      <c r="G599" s="12" t="s">
        <v>70</v>
      </c>
      <c r="H599" s="12" t="s">
        <v>68</v>
      </c>
      <c r="I599" s="12" t="str">
        <f>IFERROR(VLOOKUP(H599, DADOS_RM_EVENTOS_original!C:D, 2, FALSE), "Código não encontrado/Não digitado")</f>
        <v>Código não encontrado/Não digitado</v>
      </c>
      <c r="J599" s="12" t="s">
        <v>68</v>
      </c>
      <c r="K599" s="12" t="str">
        <f>IFERROR(VLOOKUP(J599, DADOS_RM_EVENTOS_original!E:J, 2, FALSE), "Código não encontrado/Não digitado")</f>
        <v>Código não encontrado/Não digitado</v>
      </c>
      <c r="L599" s="12" t="s">
        <v>68</v>
      </c>
      <c r="M599" s="12" t="str">
        <f>IFERROR(VLOOKUP(L599, DADOS_RM_EVENTOS_original!K:L, 2, FALSE), "Código não encontrado/Não digitado")</f>
        <v>Código não encontrado/Não digitado</v>
      </c>
    </row>
    <row r="600" ht="15.75" hidden="1" customHeight="1">
      <c r="A600" s="11" t="s">
        <v>199</v>
      </c>
      <c r="B600" s="11" t="s">
        <v>137</v>
      </c>
      <c r="C600" s="11" t="s">
        <v>4939</v>
      </c>
      <c r="D600" s="11" t="s">
        <v>120</v>
      </c>
      <c r="E600" s="11" t="s">
        <v>1074</v>
      </c>
      <c r="F600" s="11" t="s">
        <v>64</v>
      </c>
      <c r="G600" s="12" t="s">
        <v>70</v>
      </c>
      <c r="H600" s="12" t="s">
        <v>68</v>
      </c>
      <c r="I600" s="12" t="str">
        <f>IFERROR(VLOOKUP(H600, DADOS_RM_EVENTOS_original!C:D, 2, FALSE), "Código não encontrado/Não digitado")</f>
        <v>Código não encontrado/Não digitado</v>
      </c>
      <c r="J600" s="12" t="s">
        <v>68</v>
      </c>
      <c r="K600" s="12" t="str">
        <f>IFERROR(VLOOKUP(J600, DADOS_RM_EVENTOS_original!E:J, 2, FALSE), "Código não encontrado/Não digitado")</f>
        <v>Código não encontrado/Não digitado</v>
      </c>
      <c r="L600" s="12" t="s">
        <v>68</v>
      </c>
      <c r="M600" s="12" t="str">
        <f>IFERROR(VLOOKUP(L600, DADOS_RM_EVENTOS_original!K:L, 2, FALSE), "Código não encontrado/Não digitado")</f>
        <v>Código não encontrado/Não digitado</v>
      </c>
    </row>
    <row r="601" ht="15.75" hidden="1" customHeight="1">
      <c r="A601" s="11" t="s">
        <v>38</v>
      </c>
      <c r="B601" s="11" t="s">
        <v>128</v>
      </c>
      <c r="C601" s="11" t="s">
        <v>4971</v>
      </c>
      <c r="D601" s="11" t="s">
        <v>120</v>
      </c>
      <c r="E601" s="11" t="s">
        <v>47</v>
      </c>
      <c r="F601" s="11" t="s">
        <v>97</v>
      </c>
      <c r="G601" s="12" t="s">
        <v>98</v>
      </c>
      <c r="H601" s="12" t="s">
        <v>68</v>
      </c>
      <c r="I601" s="12" t="str">
        <f>IFERROR(VLOOKUP(H601, DADOS_RM_EVENTOS_original!C:D, 2, FALSE), "Código não encontrado/Não digitado")</f>
        <v>Código não encontrado/Não digitado</v>
      </c>
      <c r="J601" s="12" t="s">
        <v>68</v>
      </c>
      <c r="K601" s="12" t="str">
        <f>IFERROR(VLOOKUP(J601, DADOS_RM_EVENTOS_original!E:J, 2, FALSE), "Código não encontrado/Não digitado")</f>
        <v>Código não encontrado/Não digitado</v>
      </c>
      <c r="L601" s="12" t="s">
        <v>68</v>
      </c>
      <c r="M601" s="12" t="str">
        <f>IFERROR(VLOOKUP(L601, DADOS_RM_EVENTOS_original!K:L, 2, FALSE), "Código não encontrado/Não digitado")</f>
        <v>Código não encontrado/Não digitado</v>
      </c>
    </row>
    <row r="602" ht="15.75" hidden="1" customHeight="1">
      <c r="A602" s="11" t="s">
        <v>115</v>
      </c>
      <c r="B602" s="11" t="s">
        <v>128</v>
      </c>
      <c r="C602" s="11" t="s">
        <v>4971</v>
      </c>
      <c r="D602" s="11" t="s">
        <v>120</v>
      </c>
      <c r="E602" s="11" t="s">
        <v>121</v>
      </c>
      <c r="F602" s="11" t="s">
        <v>97</v>
      </c>
      <c r="G602" s="12" t="s">
        <v>98</v>
      </c>
      <c r="H602" s="12" t="s">
        <v>68</v>
      </c>
      <c r="I602" s="12" t="str">
        <f>IFERROR(VLOOKUP(H602, DADOS_RM_EVENTOS_original!C:D, 2, FALSE), "Código não encontrado/Não digitado")</f>
        <v>Código não encontrado/Não digitado</v>
      </c>
      <c r="J602" s="12" t="s">
        <v>68</v>
      </c>
      <c r="K602" s="12" t="str">
        <f>IFERROR(VLOOKUP(J602, DADOS_RM_EVENTOS_original!E:J, 2, FALSE), "Código não encontrado/Não digitado")</f>
        <v>Código não encontrado/Não digitado</v>
      </c>
      <c r="L602" s="12" t="s">
        <v>68</v>
      </c>
      <c r="M602" s="12" t="str">
        <f>IFERROR(VLOOKUP(L602, DADOS_RM_EVENTOS_original!K:L, 2, FALSE), "Código não encontrado/Não digitado")</f>
        <v>Código não encontrado/Não digitado</v>
      </c>
    </row>
    <row r="603" ht="15.75" hidden="1" customHeight="1">
      <c r="A603" s="11" t="s">
        <v>172</v>
      </c>
      <c r="B603" s="11" t="s">
        <v>128</v>
      </c>
      <c r="C603" s="11" t="s">
        <v>4986</v>
      </c>
      <c r="D603" s="11" t="s">
        <v>120</v>
      </c>
      <c r="E603" s="11" t="s">
        <v>1029</v>
      </c>
      <c r="F603" s="11" t="s">
        <v>97</v>
      </c>
      <c r="G603" s="12" t="s">
        <v>98</v>
      </c>
      <c r="H603" s="12" t="s">
        <v>68</v>
      </c>
      <c r="I603" s="12" t="str">
        <f>IFERROR(VLOOKUP(H603, DADOS_RM_EVENTOS_original!C:D, 2, FALSE), "Código não encontrado/Não digitado")</f>
        <v>Código não encontrado/Não digitado</v>
      </c>
      <c r="J603" s="12" t="s">
        <v>68</v>
      </c>
      <c r="K603" s="12" t="str">
        <f>IFERROR(VLOOKUP(J603, DADOS_RM_EVENTOS_original!E:J, 2, FALSE), "Código não encontrado/Não digitado")</f>
        <v>Código não encontrado/Não digitado</v>
      </c>
      <c r="L603" s="12" t="s">
        <v>68</v>
      </c>
      <c r="M603" s="12" t="str">
        <f>IFERROR(VLOOKUP(L603, DADOS_RM_EVENTOS_original!K:L, 2, FALSE), "Código não encontrado/Não digitado")</f>
        <v>Código não encontrado/Não digitado</v>
      </c>
    </row>
    <row r="604" ht="15.75" hidden="1" customHeight="1">
      <c r="A604" s="11" t="s">
        <v>97</v>
      </c>
      <c r="B604" s="11" t="s">
        <v>128</v>
      </c>
      <c r="C604" s="11" t="s">
        <v>4986</v>
      </c>
      <c r="D604" s="11" t="s">
        <v>120</v>
      </c>
      <c r="E604" s="11" t="s">
        <v>972</v>
      </c>
      <c r="F604" s="11" t="s">
        <v>97</v>
      </c>
      <c r="G604" s="12" t="s">
        <v>98</v>
      </c>
      <c r="H604" s="12" t="s">
        <v>68</v>
      </c>
      <c r="I604" s="12" t="str">
        <f>IFERROR(VLOOKUP(H604, DADOS_RM_EVENTOS_original!C:D, 2, FALSE), "Código não encontrado/Não digitado")</f>
        <v>Código não encontrado/Não digitado</v>
      </c>
      <c r="J604" s="12" t="s">
        <v>68</v>
      </c>
      <c r="K604" s="12" t="str">
        <f>IFERROR(VLOOKUP(J604, DADOS_RM_EVENTOS_original!E:J, 2, FALSE), "Código não encontrado/Não digitado")</f>
        <v>Código não encontrado/Não digitado</v>
      </c>
      <c r="L604" s="12" t="s">
        <v>68</v>
      </c>
      <c r="M604" s="12" t="str">
        <f>IFERROR(VLOOKUP(L604, DADOS_RM_EVENTOS_original!K:L, 2, FALSE), "Código não encontrado/Não digitado")</f>
        <v>Código não encontrado/Não digitado</v>
      </c>
    </row>
    <row r="605" ht="15.75" hidden="1" customHeight="1">
      <c r="A605" s="11" t="s">
        <v>142</v>
      </c>
      <c r="B605" s="11" t="s">
        <v>128</v>
      </c>
      <c r="C605" s="11" t="s">
        <v>4986</v>
      </c>
      <c r="D605" s="11" t="s">
        <v>120</v>
      </c>
      <c r="E605" s="11" t="s">
        <v>985</v>
      </c>
      <c r="F605" s="11" t="s">
        <v>97</v>
      </c>
      <c r="G605" s="12" t="s">
        <v>98</v>
      </c>
      <c r="H605" s="12" t="s">
        <v>68</v>
      </c>
      <c r="I605" s="12" t="str">
        <f>IFERROR(VLOOKUP(H605, DADOS_RM_EVENTOS_original!C:D, 2, FALSE), "Código não encontrado/Não digitado")</f>
        <v>Código não encontrado/Não digitado</v>
      </c>
      <c r="J605" s="12" t="s">
        <v>68</v>
      </c>
      <c r="K605" s="12" t="str">
        <f>IFERROR(VLOOKUP(J605, DADOS_RM_EVENTOS_original!E:J, 2, FALSE), "Código não encontrado/Não digitado")</f>
        <v>Código não encontrado/Não digitado</v>
      </c>
      <c r="L605" s="12" t="s">
        <v>68</v>
      </c>
      <c r="M605" s="12" t="str">
        <f>IFERROR(VLOOKUP(L605, DADOS_RM_EVENTOS_original!K:L, 2, FALSE), "Código não encontrado/Não digitado")</f>
        <v>Código não encontrado/Não digitado</v>
      </c>
    </row>
    <row r="606" ht="15.75" hidden="1" customHeight="1">
      <c r="A606" s="11" t="s">
        <v>199</v>
      </c>
      <c r="B606" s="11" t="s">
        <v>128</v>
      </c>
      <c r="C606" s="11" t="s">
        <v>4986</v>
      </c>
      <c r="D606" s="11" t="s">
        <v>120</v>
      </c>
      <c r="E606" s="11" t="s">
        <v>1074</v>
      </c>
      <c r="F606" s="11" t="s">
        <v>97</v>
      </c>
      <c r="G606" s="12" t="s">
        <v>98</v>
      </c>
      <c r="H606" s="12" t="s">
        <v>68</v>
      </c>
      <c r="I606" s="12" t="str">
        <f>IFERROR(VLOOKUP(H606, DADOS_RM_EVENTOS_original!C:D, 2, FALSE), "Código não encontrado/Não digitado")</f>
        <v>Código não encontrado/Não digitado</v>
      </c>
      <c r="J606" s="12" t="s">
        <v>68</v>
      </c>
      <c r="K606" s="12" t="str">
        <f>IFERROR(VLOOKUP(J606, DADOS_RM_EVENTOS_original!E:J, 2, FALSE), "Código não encontrado/Não digitado")</f>
        <v>Código não encontrado/Não digitado</v>
      </c>
      <c r="L606" s="12" t="s">
        <v>68</v>
      </c>
      <c r="M606" s="12" t="str">
        <f>IFERROR(VLOOKUP(L606, DADOS_RM_EVENTOS_original!K:L, 2, FALSE), "Código não encontrado/Não digitado")</f>
        <v>Código não encontrado/Não digitado</v>
      </c>
    </row>
    <row r="607" ht="15.75" hidden="1" customHeight="1">
      <c r="A607" s="11" t="s">
        <v>172</v>
      </c>
      <c r="B607" s="11" t="s">
        <v>863</v>
      </c>
      <c r="C607" s="11" t="s">
        <v>5026</v>
      </c>
      <c r="D607" s="11" t="s">
        <v>96</v>
      </c>
      <c r="E607" s="11" t="s">
        <v>1029</v>
      </c>
      <c r="F607" s="11" t="s">
        <v>99</v>
      </c>
      <c r="G607" s="12" t="s">
        <v>63</v>
      </c>
      <c r="H607" s="12" t="s">
        <v>68</v>
      </c>
      <c r="I607" s="12" t="str">
        <f>IFERROR(VLOOKUP(H607, DADOS_RM_EVENTOS_original!C:D, 2, FALSE), "Código não encontrado/Não digitado")</f>
        <v>Código não encontrado/Não digitado</v>
      </c>
      <c r="J607" s="12" t="s">
        <v>68</v>
      </c>
      <c r="K607" s="12" t="str">
        <f>IFERROR(VLOOKUP(J607, DADOS_RM_EVENTOS_original!E:J, 2, FALSE), "Código não encontrado/Não digitado")</f>
        <v>Código não encontrado/Não digitado</v>
      </c>
      <c r="L607" s="12" t="s">
        <v>68</v>
      </c>
      <c r="M607" s="12" t="str">
        <f>IFERROR(VLOOKUP(L607, DADOS_RM_EVENTOS_original!K:L, 2, FALSE), "Código não encontrado/Não digitado")</f>
        <v>Código não encontrado/Não digitado</v>
      </c>
    </row>
    <row r="608" ht="15.75" hidden="1" customHeight="1">
      <c r="A608" s="11" t="s">
        <v>97</v>
      </c>
      <c r="B608" s="11" t="s">
        <v>863</v>
      </c>
      <c r="C608" s="11" t="s">
        <v>5026</v>
      </c>
      <c r="D608" s="11" t="s">
        <v>96</v>
      </c>
      <c r="E608" s="11" t="s">
        <v>972</v>
      </c>
      <c r="F608" s="11" t="s">
        <v>99</v>
      </c>
      <c r="G608" s="12" t="s">
        <v>63</v>
      </c>
      <c r="H608" s="12" t="s">
        <v>68</v>
      </c>
      <c r="I608" s="12" t="str">
        <f>IFERROR(VLOOKUP(H608, DADOS_RM_EVENTOS_original!C:D, 2, FALSE), "Código não encontrado/Não digitado")</f>
        <v>Código não encontrado/Não digitado</v>
      </c>
      <c r="J608" s="12" t="s">
        <v>68</v>
      </c>
      <c r="K608" s="12" t="str">
        <f>IFERROR(VLOOKUP(J608, DADOS_RM_EVENTOS_original!E:J, 2, FALSE), "Código não encontrado/Não digitado")</f>
        <v>Código não encontrado/Não digitado</v>
      </c>
      <c r="L608" s="12" t="s">
        <v>68</v>
      </c>
      <c r="M608" s="12" t="str">
        <f>IFERROR(VLOOKUP(L608, DADOS_RM_EVENTOS_original!K:L, 2, FALSE), "Código não encontrado/Não digitado")</f>
        <v>Código não encontrado/Não digitado</v>
      </c>
    </row>
    <row r="609" ht="15.75" hidden="1" customHeight="1">
      <c r="A609" s="11" t="s">
        <v>142</v>
      </c>
      <c r="B609" s="11" t="s">
        <v>863</v>
      </c>
      <c r="C609" s="11" t="s">
        <v>5026</v>
      </c>
      <c r="D609" s="11" t="s">
        <v>96</v>
      </c>
      <c r="E609" s="11" t="s">
        <v>985</v>
      </c>
      <c r="F609" s="11" t="s">
        <v>99</v>
      </c>
      <c r="G609" s="12" t="s">
        <v>63</v>
      </c>
      <c r="H609" s="12" t="s">
        <v>68</v>
      </c>
      <c r="I609" s="12" t="str">
        <f>IFERROR(VLOOKUP(H609, DADOS_RM_EVENTOS_original!C:D, 2, FALSE), "Código não encontrado/Não digitado")</f>
        <v>Código não encontrado/Não digitado</v>
      </c>
      <c r="J609" s="12" t="s">
        <v>68</v>
      </c>
      <c r="K609" s="12" t="str">
        <f>IFERROR(VLOOKUP(J609, DADOS_RM_EVENTOS_original!E:J, 2, FALSE), "Código não encontrado/Não digitado")</f>
        <v>Código não encontrado/Não digitado</v>
      </c>
      <c r="L609" s="12" t="s">
        <v>68</v>
      </c>
      <c r="M609" s="12" t="str">
        <f>IFERROR(VLOOKUP(L609, DADOS_RM_EVENTOS_original!K:L, 2, FALSE), "Código não encontrado/Não digitado")</f>
        <v>Código não encontrado/Não digitado</v>
      </c>
    </row>
    <row r="610" ht="15.75" hidden="1" customHeight="1">
      <c r="A610" s="11" t="s">
        <v>199</v>
      </c>
      <c r="B610" s="11" t="s">
        <v>863</v>
      </c>
      <c r="C610" s="11" t="s">
        <v>5026</v>
      </c>
      <c r="D610" s="11" t="s">
        <v>96</v>
      </c>
      <c r="E610" s="11" t="s">
        <v>1074</v>
      </c>
      <c r="F610" s="11" t="s">
        <v>99</v>
      </c>
      <c r="G610" s="12" t="s">
        <v>63</v>
      </c>
      <c r="H610" s="12" t="s">
        <v>68</v>
      </c>
      <c r="I610" s="12" t="str">
        <f>IFERROR(VLOOKUP(H610, DADOS_RM_EVENTOS_original!C:D, 2, FALSE), "Código não encontrado/Não digitado")</f>
        <v>Código não encontrado/Não digitado</v>
      </c>
      <c r="J610" s="12" t="s">
        <v>68</v>
      </c>
      <c r="K610" s="12" t="str">
        <f>IFERROR(VLOOKUP(J610, DADOS_RM_EVENTOS_original!E:J, 2, FALSE), "Código não encontrado/Não digitado")</f>
        <v>Código não encontrado/Não digitado</v>
      </c>
      <c r="L610" s="12" t="s">
        <v>68</v>
      </c>
      <c r="M610" s="12" t="str">
        <f>IFERROR(VLOOKUP(L610, DADOS_RM_EVENTOS_original!K:L, 2, FALSE), "Código não encontrado/Não digitado")</f>
        <v>Código não encontrado/Não digitado</v>
      </c>
    </row>
    <row r="611" ht="15.75" hidden="1" customHeight="1">
      <c r="A611" s="11" t="s">
        <v>38</v>
      </c>
      <c r="B611" s="11" t="s">
        <v>112</v>
      </c>
      <c r="C611" s="11" t="s">
        <v>5046</v>
      </c>
      <c r="D611" s="11" t="s">
        <v>120</v>
      </c>
      <c r="E611" s="11" t="s">
        <v>47</v>
      </c>
      <c r="F611" s="11" t="s">
        <v>172</v>
      </c>
      <c r="G611" s="12" t="s">
        <v>174</v>
      </c>
      <c r="H611" s="12" t="s">
        <v>68</v>
      </c>
      <c r="I611" s="12" t="str">
        <f>IFERROR(VLOOKUP(H611, DADOS_RM_EVENTOS_original!C:D, 2, FALSE), "Código não encontrado/Não digitado")</f>
        <v>Código não encontrado/Não digitado</v>
      </c>
      <c r="J611" s="12" t="s">
        <v>68</v>
      </c>
      <c r="K611" s="12" t="str">
        <f>IFERROR(VLOOKUP(J611, DADOS_RM_EVENTOS_original!E:J, 2, FALSE), "Código não encontrado/Não digitado")</f>
        <v>Código não encontrado/Não digitado</v>
      </c>
      <c r="L611" s="12" t="s">
        <v>68</v>
      </c>
      <c r="M611" s="12" t="str">
        <f>IFERROR(VLOOKUP(L611, DADOS_RM_EVENTOS_original!K:L, 2, FALSE), "Código não encontrado/Não digitado")</f>
        <v>Código não encontrado/Não digitado</v>
      </c>
    </row>
    <row r="612" ht="15.75" hidden="1" customHeight="1">
      <c r="A612" s="11" t="s">
        <v>97</v>
      </c>
      <c r="B612" s="11" t="s">
        <v>112</v>
      </c>
      <c r="C612" s="11" t="s">
        <v>5049</v>
      </c>
      <c r="D612" s="11" t="s">
        <v>120</v>
      </c>
      <c r="E612" s="11" t="s">
        <v>972</v>
      </c>
      <c r="F612" s="11" t="s">
        <v>172</v>
      </c>
      <c r="G612" s="12" t="s">
        <v>174</v>
      </c>
      <c r="H612" s="12" t="s">
        <v>68</v>
      </c>
      <c r="I612" s="12" t="str">
        <f>IFERROR(VLOOKUP(H612, DADOS_RM_EVENTOS_original!C:D, 2, FALSE), "Código não encontrado/Não digitado")</f>
        <v>Código não encontrado/Não digitado</v>
      </c>
      <c r="J612" s="12" t="s">
        <v>68</v>
      </c>
      <c r="K612" s="12" t="str">
        <f>IFERROR(VLOOKUP(J612, DADOS_RM_EVENTOS_original!E:J, 2, FALSE), "Código não encontrado/Não digitado")</f>
        <v>Código não encontrado/Não digitado</v>
      </c>
      <c r="L612" s="12" t="s">
        <v>68</v>
      </c>
      <c r="M612" s="12" t="str">
        <f>IFERROR(VLOOKUP(L612, DADOS_RM_EVENTOS_original!K:L, 2, FALSE), "Código não encontrado/Não digitado")</f>
        <v>Código não encontrado/Não digitado</v>
      </c>
    </row>
    <row r="613" ht="15.75" hidden="1" customHeight="1">
      <c r="A613" s="11" t="s">
        <v>97</v>
      </c>
      <c r="B613" s="11" t="s">
        <v>889</v>
      </c>
      <c r="C613" s="11" t="s">
        <v>5056</v>
      </c>
      <c r="D613" s="11" t="s">
        <v>96</v>
      </c>
      <c r="E613" s="11" t="s">
        <v>972</v>
      </c>
      <c r="F613" s="11" t="s">
        <v>99</v>
      </c>
      <c r="G613" s="12" t="s">
        <v>63</v>
      </c>
      <c r="H613" s="12" t="s">
        <v>68</v>
      </c>
      <c r="I613" s="12" t="str">
        <f>IFERROR(VLOOKUP(H613, DADOS_RM_EVENTOS_original!C:D, 2, FALSE), "Código não encontrado/Não digitado")</f>
        <v>Código não encontrado/Não digitado</v>
      </c>
      <c r="J613" s="12" t="s">
        <v>68</v>
      </c>
      <c r="K613" s="12" t="str">
        <f>IFERROR(VLOOKUP(J613, DADOS_RM_EVENTOS_original!E:J, 2, FALSE), "Código não encontrado/Não digitado")</f>
        <v>Código não encontrado/Não digitado</v>
      </c>
      <c r="L613" s="12" t="s">
        <v>68</v>
      </c>
      <c r="M613" s="12" t="str">
        <f>IFERROR(VLOOKUP(L613, DADOS_RM_EVENTOS_original!K:L, 2, FALSE), "Código não encontrado/Não digitado")</f>
        <v>Código não encontrado/Não digitado</v>
      </c>
    </row>
    <row r="614" ht="15.75" hidden="1" customHeight="1">
      <c r="A614" s="11" t="s">
        <v>38</v>
      </c>
      <c r="B614" s="11" t="s">
        <v>38</v>
      </c>
      <c r="C614" s="11" t="s">
        <v>5062</v>
      </c>
      <c r="D614" s="11" t="s">
        <v>120</v>
      </c>
      <c r="E614" s="11" t="s">
        <v>47</v>
      </c>
      <c r="F614" s="11" t="s">
        <v>468</v>
      </c>
      <c r="G614" s="12" t="s">
        <v>499</v>
      </c>
      <c r="H614" s="12" t="s">
        <v>68</v>
      </c>
      <c r="I614" s="12" t="str">
        <f>IFERROR(VLOOKUP(H614, DADOS_RM_EVENTOS_original!C:D, 2, FALSE), "Código não encontrado/Não digitado")</f>
        <v>Código não encontrado/Não digitado</v>
      </c>
      <c r="J614" s="12" t="s">
        <v>68</v>
      </c>
      <c r="K614" s="12" t="str">
        <f>IFERROR(VLOOKUP(J614, DADOS_RM_EVENTOS_original!E:J, 2, FALSE), "Código não encontrado/Não digitado")</f>
        <v>Código não encontrado/Não digitado</v>
      </c>
      <c r="L614" s="12" t="s">
        <v>68</v>
      </c>
      <c r="M614" s="12" t="str">
        <f>IFERROR(VLOOKUP(L614, DADOS_RM_EVENTOS_original!K:L, 2, FALSE), "Código não encontrado/Não digitado")</f>
        <v>Código não encontrado/Não digitado</v>
      </c>
    </row>
    <row r="615" ht="15.75" hidden="1" customHeight="1">
      <c r="A615" s="11" t="s">
        <v>115</v>
      </c>
      <c r="B615" s="11" t="s">
        <v>38</v>
      </c>
      <c r="C615" s="11" t="s">
        <v>5062</v>
      </c>
      <c r="D615" s="11" t="s">
        <v>120</v>
      </c>
      <c r="E615" s="11" t="s">
        <v>121</v>
      </c>
      <c r="F615" s="11" t="s">
        <v>468</v>
      </c>
      <c r="G615" s="12" t="s">
        <v>499</v>
      </c>
      <c r="H615" s="12" t="s">
        <v>68</v>
      </c>
      <c r="I615" s="12" t="str">
        <f>IFERROR(VLOOKUP(H615, DADOS_RM_EVENTOS_original!C:D, 2, FALSE), "Código não encontrado/Não digitado")</f>
        <v>Código não encontrado/Não digitado</v>
      </c>
      <c r="J615" s="12" t="s">
        <v>68</v>
      </c>
      <c r="K615" s="12" t="str">
        <f>IFERROR(VLOOKUP(J615, DADOS_RM_EVENTOS_original!E:J, 2, FALSE), "Código não encontrado/Não digitado")</f>
        <v>Código não encontrado/Não digitado</v>
      </c>
      <c r="L615" s="12" t="s">
        <v>68</v>
      </c>
      <c r="M615" s="12" t="str">
        <f>IFERROR(VLOOKUP(L615, DADOS_RM_EVENTOS_original!K:L, 2, FALSE), "Código não encontrado/Não digitado")</f>
        <v>Código não encontrado/Não digitado</v>
      </c>
    </row>
    <row r="616" ht="15.75" hidden="1" customHeight="1">
      <c r="A616" s="11" t="s">
        <v>172</v>
      </c>
      <c r="B616" s="11" t="s">
        <v>41</v>
      </c>
      <c r="C616" s="11" t="s">
        <v>5069</v>
      </c>
      <c r="D616" s="11" t="s">
        <v>120</v>
      </c>
      <c r="E616" s="11" t="s">
        <v>1029</v>
      </c>
      <c r="F616" s="11" t="s">
        <v>468</v>
      </c>
      <c r="G616" s="12" t="s">
        <v>499</v>
      </c>
      <c r="H616" s="12" t="s">
        <v>68</v>
      </c>
      <c r="I616" s="12" t="str">
        <f>IFERROR(VLOOKUP(H616, DADOS_RM_EVENTOS_original!C:D, 2, FALSE), "Código não encontrado/Não digitado")</f>
        <v>Código não encontrado/Não digitado</v>
      </c>
      <c r="J616" s="12" t="s">
        <v>68</v>
      </c>
      <c r="K616" s="12" t="str">
        <f>IFERROR(VLOOKUP(J616, DADOS_RM_EVENTOS_original!E:J, 2, FALSE), "Código não encontrado/Não digitado")</f>
        <v>Código não encontrado/Não digitado</v>
      </c>
      <c r="L616" s="12" t="s">
        <v>68</v>
      </c>
      <c r="M616" s="12" t="str">
        <f>IFERROR(VLOOKUP(L616, DADOS_RM_EVENTOS_original!K:L, 2, FALSE), "Código não encontrado/Não digitado")</f>
        <v>Código não encontrado/Não digitado</v>
      </c>
    </row>
    <row r="617" ht="15.75" hidden="1" customHeight="1">
      <c r="A617" s="11" t="s">
        <v>97</v>
      </c>
      <c r="B617" s="11" t="s">
        <v>38</v>
      </c>
      <c r="C617" s="11" t="s">
        <v>5069</v>
      </c>
      <c r="D617" s="11" t="s">
        <v>120</v>
      </c>
      <c r="E617" s="11" t="s">
        <v>972</v>
      </c>
      <c r="F617" s="11" t="s">
        <v>468</v>
      </c>
      <c r="G617" s="12" t="s">
        <v>499</v>
      </c>
      <c r="H617" s="12" t="s">
        <v>68</v>
      </c>
      <c r="I617" s="12" t="str">
        <f>IFERROR(VLOOKUP(H617, DADOS_RM_EVENTOS_original!C:D, 2, FALSE), "Código não encontrado/Não digitado")</f>
        <v>Código não encontrado/Não digitado</v>
      </c>
      <c r="J617" s="12" t="s">
        <v>68</v>
      </c>
      <c r="K617" s="12" t="str">
        <f>IFERROR(VLOOKUP(J617, DADOS_RM_EVENTOS_original!E:J, 2, FALSE), "Código não encontrado/Não digitado")</f>
        <v>Código não encontrado/Não digitado</v>
      </c>
      <c r="L617" s="12" t="s">
        <v>68</v>
      </c>
      <c r="M617" s="12" t="str">
        <f>IFERROR(VLOOKUP(L617, DADOS_RM_EVENTOS_original!K:L, 2, FALSE), "Código não encontrado/Não digitado")</f>
        <v>Código não encontrado/Não digitado</v>
      </c>
    </row>
    <row r="618" ht="15.75" hidden="1" customHeight="1">
      <c r="A618" s="11" t="s">
        <v>142</v>
      </c>
      <c r="B618" s="11" t="s">
        <v>3089</v>
      </c>
      <c r="C618" s="11" t="s">
        <v>5069</v>
      </c>
      <c r="D618" s="11" t="s">
        <v>120</v>
      </c>
      <c r="E618" s="11" t="s">
        <v>985</v>
      </c>
      <c r="F618" s="11" t="s">
        <v>468</v>
      </c>
      <c r="G618" s="12" t="s">
        <v>499</v>
      </c>
      <c r="H618" s="12" t="s">
        <v>68</v>
      </c>
      <c r="I618" s="12" t="str">
        <f>IFERROR(VLOOKUP(H618, DADOS_RM_EVENTOS_original!C:D, 2, FALSE), "Código não encontrado/Não digitado")</f>
        <v>Código não encontrado/Não digitado</v>
      </c>
      <c r="J618" s="12" t="s">
        <v>68</v>
      </c>
      <c r="K618" s="12" t="str">
        <f>IFERROR(VLOOKUP(J618, DADOS_RM_EVENTOS_original!E:J, 2, FALSE), "Código não encontrado/Não digitado")</f>
        <v>Código não encontrado/Não digitado</v>
      </c>
      <c r="L618" s="12" t="s">
        <v>68</v>
      </c>
      <c r="M618" s="12" t="str">
        <f>IFERROR(VLOOKUP(L618, DADOS_RM_EVENTOS_original!K:L, 2, FALSE), "Código não encontrado/Não digitado")</f>
        <v>Código não encontrado/Não digitado</v>
      </c>
    </row>
    <row r="619" ht="15.75" hidden="1" customHeight="1">
      <c r="A619" s="11" t="s">
        <v>199</v>
      </c>
      <c r="B619" s="11" t="s">
        <v>832</v>
      </c>
      <c r="C619" s="11" t="s">
        <v>5069</v>
      </c>
      <c r="D619" s="11" t="s">
        <v>120</v>
      </c>
      <c r="E619" s="11" t="s">
        <v>1074</v>
      </c>
      <c r="F619" s="11" t="s">
        <v>468</v>
      </c>
      <c r="G619" s="12" t="s">
        <v>499</v>
      </c>
      <c r="H619" s="12" t="s">
        <v>68</v>
      </c>
      <c r="I619" s="12" t="str">
        <f>IFERROR(VLOOKUP(H619, DADOS_RM_EVENTOS_original!C:D, 2, FALSE), "Código não encontrado/Não digitado")</f>
        <v>Código não encontrado/Não digitado</v>
      </c>
      <c r="J619" s="12" t="s">
        <v>68</v>
      </c>
      <c r="K619" s="12" t="str">
        <f>IFERROR(VLOOKUP(J619, DADOS_RM_EVENTOS_original!E:J, 2, FALSE), "Código não encontrado/Não digitado")</f>
        <v>Código não encontrado/Não digitado</v>
      </c>
      <c r="L619" s="12" t="s">
        <v>68</v>
      </c>
      <c r="M619" s="12" t="str">
        <f>IFERROR(VLOOKUP(L619, DADOS_RM_EVENTOS_original!K:L, 2, FALSE), "Código não encontrado/Não digitado")</f>
        <v>Código não encontrado/Não digitado</v>
      </c>
    </row>
    <row r="620" ht="15.75" hidden="1" customHeight="1">
      <c r="A620" s="11" t="s">
        <v>172</v>
      </c>
      <c r="B620" s="11" t="s">
        <v>902</v>
      </c>
      <c r="C620" s="11" t="s">
        <v>5083</v>
      </c>
      <c r="D620" s="11" t="s">
        <v>96</v>
      </c>
      <c r="E620" s="11" t="s">
        <v>1029</v>
      </c>
      <c r="F620" s="11" t="s">
        <v>99</v>
      </c>
      <c r="G620" s="12" t="s">
        <v>63</v>
      </c>
      <c r="H620" s="12" t="s">
        <v>68</v>
      </c>
      <c r="I620" s="12" t="str">
        <f>IFERROR(VLOOKUP(H620, DADOS_RM_EVENTOS_original!C:D, 2, FALSE), "Código não encontrado/Não digitado")</f>
        <v>Código não encontrado/Não digitado</v>
      </c>
      <c r="J620" s="12" t="s">
        <v>68</v>
      </c>
      <c r="K620" s="12" t="str">
        <f>IFERROR(VLOOKUP(J620, DADOS_RM_EVENTOS_original!E:J, 2, FALSE), "Código não encontrado/Não digitado")</f>
        <v>Código não encontrado/Não digitado</v>
      </c>
      <c r="L620" s="12" t="s">
        <v>68</v>
      </c>
      <c r="M620" s="12" t="str">
        <f>IFERROR(VLOOKUP(L620, DADOS_RM_EVENTOS_original!K:L, 2, FALSE), "Código não encontrado/Não digitado")</f>
        <v>Código não encontrado/Não digitado</v>
      </c>
    </row>
    <row r="621" ht="15.75" hidden="1" customHeight="1">
      <c r="A621" s="11" t="s">
        <v>97</v>
      </c>
      <c r="B621" s="11" t="s">
        <v>902</v>
      </c>
      <c r="C621" s="11" t="s">
        <v>5083</v>
      </c>
      <c r="D621" s="11" t="s">
        <v>96</v>
      </c>
      <c r="E621" s="11" t="s">
        <v>972</v>
      </c>
      <c r="F621" s="11" t="s">
        <v>99</v>
      </c>
      <c r="G621" s="12" t="s">
        <v>63</v>
      </c>
      <c r="H621" s="12" t="s">
        <v>68</v>
      </c>
      <c r="I621" s="12" t="str">
        <f>IFERROR(VLOOKUP(H621, DADOS_RM_EVENTOS_original!C:D, 2, FALSE), "Código não encontrado/Não digitado")</f>
        <v>Código não encontrado/Não digitado</v>
      </c>
      <c r="J621" s="12" t="s">
        <v>68</v>
      </c>
      <c r="K621" s="12" t="str">
        <f>IFERROR(VLOOKUP(J621, DADOS_RM_EVENTOS_original!E:J, 2, FALSE), "Código não encontrado/Não digitado")</f>
        <v>Código não encontrado/Não digitado</v>
      </c>
      <c r="L621" s="12" t="s">
        <v>68</v>
      </c>
      <c r="M621" s="12" t="str">
        <f>IFERROR(VLOOKUP(L621, DADOS_RM_EVENTOS_original!K:L, 2, FALSE), "Código não encontrado/Não digitado")</f>
        <v>Código não encontrado/Não digitado</v>
      </c>
    </row>
    <row r="622" ht="15.75" hidden="1" customHeight="1">
      <c r="A622" s="11" t="s">
        <v>142</v>
      </c>
      <c r="B622" s="11" t="s">
        <v>902</v>
      </c>
      <c r="C622" s="11" t="s">
        <v>5083</v>
      </c>
      <c r="D622" s="11" t="s">
        <v>96</v>
      </c>
      <c r="E622" s="11" t="s">
        <v>985</v>
      </c>
      <c r="F622" s="11" t="s">
        <v>99</v>
      </c>
      <c r="G622" s="12" t="s">
        <v>63</v>
      </c>
      <c r="H622" s="12" t="s">
        <v>68</v>
      </c>
      <c r="I622" s="12" t="str">
        <f>IFERROR(VLOOKUP(H622, DADOS_RM_EVENTOS_original!C:D, 2, FALSE), "Código não encontrado/Não digitado")</f>
        <v>Código não encontrado/Não digitado</v>
      </c>
      <c r="J622" s="12" t="s">
        <v>68</v>
      </c>
      <c r="K622" s="12" t="str">
        <f>IFERROR(VLOOKUP(J622, DADOS_RM_EVENTOS_original!E:J, 2, FALSE), "Código não encontrado/Não digitado")</f>
        <v>Código não encontrado/Não digitado</v>
      </c>
      <c r="L622" s="12" t="s">
        <v>68</v>
      </c>
      <c r="M622" s="12" t="str">
        <f>IFERROR(VLOOKUP(L622, DADOS_RM_EVENTOS_original!K:L, 2, FALSE), "Código não encontrado/Não digitado")</f>
        <v>Código não encontrado/Não digitado</v>
      </c>
    </row>
    <row r="623" ht="15.75" hidden="1" customHeight="1">
      <c r="A623" s="11" t="s">
        <v>199</v>
      </c>
      <c r="B623" s="11" t="s">
        <v>902</v>
      </c>
      <c r="C623" s="11" t="s">
        <v>5083</v>
      </c>
      <c r="D623" s="11" t="s">
        <v>96</v>
      </c>
      <c r="E623" s="11" t="s">
        <v>1074</v>
      </c>
      <c r="F623" s="11" t="s">
        <v>99</v>
      </c>
      <c r="G623" s="12" t="s">
        <v>63</v>
      </c>
      <c r="H623" s="12" t="s">
        <v>68</v>
      </c>
      <c r="I623" s="12" t="str">
        <f>IFERROR(VLOOKUP(H623, DADOS_RM_EVENTOS_original!C:D, 2, FALSE), "Código não encontrado/Não digitado")</f>
        <v>Código não encontrado/Não digitado</v>
      </c>
      <c r="J623" s="12" t="s">
        <v>68</v>
      </c>
      <c r="K623" s="12" t="str">
        <f>IFERROR(VLOOKUP(J623, DADOS_RM_EVENTOS_original!E:J, 2, FALSE), "Código não encontrado/Não digitado")</f>
        <v>Código não encontrado/Não digitado</v>
      </c>
      <c r="L623" s="12" t="s">
        <v>68</v>
      </c>
      <c r="M623" s="12" t="str">
        <f>IFERROR(VLOOKUP(L623, DADOS_RM_EVENTOS_original!K:L, 2, FALSE), "Código não encontrado/Não digitado")</f>
        <v>Código não encontrado/Não digitado</v>
      </c>
    </row>
    <row r="624" ht="15.75" hidden="1" customHeight="1">
      <c r="A624" s="11" t="s">
        <v>38</v>
      </c>
      <c r="B624" s="11" t="s">
        <v>211</v>
      </c>
      <c r="C624" s="11" t="s">
        <v>5091</v>
      </c>
      <c r="D624" s="11" t="s">
        <v>44</v>
      </c>
      <c r="E624" s="11" t="s">
        <v>47</v>
      </c>
      <c r="F624" s="11" t="s">
        <v>593</v>
      </c>
      <c r="G624" s="12" t="s">
        <v>730</v>
      </c>
      <c r="H624" s="12" t="s">
        <v>68</v>
      </c>
      <c r="I624" s="12" t="str">
        <f>IFERROR(VLOOKUP(H624, DADOS_RM_EVENTOS_original!C:D, 2, FALSE), "Código não encontrado/Não digitado")</f>
        <v>Código não encontrado/Não digitado</v>
      </c>
      <c r="J624" s="12" t="s">
        <v>68</v>
      </c>
      <c r="K624" s="12" t="str">
        <f>IFERROR(VLOOKUP(J624, DADOS_RM_EVENTOS_original!E:J, 2, FALSE), "Código não encontrado/Não digitado")</f>
        <v>Código não encontrado/Não digitado</v>
      </c>
      <c r="L624" s="12" t="s">
        <v>68</v>
      </c>
      <c r="M624" s="12" t="str">
        <f>IFERROR(VLOOKUP(L624, DADOS_RM_EVENTOS_original!K:L, 2, FALSE), "Código não encontrado/Não digitado")</f>
        <v>Código não encontrado/Não digitado</v>
      </c>
    </row>
    <row r="625" ht="15.75" hidden="1" customHeight="1">
      <c r="A625" s="11" t="s">
        <v>38</v>
      </c>
      <c r="B625" s="11" t="s">
        <v>1210</v>
      </c>
      <c r="C625" s="11" t="s">
        <v>5096</v>
      </c>
      <c r="D625" s="11" t="s">
        <v>44</v>
      </c>
      <c r="E625" s="11" t="s">
        <v>47</v>
      </c>
      <c r="F625" s="11" t="s">
        <v>930</v>
      </c>
      <c r="G625" s="12" t="s">
        <v>931</v>
      </c>
      <c r="H625" s="12" t="s">
        <v>68</v>
      </c>
      <c r="I625" s="12" t="str">
        <f>IFERROR(VLOOKUP(H625, DADOS_RM_EVENTOS_original!C:D, 2, FALSE), "Código não encontrado/Não digitado")</f>
        <v>Código não encontrado/Não digitado</v>
      </c>
      <c r="J625" s="12" t="s">
        <v>68</v>
      </c>
      <c r="K625" s="12" t="str">
        <f>IFERROR(VLOOKUP(J625, DADOS_RM_EVENTOS_original!E:J, 2, FALSE), "Código não encontrado/Não digitado")</f>
        <v>Código não encontrado/Não digitado</v>
      </c>
      <c r="L625" s="12" t="s">
        <v>68</v>
      </c>
      <c r="M625" s="12" t="str">
        <f>IFERROR(VLOOKUP(L625, DADOS_RM_EVENTOS_original!K:L, 2, FALSE), "Código não encontrado/Não digitado")</f>
        <v>Código não encontrado/Não digitado</v>
      </c>
    </row>
    <row r="626" ht="15.75" hidden="1" customHeight="1">
      <c r="A626" s="11" t="s">
        <v>97</v>
      </c>
      <c r="B626" s="11" t="s">
        <v>1210</v>
      </c>
      <c r="C626" s="11" t="s">
        <v>5099</v>
      </c>
      <c r="D626" s="11" t="s">
        <v>44</v>
      </c>
      <c r="E626" s="11" t="s">
        <v>972</v>
      </c>
      <c r="F626" s="11" t="s">
        <v>930</v>
      </c>
      <c r="G626" s="12" t="s">
        <v>931</v>
      </c>
      <c r="H626" s="12" t="s">
        <v>68</v>
      </c>
      <c r="I626" s="12" t="str">
        <f>IFERROR(VLOOKUP(H626, DADOS_RM_EVENTOS_original!C:D, 2, FALSE), "Código não encontrado/Não digitado")</f>
        <v>Código não encontrado/Não digitado</v>
      </c>
      <c r="J626" s="12" t="s">
        <v>68</v>
      </c>
      <c r="K626" s="12" t="str">
        <f>IFERROR(VLOOKUP(J626, DADOS_RM_EVENTOS_original!E:J, 2, FALSE), "Código não encontrado/Não digitado")</f>
        <v>Código não encontrado/Não digitado</v>
      </c>
      <c r="L626" s="12" t="s">
        <v>68</v>
      </c>
      <c r="M626" s="12" t="str">
        <f>IFERROR(VLOOKUP(L626, DADOS_RM_EVENTOS_original!K:L, 2, FALSE), "Código não encontrado/Não digitado")</f>
        <v>Código não encontrado/Não digitado</v>
      </c>
    </row>
    <row r="627" ht="15.75" hidden="1" customHeight="1">
      <c r="A627" s="11" t="s">
        <v>142</v>
      </c>
      <c r="B627" s="11" t="s">
        <v>1210</v>
      </c>
      <c r="C627" s="11" t="s">
        <v>5099</v>
      </c>
      <c r="D627" s="11" t="s">
        <v>44</v>
      </c>
      <c r="E627" s="11" t="s">
        <v>985</v>
      </c>
      <c r="F627" s="11" t="s">
        <v>930</v>
      </c>
      <c r="G627" s="12" t="s">
        <v>931</v>
      </c>
      <c r="H627" s="12" t="s">
        <v>68</v>
      </c>
      <c r="I627" s="12" t="str">
        <f>IFERROR(VLOOKUP(H627, DADOS_RM_EVENTOS_original!C:D, 2, FALSE), "Código não encontrado/Não digitado")</f>
        <v>Código não encontrado/Não digitado</v>
      </c>
      <c r="J627" s="12" t="s">
        <v>68</v>
      </c>
      <c r="K627" s="12" t="str">
        <f>IFERROR(VLOOKUP(J627, DADOS_RM_EVENTOS_original!E:J, 2, FALSE), "Código não encontrado/Não digitado")</f>
        <v>Código não encontrado/Não digitado</v>
      </c>
      <c r="L627" s="12" t="s">
        <v>68</v>
      </c>
      <c r="M627" s="12" t="str">
        <f>IFERROR(VLOOKUP(L627, DADOS_RM_EVENTOS_original!K:L, 2, FALSE), "Código não encontrado/Não digitado")</f>
        <v>Código não encontrado/Não digitado</v>
      </c>
    </row>
    <row r="628" ht="15.75" hidden="1" customHeight="1">
      <c r="A628" s="11" t="s">
        <v>38</v>
      </c>
      <c r="B628" s="11" t="s">
        <v>4891</v>
      </c>
      <c r="C628" s="11" t="s">
        <v>5101</v>
      </c>
      <c r="D628" s="11" t="s">
        <v>120</v>
      </c>
      <c r="E628" s="11" t="s">
        <v>47</v>
      </c>
      <c r="F628" s="11" t="s">
        <v>1486</v>
      </c>
      <c r="G628" s="12" t="s">
        <v>2007</v>
      </c>
      <c r="H628" s="12" t="s">
        <v>68</v>
      </c>
      <c r="I628" s="12" t="str">
        <f>IFERROR(VLOOKUP(H628, DADOS_RM_EVENTOS_original!C:D, 2, FALSE), "Código não encontrado/Não digitado")</f>
        <v>Código não encontrado/Não digitado</v>
      </c>
      <c r="J628" s="12" t="s">
        <v>68</v>
      </c>
      <c r="K628" s="12" t="str">
        <f>IFERROR(VLOOKUP(J628, DADOS_RM_EVENTOS_original!E:J, 2, FALSE), "Código não encontrado/Não digitado")</f>
        <v>Código não encontrado/Não digitado</v>
      </c>
      <c r="L628" s="12" t="s">
        <v>68</v>
      </c>
      <c r="M628" s="12" t="str">
        <f>IFERROR(VLOOKUP(L628, DADOS_RM_EVENTOS_original!K:L, 2, FALSE), "Código não encontrado/Não digitado")</f>
        <v>Código não encontrado/Não digitado</v>
      </c>
    </row>
    <row r="629" ht="15.75" hidden="1" customHeight="1">
      <c r="A629" s="11" t="s">
        <v>38</v>
      </c>
      <c r="B629" s="11" t="s">
        <v>5104</v>
      </c>
      <c r="C629" s="11" t="s">
        <v>5105</v>
      </c>
      <c r="D629" s="11" t="s">
        <v>120</v>
      </c>
      <c r="E629" s="11" t="s">
        <v>47</v>
      </c>
      <c r="F629" s="11" t="s">
        <v>5106</v>
      </c>
      <c r="G629" s="12" t="s">
        <v>63</v>
      </c>
      <c r="H629" s="12" t="s">
        <v>68</v>
      </c>
      <c r="I629" s="12" t="str">
        <f>IFERROR(VLOOKUP(H629, DADOS_RM_EVENTOS_original!C:D, 2, FALSE), "Código não encontrado/Não digitado")</f>
        <v>Código não encontrado/Não digitado</v>
      </c>
      <c r="J629" s="12" t="s">
        <v>68</v>
      </c>
      <c r="K629" s="12" t="str">
        <f>IFERROR(VLOOKUP(J629, DADOS_RM_EVENTOS_original!E:J, 2, FALSE), "Código não encontrado/Não digitado")</f>
        <v>Código não encontrado/Não digitado</v>
      </c>
      <c r="L629" s="12" t="s">
        <v>68</v>
      </c>
      <c r="M629" s="12" t="str">
        <f>IFERROR(VLOOKUP(L629, DADOS_RM_EVENTOS_original!K:L, 2, FALSE), "Código não encontrado/Não digitado")</f>
        <v>Código não encontrado/Não digitado</v>
      </c>
    </row>
    <row r="630" ht="15.75" customHeight="1">
      <c r="A630" s="11" t="s">
        <v>38</v>
      </c>
      <c r="B630" s="11" t="s">
        <v>1264</v>
      </c>
      <c r="C630" s="11" t="s">
        <v>3314</v>
      </c>
      <c r="D630" s="11" t="s">
        <v>44</v>
      </c>
      <c r="E630" s="11" t="s">
        <v>47</v>
      </c>
      <c r="F630" s="11" t="s">
        <v>49</v>
      </c>
      <c r="G630" s="12" t="s">
        <v>63</v>
      </c>
      <c r="H630" s="12" t="s">
        <v>68</v>
      </c>
      <c r="I630" s="12" t="str">
        <f>IFERROR(VLOOKUP(H630, DADOS_RM_EVENTOS_original!C:D, 2, FALSE), "Código não encontrado/Não digitado")</f>
        <v>Código não encontrado/Não digitado</v>
      </c>
      <c r="J630" s="12" t="s">
        <v>68</v>
      </c>
      <c r="K630" s="12" t="str">
        <f>IFERROR(VLOOKUP(J630, DADOS_RM_EVENTOS_original!E:J, 2, FALSE), "Código não encontrado/Não digitado")</f>
        <v>Código não encontrado/Não digitado</v>
      </c>
      <c r="L630" s="12" t="s">
        <v>68</v>
      </c>
      <c r="M630" s="12" t="str">
        <f>IFERROR(VLOOKUP(L630, DADOS_RM_EVENTOS_original!K:L, 2, FALSE), "Código não encontrado/Não digitado")</f>
        <v>Código não encontrado/Não digitado</v>
      </c>
    </row>
    <row r="631" ht="15.75" hidden="1" customHeight="1">
      <c r="A631" s="11" t="s">
        <v>97</v>
      </c>
      <c r="B631" s="11" t="s">
        <v>3050</v>
      </c>
      <c r="C631" s="11" t="s">
        <v>5111</v>
      </c>
      <c r="D631" s="11" t="s">
        <v>44</v>
      </c>
      <c r="E631" s="11" t="s">
        <v>972</v>
      </c>
      <c r="F631" s="11" t="s">
        <v>507</v>
      </c>
      <c r="G631" s="12" t="s">
        <v>582</v>
      </c>
      <c r="H631" s="12" t="s">
        <v>68</v>
      </c>
      <c r="I631" s="12" t="str">
        <f>IFERROR(VLOOKUP(H631, DADOS_RM_EVENTOS_original!C:D, 2, FALSE), "Código não encontrado/Não digitado")</f>
        <v>Código não encontrado/Não digitado</v>
      </c>
      <c r="J631" s="12" t="s">
        <v>68</v>
      </c>
      <c r="K631" s="12" t="str">
        <f>IFERROR(VLOOKUP(J631, DADOS_RM_EVENTOS_original!E:J, 2, FALSE), "Código não encontrado/Não digitado")</f>
        <v>Código não encontrado/Não digitado</v>
      </c>
      <c r="L631" s="12" t="s">
        <v>68</v>
      </c>
      <c r="M631" s="12" t="str">
        <f>IFERROR(VLOOKUP(L631, DADOS_RM_EVENTOS_original!K:L, 2, FALSE), "Código não encontrado/Não digitado")</f>
        <v>Código não encontrado/Não digitado</v>
      </c>
    </row>
    <row r="632" ht="15.75" hidden="1" customHeight="1">
      <c r="A632" s="11" t="s">
        <v>142</v>
      </c>
      <c r="B632" s="11" t="s">
        <v>3050</v>
      </c>
      <c r="C632" s="11" t="s">
        <v>5111</v>
      </c>
      <c r="D632" s="11" t="s">
        <v>44</v>
      </c>
      <c r="E632" s="11" t="s">
        <v>985</v>
      </c>
      <c r="F632" s="11" t="s">
        <v>507</v>
      </c>
      <c r="G632" s="12" t="s">
        <v>582</v>
      </c>
      <c r="H632" s="12" t="s">
        <v>68</v>
      </c>
      <c r="I632" s="12" t="str">
        <f>IFERROR(VLOOKUP(H632, DADOS_RM_EVENTOS_original!C:D, 2, FALSE), "Código não encontrado/Não digitado")</f>
        <v>Código não encontrado/Não digitado</v>
      </c>
      <c r="J632" s="12" t="s">
        <v>68</v>
      </c>
      <c r="K632" s="12" t="str">
        <f>IFERROR(VLOOKUP(J632, DADOS_RM_EVENTOS_original!E:J, 2, FALSE), "Código não encontrado/Não digitado")</f>
        <v>Código não encontrado/Não digitado</v>
      </c>
      <c r="L632" s="12" t="s">
        <v>68</v>
      </c>
      <c r="M632" s="12" t="str">
        <f>IFERROR(VLOOKUP(L632, DADOS_RM_EVENTOS_original!K:L, 2, FALSE), "Código não encontrado/Não digitado")</f>
        <v>Código não encontrado/Não digitado</v>
      </c>
    </row>
    <row r="633" ht="15.75" hidden="1" customHeight="1">
      <c r="A633" s="11" t="s">
        <v>38</v>
      </c>
      <c r="B633" s="11" t="s">
        <v>2541</v>
      </c>
      <c r="C633" s="11" t="s">
        <v>5113</v>
      </c>
      <c r="D633" s="11" t="s">
        <v>120</v>
      </c>
      <c r="E633" s="11" t="s">
        <v>47</v>
      </c>
      <c r="F633" s="11" t="s">
        <v>1486</v>
      </c>
      <c r="G633" s="12" t="s">
        <v>2007</v>
      </c>
      <c r="H633" s="12" t="s">
        <v>68</v>
      </c>
      <c r="I633" s="12" t="str">
        <f>IFERROR(VLOOKUP(H633, DADOS_RM_EVENTOS_original!C:D, 2, FALSE), "Código não encontrado/Não digitado")</f>
        <v>Código não encontrado/Não digitado</v>
      </c>
      <c r="J633" s="12" t="s">
        <v>68</v>
      </c>
      <c r="K633" s="12" t="str">
        <f>IFERROR(VLOOKUP(J633, DADOS_RM_EVENTOS_original!E:J, 2, FALSE), "Código não encontrado/Não digitado")</f>
        <v>Código não encontrado/Não digitado</v>
      </c>
      <c r="L633" s="12" t="s">
        <v>68</v>
      </c>
      <c r="M633" s="12" t="str">
        <f>IFERROR(VLOOKUP(L633, DADOS_RM_EVENTOS_original!K:L, 2, FALSE), "Código não encontrado/Não digitado")</f>
        <v>Código não encontrado/Não digitado</v>
      </c>
    </row>
    <row r="634" ht="15.75" hidden="1" customHeight="1">
      <c r="A634" s="11" t="s">
        <v>115</v>
      </c>
      <c r="B634" s="11" t="s">
        <v>2541</v>
      </c>
      <c r="C634" s="11" t="s">
        <v>5113</v>
      </c>
      <c r="D634" s="11" t="s">
        <v>120</v>
      </c>
      <c r="E634" s="11" t="s">
        <v>121</v>
      </c>
      <c r="F634" s="11" t="s">
        <v>1486</v>
      </c>
      <c r="G634" s="12" t="s">
        <v>2007</v>
      </c>
      <c r="H634" s="12" t="s">
        <v>68</v>
      </c>
      <c r="I634" s="12" t="str">
        <f>IFERROR(VLOOKUP(H634, DADOS_RM_EVENTOS_original!C:D, 2, FALSE), "Código não encontrado/Não digitado")</f>
        <v>Código não encontrado/Não digitado</v>
      </c>
      <c r="J634" s="12" t="s">
        <v>68</v>
      </c>
      <c r="K634" s="12" t="str">
        <f>IFERROR(VLOOKUP(J634, DADOS_RM_EVENTOS_original!E:J, 2, FALSE), "Código não encontrado/Não digitado")</f>
        <v>Código não encontrado/Não digitado</v>
      </c>
      <c r="L634" s="12" t="s">
        <v>68</v>
      </c>
      <c r="M634" s="12" t="str">
        <f>IFERROR(VLOOKUP(L634, DADOS_RM_EVENTOS_original!K:L, 2, FALSE), "Código não encontrado/Não digitado")</f>
        <v>Código não encontrado/Não digitado</v>
      </c>
    </row>
    <row r="635" ht="15.75" hidden="1" customHeight="1">
      <c r="A635" s="11" t="s">
        <v>142</v>
      </c>
      <c r="B635" s="11" t="s">
        <v>1141</v>
      </c>
      <c r="C635" s="11" t="s">
        <v>5113</v>
      </c>
      <c r="D635" s="11" t="s">
        <v>120</v>
      </c>
      <c r="E635" s="11" t="s">
        <v>985</v>
      </c>
      <c r="F635" s="11" t="s">
        <v>1486</v>
      </c>
      <c r="G635" s="12" t="s">
        <v>2007</v>
      </c>
      <c r="H635" s="12" t="s">
        <v>68</v>
      </c>
      <c r="I635" s="12" t="str">
        <f>IFERROR(VLOOKUP(H635, DADOS_RM_EVENTOS_original!C:D, 2, FALSE), "Código não encontrado/Não digitado")</f>
        <v>Código não encontrado/Não digitado</v>
      </c>
      <c r="J635" s="12" t="s">
        <v>68</v>
      </c>
      <c r="K635" s="12" t="str">
        <f>IFERROR(VLOOKUP(J635, DADOS_RM_EVENTOS_original!E:J, 2, FALSE), "Código não encontrado/Não digitado")</f>
        <v>Código não encontrado/Não digitado</v>
      </c>
      <c r="L635" s="12" t="s">
        <v>68</v>
      </c>
      <c r="M635" s="12" t="str">
        <f>IFERROR(VLOOKUP(L635, DADOS_RM_EVENTOS_original!K:L, 2, FALSE), "Código não encontrado/Não digitado")</f>
        <v>Código não encontrado/Não digitado</v>
      </c>
    </row>
    <row r="636" ht="15.75" hidden="1" customHeight="1">
      <c r="A636" s="11" t="s">
        <v>38</v>
      </c>
      <c r="B636" s="11" t="s">
        <v>3217</v>
      </c>
      <c r="C636" s="11" t="s">
        <v>5118</v>
      </c>
      <c r="D636" s="11" t="s">
        <v>120</v>
      </c>
      <c r="E636" s="11" t="s">
        <v>47</v>
      </c>
      <c r="F636" s="11" t="s">
        <v>1486</v>
      </c>
      <c r="G636" s="12" t="s">
        <v>2007</v>
      </c>
      <c r="H636" s="12" t="s">
        <v>68</v>
      </c>
      <c r="I636" s="12" t="str">
        <f>IFERROR(VLOOKUP(H636, DADOS_RM_EVENTOS_original!C:D, 2, FALSE), "Código não encontrado/Não digitado")</f>
        <v>Código não encontrado/Não digitado</v>
      </c>
      <c r="J636" s="12" t="s">
        <v>68</v>
      </c>
      <c r="K636" s="12" t="str">
        <f>IFERROR(VLOOKUP(J636, DADOS_RM_EVENTOS_original!E:J, 2, FALSE), "Código não encontrado/Não digitado")</f>
        <v>Código não encontrado/Não digitado</v>
      </c>
      <c r="L636" s="12" t="s">
        <v>68</v>
      </c>
      <c r="M636" s="12" t="str">
        <f>IFERROR(VLOOKUP(L636, DADOS_RM_EVENTOS_original!K:L, 2, FALSE), "Código não encontrado/Não digitado")</f>
        <v>Código não encontrado/Não digitado</v>
      </c>
    </row>
    <row r="637" ht="15.75" hidden="1" customHeight="1">
      <c r="A637" s="11" t="s">
        <v>172</v>
      </c>
      <c r="B637" s="11" t="s">
        <v>5121</v>
      </c>
      <c r="C637" s="11" t="s">
        <v>5122</v>
      </c>
      <c r="D637" s="11" t="s">
        <v>44</v>
      </c>
      <c r="E637" s="11" t="s">
        <v>1029</v>
      </c>
      <c r="F637" s="11" t="s">
        <v>1373</v>
      </c>
      <c r="G637" s="12" t="s">
        <v>1868</v>
      </c>
      <c r="H637" s="12" t="s">
        <v>68</v>
      </c>
      <c r="I637" s="12" t="str">
        <f>IFERROR(VLOOKUP(H637, DADOS_RM_EVENTOS_original!C:D, 2, FALSE), "Código não encontrado/Não digitado")</f>
        <v>Código não encontrado/Não digitado</v>
      </c>
      <c r="J637" s="12" t="s">
        <v>68</v>
      </c>
      <c r="K637" s="12" t="str">
        <f>IFERROR(VLOOKUP(J637, DADOS_RM_EVENTOS_original!E:J, 2, FALSE), "Código não encontrado/Não digitado")</f>
        <v>Código não encontrado/Não digitado</v>
      </c>
      <c r="L637" s="12" t="s">
        <v>68</v>
      </c>
      <c r="M637" s="12" t="str">
        <f>IFERROR(VLOOKUP(L637, DADOS_RM_EVENTOS_original!K:L, 2, FALSE), "Código não encontrado/Não digitado")</f>
        <v>Código não encontrado/Não digitado</v>
      </c>
    </row>
    <row r="638" ht="15.75" hidden="1" customHeight="1">
      <c r="A638" s="11" t="s">
        <v>97</v>
      </c>
      <c r="B638" s="11" t="s">
        <v>1299</v>
      </c>
      <c r="C638" s="11" t="s">
        <v>5122</v>
      </c>
      <c r="D638" s="11" t="s">
        <v>44</v>
      </c>
      <c r="E638" s="11" t="s">
        <v>972</v>
      </c>
      <c r="F638" s="11" t="s">
        <v>1373</v>
      </c>
      <c r="G638" s="12" t="s">
        <v>1868</v>
      </c>
      <c r="H638" s="12" t="s">
        <v>68</v>
      </c>
      <c r="I638" s="12" t="str">
        <f>IFERROR(VLOOKUP(H638, DADOS_RM_EVENTOS_original!C:D, 2, FALSE), "Código não encontrado/Não digitado")</f>
        <v>Código não encontrado/Não digitado</v>
      </c>
      <c r="J638" s="12" t="s">
        <v>68</v>
      </c>
      <c r="K638" s="12" t="str">
        <f>IFERROR(VLOOKUP(J638, DADOS_RM_EVENTOS_original!E:J, 2, FALSE), "Código não encontrado/Não digitado")</f>
        <v>Código não encontrado/Não digitado</v>
      </c>
      <c r="L638" s="12" t="s">
        <v>68</v>
      </c>
      <c r="M638" s="12" t="str">
        <f>IFERROR(VLOOKUP(L638, DADOS_RM_EVENTOS_original!K:L, 2, FALSE), "Código não encontrado/Não digitado")</f>
        <v>Código não encontrado/Não digitado</v>
      </c>
    </row>
    <row r="639" ht="15.75" hidden="1" customHeight="1">
      <c r="A639" s="11" t="s">
        <v>38</v>
      </c>
      <c r="B639" s="11" t="s">
        <v>5126</v>
      </c>
      <c r="C639" s="11" t="s">
        <v>5127</v>
      </c>
      <c r="D639" s="11" t="s">
        <v>44</v>
      </c>
      <c r="E639" s="11" t="s">
        <v>47</v>
      </c>
      <c r="F639" s="11" t="s">
        <v>507</v>
      </c>
      <c r="G639" s="12" t="s">
        <v>582</v>
      </c>
      <c r="H639" s="12" t="s">
        <v>68</v>
      </c>
      <c r="I639" s="12" t="str">
        <f>IFERROR(VLOOKUP(H639, DADOS_RM_EVENTOS_original!C:D, 2, FALSE), "Código não encontrado/Não digitado")</f>
        <v>Código não encontrado/Não digitado</v>
      </c>
      <c r="J639" s="12" t="s">
        <v>68</v>
      </c>
      <c r="K639" s="12" t="str">
        <f>IFERROR(VLOOKUP(J639, DADOS_RM_EVENTOS_original!E:J, 2, FALSE), "Código não encontrado/Não digitado")</f>
        <v>Código não encontrado/Não digitado</v>
      </c>
      <c r="L639" s="12" t="s">
        <v>68</v>
      </c>
      <c r="M639" s="12" t="str">
        <f>IFERROR(VLOOKUP(L639, DADOS_RM_EVENTOS_original!K:L, 2, FALSE), "Código não encontrado/Não digitado")</f>
        <v>Código não encontrado/Não digitado</v>
      </c>
    </row>
    <row r="640" ht="15.75" hidden="1" customHeight="1">
      <c r="A640" s="11" t="s">
        <v>115</v>
      </c>
      <c r="B640" s="11" t="s">
        <v>5126</v>
      </c>
      <c r="C640" s="11" t="s">
        <v>5127</v>
      </c>
      <c r="D640" s="11" t="s">
        <v>44</v>
      </c>
      <c r="E640" s="11" t="s">
        <v>121</v>
      </c>
      <c r="F640" s="11" t="s">
        <v>507</v>
      </c>
      <c r="G640" s="12" t="s">
        <v>582</v>
      </c>
      <c r="H640" s="12" t="s">
        <v>68</v>
      </c>
      <c r="I640" s="12" t="str">
        <f>IFERROR(VLOOKUP(H640, DADOS_RM_EVENTOS_original!C:D, 2, FALSE), "Código não encontrado/Não digitado")</f>
        <v>Código não encontrado/Não digitado</v>
      </c>
      <c r="J640" s="12" t="s">
        <v>68</v>
      </c>
      <c r="K640" s="12" t="str">
        <f>IFERROR(VLOOKUP(J640, DADOS_RM_EVENTOS_original!E:J, 2, FALSE), "Código não encontrado/Não digitado")</f>
        <v>Código não encontrado/Não digitado</v>
      </c>
      <c r="L640" s="12" t="s">
        <v>68</v>
      </c>
      <c r="M640" s="12" t="str">
        <f>IFERROR(VLOOKUP(L640, DADOS_RM_EVENTOS_original!K:L, 2, FALSE), "Código não encontrado/Não digitado")</f>
        <v>Código não encontrado/Não digitado</v>
      </c>
    </row>
    <row r="641" ht="15.75" hidden="1" customHeight="1">
      <c r="A641" s="11" t="s">
        <v>97</v>
      </c>
      <c r="B641" s="11" t="s">
        <v>5126</v>
      </c>
      <c r="C641" s="11" t="s">
        <v>5127</v>
      </c>
      <c r="D641" s="11" t="s">
        <v>44</v>
      </c>
      <c r="E641" s="11" t="s">
        <v>972</v>
      </c>
      <c r="F641" s="11" t="s">
        <v>507</v>
      </c>
      <c r="G641" s="12" t="s">
        <v>582</v>
      </c>
      <c r="H641" s="12" t="s">
        <v>68</v>
      </c>
      <c r="I641" s="12" t="str">
        <f>IFERROR(VLOOKUP(H641, DADOS_RM_EVENTOS_original!C:D, 2, FALSE), "Código não encontrado/Não digitado")</f>
        <v>Código não encontrado/Não digitado</v>
      </c>
      <c r="J641" s="12" t="s">
        <v>68</v>
      </c>
      <c r="K641" s="12" t="str">
        <f>IFERROR(VLOOKUP(J641, DADOS_RM_EVENTOS_original!E:J, 2, FALSE), "Código não encontrado/Não digitado")</f>
        <v>Código não encontrado/Não digitado</v>
      </c>
      <c r="L641" s="12" t="s">
        <v>68</v>
      </c>
      <c r="M641" s="12" t="str">
        <f>IFERROR(VLOOKUP(L641, DADOS_RM_EVENTOS_original!K:L, 2, FALSE), "Código não encontrado/Não digitado")</f>
        <v>Código não encontrado/Não digitado</v>
      </c>
    </row>
    <row r="642" ht="15.75" hidden="1" customHeight="1">
      <c r="A642" s="11" t="s">
        <v>38</v>
      </c>
      <c r="B642" s="11" t="s">
        <v>5131</v>
      </c>
      <c r="C642" s="11" t="s">
        <v>5132</v>
      </c>
      <c r="D642" s="11" t="s">
        <v>120</v>
      </c>
      <c r="E642" s="11" t="s">
        <v>47</v>
      </c>
      <c r="F642" s="11" t="s">
        <v>311</v>
      </c>
      <c r="G642" s="12" t="s">
        <v>342</v>
      </c>
      <c r="H642" s="12" t="s">
        <v>68</v>
      </c>
      <c r="I642" s="12" t="str">
        <f>IFERROR(VLOOKUP(H642, DADOS_RM_EVENTOS_original!C:D, 2, FALSE), "Código não encontrado/Não digitado")</f>
        <v>Código não encontrado/Não digitado</v>
      </c>
      <c r="J642" s="12" t="s">
        <v>68</v>
      </c>
      <c r="K642" s="12" t="str">
        <f>IFERROR(VLOOKUP(J642, DADOS_RM_EVENTOS_original!E:J, 2, FALSE), "Código não encontrado/Não digitado")</f>
        <v>Código não encontrado/Não digitado</v>
      </c>
      <c r="L642" s="12" t="s">
        <v>68</v>
      </c>
      <c r="M642" s="12" t="str">
        <f>IFERROR(VLOOKUP(L642, DADOS_RM_EVENTOS_original!K:L, 2, FALSE), "Código não encontrado/Não digitado")</f>
        <v>Código não encontrado/Não digitado</v>
      </c>
    </row>
    <row r="643" ht="15.75" hidden="1" customHeight="1">
      <c r="A643" s="11" t="s">
        <v>115</v>
      </c>
      <c r="B643" s="11" t="s">
        <v>5131</v>
      </c>
      <c r="C643" s="11" t="s">
        <v>5132</v>
      </c>
      <c r="D643" s="11" t="s">
        <v>120</v>
      </c>
      <c r="E643" s="11" t="s">
        <v>121</v>
      </c>
      <c r="F643" s="11" t="s">
        <v>311</v>
      </c>
      <c r="G643" s="12" t="s">
        <v>342</v>
      </c>
      <c r="H643" s="12" t="s">
        <v>68</v>
      </c>
      <c r="I643" s="12" t="str">
        <f>IFERROR(VLOOKUP(H643, DADOS_RM_EVENTOS_original!C:D, 2, FALSE), "Código não encontrado/Não digitado")</f>
        <v>Código não encontrado/Não digitado</v>
      </c>
      <c r="J643" s="12" t="s">
        <v>68</v>
      </c>
      <c r="K643" s="12" t="str">
        <f>IFERROR(VLOOKUP(J643, DADOS_RM_EVENTOS_original!E:J, 2, FALSE), "Código não encontrado/Não digitado")</f>
        <v>Código não encontrado/Não digitado</v>
      </c>
      <c r="L643" s="12" t="s">
        <v>68</v>
      </c>
      <c r="M643" s="12" t="str">
        <f>IFERROR(VLOOKUP(L643, DADOS_RM_EVENTOS_original!K:L, 2, FALSE), "Código não encontrado/Não digitado")</f>
        <v>Código não encontrado/Não digitado</v>
      </c>
    </row>
    <row r="644" ht="15.75" hidden="1" customHeight="1">
      <c r="A644" s="11" t="s">
        <v>172</v>
      </c>
      <c r="B644" s="11" t="s">
        <v>1141</v>
      </c>
      <c r="C644" s="11" t="s">
        <v>5132</v>
      </c>
      <c r="D644" s="11" t="s">
        <v>120</v>
      </c>
      <c r="E644" s="11" t="s">
        <v>1029</v>
      </c>
      <c r="F644" s="11" t="s">
        <v>311</v>
      </c>
      <c r="G644" s="12" t="s">
        <v>342</v>
      </c>
      <c r="H644" s="12" t="s">
        <v>68</v>
      </c>
      <c r="I644" s="12" t="str">
        <f>IFERROR(VLOOKUP(H644, DADOS_RM_EVENTOS_original!C:D, 2, FALSE), "Código não encontrado/Não digitado")</f>
        <v>Código não encontrado/Não digitado</v>
      </c>
      <c r="J644" s="12" t="s">
        <v>68</v>
      </c>
      <c r="K644" s="12" t="str">
        <f>IFERROR(VLOOKUP(J644, DADOS_RM_EVENTOS_original!E:J, 2, FALSE), "Código não encontrado/Não digitado")</f>
        <v>Código não encontrado/Não digitado</v>
      </c>
      <c r="L644" s="12" t="s">
        <v>68</v>
      </c>
      <c r="M644" s="12" t="str">
        <f>IFERROR(VLOOKUP(L644, DADOS_RM_EVENTOS_original!K:L, 2, FALSE), "Código não encontrado/Não digitado")</f>
        <v>Código não encontrado/Não digitado</v>
      </c>
    </row>
    <row r="645" ht="15.75" hidden="1" customHeight="1">
      <c r="A645" s="11" t="s">
        <v>142</v>
      </c>
      <c r="B645" s="11" t="s">
        <v>1249</v>
      </c>
      <c r="C645" s="11" t="s">
        <v>5133</v>
      </c>
      <c r="D645" s="11" t="s">
        <v>120</v>
      </c>
      <c r="E645" s="11" t="s">
        <v>985</v>
      </c>
      <c r="F645" s="11" t="s">
        <v>311</v>
      </c>
      <c r="G645" s="12" t="s">
        <v>342</v>
      </c>
      <c r="H645" s="12" t="s">
        <v>68</v>
      </c>
      <c r="I645" s="12" t="str">
        <f>IFERROR(VLOOKUP(H645, DADOS_RM_EVENTOS_original!C:D, 2, FALSE), "Código não encontrado/Não digitado")</f>
        <v>Código não encontrado/Não digitado</v>
      </c>
      <c r="J645" s="12" t="s">
        <v>68</v>
      </c>
      <c r="K645" s="12" t="str">
        <f>IFERROR(VLOOKUP(J645, DADOS_RM_EVENTOS_original!E:J, 2, FALSE), "Código não encontrado/Não digitado")</f>
        <v>Código não encontrado/Não digitado</v>
      </c>
      <c r="L645" s="12" t="s">
        <v>68</v>
      </c>
      <c r="M645" s="12" t="str">
        <f>IFERROR(VLOOKUP(L645, DADOS_RM_EVENTOS_original!K:L, 2, FALSE), "Código não encontrado/Não digitado")</f>
        <v>Código não encontrado/Não digitado</v>
      </c>
    </row>
    <row r="646" ht="15.75" hidden="1" customHeight="1">
      <c r="A646" s="11" t="s">
        <v>38</v>
      </c>
      <c r="B646" s="11" t="s">
        <v>1179</v>
      </c>
      <c r="C646" s="11" t="s">
        <v>5134</v>
      </c>
      <c r="D646" s="11" t="s">
        <v>44</v>
      </c>
      <c r="E646" s="11" t="s">
        <v>47</v>
      </c>
      <c r="F646" s="11" t="s">
        <v>102</v>
      </c>
      <c r="G646" s="12" t="s">
        <v>103</v>
      </c>
      <c r="H646" s="12" t="s">
        <v>68</v>
      </c>
      <c r="I646" s="12" t="str">
        <f>IFERROR(VLOOKUP(H646, DADOS_RM_EVENTOS_original!C:D, 2, FALSE), "Código não encontrado/Não digitado")</f>
        <v>Código não encontrado/Não digitado</v>
      </c>
      <c r="J646" s="12" t="s">
        <v>68</v>
      </c>
      <c r="K646" s="12" t="str">
        <f>IFERROR(VLOOKUP(J646, DADOS_RM_EVENTOS_original!E:J, 2, FALSE), "Código não encontrado/Não digitado")</f>
        <v>Código não encontrado/Não digitado</v>
      </c>
      <c r="L646" s="12" t="s">
        <v>68</v>
      </c>
      <c r="M646" s="12" t="str">
        <f>IFERROR(VLOOKUP(L646, DADOS_RM_EVENTOS_original!K:L, 2, FALSE), "Código não encontrado/Não digitado")</f>
        <v>Código não encontrado/Não digitado</v>
      </c>
    </row>
    <row r="647" ht="15.75" hidden="1" customHeight="1">
      <c r="A647" s="11" t="s">
        <v>115</v>
      </c>
      <c r="B647" s="11" t="s">
        <v>1179</v>
      </c>
      <c r="C647" s="11" t="s">
        <v>5134</v>
      </c>
      <c r="D647" s="11" t="s">
        <v>44</v>
      </c>
      <c r="E647" s="11" t="s">
        <v>121</v>
      </c>
      <c r="F647" s="11" t="s">
        <v>102</v>
      </c>
      <c r="G647" s="12" t="s">
        <v>103</v>
      </c>
      <c r="H647" s="12" t="s">
        <v>68</v>
      </c>
      <c r="I647" s="12" t="str">
        <f>IFERROR(VLOOKUP(H647, DADOS_RM_EVENTOS_original!C:D, 2, FALSE), "Código não encontrado/Não digitado")</f>
        <v>Código não encontrado/Não digitado</v>
      </c>
      <c r="J647" s="12" t="s">
        <v>68</v>
      </c>
      <c r="K647" s="12" t="str">
        <f>IFERROR(VLOOKUP(J647, DADOS_RM_EVENTOS_original!E:J, 2, FALSE), "Código não encontrado/Não digitado")</f>
        <v>Código não encontrado/Não digitado</v>
      </c>
      <c r="L647" s="12" t="s">
        <v>68</v>
      </c>
      <c r="M647" s="12" t="str">
        <f>IFERROR(VLOOKUP(L647, DADOS_RM_EVENTOS_original!K:L, 2, FALSE), "Código não encontrado/Não digitado")</f>
        <v>Código não encontrado/Não digitado</v>
      </c>
    </row>
    <row r="648" ht="15.75" hidden="1" customHeight="1">
      <c r="A648" s="11" t="s">
        <v>172</v>
      </c>
      <c r="B648" s="11" t="s">
        <v>1179</v>
      </c>
      <c r="C648" s="11" t="s">
        <v>5135</v>
      </c>
      <c r="D648" s="11" t="s">
        <v>44</v>
      </c>
      <c r="E648" s="11" t="s">
        <v>1029</v>
      </c>
      <c r="F648" s="11" t="s">
        <v>102</v>
      </c>
      <c r="G648" s="12" t="s">
        <v>103</v>
      </c>
      <c r="H648" s="12" t="s">
        <v>68</v>
      </c>
      <c r="I648" s="12" t="str">
        <f>IFERROR(VLOOKUP(H648, DADOS_RM_EVENTOS_original!C:D, 2, FALSE), "Código não encontrado/Não digitado")</f>
        <v>Código não encontrado/Não digitado</v>
      </c>
      <c r="J648" s="12" t="s">
        <v>68</v>
      </c>
      <c r="K648" s="12" t="str">
        <f>IFERROR(VLOOKUP(J648, DADOS_RM_EVENTOS_original!E:J, 2, FALSE), "Código não encontrado/Não digitado")</f>
        <v>Código não encontrado/Não digitado</v>
      </c>
      <c r="L648" s="12" t="s">
        <v>68</v>
      </c>
      <c r="M648" s="12" t="str">
        <f>IFERROR(VLOOKUP(L648, DADOS_RM_EVENTOS_original!K:L, 2, FALSE), "Código não encontrado/Não digitado")</f>
        <v>Código não encontrado/Não digitado</v>
      </c>
    </row>
    <row r="649" ht="15.75" hidden="1" customHeight="1">
      <c r="A649" s="11" t="s">
        <v>97</v>
      </c>
      <c r="B649" s="11" t="s">
        <v>1179</v>
      </c>
      <c r="C649" s="11" t="s">
        <v>5135</v>
      </c>
      <c r="D649" s="11" t="s">
        <v>44</v>
      </c>
      <c r="E649" s="11" t="s">
        <v>972</v>
      </c>
      <c r="F649" s="11" t="s">
        <v>102</v>
      </c>
      <c r="G649" s="12" t="s">
        <v>103</v>
      </c>
      <c r="H649" s="12" t="s">
        <v>68</v>
      </c>
      <c r="I649" s="12" t="str">
        <f>IFERROR(VLOOKUP(H649, DADOS_RM_EVENTOS_original!C:D, 2, FALSE), "Código não encontrado/Não digitado")</f>
        <v>Código não encontrado/Não digitado</v>
      </c>
      <c r="J649" s="12" t="s">
        <v>68</v>
      </c>
      <c r="K649" s="12" t="str">
        <f>IFERROR(VLOOKUP(J649, DADOS_RM_EVENTOS_original!E:J, 2, FALSE), "Código não encontrado/Não digitado")</f>
        <v>Código não encontrado/Não digitado</v>
      </c>
      <c r="L649" s="12" t="s">
        <v>68</v>
      </c>
      <c r="M649" s="12" t="str">
        <f>IFERROR(VLOOKUP(L649, DADOS_RM_EVENTOS_original!K:L, 2, FALSE), "Código não encontrado/Não digitado")</f>
        <v>Código não encontrado/Não digitado</v>
      </c>
    </row>
    <row r="650" ht="15.75" hidden="1" customHeight="1">
      <c r="A650" s="11" t="s">
        <v>142</v>
      </c>
      <c r="B650" s="11" t="s">
        <v>1179</v>
      </c>
      <c r="C650" s="11" t="s">
        <v>5135</v>
      </c>
      <c r="D650" s="11" t="s">
        <v>44</v>
      </c>
      <c r="E650" s="11" t="s">
        <v>985</v>
      </c>
      <c r="F650" s="11" t="s">
        <v>102</v>
      </c>
      <c r="G650" s="12" t="s">
        <v>103</v>
      </c>
      <c r="H650" s="12" t="s">
        <v>68</v>
      </c>
      <c r="I650" s="12" t="str">
        <f>IFERROR(VLOOKUP(H650, DADOS_RM_EVENTOS_original!C:D, 2, FALSE), "Código não encontrado/Não digitado")</f>
        <v>Código não encontrado/Não digitado</v>
      </c>
      <c r="J650" s="12" t="s">
        <v>68</v>
      </c>
      <c r="K650" s="12" t="str">
        <f>IFERROR(VLOOKUP(J650, DADOS_RM_EVENTOS_original!E:J, 2, FALSE), "Código não encontrado/Não digitado")</f>
        <v>Código não encontrado/Não digitado</v>
      </c>
      <c r="L650" s="12" t="s">
        <v>68</v>
      </c>
      <c r="M650" s="12" t="str">
        <f>IFERROR(VLOOKUP(L650, DADOS_RM_EVENTOS_original!K:L, 2, FALSE), "Código não encontrado/Não digitado")</f>
        <v>Código não encontrado/Não digitado</v>
      </c>
    </row>
    <row r="651" ht="15.75" hidden="1" customHeight="1">
      <c r="A651" s="11" t="s">
        <v>199</v>
      </c>
      <c r="B651" s="11" t="s">
        <v>1179</v>
      </c>
      <c r="C651" s="11" t="s">
        <v>5135</v>
      </c>
      <c r="D651" s="11" t="s">
        <v>44</v>
      </c>
      <c r="E651" s="11" t="s">
        <v>1074</v>
      </c>
      <c r="F651" s="11" t="s">
        <v>102</v>
      </c>
      <c r="G651" s="12" t="s">
        <v>103</v>
      </c>
      <c r="H651" s="12" t="s">
        <v>68</v>
      </c>
      <c r="I651" s="12" t="str">
        <f>IFERROR(VLOOKUP(H651, DADOS_RM_EVENTOS_original!C:D, 2, FALSE), "Código não encontrado/Não digitado")</f>
        <v>Código não encontrado/Não digitado</v>
      </c>
      <c r="J651" s="12" t="s">
        <v>68</v>
      </c>
      <c r="K651" s="12" t="str">
        <f>IFERROR(VLOOKUP(J651, DADOS_RM_EVENTOS_original!E:J, 2, FALSE), "Código não encontrado/Não digitado")</f>
        <v>Código não encontrado/Não digitado</v>
      </c>
      <c r="L651" s="12" t="s">
        <v>68</v>
      </c>
      <c r="M651" s="12" t="str">
        <f>IFERROR(VLOOKUP(L651, DADOS_RM_EVENTOS_original!K:L, 2, FALSE), "Código não encontrado/Não digitado")</f>
        <v>Código não encontrado/Não digitado</v>
      </c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</row>
  </sheetData>
  <autoFilter ref="$A$1:$M$651">
    <filterColumn colId="5">
      <filters>
        <filter val="CRIAR EVENTO"/>
      </filters>
    </filterColumn>
    <sortState ref="A1:M651">
      <sortCondition ref="C1:C651"/>
    </sortState>
  </autoFilter>
  <customSheetViews>
    <customSheetView guid="{D42415EC-BCD2-4837-8207-9828990F0E19}" filter="1" showAutoFilter="1">
      <autoFilter ref="$A$1:$M$651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7.25"/>
    <col customWidth="1" min="2" max="2" width="41.5"/>
    <col customWidth="1" min="3" max="3" width="10.75"/>
    <col customWidth="1" min="4" max="4" width="12.88"/>
    <col customWidth="1" min="5" max="5" width="52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hidden="1">
      <c r="A2" s="16" t="s">
        <v>0</v>
      </c>
      <c r="B2" s="16" t="s">
        <v>2</v>
      </c>
      <c r="C2" s="16" t="s">
        <v>108</v>
      </c>
      <c r="D2" s="16" t="s">
        <v>4</v>
      </c>
      <c r="E2" s="16" t="s">
        <v>109</v>
      </c>
    </row>
    <row r="3">
      <c r="A3" s="16" t="s">
        <v>16</v>
      </c>
      <c r="B3" s="16" t="s">
        <v>55</v>
      </c>
      <c r="C3" s="16" t="s">
        <v>57</v>
      </c>
      <c r="D3" s="16" t="s">
        <v>114</v>
      </c>
      <c r="E3" s="16" t="s">
        <v>118</v>
      </c>
    </row>
    <row r="4">
      <c r="A4" s="16" t="s">
        <v>64</v>
      </c>
      <c r="B4" s="16" t="s">
        <v>80</v>
      </c>
      <c r="C4" s="16" t="s">
        <v>57</v>
      </c>
      <c r="D4" s="16" t="s">
        <v>23</v>
      </c>
      <c r="E4" s="16" t="s">
        <v>118</v>
      </c>
    </row>
    <row r="5">
      <c r="A5" s="16" t="s">
        <v>84</v>
      </c>
      <c r="B5" s="16" t="s">
        <v>90</v>
      </c>
      <c r="C5" s="16" t="s">
        <v>23</v>
      </c>
      <c r="D5" s="16" t="s">
        <v>73</v>
      </c>
      <c r="E5" s="16" t="s">
        <v>129</v>
      </c>
    </row>
    <row r="6">
      <c r="A6" s="16" t="s">
        <v>38</v>
      </c>
      <c r="B6" s="16" t="s">
        <v>94</v>
      </c>
      <c r="C6" s="16" t="s">
        <v>23</v>
      </c>
      <c r="D6" s="16" t="s">
        <v>73</v>
      </c>
      <c r="E6" s="16" t="s">
        <v>135</v>
      </c>
    </row>
    <row r="7">
      <c r="A7" s="16" t="s">
        <v>97</v>
      </c>
      <c r="B7" s="16" t="s">
        <v>101</v>
      </c>
      <c r="C7" s="16" t="s">
        <v>57</v>
      </c>
      <c r="D7" s="16" t="s">
        <v>73</v>
      </c>
      <c r="E7" s="16" t="s">
        <v>140</v>
      </c>
    </row>
    <row r="8">
      <c r="A8" s="16" t="s">
        <v>102</v>
      </c>
      <c r="B8" s="16" t="s">
        <v>105</v>
      </c>
      <c r="C8" s="16" t="s">
        <v>23</v>
      </c>
      <c r="D8" s="16" t="s">
        <v>73</v>
      </c>
      <c r="E8" s="16" t="s">
        <v>144</v>
      </c>
    </row>
    <row r="9">
      <c r="A9" s="16" t="s">
        <v>106</v>
      </c>
      <c r="B9" s="16" t="s">
        <v>111</v>
      </c>
      <c r="C9" s="16" t="s">
        <v>57</v>
      </c>
      <c r="D9" s="16" t="s">
        <v>73</v>
      </c>
      <c r="E9" s="16" t="s">
        <v>148</v>
      </c>
    </row>
    <row r="10">
      <c r="A10" s="16" t="s">
        <v>112</v>
      </c>
      <c r="B10" s="16" t="s">
        <v>123</v>
      </c>
      <c r="C10" s="16" t="s">
        <v>23</v>
      </c>
      <c r="D10" s="16" t="s">
        <v>23</v>
      </c>
      <c r="E10" s="16" t="s">
        <v>152</v>
      </c>
    </row>
    <row r="11">
      <c r="A11" s="16" t="s">
        <v>124</v>
      </c>
      <c r="B11" s="16" t="s">
        <v>127</v>
      </c>
      <c r="C11" s="16" t="s">
        <v>57</v>
      </c>
      <c r="D11" s="16" t="s">
        <v>73</v>
      </c>
      <c r="E11" s="16" t="s">
        <v>159</v>
      </c>
    </row>
    <row r="12">
      <c r="A12" s="16" t="s">
        <v>128</v>
      </c>
      <c r="B12" s="16" t="s">
        <v>133</v>
      </c>
      <c r="C12" s="16" t="s">
        <v>57</v>
      </c>
      <c r="D12" s="16" t="s">
        <v>73</v>
      </c>
      <c r="E12" s="16" t="s">
        <v>162</v>
      </c>
    </row>
    <row r="13">
      <c r="A13" s="16" t="s">
        <v>137</v>
      </c>
      <c r="B13" s="16" t="s">
        <v>141</v>
      </c>
      <c r="C13" s="16" t="s">
        <v>23</v>
      </c>
      <c r="D13" s="16" t="s">
        <v>73</v>
      </c>
      <c r="E13" s="16" t="s">
        <v>129</v>
      </c>
    </row>
    <row r="14">
      <c r="A14" s="16" t="s">
        <v>142</v>
      </c>
      <c r="B14" s="16" t="s">
        <v>146</v>
      </c>
      <c r="C14" s="16" t="s">
        <v>23</v>
      </c>
      <c r="D14" s="16" t="s">
        <v>23</v>
      </c>
      <c r="E14" s="16" t="s">
        <v>171</v>
      </c>
    </row>
    <row r="15">
      <c r="A15" s="16" t="s">
        <v>147</v>
      </c>
      <c r="B15" s="16" t="s">
        <v>151</v>
      </c>
      <c r="C15" s="16" t="s">
        <v>23</v>
      </c>
      <c r="D15" s="16" t="s">
        <v>73</v>
      </c>
      <c r="E15" s="16" t="s">
        <v>178</v>
      </c>
    </row>
    <row r="16">
      <c r="A16" s="16" t="s">
        <v>155</v>
      </c>
      <c r="B16" s="16" t="s">
        <v>160</v>
      </c>
      <c r="C16" s="16" t="s">
        <v>57</v>
      </c>
      <c r="D16" s="16" t="s">
        <v>114</v>
      </c>
      <c r="E16" s="16" t="s">
        <v>118</v>
      </c>
    </row>
    <row r="17">
      <c r="A17" s="16" t="s">
        <v>115</v>
      </c>
      <c r="B17" s="16" t="s">
        <v>164</v>
      </c>
      <c r="C17" s="16" t="s">
        <v>57</v>
      </c>
      <c r="D17" s="16" t="s">
        <v>73</v>
      </c>
      <c r="E17" s="16" t="s">
        <v>182</v>
      </c>
    </row>
    <row r="18">
      <c r="A18" s="16" t="s">
        <v>165</v>
      </c>
      <c r="B18" s="16" t="s">
        <v>168</v>
      </c>
      <c r="C18" s="16" t="s">
        <v>57</v>
      </c>
      <c r="D18" s="16" t="s">
        <v>73</v>
      </c>
      <c r="E18" s="16" t="s">
        <v>189</v>
      </c>
    </row>
    <row r="19">
      <c r="A19" s="16" t="s">
        <v>172</v>
      </c>
      <c r="B19" s="16" t="s">
        <v>177</v>
      </c>
      <c r="C19" s="16" t="s">
        <v>57</v>
      </c>
      <c r="D19" s="16" t="s">
        <v>73</v>
      </c>
      <c r="E19" s="16" t="s">
        <v>195</v>
      </c>
    </row>
    <row r="20">
      <c r="A20" s="16" t="s">
        <v>179</v>
      </c>
      <c r="B20" s="16" t="s">
        <v>181</v>
      </c>
      <c r="C20" s="16" t="s">
        <v>57</v>
      </c>
      <c r="D20" s="16" t="s">
        <v>73</v>
      </c>
      <c r="E20" s="16" t="s">
        <v>198</v>
      </c>
    </row>
    <row r="21">
      <c r="A21" s="16" t="s">
        <v>139</v>
      </c>
      <c r="B21" s="16" t="s">
        <v>184</v>
      </c>
      <c r="C21" s="16" t="s">
        <v>23</v>
      </c>
      <c r="D21" s="16" t="s">
        <v>73</v>
      </c>
      <c r="E21" s="16" t="s">
        <v>204</v>
      </c>
    </row>
    <row r="22">
      <c r="A22" s="16" t="s">
        <v>185</v>
      </c>
      <c r="B22" s="16" t="s">
        <v>192</v>
      </c>
      <c r="C22" s="16" t="s">
        <v>57</v>
      </c>
      <c r="D22" s="16" t="s">
        <v>73</v>
      </c>
      <c r="E22" s="16" t="s">
        <v>209</v>
      </c>
    </row>
    <row r="23">
      <c r="A23" s="16" t="s">
        <v>194</v>
      </c>
      <c r="B23" s="16" t="s">
        <v>197</v>
      </c>
      <c r="C23" s="16" t="s">
        <v>23</v>
      </c>
      <c r="D23" s="16" t="s">
        <v>73</v>
      </c>
      <c r="E23" s="16" t="s">
        <v>209</v>
      </c>
    </row>
    <row r="24">
      <c r="A24" s="16" t="s">
        <v>199</v>
      </c>
      <c r="B24" s="16" t="s">
        <v>203</v>
      </c>
      <c r="C24" s="16" t="s">
        <v>57</v>
      </c>
      <c r="D24" s="16" t="s">
        <v>73</v>
      </c>
      <c r="E24" s="16" t="s">
        <v>219</v>
      </c>
    </row>
    <row r="25">
      <c r="A25" s="16" t="s">
        <v>206</v>
      </c>
      <c r="B25" s="16" t="s">
        <v>210</v>
      </c>
      <c r="C25" s="16" t="s">
        <v>57</v>
      </c>
      <c r="D25" s="16" t="s">
        <v>73</v>
      </c>
      <c r="E25" s="16" t="s">
        <v>224</v>
      </c>
    </row>
    <row r="26">
      <c r="A26" s="16" t="s">
        <v>211</v>
      </c>
      <c r="B26" s="16" t="s">
        <v>215</v>
      </c>
      <c r="C26" s="16" t="s">
        <v>57</v>
      </c>
      <c r="D26" s="16" t="s">
        <v>73</v>
      </c>
      <c r="E26" s="16" t="s">
        <v>228</v>
      </c>
    </row>
    <row r="27">
      <c r="A27" s="16" t="s">
        <v>216</v>
      </c>
      <c r="B27" s="16" t="s">
        <v>222</v>
      </c>
      <c r="C27" s="16" t="s">
        <v>57</v>
      </c>
      <c r="D27" s="16" t="s">
        <v>73</v>
      </c>
      <c r="E27" s="16" t="s">
        <v>233</v>
      </c>
    </row>
    <row r="28" hidden="1">
      <c r="A28" s="16" t="s">
        <v>225</v>
      </c>
      <c r="B28" s="16" t="s">
        <v>230</v>
      </c>
      <c r="C28" s="16" t="s">
        <v>234</v>
      </c>
      <c r="D28" s="16" t="s">
        <v>73</v>
      </c>
      <c r="E28" s="16" t="s">
        <v>236</v>
      </c>
    </row>
    <row r="29" hidden="1">
      <c r="A29" s="16" t="s">
        <v>231</v>
      </c>
      <c r="B29" s="16" t="s">
        <v>235</v>
      </c>
      <c r="C29" s="16" t="s">
        <v>234</v>
      </c>
      <c r="D29" s="16" t="s">
        <v>73</v>
      </c>
      <c r="E29" s="16" t="s">
        <v>236</v>
      </c>
    </row>
    <row r="30" hidden="1">
      <c r="A30" s="16" t="s">
        <v>237</v>
      </c>
      <c r="B30" s="16" t="s">
        <v>239</v>
      </c>
      <c r="C30" s="16" t="s">
        <v>234</v>
      </c>
      <c r="D30" s="16" t="s">
        <v>73</v>
      </c>
      <c r="E30" s="16" t="s">
        <v>236</v>
      </c>
    </row>
    <row r="31" hidden="1">
      <c r="A31" s="16" t="s">
        <v>240</v>
      </c>
      <c r="B31" s="16" t="s">
        <v>244</v>
      </c>
      <c r="C31" s="16" t="s">
        <v>234</v>
      </c>
      <c r="D31" s="16" t="s">
        <v>73</v>
      </c>
      <c r="E31" s="16" t="s">
        <v>236</v>
      </c>
    </row>
    <row r="32">
      <c r="A32" s="16" t="s">
        <v>246</v>
      </c>
      <c r="B32" s="16" t="s">
        <v>249</v>
      </c>
      <c r="C32" s="16" t="s">
        <v>23</v>
      </c>
      <c r="D32" s="16" t="s">
        <v>73</v>
      </c>
      <c r="E32" s="16" t="s">
        <v>135</v>
      </c>
    </row>
    <row r="33" hidden="1">
      <c r="A33" s="16" t="s">
        <v>250</v>
      </c>
      <c r="B33" s="16" t="s">
        <v>252</v>
      </c>
      <c r="C33" s="16" t="s">
        <v>234</v>
      </c>
      <c r="D33" s="16" t="s">
        <v>73</v>
      </c>
      <c r="E33" s="16" t="s">
        <v>236</v>
      </c>
    </row>
    <row r="34" hidden="1">
      <c r="A34" s="16" t="s">
        <v>253</v>
      </c>
      <c r="B34" s="16" t="s">
        <v>255</v>
      </c>
      <c r="C34" s="16" t="s">
        <v>234</v>
      </c>
      <c r="D34" s="16" t="s">
        <v>73</v>
      </c>
      <c r="E34" s="16" t="s">
        <v>236</v>
      </c>
    </row>
    <row r="35" hidden="1">
      <c r="A35" s="16" t="s">
        <v>258</v>
      </c>
      <c r="B35" s="16" t="s">
        <v>261</v>
      </c>
      <c r="C35" s="16" t="s">
        <v>234</v>
      </c>
      <c r="D35" s="16" t="s">
        <v>73</v>
      </c>
      <c r="E35" s="16" t="s">
        <v>236</v>
      </c>
    </row>
    <row r="36">
      <c r="A36" s="16" t="s">
        <v>263</v>
      </c>
      <c r="B36" s="16" t="s">
        <v>266</v>
      </c>
      <c r="C36" s="16" t="s">
        <v>57</v>
      </c>
      <c r="D36" s="16" t="s">
        <v>73</v>
      </c>
      <c r="E36" s="16" t="s">
        <v>269</v>
      </c>
    </row>
    <row r="37">
      <c r="A37" s="16" t="s">
        <v>267</v>
      </c>
      <c r="B37" s="16" t="s">
        <v>271</v>
      </c>
      <c r="C37" s="16" t="s">
        <v>23</v>
      </c>
      <c r="D37" s="16" t="s">
        <v>73</v>
      </c>
      <c r="E37" s="16" t="s">
        <v>276</v>
      </c>
    </row>
    <row r="38">
      <c r="A38" s="16" t="s">
        <v>275</v>
      </c>
      <c r="B38" s="16" t="s">
        <v>278</v>
      </c>
      <c r="C38" s="16" t="s">
        <v>23</v>
      </c>
      <c r="D38" s="16" t="s">
        <v>73</v>
      </c>
      <c r="E38" s="16" t="s">
        <v>280</v>
      </c>
    </row>
    <row r="39">
      <c r="A39" s="16" t="s">
        <v>281</v>
      </c>
      <c r="B39" s="16" t="s">
        <v>283</v>
      </c>
      <c r="C39" s="16" t="s">
        <v>57</v>
      </c>
      <c r="D39" s="16" t="s">
        <v>73</v>
      </c>
      <c r="E39" s="16" t="s">
        <v>285</v>
      </c>
    </row>
    <row r="40">
      <c r="A40" s="16" t="s">
        <v>286</v>
      </c>
      <c r="B40" s="16" t="s">
        <v>288</v>
      </c>
      <c r="C40" s="16" t="s">
        <v>57</v>
      </c>
      <c r="D40" s="16" t="s">
        <v>73</v>
      </c>
      <c r="E40" s="16" t="s">
        <v>189</v>
      </c>
    </row>
    <row r="41">
      <c r="A41" s="16" t="s">
        <v>289</v>
      </c>
      <c r="B41" s="16" t="s">
        <v>291</v>
      </c>
      <c r="C41" s="16" t="s">
        <v>57</v>
      </c>
      <c r="D41" s="16" t="s">
        <v>73</v>
      </c>
      <c r="E41" s="16" t="s">
        <v>295</v>
      </c>
    </row>
    <row r="42">
      <c r="A42" s="16" t="s">
        <v>296</v>
      </c>
      <c r="B42" s="16" t="s">
        <v>297</v>
      </c>
      <c r="C42" s="16" t="s">
        <v>57</v>
      </c>
      <c r="D42" s="16" t="s">
        <v>73</v>
      </c>
      <c r="E42" s="16" t="s">
        <v>300</v>
      </c>
    </row>
    <row r="43">
      <c r="A43" s="16" t="s">
        <v>301</v>
      </c>
      <c r="B43" s="16" t="s">
        <v>302</v>
      </c>
      <c r="C43" s="16" t="s">
        <v>57</v>
      </c>
      <c r="D43" s="16" t="s">
        <v>73</v>
      </c>
      <c r="E43" s="16" t="s">
        <v>189</v>
      </c>
    </row>
    <row r="44">
      <c r="A44" s="16" t="s">
        <v>304</v>
      </c>
      <c r="B44" s="16" t="s">
        <v>306</v>
      </c>
      <c r="C44" s="16" t="s">
        <v>57</v>
      </c>
      <c r="D44" s="16" t="s">
        <v>73</v>
      </c>
      <c r="E44" s="16" t="s">
        <v>189</v>
      </c>
    </row>
    <row r="45">
      <c r="A45" s="16" t="s">
        <v>308</v>
      </c>
      <c r="B45" s="16" t="s">
        <v>310</v>
      </c>
      <c r="C45" s="16" t="s">
        <v>23</v>
      </c>
      <c r="D45" s="16" t="s">
        <v>73</v>
      </c>
      <c r="E45" s="16" t="s">
        <v>204</v>
      </c>
    </row>
    <row r="46" hidden="1">
      <c r="A46" s="16" t="s">
        <v>313</v>
      </c>
      <c r="B46" s="16" t="s">
        <v>314</v>
      </c>
      <c r="C46" s="16" t="s">
        <v>234</v>
      </c>
      <c r="D46" s="16" t="s">
        <v>73</v>
      </c>
      <c r="E46" s="16" t="s">
        <v>189</v>
      </c>
    </row>
    <row r="47">
      <c r="A47" s="16" t="s">
        <v>316</v>
      </c>
      <c r="B47" s="16" t="s">
        <v>317</v>
      </c>
      <c r="C47" s="16" t="s">
        <v>57</v>
      </c>
      <c r="D47" s="16" t="s">
        <v>73</v>
      </c>
      <c r="E47" s="16" t="s">
        <v>189</v>
      </c>
    </row>
    <row r="48">
      <c r="A48" s="16" t="s">
        <v>318</v>
      </c>
      <c r="B48" s="16" t="s">
        <v>320</v>
      </c>
      <c r="C48" s="16" t="s">
        <v>57</v>
      </c>
      <c r="D48" s="16" t="s">
        <v>73</v>
      </c>
      <c r="E48" s="16" t="s">
        <v>325</v>
      </c>
    </row>
    <row r="49">
      <c r="A49" s="16" t="s">
        <v>259</v>
      </c>
      <c r="B49" s="16" t="s">
        <v>327</v>
      </c>
      <c r="C49" s="16" t="s">
        <v>23</v>
      </c>
      <c r="D49" s="16" t="s">
        <v>73</v>
      </c>
      <c r="E49" s="16" t="s">
        <v>328</v>
      </c>
    </row>
    <row r="50">
      <c r="A50" s="16" t="s">
        <v>329</v>
      </c>
      <c r="B50" s="16" t="s">
        <v>330</v>
      </c>
      <c r="C50" s="16" t="s">
        <v>57</v>
      </c>
      <c r="D50" s="16" t="s">
        <v>73</v>
      </c>
      <c r="E50" s="16" t="s">
        <v>332</v>
      </c>
    </row>
    <row r="51">
      <c r="A51" s="16" t="s">
        <v>333</v>
      </c>
      <c r="B51" s="16" t="s">
        <v>334</v>
      </c>
      <c r="C51" s="16" t="s">
        <v>23</v>
      </c>
      <c r="D51" s="16" t="s">
        <v>73</v>
      </c>
      <c r="E51" s="16" t="s">
        <v>135</v>
      </c>
    </row>
    <row r="52">
      <c r="A52" s="16" t="s">
        <v>339</v>
      </c>
      <c r="B52" s="16" t="s">
        <v>341</v>
      </c>
      <c r="C52" s="16" t="s">
        <v>57</v>
      </c>
      <c r="D52" s="16" t="s">
        <v>61</v>
      </c>
      <c r="E52" s="16" t="s">
        <v>118</v>
      </c>
    </row>
    <row r="53">
      <c r="A53" s="16" t="s">
        <v>344</v>
      </c>
      <c r="B53" s="16" t="s">
        <v>345</v>
      </c>
      <c r="C53" s="16" t="s">
        <v>23</v>
      </c>
      <c r="D53" s="16" t="s">
        <v>73</v>
      </c>
      <c r="E53" s="16" t="s">
        <v>276</v>
      </c>
    </row>
    <row r="54">
      <c r="A54" s="16" t="s">
        <v>347</v>
      </c>
      <c r="B54" s="16" t="s">
        <v>348</v>
      </c>
      <c r="C54" s="16" t="s">
        <v>57</v>
      </c>
      <c r="D54" s="16" t="s">
        <v>73</v>
      </c>
      <c r="E54" s="16" t="s">
        <v>350</v>
      </c>
    </row>
    <row r="55">
      <c r="A55" s="16" t="s">
        <v>351</v>
      </c>
      <c r="B55" s="16" t="s">
        <v>352</v>
      </c>
      <c r="C55" s="16" t="s">
        <v>57</v>
      </c>
      <c r="D55" s="16" t="s">
        <v>73</v>
      </c>
      <c r="E55" s="16" t="s">
        <v>356</v>
      </c>
    </row>
    <row r="56" hidden="1">
      <c r="A56" s="16" t="s">
        <v>357</v>
      </c>
      <c r="B56" s="16" t="s">
        <v>358</v>
      </c>
      <c r="C56" s="16" t="s">
        <v>234</v>
      </c>
      <c r="D56" s="16" t="s">
        <v>73</v>
      </c>
      <c r="E56" s="16" t="s">
        <v>236</v>
      </c>
    </row>
    <row r="57">
      <c r="A57" s="16" t="s">
        <v>361</v>
      </c>
      <c r="B57" s="16" t="s">
        <v>362</v>
      </c>
      <c r="C57" s="16" t="s">
        <v>57</v>
      </c>
      <c r="D57" s="16" t="s">
        <v>73</v>
      </c>
      <c r="E57" s="16" t="s">
        <v>364</v>
      </c>
    </row>
    <row r="58">
      <c r="A58" s="16" t="s">
        <v>365</v>
      </c>
      <c r="B58" s="16" t="s">
        <v>366</v>
      </c>
      <c r="C58" s="16" t="s">
        <v>57</v>
      </c>
      <c r="D58" s="16" t="s">
        <v>73</v>
      </c>
      <c r="E58" s="16" t="s">
        <v>295</v>
      </c>
    </row>
    <row r="59">
      <c r="A59" s="16" t="s">
        <v>368</v>
      </c>
      <c r="B59" s="16" t="s">
        <v>371</v>
      </c>
      <c r="C59" s="16" t="s">
        <v>23</v>
      </c>
      <c r="D59" s="16" t="s">
        <v>73</v>
      </c>
      <c r="E59" s="16" t="s">
        <v>328</v>
      </c>
    </row>
    <row r="60" hidden="1">
      <c r="A60" s="16" t="s">
        <v>373</v>
      </c>
      <c r="B60" s="16" t="s">
        <v>374</v>
      </c>
      <c r="C60" s="16" t="s">
        <v>234</v>
      </c>
      <c r="D60" s="16" t="s">
        <v>73</v>
      </c>
      <c r="E60" s="16" t="s">
        <v>236</v>
      </c>
    </row>
    <row r="61">
      <c r="A61" s="16" t="s">
        <v>376</v>
      </c>
      <c r="B61" s="16" t="s">
        <v>378</v>
      </c>
      <c r="C61" s="16" t="s">
        <v>57</v>
      </c>
      <c r="D61" s="16" t="s">
        <v>73</v>
      </c>
      <c r="E61" s="16" t="s">
        <v>295</v>
      </c>
    </row>
    <row r="62">
      <c r="A62" s="16" t="s">
        <v>379</v>
      </c>
      <c r="B62" s="16" t="s">
        <v>381</v>
      </c>
      <c r="C62" s="16" t="s">
        <v>23</v>
      </c>
      <c r="D62" s="16" t="s">
        <v>73</v>
      </c>
      <c r="E62" s="16" t="s">
        <v>280</v>
      </c>
    </row>
    <row r="63">
      <c r="A63" s="16" t="s">
        <v>387</v>
      </c>
      <c r="B63" s="16" t="s">
        <v>388</v>
      </c>
      <c r="C63" s="16" t="s">
        <v>23</v>
      </c>
      <c r="D63" s="16" t="s">
        <v>73</v>
      </c>
      <c r="E63" s="16" t="s">
        <v>135</v>
      </c>
    </row>
    <row r="64">
      <c r="A64" s="16" t="s">
        <v>390</v>
      </c>
      <c r="B64" s="16" t="s">
        <v>391</v>
      </c>
      <c r="C64" s="16" t="s">
        <v>57</v>
      </c>
      <c r="D64" s="16" t="s">
        <v>23</v>
      </c>
      <c r="E64" s="16" t="s">
        <v>392</v>
      </c>
    </row>
    <row r="65">
      <c r="A65" s="16" t="s">
        <v>393</v>
      </c>
      <c r="B65" s="16" t="s">
        <v>394</v>
      </c>
      <c r="C65" s="16" t="s">
        <v>57</v>
      </c>
      <c r="D65" s="16" t="s">
        <v>73</v>
      </c>
      <c r="E65" s="16" t="s">
        <v>228</v>
      </c>
    </row>
    <row r="66">
      <c r="A66" s="16" t="s">
        <v>396</v>
      </c>
      <c r="B66" s="16" t="s">
        <v>397</v>
      </c>
      <c r="C66" s="16" t="s">
        <v>23</v>
      </c>
      <c r="D66" s="16" t="s">
        <v>73</v>
      </c>
      <c r="E66" s="16" t="s">
        <v>144</v>
      </c>
    </row>
    <row r="67">
      <c r="A67" s="16" t="s">
        <v>399</v>
      </c>
      <c r="B67" s="16" t="s">
        <v>401</v>
      </c>
      <c r="C67" s="16" t="s">
        <v>57</v>
      </c>
      <c r="D67" s="16" t="s">
        <v>73</v>
      </c>
      <c r="E67" s="16" t="s">
        <v>140</v>
      </c>
    </row>
    <row r="68">
      <c r="A68" s="16" t="s">
        <v>402</v>
      </c>
      <c r="B68" s="16" t="s">
        <v>403</v>
      </c>
      <c r="C68" s="16" t="s">
        <v>57</v>
      </c>
      <c r="D68" s="16" t="s">
        <v>73</v>
      </c>
      <c r="E68" s="16" t="s">
        <v>405</v>
      </c>
    </row>
    <row r="69">
      <c r="A69" s="16" t="s">
        <v>311</v>
      </c>
      <c r="B69" s="16" t="s">
        <v>407</v>
      </c>
      <c r="C69" s="16" t="s">
        <v>57</v>
      </c>
      <c r="D69" s="16" t="s">
        <v>73</v>
      </c>
      <c r="E69" s="16" t="s">
        <v>411</v>
      </c>
    </row>
    <row r="70" hidden="1">
      <c r="A70" s="16" t="s">
        <v>412</v>
      </c>
      <c r="B70" s="16" t="s">
        <v>414</v>
      </c>
      <c r="C70" s="16" t="s">
        <v>234</v>
      </c>
      <c r="D70" s="16" t="s">
        <v>73</v>
      </c>
      <c r="E70" s="16" t="s">
        <v>236</v>
      </c>
    </row>
    <row r="71">
      <c r="A71" s="16" t="s">
        <v>415</v>
      </c>
      <c r="B71" s="16" t="s">
        <v>416</v>
      </c>
      <c r="C71" s="16" t="s">
        <v>57</v>
      </c>
      <c r="D71" s="16" t="s">
        <v>73</v>
      </c>
      <c r="E71" s="16" t="s">
        <v>285</v>
      </c>
    </row>
    <row r="72">
      <c r="A72" s="16" t="s">
        <v>418</v>
      </c>
      <c r="B72" s="16" t="s">
        <v>419</v>
      </c>
      <c r="C72" s="16" t="s">
        <v>23</v>
      </c>
      <c r="D72" s="16" t="s">
        <v>114</v>
      </c>
      <c r="E72" s="16" t="s">
        <v>421</v>
      </c>
    </row>
    <row r="73">
      <c r="A73" s="16" t="s">
        <v>422</v>
      </c>
      <c r="B73" s="16" t="s">
        <v>423</v>
      </c>
      <c r="C73" s="16" t="s">
        <v>57</v>
      </c>
      <c r="D73" s="16" t="s">
        <v>73</v>
      </c>
      <c r="E73" s="16" t="s">
        <v>425</v>
      </c>
    </row>
    <row r="74" hidden="1">
      <c r="A74" s="16" t="s">
        <v>427</v>
      </c>
      <c r="B74" s="16" t="s">
        <v>428</v>
      </c>
      <c r="C74" s="16" t="s">
        <v>234</v>
      </c>
      <c r="D74" s="16" t="s">
        <v>73</v>
      </c>
      <c r="E74" s="16" t="s">
        <v>236</v>
      </c>
    </row>
    <row r="75" hidden="1">
      <c r="A75" s="16" t="s">
        <v>430</v>
      </c>
      <c r="B75" s="16" t="s">
        <v>432</v>
      </c>
      <c r="C75" s="16" t="s">
        <v>234</v>
      </c>
      <c r="D75" s="16" t="s">
        <v>73</v>
      </c>
      <c r="E75" s="16" t="s">
        <v>236</v>
      </c>
    </row>
    <row r="76" hidden="1">
      <c r="A76" s="16" t="s">
        <v>435</v>
      </c>
      <c r="B76" s="16" t="s">
        <v>436</v>
      </c>
      <c r="C76" s="16" t="s">
        <v>234</v>
      </c>
      <c r="D76" s="16" t="s">
        <v>73</v>
      </c>
      <c r="E76" s="16" t="s">
        <v>236</v>
      </c>
    </row>
    <row r="77">
      <c r="A77" s="16" t="s">
        <v>439</v>
      </c>
      <c r="B77" s="16" t="s">
        <v>440</v>
      </c>
      <c r="C77" s="16" t="s">
        <v>57</v>
      </c>
      <c r="D77" s="16" t="s">
        <v>73</v>
      </c>
      <c r="E77" s="16" t="s">
        <v>442</v>
      </c>
    </row>
    <row r="78">
      <c r="A78" s="16" t="s">
        <v>443</v>
      </c>
      <c r="B78" s="16" t="s">
        <v>445</v>
      </c>
      <c r="C78" s="16" t="s">
        <v>57</v>
      </c>
      <c r="D78" s="16" t="s">
        <v>73</v>
      </c>
      <c r="E78" s="16" t="s">
        <v>300</v>
      </c>
    </row>
    <row r="79">
      <c r="A79" s="16" t="s">
        <v>447</v>
      </c>
      <c r="B79" s="16" t="s">
        <v>448</v>
      </c>
      <c r="C79" s="16" t="s">
        <v>57</v>
      </c>
      <c r="D79" s="16" t="s">
        <v>73</v>
      </c>
      <c r="E79" s="16" t="s">
        <v>300</v>
      </c>
    </row>
    <row r="80" hidden="1">
      <c r="A80" s="16" t="s">
        <v>449</v>
      </c>
      <c r="B80" s="16" t="s">
        <v>450</v>
      </c>
      <c r="C80" s="16" t="s">
        <v>234</v>
      </c>
      <c r="D80" s="16" t="s">
        <v>73</v>
      </c>
      <c r="E80" s="16" t="s">
        <v>300</v>
      </c>
    </row>
    <row r="81">
      <c r="A81" s="16" t="s">
        <v>454</v>
      </c>
      <c r="B81" s="16" t="s">
        <v>455</v>
      </c>
      <c r="C81" s="16" t="s">
        <v>57</v>
      </c>
      <c r="D81" s="16" t="s">
        <v>73</v>
      </c>
      <c r="E81" s="16" t="s">
        <v>300</v>
      </c>
    </row>
    <row r="82">
      <c r="A82" s="16" t="s">
        <v>457</v>
      </c>
      <c r="B82" s="16" t="s">
        <v>458</v>
      </c>
      <c r="C82" s="16" t="s">
        <v>57</v>
      </c>
      <c r="D82" s="16" t="s">
        <v>73</v>
      </c>
      <c r="E82" s="16" t="s">
        <v>189</v>
      </c>
    </row>
    <row r="83">
      <c r="A83" s="16" t="s">
        <v>460</v>
      </c>
      <c r="B83" s="16" t="s">
        <v>461</v>
      </c>
      <c r="C83" s="16" t="s">
        <v>57</v>
      </c>
      <c r="D83" s="16" t="s">
        <v>73</v>
      </c>
      <c r="E83" s="16" t="s">
        <v>300</v>
      </c>
    </row>
    <row r="84">
      <c r="A84" s="16" t="s">
        <v>463</v>
      </c>
      <c r="B84" s="16" t="s">
        <v>465</v>
      </c>
      <c r="C84" s="16" t="s">
        <v>57</v>
      </c>
      <c r="D84" s="16" t="s">
        <v>114</v>
      </c>
      <c r="E84" s="16" t="s">
        <v>467</v>
      </c>
    </row>
    <row r="85">
      <c r="A85" s="16" t="s">
        <v>468</v>
      </c>
      <c r="B85" s="16" t="s">
        <v>469</v>
      </c>
      <c r="C85" s="16" t="s">
        <v>57</v>
      </c>
      <c r="D85" s="16" t="s">
        <v>23</v>
      </c>
      <c r="E85" s="16" t="s">
        <v>467</v>
      </c>
    </row>
    <row r="86">
      <c r="A86" s="16" t="s">
        <v>471</v>
      </c>
      <c r="B86" s="16" t="s">
        <v>472</v>
      </c>
      <c r="C86" s="16" t="s">
        <v>57</v>
      </c>
      <c r="D86" s="16" t="s">
        <v>73</v>
      </c>
      <c r="E86" s="16" t="s">
        <v>473</v>
      </c>
    </row>
    <row r="87">
      <c r="A87" s="16" t="s">
        <v>475</v>
      </c>
      <c r="B87" s="16" t="s">
        <v>476</v>
      </c>
      <c r="C87" s="16" t="s">
        <v>57</v>
      </c>
      <c r="D87" s="16" t="s">
        <v>73</v>
      </c>
      <c r="E87" s="16" t="s">
        <v>189</v>
      </c>
    </row>
    <row r="88">
      <c r="A88" s="16" t="s">
        <v>477</v>
      </c>
      <c r="B88" s="16" t="s">
        <v>478</v>
      </c>
      <c r="C88" s="16" t="s">
        <v>57</v>
      </c>
      <c r="D88" s="16" t="s">
        <v>73</v>
      </c>
      <c r="E88" s="16" t="s">
        <v>189</v>
      </c>
    </row>
    <row r="89">
      <c r="A89" s="16" t="s">
        <v>480</v>
      </c>
      <c r="B89" s="16" t="s">
        <v>481</v>
      </c>
      <c r="C89" s="16" t="s">
        <v>57</v>
      </c>
      <c r="D89" s="16" t="s">
        <v>73</v>
      </c>
      <c r="E89" s="16" t="s">
        <v>189</v>
      </c>
    </row>
    <row r="90">
      <c r="A90" s="16" t="s">
        <v>485</v>
      </c>
      <c r="B90" s="16" t="s">
        <v>486</v>
      </c>
      <c r="C90" s="16" t="s">
        <v>57</v>
      </c>
      <c r="D90" s="16" t="s">
        <v>73</v>
      </c>
      <c r="E90" s="16" t="s">
        <v>332</v>
      </c>
    </row>
    <row r="91">
      <c r="A91" s="16" t="s">
        <v>487</v>
      </c>
      <c r="B91" s="16" t="s">
        <v>488</v>
      </c>
      <c r="C91" s="16" t="s">
        <v>57</v>
      </c>
      <c r="D91" s="16" t="s">
        <v>73</v>
      </c>
      <c r="E91" s="16" t="s">
        <v>332</v>
      </c>
    </row>
    <row r="92">
      <c r="A92" s="16" t="s">
        <v>490</v>
      </c>
      <c r="B92" s="16" t="s">
        <v>491</v>
      </c>
      <c r="C92" s="16" t="s">
        <v>57</v>
      </c>
      <c r="D92" s="16" t="s">
        <v>73</v>
      </c>
      <c r="E92" s="16" t="s">
        <v>392</v>
      </c>
    </row>
    <row r="93">
      <c r="A93" s="16" t="s">
        <v>186</v>
      </c>
      <c r="B93" s="16" t="s">
        <v>492</v>
      </c>
      <c r="C93" s="16" t="s">
        <v>57</v>
      </c>
      <c r="D93" s="16" t="s">
        <v>73</v>
      </c>
      <c r="E93" s="16" t="s">
        <v>392</v>
      </c>
    </row>
    <row r="94">
      <c r="A94" s="16" t="s">
        <v>157</v>
      </c>
      <c r="B94" s="16" t="s">
        <v>494</v>
      </c>
      <c r="C94" s="16" t="s">
        <v>23</v>
      </c>
      <c r="D94" s="16" t="s">
        <v>73</v>
      </c>
      <c r="E94" s="16" t="s">
        <v>496</v>
      </c>
    </row>
    <row r="95">
      <c r="A95" s="16" t="s">
        <v>497</v>
      </c>
      <c r="B95" s="16" t="s">
        <v>498</v>
      </c>
      <c r="C95" s="16" t="s">
        <v>57</v>
      </c>
      <c r="D95" s="16" t="s">
        <v>23</v>
      </c>
      <c r="E95" s="16" t="s">
        <v>500</v>
      </c>
    </row>
    <row r="96">
      <c r="A96" s="16" t="s">
        <v>501</v>
      </c>
      <c r="B96" s="16" t="s">
        <v>502</v>
      </c>
      <c r="C96" s="16" t="s">
        <v>57</v>
      </c>
      <c r="D96" s="16" t="s">
        <v>73</v>
      </c>
      <c r="E96" s="16" t="s">
        <v>503</v>
      </c>
    </row>
    <row r="97">
      <c r="A97" s="16" t="s">
        <v>504</v>
      </c>
      <c r="B97" s="16" t="s">
        <v>505</v>
      </c>
      <c r="C97" s="16" t="s">
        <v>57</v>
      </c>
      <c r="D97" s="16" t="s">
        <v>73</v>
      </c>
      <c r="E97" s="16" t="s">
        <v>442</v>
      </c>
    </row>
    <row r="98">
      <c r="A98" s="16" t="s">
        <v>507</v>
      </c>
      <c r="B98" s="16" t="s">
        <v>508</v>
      </c>
      <c r="C98" s="16" t="s">
        <v>23</v>
      </c>
      <c r="D98" s="16" t="s">
        <v>61</v>
      </c>
      <c r="E98" s="16" t="s">
        <v>510</v>
      </c>
    </row>
    <row r="99">
      <c r="A99" s="16" t="s">
        <v>511</v>
      </c>
      <c r="B99" s="16" t="s">
        <v>512</v>
      </c>
      <c r="C99" s="16" t="s">
        <v>23</v>
      </c>
      <c r="D99" s="16" t="s">
        <v>73</v>
      </c>
      <c r="E99" s="16" t="s">
        <v>513</v>
      </c>
    </row>
    <row r="100">
      <c r="A100" s="16" t="s">
        <v>514</v>
      </c>
      <c r="B100" s="16" t="s">
        <v>516</v>
      </c>
      <c r="C100" s="16" t="s">
        <v>23</v>
      </c>
      <c r="D100" s="16" t="s">
        <v>73</v>
      </c>
      <c r="E100" s="16" t="s">
        <v>129</v>
      </c>
    </row>
    <row r="101">
      <c r="A101" s="16" t="s">
        <v>518</v>
      </c>
      <c r="B101" s="16" t="s">
        <v>520</v>
      </c>
      <c r="C101" s="16" t="s">
        <v>57</v>
      </c>
      <c r="D101" s="16" t="s">
        <v>73</v>
      </c>
      <c r="E101" s="16" t="s">
        <v>503</v>
      </c>
    </row>
    <row r="102">
      <c r="A102" s="16" t="s">
        <v>521</v>
      </c>
      <c r="B102" s="16" t="s">
        <v>522</v>
      </c>
      <c r="C102" s="16" t="s">
        <v>23</v>
      </c>
      <c r="D102" s="16" t="s">
        <v>73</v>
      </c>
      <c r="E102" s="16" t="s">
        <v>328</v>
      </c>
    </row>
    <row r="103">
      <c r="A103" s="16" t="s">
        <v>523</v>
      </c>
      <c r="B103" s="16" t="s">
        <v>524</v>
      </c>
      <c r="C103" s="16" t="s">
        <v>57</v>
      </c>
      <c r="D103" s="16" t="s">
        <v>73</v>
      </c>
      <c r="E103" s="16" t="s">
        <v>140</v>
      </c>
    </row>
    <row r="104">
      <c r="A104" s="16" t="s">
        <v>526</v>
      </c>
      <c r="B104" s="16" t="s">
        <v>527</v>
      </c>
      <c r="C104" s="16" t="s">
        <v>57</v>
      </c>
      <c r="D104" s="16" t="s">
        <v>73</v>
      </c>
      <c r="E104" s="16" t="s">
        <v>528</v>
      </c>
    </row>
    <row r="105">
      <c r="A105" s="16" t="s">
        <v>529</v>
      </c>
      <c r="B105" s="16" t="s">
        <v>530</v>
      </c>
      <c r="C105" s="16" t="s">
        <v>23</v>
      </c>
      <c r="D105" s="16" t="s">
        <v>73</v>
      </c>
      <c r="E105" s="16" t="s">
        <v>532</v>
      </c>
    </row>
    <row r="106">
      <c r="A106" s="16" t="s">
        <v>533</v>
      </c>
      <c r="B106" s="16" t="s">
        <v>534</v>
      </c>
      <c r="C106" s="16" t="s">
        <v>57</v>
      </c>
      <c r="D106" s="16" t="s">
        <v>73</v>
      </c>
      <c r="E106" s="16" t="s">
        <v>536</v>
      </c>
    </row>
    <row r="107">
      <c r="A107" s="16" t="s">
        <v>537</v>
      </c>
      <c r="B107" s="16" t="s">
        <v>538</v>
      </c>
      <c r="C107" s="16" t="s">
        <v>57</v>
      </c>
      <c r="D107" s="16" t="s">
        <v>73</v>
      </c>
      <c r="E107" s="16" t="s">
        <v>189</v>
      </c>
    </row>
    <row r="108">
      <c r="A108" s="16" t="s">
        <v>539</v>
      </c>
      <c r="B108" s="16" t="s">
        <v>540</v>
      </c>
      <c r="C108" s="16" t="s">
        <v>57</v>
      </c>
      <c r="D108" s="16" t="s">
        <v>73</v>
      </c>
      <c r="E108" s="16" t="s">
        <v>300</v>
      </c>
    </row>
    <row r="109">
      <c r="A109" s="16" t="s">
        <v>541</v>
      </c>
      <c r="B109" s="16" t="s">
        <v>542</v>
      </c>
      <c r="C109" s="16" t="s">
        <v>57</v>
      </c>
      <c r="D109" s="16" t="s">
        <v>73</v>
      </c>
      <c r="E109" s="16" t="s">
        <v>189</v>
      </c>
    </row>
    <row r="110">
      <c r="A110" s="16" t="s">
        <v>544</v>
      </c>
      <c r="B110" s="16" t="s">
        <v>545</v>
      </c>
      <c r="C110" s="16" t="s">
        <v>57</v>
      </c>
      <c r="D110" s="16" t="s">
        <v>73</v>
      </c>
      <c r="E110" s="16" t="s">
        <v>546</v>
      </c>
    </row>
    <row r="111">
      <c r="A111" s="16" t="s">
        <v>548</v>
      </c>
      <c r="B111" s="16" t="s">
        <v>549</v>
      </c>
      <c r="C111" s="16" t="s">
        <v>57</v>
      </c>
      <c r="D111" s="16" t="s">
        <v>73</v>
      </c>
      <c r="E111" s="16" t="s">
        <v>550</v>
      </c>
    </row>
    <row r="112">
      <c r="A112" s="16" t="s">
        <v>551</v>
      </c>
      <c r="B112" s="16" t="s">
        <v>552</v>
      </c>
      <c r="C112" s="16" t="s">
        <v>57</v>
      </c>
      <c r="D112" s="16" t="s">
        <v>73</v>
      </c>
      <c r="E112" s="16" t="s">
        <v>350</v>
      </c>
    </row>
    <row r="113">
      <c r="A113" s="16" t="s">
        <v>554</v>
      </c>
      <c r="B113" s="16" t="s">
        <v>555</v>
      </c>
      <c r="C113" s="16" t="s">
        <v>57</v>
      </c>
      <c r="D113" s="16" t="s">
        <v>73</v>
      </c>
      <c r="E113" s="16" t="s">
        <v>350</v>
      </c>
    </row>
    <row r="114">
      <c r="A114" s="16" t="s">
        <v>556</v>
      </c>
      <c r="B114" s="16" t="s">
        <v>557</v>
      </c>
      <c r="C114" s="16" t="s">
        <v>57</v>
      </c>
      <c r="D114" s="16" t="s">
        <v>23</v>
      </c>
      <c r="E114" s="16" t="s">
        <v>558</v>
      </c>
    </row>
    <row r="115">
      <c r="A115" s="16" t="s">
        <v>560</v>
      </c>
      <c r="B115" s="16" t="s">
        <v>561</v>
      </c>
      <c r="C115" s="16" t="s">
        <v>57</v>
      </c>
      <c r="D115" s="16" t="s">
        <v>73</v>
      </c>
      <c r="E115" s="16" t="s">
        <v>233</v>
      </c>
    </row>
    <row r="116">
      <c r="A116" s="16" t="s">
        <v>562</v>
      </c>
      <c r="B116" s="16" t="s">
        <v>563</v>
      </c>
      <c r="C116" s="16" t="s">
        <v>57</v>
      </c>
      <c r="D116" s="16" t="s">
        <v>73</v>
      </c>
      <c r="E116" s="16" t="s">
        <v>228</v>
      </c>
    </row>
    <row r="117">
      <c r="A117" s="16" t="s">
        <v>566</v>
      </c>
      <c r="B117" s="16" t="s">
        <v>568</v>
      </c>
      <c r="C117" s="16" t="s">
        <v>57</v>
      </c>
      <c r="D117" s="16" t="s">
        <v>73</v>
      </c>
      <c r="E117" s="16" t="s">
        <v>233</v>
      </c>
    </row>
    <row r="118">
      <c r="A118" s="16" t="s">
        <v>569</v>
      </c>
      <c r="B118" s="16" t="s">
        <v>571</v>
      </c>
      <c r="C118" s="16" t="s">
        <v>57</v>
      </c>
      <c r="D118" s="16" t="s">
        <v>73</v>
      </c>
      <c r="E118" s="16" t="s">
        <v>467</v>
      </c>
    </row>
    <row r="119">
      <c r="A119" s="16" t="s">
        <v>572</v>
      </c>
      <c r="B119" s="16" t="s">
        <v>574</v>
      </c>
      <c r="C119" s="16" t="s">
        <v>57</v>
      </c>
      <c r="D119" s="16" t="s">
        <v>73</v>
      </c>
      <c r="E119" s="16" t="s">
        <v>332</v>
      </c>
    </row>
    <row r="120">
      <c r="A120" s="16" t="s">
        <v>575</v>
      </c>
      <c r="B120" s="16" t="s">
        <v>576</v>
      </c>
      <c r="C120" s="16" t="s">
        <v>57</v>
      </c>
      <c r="D120" s="16" t="s">
        <v>73</v>
      </c>
      <c r="E120" s="16" t="s">
        <v>425</v>
      </c>
    </row>
    <row r="121">
      <c r="A121" s="16" t="s">
        <v>577</v>
      </c>
      <c r="B121" s="16" t="s">
        <v>578</v>
      </c>
      <c r="C121" s="16" t="s">
        <v>57</v>
      </c>
      <c r="D121" s="16" t="s">
        <v>73</v>
      </c>
      <c r="E121" s="16" t="s">
        <v>392</v>
      </c>
    </row>
    <row r="122">
      <c r="A122" s="16" t="s">
        <v>580</v>
      </c>
      <c r="B122" s="16" t="s">
        <v>581</v>
      </c>
      <c r="C122" s="16" t="s">
        <v>23</v>
      </c>
      <c r="D122" s="16" t="s">
        <v>73</v>
      </c>
      <c r="E122" s="16" t="s">
        <v>328</v>
      </c>
    </row>
    <row r="123">
      <c r="A123" s="16" t="s">
        <v>583</v>
      </c>
      <c r="B123" s="16" t="s">
        <v>584</v>
      </c>
      <c r="C123" s="16" t="s">
        <v>57</v>
      </c>
      <c r="D123" s="16" t="s">
        <v>73</v>
      </c>
      <c r="E123" s="16" t="s">
        <v>228</v>
      </c>
    </row>
    <row r="124">
      <c r="A124" s="16" t="s">
        <v>586</v>
      </c>
      <c r="B124" s="16" t="s">
        <v>587</v>
      </c>
      <c r="C124" s="16" t="s">
        <v>57</v>
      </c>
      <c r="D124" s="16" t="s">
        <v>73</v>
      </c>
      <c r="E124" s="16" t="s">
        <v>332</v>
      </c>
    </row>
    <row r="125">
      <c r="A125" s="16" t="s">
        <v>590</v>
      </c>
      <c r="B125" s="16" t="s">
        <v>591</v>
      </c>
      <c r="C125" s="16" t="s">
        <v>57</v>
      </c>
      <c r="D125" s="16" t="s">
        <v>73</v>
      </c>
      <c r="E125" s="16" t="s">
        <v>332</v>
      </c>
    </row>
    <row r="126">
      <c r="A126" s="16" t="s">
        <v>593</v>
      </c>
      <c r="B126" s="16" t="s">
        <v>594</v>
      </c>
      <c r="C126" s="16" t="s">
        <v>23</v>
      </c>
      <c r="D126" s="16" t="s">
        <v>114</v>
      </c>
      <c r="E126" s="16" t="s">
        <v>152</v>
      </c>
    </row>
    <row r="127">
      <c r="A127" s="16" t="s">
        <v>596</v>
      </c>
      <c r="B127" s="16" t="s">
        <v>597</v>
      </c>
      <c r="C127" s="16" t="s">
        <v>57</v>
      </c>
      <c r="D127" s="16" t="s">
        <v>73</v>
      </c>
      <c r="E127" s="16" t="s">
        <v>392</v>
      </c>
    </row>
    <row r="128">
      <c r="A128" s="16" t="s">
        <v>307</v>
      </c>
      <c r="B128" s="16" t="s">
        <v>598</v>
      </c>
      <c r="C128" s="16" t="s">
        <v>57</v>
      </c>
      <c r="D128" s="16" t="s">
        <v>73</v>
      </c>
      <c r="E128" s="16" t="s">
        <v>600</v>
      </c>
    </row>
    <row r="129">
      <c r="A129" s="16" t="s">
        <v>601</v>
      </c>
      <c r="B129" s="16" t="s">
        <v>602</v>
      </c>
      <c r="C129" s="16" t="s">
        <v>23</v>
      </c>
      <c r="D129" s="16" t="s">
        <v>73</v>
      </c>
      <c r="E129" s="16" t="s">
        <v>328</v>
      </c>
    </row>
    <row r="130">
      <c r="A130" s="16" t="s">
        <v>603</v>
      </c>
      <c r="B130" s="16" t="s">
        <v>604</v>
      </c>
      <c r="C130" s="16" t="s">
        <v>57</v>
      </c>
      <c r="D130" s="16" t="s">
        <v>73</v>
      </c>
      <c r="E130" s="16" t="s">
        <v>364</v>
      </c>
    </row>
    <row r="131">
      <c r="A131" s="16" t="s">
        <v>606</v>
      </c>
      <c r="B131" s="16" t="s">
        <v>607</v>
      </c>
      <c r="C131" s="16" t="s">
        <v>23</v>
      </c>
      <c r="D131" s="16" t="s">
        <v>73</v>
      </c>
      <c r="E131" s="16" t="s">
        <v>129</v>
      </c>
    </row>
    <row r="132">
      <c r="A132" s="16" t="s">
        <v>608</v>
      </c>
      <c r="B132" s="16" t="s">
        <v>610</v>
      </c>
      <c r="C132" s="16" t="s">
        <v>57</v>
      </c>
      <c r="D132" s="16" t="s">
        <v>73</v>
      </c>
      <c r="E132" s="16" t="s">
        <v>364</v>
      </c>
    </row>
    <row r="133">
      <c r="A133" s="16" t="s">
        <v>613</v>
      </c>
      <c r="B133" s="16" t="s">
        <v>614</v>
      </c>
      <c r="C133" s="16" t="s">
        <v>57</v>
      </c>
      <c r="D133" s="16" t="s">
        <v>73</v>
      </c>
      <c r="E133" s="16" t="s">
        <v>364</v>
      </c>
    </row>
    <row r="134">
      <c r="A134" s="16" t="s">
        <v>616</v>
      </c>
      <c r="B134" s="16" t="s">
        <v>617</v>
      </c>
      <c r="C134" s="16" t="s">
        <v>57</v>
      </c>
      <c r="D134" s="16" t="s">
        <v>73</v>
      </c>
      <c r="E134" s="16" t="s">
        <v>195</v>
      </c>
    </row>
    <row r="135">
      <c r="A135" s="16" t="s">
        <v>619</v>
      </c>
      <c r="B135" s="16" t="s">
        <v>620</v>
      </c>
      <c r="C135" s="16" t="s">
        <v>57</v>
      </c>
      <c r="D135" s="16" t="s">
        <v>73</v>
      </c>
      <c r="E135" s="16" t="s">
        <v>442</v>
      </c>
    </row>
    <row r="136">
      <c r="A136" s="16" t="s">
        <v>621</v>
      </c>
      <c r="B136" s="16" t="s">
        <v>622</v>
      </c>
      <c r="C136" s="16" t="s">
        <v>57</v>
      </c>
      <c r="D136" s="16" t="s">
        <v>73</v>
      </c>
      <c r="E136" s="16" t="s">
        <v>624</v>
      </c>
    </row>
    <row r="137">
      <c r="A137" s="16" t="s">
        <v>625</v>
      </c>
      <c r="B137" s="16" t="s">
        <v>626</v>
      </c>
      <c r="C137" s="16" t="s">
        <v>23</v>
      </c>
      <c r="D137" s="16" t="s">
        <v>73</v>
      </c>
      <c r="E137" s="16" t="s">
        <v>628</v>
      </c>
    </row>
    <row r="138">
      <c r="A138" s="16" t="s">
        <v>630</v>
      </c>
      <c r="B138" s="16" t="s">
        <v>634</v>
      </c>
      <c r="C138" s="16" t="s">
        <v>57</v>
      </c>
      <c r="D138" s="16" t="s">
        <v>73</v>
      </c>
      <c r="E138" s="16" t="s">
        <v>442</v>
      </c>
    </row>
    <row r="139">
      <c r="A139" s="16" t="s">
        <v>636</v>
      </c>
      <c r="B139" s="16" t="s">
        <v>637</v>
      </c>
      <c r="C139" s="16" t="s">
        <v>57</v>
      </c>
      <c r="D139" s="16" t="s">
        <v>73</v>
      </c>
      <c r="E139" s="16" t="s">
        <v>442</v>
      </c>
    </row>
    <row r="140">
      <c r="A140" s="16" t="s">
        <v>638</v>
      </c>
      <c r="B140" s="16" t="s">
        <v>640</v>
      </c>
      <c r="C140" s="16" t="s">
        <v>57</v>
      </c>
      <c r="D140" s="16" t="s">
        <v>73</v>
      </c>
      <c r="E140" s="16" t="s">
        <v>442</v>
      </c>
    </row>
    <row r="141">
      <c r="A141" s="16" t="s">
        <v>641</v>
      </c>
      <c r="B141" s="16" t="s">
        <v>642</v>
      </c>
      <c r="C141" s="16" t="s">
        <v>57</v>
      </c>
      <c r="D141" s="16" t="s">
        <v>73</v>
      </c>
      <c r="E141" s="16" t="s">
        <v>442</v>
      </c>
    </row>
    <row r="142">
      <c r="A142" s="16" t="s">
        <v>644</v>
      </c>
      <c r="B142" s="16" t="s">
        <v>645</v>
      </c>
      <c r="C142" s="16" t="s">
        <v>57</v>
      </c>
      <c r="D142" s="16" t="s">
        <v>73</v>
      </c>
      <c r="E142" s="16" t="s">
        <v>162</v>
      </c>
    </row>
    <row r="143">
      <c r="A143" s="16" t="s">
        <v>646</v>
      </c>
      <c r="B143" s="16" t="s">
        <v>647</v>
      </c>
      <c r="C143" s="16" t="s">
        <v>57</v>
      </c>
      <c r="D143" s="16" t="s">
        <v>23</v>
      </c>
      <c r="E143" s="16" t="s">
        <v>558</v>
      </c>
    </row>
    <row r="144">
      <c r="A144" s="16" t="s">
        <v>294</v>
      </c>
      <c r="B144" s="16" t="s">
        <v>648</v>
      </c>
      <c r="C144" s="16" t="s">
        <v>57</v>
      </c>
      <c r="D144" s="16" t="s">
        <v>114</v>
      </c>
      <c r="E144" s="16" t="s">
        <v>650</v>
      </c>
    </row>
    <row r="145">
      <c r="A145" s="16" t="s">
        <v>652</v>
      </c>
      <c r="B145" s="16" t="s">
        <v>653</v>
      </c>
      <c r="C145" s="16" t="s">
        <v>57</v>
      </c>
      <c r="D145" s="16" t="s">
        <v>73</v>
      </c>
      <c r="E145" s="16" t="s">
        <v>536</v>
      </c>
    </row>
    <row r="146">
      <c r="A146" s="16" t="s">
        <v>655</v>
      </c>
      <c r="B146" s="16" t="s">
        <v>656</v>
      </c>
      <c r="C146" s="16" t="s">
        <v>57</v>
      </c>
      <c r="D146" s="16" t="s">
        <v>73</v>
      </c>
      <c r="E146" s="16" t="s">
        <v>536</v>
      </c>
    </row>
    <row r="147">
      <c r="A147" s="16" t="s">
        <v>658</v>
      </c>
      <c r="B147" s="16" t="s">
        <v>660</v>
      </c>
      <c r="C147" s="16" t="s">
        <v>57</v>
      </c>
      <c r="D147" s="16" t="s">
        <v>73</v>
      </c>
      <c r="E147" s="16" t="s">
        <v>663</v>
      </c>
    </row>
    <row r="148">
      <c r="A148" s="16" t="s">
        <v>116</v>
      </c>
      <c r="B148" s="16" t="s">
        <v>665</v>
      </c>
      <c r="C148" s="16" t="s">
        <v>57</v>
      </c>
      <c r="D148" s="16" t="s">
        <v>73</v>
      </c>
      <c r="E148" s="16" t="s">
        <v>219</v>
      </c>
    </row>
    <row r="149">
      <c r="A149" s="16" t="s">
        <v>667</v>
      </c>
      <c r="B149" s="16" t="s">
        <v>668</v>
      </c>
      <c r="C149" s="16" t="s">
        <v>23</v>
      </c>
      <c r="D149" s="16" t="s">
        <v>73</v>
      </c>
      <c r="E149" s="16" t="s">
        <v>328</v>
      </c>
    </row>
    <row r="150">
      <c r="A150" s="16" t="s">
        <v>670</v>
      </c>
      <c r="B150" s="16" t="s">
        <v>672</v>
      </c>
      <c r="C150" s="16" t="s">
        <v>57</v>
      </c>
      <c r="D150" s="16" t="s">
        <v>73</v>
      </c>
      <c r="E150" s="16" t="s">
        <v>350</v>
      </c>
    </row>
    <row r="151" hidden="1">
      <c r="A151" s="16" t="s">
        <v>674</v>
      </c>
      <c r="B151" s="16" t="s">
        <v>675</v>
      </c>
      <c r="C151" s="16" t="s">
        <v>234</v>
      </c>
      <c r="D151" s="16" t="s">
        <v>73</v>
      </c>
      <c r="E151" s="16" t="s">
        <v>236</v>
      </c>
    </row>
    <row r="152">
      <c r="A152" s="16" t="s">
        <v>676</v>
      </c>
      <c r="B152" s="16" t="s">
        <v>677</v>
      </c>
      <c r="C152" s="16" t="s">
        <v>23</v>
      </c>
      <c r="D152" s="16" t="s">
        <v>73</v>
      </c>
      <c r="E152" s="16" t="s">
        <v>681</v>
      </c>
    </row>
    <row r="153">
      <c r="A153" s="16" t="s">
        <v>682</v>
      </c>
      <c r="B153" s="16" t="s">
        <v>683</v>
      </c>
      <c r="C153" s="16" t="s">
        <v>23</v>
      </c>
      <c r="D153" s="16" t="s">
        <v>73</v>
      </c>
      <c r="E153" s="16" t="s">
        <v>328</v>
      </c>
    </row>
    <row r="154">
      <c r="A154" s="16" t="s">
        <v>685</v>
      </c>
      <c r="B154" s="16" t="s">
        <v>686</v>
      </c>
      <c r="C154" s="16" t="s">
        <v>23</v>
      </c>
      <c r="D154" s="16" t="s">
        <v>73</v>
      </c>
      <c r="E154" s="16" t="s">
        <v>681</v>
      </c>
    </row>
    <row r="155">
      <c r="A155" s="16" t="s">
        <v>688</v>
      </c>
      <c r="B155" s="16" t="s">
        <v>686</v>
      </c>
      <c r="C155" s="16" t="s">
        <v>23</v>
      </c>
      <c r="D155" s="16" t="s">
        <v>73</v>
      </c>
      <c r="E155" s="16" t="s">
        <v>328</v>
      </c>
    </row>
    <row r="156">
      <c r="A156" s="16" t="s">
        <v>690</v>
      </c>
      <c r="B156" s="16" t="s">
        <v>692</v>
      </c>
      <c r="C156" s="16" t="s">
        <v>23</v>
      </c>
      <c r="D156" s="16" t="s">
        <v>73</v>
      </c>
      <c r="E156" s="16" t="s">
        <v>695</v>
      </c>
    </row>
    <row r="157">
      <c r="A157" s="16" t="s">
        <v>698</v>
      </c>
      <c r="B157" s="16" t="s">
        <v>699</v>
      </c>
      <c r="C157" s="16" t="s">
        <v>57</v>
      </c>
      <c r="D157" s="16" t="s">
        <v>23</v>
      </c>
      <c r="E157" s="16" t="s">
        <v>558</v>
      </c>
    </row>
    <row r="158">
      <c r="A158" s="16" t="s">
        <v>700</v>
      </c>
      <c r="B158" s="16" t="s">
        <v>702</v>
      </c>
      <c r="C158" s="16" t="s">
        <v>23</v>
      </c>
      <c r="D158" s="16" t="s">
        <v>114</v>
      </c>
      <c r="E158" s="16" t="s">
        <v>152</v>
      </c>
    </row>
    <row r="159">
      <c r="A159" s="16" t="s">
        <v>703</v>
      </c>
      <c r="B159" s="16" t="s">
        <v>705</v>
      </c>
      <c r="C159" s="16" t="s">
        <v>23</v>
      </c>
      <c r="D159" s="16" t="s">
        <v>73</v>
      </c>
      <c r="E159" s="16" t="s">
        <v>328</v>
      </c>
    </row>
    <row r="160">
      <c r="A160" s="16" t="s">
        <v>706</v>
      </c>
      <c r="B160" s="16" t="s">
        <v>708</v>
      </c>
      <c r="C160" s="16" t="s">
        <v>57</v>
      </c>
      <c r="D160" s="16" t="s">
        <v>114</v>
      </c>
      <c r="E160" s="16" t="s">
        <v>198</v>
      </c>
    </row>
    <row r="161">
      <c r="A161" s="16" t="s">
        <v>713</v>
      </c>
      <c r="B161" s="16" t="s">
        <v>714</v>
      </c>
      <c r="C161" s="16" t="s">
        <v>23</v>
      </c>
      <c r="D161" s="16" t="s">
        <v>73</v>
      </c>
      <c r="E161" s="16" t="s">
        <v>144</v>
      </c>
    </row>
    <row r="162">
      <c r="A162" s="16" t="s">
        <v>716</v>
      </c>
      <c r="B162" s="16" t="s">
        <v>717</v>
      </c>
      <c r="C162" s="16" t="s">
        <v>57</v>
      </c>
      <c r="D162" s="16" t="s">
        <v>73</v>
      </c>
      <c r="E162" s="16" t="s">
        <v>350</v>
      </c>
    </row>
    <row r="163">
      <c r="A163" s="16" t="s">
        <v>718</v>
      </c>
      <c r="B163" s="16" t="s">
        <v>719</v>
      </c>
      <c r="C163" s="16" t="s">
        <v>23</v>
      </c>
      <c r="D163" s="16" t="s">
        <v>61</v>
      </c>
      <c r="E163" s="16" t="s">
        <v>328</v>
      </c>
    </row>
    <row r="164">
      <c r="A164" s="16" t="s">
        <v>720</v>
      </c>
      <c r="B164" s="16" t="s">
        <v>721</v>
      </c>
      <c r="C164" s="16" t="s">
        <v>23</v>
      </c>
      <c r="D164" s="16" t="s">
        <v>73</v>
      </c>
      <c r="E164" s="16" t="s">
        <v>328</v>
      </c>
    </row>
    <row r="165">
      <c r="A165" s="16" t="s">
        <v>724</v>
      </c>
      <c r="B165" s="16" t="s">
        <v>726</v>
      </c>
      <c r="C165" s="16" t="s">
        <v>23</v>
      </c>
      <c r="D165" s="16" t="s">
        <v>73</v>
      </c>
      <c r="E165" s="16" t="s">
        <v>152</v>
      </c>
    </row>
    <row r="166">
      <c r="A166" s="16" t="s">
        <v>728</v>
      </c>
      <c r="B166" s="16" t="s">
        <v>729</v>
      </c>
      <c r="C166" s="16" t="s">
        <v>23</v>
      </c>
      <c r="D166" s="16" t="s">
        <v>61</v>
      </c>
      <c r="E166" s="16" t="s">
        <v>328</v>
      </c>
    </row>
    <row r="167">
      <c r="A167" s="16" t="s">
        <v>220</v>
      </c>
      <c r="B167" s="16" t="s">
        <v>731</v>
      </c>
      <c r="C167" s="16" t="s">
        <v>57</v>
      </c>
      <c r="D167" s="16" t="s">
        <v>73</v>
      </c>
      <c r="E167" s="16" t="s">
        <v>732</v>
      </c>
    </row>
    <row r="168">
      <c r="A168" s="16" t="s">
        <v>733</v>
      </c>
      <c r="B168" s="16" t="s">
        <v>734</v>
      </c>
      <c r="C168" s="16" t="s">
        <v>57</v>
      </c>
      <c r="D168" s="16" t="s">
        <v>73</v>
      </c>
      <c r="E168" s="16" t="s">
        <v>736</v>
      </c>
    </row>
    <row r="169">
      <c r="A169" s="16" t="s">
        <v>737</v>
      </c>
      <c r="B169" s="16" t="s">
        <v>738</v>
      </c>
      <c r="C169" s="16" t="s">
        <v>23</v>
      </c>
      <c r="D169" s="16" t="s">
        <v>73</v>
      </c>
      <c r="E169" s="16" t="s">
        <v>328</v>
      </c>
    </row>
    <row r="170">
      <c r="A170" s="16" t="s">
        <v>742</v>
      </c>
      <c r="B170" s="16" t="s">
        <v>744</v>
      </c>
      <c r="C170" s="16" t="s">
        <v>57</v>
      </c>
      <c r="D170" s="16" t="s">
        <v>114</v>
      </c>
      <c r="E170" s="16" t="s">
        <v>745</v>
      </c>
    </row>
    <row r="171">
      <c r="A171" s="16" t="s">
        <v>694</v>
      </c>
      <c r="B171" s="16" t="s">
        <v>747</v>
      </c>
      <c r="C171" s="16" t="s">
        <v>57</v>
      </c>
      <c r="D171" s="16" t="s">
        <v>73</v>
      </c>
      <c r="E171" s="16" t="s">
        <v>748</v>
      </c>
    </row>
    <row r="172">
      <c r="A172" s="16" t="s">
        <v>750</v>
      </c>
      <c r="B172" s="16" t="s">
        <v>751</v>
      </c>
      <c r="C172" s="16" t="s">
        <v>23</v>
      </c>
      <c r="D172" s="16" t="s">
        <v>73</v>
      </c>
      <c r="E172" s="16" t="s">
        <v>135</v>
      </c>
    </row>
    <row r="173">
      <c r="A173" s="16" t="s">
        <v>752</v>
      </c>
      <c r="B173" s="16" t="s">
        <v>753</v>
      </c>
      <c r="C173" s="16" t="s">
        <v>23</v>
      </c>
      <c r="D173" s="16" t="s">
        <v>73</v>
      </c>
      <c r="E173" s="16" t="s">
        <v>152</v>
      </c>
    </row>
    <row r="174" hidden="1">
      <c r="A174" s="16" t="s">
        <v>755</v>
      </c>
      <c r="B174" s="16" t="s">
        <v>756</v>
      </c>
      <c r="C174" s="16" t="s">
        <v>234</v>
      </c>
      <c r="D174" s="16" t="s">
        <v>73</v>
      </c>
      <c r="E174" s="16" t="s">
        <v>759</v>
      </c>
    </row>
    <row r="175">
      <c r="A175" s="16" t="s">
        <v>761</v>
      </c>
      <c r="B175" s="16" t="s">
        <v>763</v>
      </c>
      <c r="C175" s="16" t="s">
        <v>23</v>
      </c>
      <c r="D175" s="16" t="s">
        <v>73</v>
      </c>
      <c r="E175" s="16" t="s">
        <v>546</v>
      </c>
    </row>
    <row r="176">
      <c r="A176" s="16" t="s">
        <v>769</v>
      </c>
      <c r="B176" s="16" t="s">
        <v>770</v>
      </c>
      <c r="C176" s="16" t="s">
        <v>23</v>
      </c>
      <c r="D176" s="16" t="s">
        <v>73</v>
      </c>
      <c r="E176" s="16" t="s">
        <v>550</v>
      </c>
    </row>
    <row r="177">
      <c r="A177" s="16" t="s">
        <v>772</v>
      </c>
      <c r="B177" s="16" t="s">
        <v>774</v>
      </c>
      <c r="C177" s="16" t="s">
        <v>23</v>
      </c>
      <c r="D177" s="16" t="s">
        <v>73</v>
      </c>
      <c r="E177" s="16" t="s">
        <v>421</v>
      </c>
    </row>
    <row r="178">
      <c r="A178" s="16" t="s">
        <v>775</v>
      </c>
      <c r="B178" s="16" t="s">
        <v>776</v>
      </c>
      <c r="C178" s="16" t="s">
        <v>57</v>
      </c>
      <c r="D178" s="16" t="s">
        <v>73</v>
      </c>
      <c r="E178" s="16" t="s">
        <v>779</v>
      </c>
    </row>
    <row r="179">
      <c r="A179" s="16" t="s">
        <v>781</v>
      </c>
      <c r="B179" s="16" t="s">
        <v>783</v>
      </c>
      <c r="C179" s="16" t="s">
        <v>23</v>
      </c>
      <c r="D179" s="16" t="s">
        <v>114</v>
      </c>
      <c r="E179" s="16" t="s">
        <v>152</v>
      </c>
    </row>
    <row r="180" hidden="1">
      <c r="A180" s="16" t="s">
        <v>786</v>
      </c>
      <c r="B180" s="16" t="s">
        <v>787</v>
      </c>
      <c r="C180" s="16" t="s">
        <v>234</v>
      </c>
      <c r="D180" s="16" t="s">
        <v>114</v>
      </c>
      <c r="E180" s="16" t="s">
        <v>236</v>
      </c>
    </row>
    <row r="181" hidden="1">
      <c r="A181" s="16" t="s">
        <v>789</v>
      </c>
      <c r="B181" s="16" t="s">
        <v>790</v>
      </c>
      <c r="C181" s="16" t="s">
        <v>234</v>
      </c>
      <c r="D181" s="16" t="s">
        <v>73</v>
      </c>
      <c r="E181" s="16" t="s">
        <v>759</v>
      </c>
    </row>
    <row r="182">
      <c r="A182" s="16" t="s">
        <v>793</v>
      </c>
      <c r="B182" s="16" t="s">
        <v>794</v>
      </c>
      <c r="C182" s="16" t="s">
        <v>57</v>
      </c>
      <c r="D182" s="16" t="s">
        <v>73</v>
      </c>
      <c r="E182" s="16" t="s">
        <v>189</v>
      </c>
    </row>
    <row r="183">
      <c r="A183" s="16" t="s">
        <v>795</v>
      </c>
      <c r="B183" s="16" t="s">
        <v>796</v>
      </c>
      <c r="C183" s="16" t="s">
        <v>57</v>
      </c>
      <c r="D183" s="16" t="s">
        <v>73</v>
      </c>
      <c r="E183" s="16" t="s">
        <v>473</v>
      </c>
    </row>
    <row r="184">
      <c r="A184" s="16" t="s">
        <v>800</v>
      </c>
      <c r="B184" s="16" t="s">
        <v>801</v>
      </c>
      <c r="C184" s="16" t="s">
        <v>57</v>
      </c>
      <c r="D184" s="16" t="s">
        <v>73</v>
      </c>
      <c r="E184" s="16" t="s">
        <v>803</v>
      </c>
    </row>
    <row r="185">
      <c r="A185" s="16" t="s">
        <v>804</v>
      </c>
      <c r="B185" s="16" t="s">
        <v>805</v>
      </c>
      <c r="C185" s="16" t="s">
        <v>23</v>
      </c>
      <c r="D185" s="16" t="s">
        <v>73</v>
      </c>
      <c r="E185" s="16" t="s">
        <v>129</v>
      </c>
    </row>
    <row r="186" hidden="1">
      <c r="A186" s="16" t="s">
        <v>806</v>
      </c>
      <c r="B186" s="16" t="s">
        <v>807</v>
      </c>
      <c r="C186" s="16" t="s">
        <v>234</v>
      </c>
      <c r="D186" s="16" t="s">
        <v>73</v>
      </c>
      <c r="E186" s="16" t="s">
        <v>236</v>
      </c>
    </row>
    <row r="187">
      <c r="A187" s="16" t="s">
        <v>809</v>
      </c>
      <c r="B187" s="16" t="s">
        <v>810</v>
      </c>
      <c r="C187" s="16" t="s">
        <v>57</v>
      </c>
      <c r="D187" s="16" t="s">
        <v>23</v>
      </c>
      <c r="E187" s="16" t="s">
        <v>285</v>
      </c>
    </row>
    <row r="188">
      <c r="A188" s="16" t="s">
        <v>811</v>
      </c>
      <c r="B188" s="16" t="s">
        <v>813</v>
      </c>
      <c r="C188" s="16" t="s">
        <v>23</v>
      </c>
      <c r="D188" s="16" t="s">
        <v>73</v>
      </c>
      <c r="E188" s="16" t="s">
        <v>681</v>
      </c>
    </row>
    <row r="189">
      <c r="A189" s="16" t="s">
        <v>814</v>
      </c>
      <c r="B189" s="16" t="s">
        <v>686</v>
      </c>
      <c r="C189" s="16" t="s">
        <v>23</v>
      </c>
      <c r="D189" s="16" t="s">
        <v>73</v>
      </c>
      <c r="E189" s="16" t="s">
        <v>681</v>
      </c>
    </row>
    <row r="190">
      <c r="A190" s="16" t="s">
        <v>816</v>
      </c>
      <c r="B190" s="16" t="s">
        <v>818</v>
      </c>
      <c r="C190" s="16" t="s">
        <v>23</v>
      </c>
      <c r="D190" s="16" t="s">
        <v>73</v>
      </c>
      <c r="E190" s="16" t="s">
        <v>695</v>
      </c>
    </row>
    <row r="191">
      <c r="A191" s="16" t="s">
        <v>819</v>
      </c>
      <c r="B191" s="16" t="s">
        <v>820</v>
      </c>
      <c r="C191" s="16" t="s">
        <v>23</v>
      </c>
      <c r="D191" s="16" t="s">
        <v>73</v>
      </c>
      <c r="E191" s="16" t="s">
        <v>695</v>
      </c>
    </row>
    <row r="192">
      <c r="A192" s="16" t="s">
        <v>821</v>
      </c>
      <c r="B192" s="16" t="s">
        <v>822</v>
      </c>
      <c r="C192" s="16" t="s">
        <v>23</v>
      </c>
      <c r="D192" s="16" t="s">
        <v>23</v>
      </c>
      <c r="E192" s="16" t="s">
        <v>328</v>
      </c>
    </row>
    <row r="193">
      <c r="A193" s="16" t="s">
        <v>825</v>
      </c>
      <c r="B193" s="16" t="s">
        <v>826</v>
      </c>
      <c r="C193" s="16" t="s">
        <v>23</v>
      </c>
      <c r="D193" s="16" t="s">
        <v>73</v>
      </c>
      <c r="E193" s="16" t="s">
        <v>328</v>
      </c>
    </row>
    <row r="194">
      <c r="A194" s="16" t="s">
        <v>782</v>
      </c>
      <c r="B194" s="16" t="s">
        <v>827</v>
      </c>
      <c r="C194" s="16" t="s">
        <v>23</v>
      </c>
      <c r="D194" s="16" t="s">
        <v>73</v>
      </c>
      <c r="E194" s="16" t="s">
        <v>628</v>
      </c>
    </row>
    <row r="195">
      <c r="A195" s="16" t="s">
        <v>829</v>
      </c>
      <c r="B195" s="16" t="s">
        <v>830</v>
      </c>
      <c r="C195" s="16" t="s">
        <v>23</v>
      </c>
      <c r="D195" s="16" t="s">
        <v>73</v>
      </c>
      <c r="E195" s="16" t="s">
        <v>328</v>
      </c>
    </row>
    <row r="196" hidden="1">
      <c r="A196" s="16" t="s">
        <v>832</v>
      </c>
      <c r="B196" s="16" t="s">
        <v>833</v>
      </c>
      <c r="C196" s="16" t="s">
        <v>234</v>
      </c>
      <c r="D196" s="16" t="s">
        <v>73</v>
      </c>
      <c r="E196" s="16" t="s">
        <v>835</v>
      </c>
    </row>
    <row r="197">
      <c r="A197" s="16" t="s">
        <v>838</v>
      </c>
      <c r="B197" s="16" t="s">
        <v>839</v>
      </c>
      <c r="C197" s="16" t="s">
        <v>23</v>
      </c>
      <c r="D197" s="16" t="s">
        <v>73</v>
      </c>
      <c r="E197" s="16" t="s">
        <v>550</v>
      </c>
    </row>
    <row r="198">
      <c r="A198" s="16" t="s">
        <v>245</v>
      </c>
      <c r="B198" s="16" t="s">
        <v>840</v>
      </c>
      <c r="C198" s="16" t="s">
        <v>23</v>
      </c>
      <c r="D198" s="16" t="s">
        <v>73</v>
      </c>
      <c r="E198" s="16" t="s">
        <v>841</v>
      </c>
    </row>
    <row r="199">
      <c r="A199" s="16" t="s">
        <v>321</v>
      </c>
      <c r="B199" s="16" t="s">
        <v>842</v>
      </c>
      <c r="C199" s="16" t="s">
        <v>57</v>
      </c>
      <c r="D199" s="16" t="s">
        <v>73</v>
      </c>
      <c r="E199" s="16" t="s">
        <v>536</v>
      </c>
    </row>
    <row r="200" hidden="1">
      <c r="A200" s="16" t="s">
        <v>845</v>
      </c>
      <c r="B200" s="16" t="s">
        <v>847</v>
      </c>
      <c r="C200" s="16" t="s">
        <v>234</v>
      </c>
      <c r="D200" s="16" t="s">
        <v>73</v>
      </c>
      <c r="E200" s="16" t="s">
        <v>236</v>
      </c>
    </row>
    <row r="201" hidden="1">
      <c r="A201" s="16" t="s">
        <v>337</v>
      </c>
      <c r="B201" s="16" t="s">
        <v>436</v>
      </c>
      <c r="C201" s="16" t="s">
        <v>234</v>
      </c>
      <c r="D201" s="16" t="s">
        <v>73</v>
      </c>
      <c r="E201" s="16" t="s">
        <v>236</v>
      </c>
    </row>
    <row r="202" hidden="1">
      <c r="A202" s="16" t="s">
        <v>850</v>
      </c>
      <c r="B202" s="16" t="s">
        <v>851</v>
      </c>
      <c r="C202" s="16" t="s">
        <v>234</v>
      </c>
      <c r="D202" s="16" t="s">
        <v>73</v>
      </c>
      <c r="E202" s="16" t="s">
        <v>236</v>
      </c>
    </row>
    <row r="203" hidden="1">
      <c r="A203" s="16" t="s">
        <v>852</v>
      </c>
      <c r="B203" s="16" t="s">
        <v>853</v>
      </c>
      <c r="C203" s="16" t="s">
        <v>234</v>
      </c>
      <c r="D203" s="16" t="s">
        <v>73</v>
      </c>
      <c r="E203" s="16" t="s">
        <v>236</v>
      </c>
    </row>
    <row r="204" hidden="1">
      <c r="A204" s="16" t="s">
        <v>854</v>
      </c>
      <c r="B204" s="16" t="s">
        <v>855</v>
      </c>
      <c r="C204" s="16" t="s">
        <v>234</v>
      </c>
      <c r="D204" s="16" t="s">
        <v>73</v>
      </c>
      <c r="E204" s="16" t="s">
        <v>236</v>
      </c>
    </row>
    <row r="205" hidden="1">
      <c r="A205" s="16" t="s">
        <v>857</v>
      </c>
      <c r="B205" s="16" t="s">
        <v>858</v>
      </c>
      <c r="C205" s="16" t="s">
        <v>234</v>
      </c>
      <c r="D205" s="16" t="s">
        <v>73</v>
      </c>
      <c r="E205" s="16" t="s">
        <v>129</v>
      </c>
    </row>
    <row r="206">
      <c r="A206" s="16" t="s">
        <v>860</v>
      </c>
      <c r="B206" s="16" t="s">
        <v>861</v>
      </c>
      <c r="C206" s="16" t="s">
        <v>23</v>
      </c>
      <c r="D206" s="16" t="s">
        <v>73</v>
      </c>
      <c r="E206" s="16" t="s">
        <v>865</v>
      </c>
    </row>
    <row r="207">
      <c r="A207" s="16" t="s">
        <v>866</v>
      </c>
      <c r="B207" s="16" t="s">
        <v>868</v>
      </c>
      <c r="C207" s="16" t="s">
        <v>23</v>
      </c>
      <c r="D207" s="16" t="s">
        <v>73</v>
      </c>
      <c r="E207" s="16" t="s">
        <v>129</v>
      </c>
    </row>
    <row r="208">
      <c r="A208" s="16" t="s">
        <v>869</v>
      </c>
      <c r="B208" s="16" t="s">
        <v>870</v>
      </c>
      <c r="C208" s="16" t="s">
        <v>23</v>
      </c>
      <c r="D208" s="16" t="s">
        <v>73</v>
      </c>
      <c r="E208" s="16" t="s">
        <v>129</v>
      </c>
    </row>
    <row r="209">
      <c r="A209" s="16" t="s">
        <v>871</v>
      </c>
      <c r="B209" s="16" t="s">
        <v>872</v>
      </c>
      <c r="C209" s="16" t="s">
        <v>23</v>
      </c>
      <c r="D209" s="16" t="s">
        <v>73</v>
      </c>
      <c r="E209" s="16" t="s">
        <v>328</v>
      </c>
    </row>
    <row r="210" hidden="1">
      <c r="A210" s="16" t="s">
        <v>874</v>
      </c>
      <c r="B210" s="16" t="s">
        <v>875</v>
      </c>
      <c r="C210" s="16" t="s">
        <v>234</v>
      </c>
      <c r="D210" s="16" t="s">
        <v>73</v>
      </c>
      <c r="E210" s="16" t="s">
        <v>236</v>
      </c>
    </row>
    <row r="211">
      <c r="A211" s="16" t="s">
        <v>739</v>
      </c>
      <c r="B211" s="16" t="s">
        <v>876</v>
      </c>
      <c r="C211" s="16" t="s">
        <v>57</v>
      </c>
      <c r="D211" s="16" t="s">
        <v>114</v>
      </c>
      <c r="E211" s="16" t="s">
        <v>558</v>
      </c>
    </row>
    <row r="212">
      <c r="A212" s="16" t="s">
        <v>723</v>
      </c>
      <c r="B212" s="16" t="s">
        <v>878</v>
      </c>
      <c r="C212" s="16" t="s">
        <v>57</v>
      </c>
      <c r="D212" s="16" t="s">
        <v>73</v>
      </c>
      <c r="E212" s="16" t="s">
        <v>624</v>
      </c>
    </row>
    <row r="213" hidden="1">
      <c r="A213" s="16" t="s">
        <v>879</v>
      </c>
      <c r="B213" s="16" t="s">
        <v>880</v>
      </c>
      <c r="C213" s="16" t="s">
        <v>234</v>
      </c>
      <c r="D213" s="16" t="s">
        <v>73</v>
      </c>
      <c r="E213" s="16" t="s">
        <v>236</v>
      </c>
    </row>
    <row r="214">
      <c r="A214" s="16" t="s">
        <v>882</v>
      </c>
      <c r="B214" s="16" t="s">
        <v>883</v>
      </c>
      <c r="C214" s="16" t="s">
        <v>23</v>
      </c>
      <c r="D214" s="16" t="s">
        <v>73</v>
      </c>
      <c r="E214" s="16" t="s">
        <v>628</v>
      </c>
    </row>
    <row r="215">
      <c r="A215" s="16" t="s">
        <v>884</v>
      </c>
      <c r="B215" s="16" t="s">
        <v>885</v>
      </c>
      <c r="C215" s="16" t="s">
        <v>57</v>
      </c>
      <c r="D215" s="16" t="s">
        <v>73</v>
      </c>
      <c r="E215" s="16" t="s">
        <v>887</v>
      </c>
    </row>
    <row r="216">
      <c r="A216" s="16" t="s">
        <v>888</v>
      </c>
      <c r="B216" s="16" t="s">
        <v>891</v>
      </c>
      <c r="C216" s="16" t="s">
        <v>57</v>
      </c>
      <c r="D216" s="16" t="s">
        <v>73</v>
      </c>
      <c r="E216" s="16" t="s">
        <v>198</v>
      </c>
    </row>
    <row r="217" hidden="1">
      <c r="A217" s="16" t="s">
        <v>256</v>
      </c>
      <c r="B217" s="16" t="s">
        <v>894</v>
      </c>
      <c r="C217" s="16" t="s">
        <v>234</v>
      </c>
      <c r="D217" s="16" t="s">
        <v>73</v>
      </c>
      <c r="E217" s="16" t="s">
        <v>236</v>
      </c>
    </row>
    <row r="218">
      <c r="A218" s="16" t="s">
        <v>895</v>
      </c>
      <c r="B218" s="16" t="s">
        <v>897</v>
      </c>
      <c r="C218" s="16" t="s">
        <v>23</v>
      </c>
      <c r="D218" s="16" t="s">
        <v>73</v>
      </c>
      <c r="E218" s="16" t="s">
        <v>178</v>
      </c>
    </row>
    <row r="219">
      <c r="A219" s="16" t="s">
        <v>898</v>
      </c>
      <c r="B219" s="16" t="s">
        <v>900</v>
      </c>
      <c r="C219" s="16" t="s">
        <v>23</v>
      </c>
      <c r="D219" s="16" t="s">
        <v>73</v>
      </c>
      <c r="E219" s="16" t="s">
        <v>628</v>
      </c>
    </row>
    <row r="220" hidden="1">
      <c r="A220" s="16" t="s">
        <v>901</v>
      </c>
      <c r="B220" s="16" t="s">
        <v>903</v>
      </c>
      <c r="C220" s="16" t="s">
        <v>234</v>
      </c>
      <c r="D220" s="16" t="s">
        <v>73</v>
      </c>
      <c r="E220" s="16" t="s">
        <v>236</v>
      </c>
    </row>
    <row r="221" hidden="1">
      <c r="A221" s="16" t="s">
        <v>907</v>
      </c>
      <c r="B221" s="16" t="s">
        <v>908</v>
      </c>
      <c r="C221" s="16" t="s">
        <v>234</v>
      </c>
      <c r="D221" s="16" t="s">
        <v>73</v>
      </c>
      <c r="E221" s="16" t="s">
        <v>236</v>
      </c>
    </row>
    <row r="222" hidden="1">
      <c r="A222" s="16" t="s">
        <v>909</v>
      </c>
      <c r="B222" s="16" t="s">
        <v>910</v>
      </c>
      <c r="C222" s="16" t="s">
        <v>234</v>
      </c>
      <c r="D222" s="16" t="s">
        <v>73</v>
      </c>
      <c r="E222" s="16" t="s">
        <v>236</v>
      </c>
    </row>
    <row r="223" hidden="1">
      <c r="A223" s="16" t="s">
        <v>912</v>
      </c>
      <c r="B223" s="16" t="s">
        <v>913</v>
      </c>
      <c r="C223" s="16" t="s">
        <v>234</v>
      </c>
      <c r="D223" s="16" t="s">
        <v>73</v>
      </c>
      <c r="E223" s="16" t="s">
        <v>236</v>
      </c>
    </row>
    <row r="224" hidden="1">
      <c r="A224" s="16" t="s">
        <v>915</v>
      </c>
      <c r="B224" s="16" t="s">
        <v>916</v>
      </c>
      <c r="C224" s="16" t="s">
        <v>234</v>
      </c>
      <c r="D224" s="16" t="s">
        <v>73</v>
      </c>
      <c r="E224" s="16" t="s">
        <v>236</v>
      </c>
    </row>
    <row r="225" hidden="1">
      <c r="A225" s="16" t="s">
        <v>917</v>
      </c>
      <c r="B225" s="16" t="s">
        <v>918</v>
      </c>
      <c r="C225" s="16" t="s">
        <v>234</v>
      </c>
      <c r="D225" s="16" t="s">
        <v>73</v>
      </c>
      <c r="E225" s="16" t="s">
        <v>236</v>
      </c>
    </row>
    <row r="226" hidden="1">
      <c r="A226" s="16" t="s">
        <v>919</v>
      </c>
      <c r="B226" s="16" t="s">
        <v>920</v>
      </c>
      <c r="C226" s="16" t="s">
        <v>234</v>
      </c>
      <c r="D226" s="16" t="s">
        <v>73</v>
      </c>
      <c r="E226" s="16" t="s">
        <v>236</v>
      </c>
    </row>
    <row r="227">
      <c r="A227" s="16" t="s">
        <v>922</v>
      </c>
      <c r="B227" s="16" t="s">
        <v>923</v>
      </c>
      <c r="C227" s="16" t="s">
        <v>57</v>
      </c>
      <c r="D227" s="16" t="s">
        <v>73</v>
      </c>
      <c r="E227" s="16" t="s">
        <v>924</v>
      </c>
    </row>
    <row r="228">
      <c r="A228" s="16" t="s">
        <v>925</v>
      </c>
      <c r="B228" s="16" t="s">
        <v>926</v>
      </c>
      <c r="C228" s="16" t="s">
        <v>23</v>
      </c>
      <c r="D228" s="16" t="s">
        <v>73</v>
      </c>
      <c r="E228" s="16" t="s">
        <v>628</v>
      </c>
    </row>
    <row r="229">
      <c r="A229" s="16" t="s">
        <v>929</v>
      </c>
      <c r="B229" s="16" t="s">
        <v>932</v>
      </c>
      <c r="C229" s="16" t="s">
        <v>57</v>
      </c>
      <c r="D229" s="16" t="s">
        <v>73</v>
      </c>
      <c r="E229" s="16" t="s">
        <v>934</v>
      </c>
    </row>
    <row r="230">
      <c r="A230" s="16" t="s">
        <v>935</v>
      </c>
      <c r="B230" s="16" t="s">
        <v>936</v>
      </c>
      <c r="C230" s="16" t="s">
        <v>57</v>
      </c>
      <c r="D230" s="16" t="s">
        <v>73</v>
      </c>
      <c r="E230" s="16" t="s">
        <v>536</v>
      </c>
    </row>
    <row r="231">
      <c r="A231" s="16" t="s">
        <v>938</v>
      </c>
      <c r="B231" s="16" t="s">
        <v>939</v>
      </c>
      <c r="C231" s="16" t="s">
        <v>23</v>
      </c>
      <c r="D231" s="16" t="s">
        <v>73</v>
      </c>
      <c r="E231" s="16" t="s">
        <v>513</v>
      </c>
    </row>
    <row r="232">
      <c r="A232" s="16" t="s">
        <v>941</v>
      </c>
      <c r="B232" s="16" t="s">
        <v>942</v>
      </c>
      <c r="C232" s="16" t="s">
        <v>23</v>
      </c>
      <c r="D232" s="16" t="s">
        <v>23</v>
      </c>
      <c r="E232" s="16" t="s">
        <v>152</v>
      </c>
    </row>
    <row r="233">
      <c r="A233" s="16" t="s">
        <v>945</v>
      </c>
      <c r="B233" s="16" t="s">
        <v>946</v>
      </c>
      <c r="C233" s="16" t="s">
        <v>23</v>
      </c>
      <c r="D233" s="16" t="s">
        <v>73</v>
      </c>
      <c r="E233" s="16" t="s">
        <v>129</v>
      </c>
    </row>
    <row r="234" hidden="1">
      <c r="A234" s="16" t="s">
        <v>947</v>
      </c>
      <c r="B234" s="16" t="s">
        <v>948</v>
      </c>
      <c r="C234" s="16" t="s">
        <v>234</v>
      </c>
      <c r="D234" s="16" t="s">
        <v>73</v>
      </c>
      <c r="E234" s="16" t="s">
        <v>236</v>
      </c>
    </row>
    <row r="235">
      <c r="A235" s="16" t="s">
        <v>949</v>
      </c>
      <c r="B235" s="16" t="s">
        <v>951</v>
      </c>
      <c r="C235" s="16" t="s">
        <v>57</v>
      </c>
      <c r="D235" s="16" t="s">
        <v>73</v>
      </c>
      <c r="E235" s="16" t="s">
        <v>182</v>
      </c>
    </row>
    <row r="236">
      <c r="A236" s="16" t="s">
        <v>340</v>
      </c>
      <c r="B236" s="16" t="s">
        <v>952</v>
      </c>
      <c r="C236" s="16" t="s">
        <v>57</v>
      </c>
      <c r="D236" s="16" t="s">
        <v>73</v>
      </c>
      <c r="E236" s="16" t="s">
        <v>953</v>
      </c>
    </row>
    <row r="237">
      <c r="A237" s="16" t="s">
        <v>954</v>
      </c>
      <c r="B237" s="16" t="s">
        <v>956</v>
      </c>
      <c r="C237" s="16" t="s">
        <v>57</v>
      </c>
      <c r="D237" s="16" t="s">
        <v>73</v>
      </c>
      <c r="E237" s="16" t="s">
        <v>953</v>
      </c>
    </row>
    <row r="238">
      <c r="A238" s="16" t="s">
        <v>958</v>
      </c>
      <c r="B238" s="16" t="s">
        <v>959</v>
      </c>
      <c r="C238" s="16" t="s">
        <v>57</v>
      </c>
      <c r="D238" s="16" t="s">
        <v>73</v>
      </c>
      <c r="E238" s="16" t="s">
        <v>295</v>
      </c>
    </row>
    <row r="239">
      <c r="A239" s="16" t="s">
        <v>960</v>
      </c>
      <c r="B239" s="16" t="s">
        <v>962</v>
      </c>
      <c r="C239" s="16" t="s">
        <v>57</v>
      </c>
      <c r="D239" s="16" t="s">
        <v>73</v>
      </c>
      <c r="E239" s="16" t="s">
        <v>295</v>
      </c>
    </row>
    <row r="240">
      <c r="A240" s="16" t="s">
        <v>964</v>
      </c>
      <c r="B240" s="16" t="s">
        <v>965</v>
      </c>
      <c r="C240" s="16" t="s">
        <v>57</v>
      </c>
      <c r="D240" s="16" t="s">
        <v>73</v>
      </c>
      <c r="E240" s="16" t="s">
        <v>285</v>
      </c>
    </row>
    <row r="241">
      <c r="A241" s="16" t="s">
        <v>968</v>
      </c>
      <c r="B241" s="16" t="s">
        <v>969</v>
      </c>
      <c r="C241" s="16" t="s">
        <v>57</v>
      </c>
      <c r="D241" s="16" t="s">
        <v>73</v>
      </c>
      <c r="E241" s="16" t="s">
        <v>189</v>
      </c>
    </row>
    <row r="242">
      <c r="A242" s="16" t="s">
        <v>973</v>
      </c>
      <c r="B242" s="16" t="s">
        <v>974</v>
      </c>
      <c r="C242" s="16" t="s">
        <v>57</v>
      </c>
      <c r="D242" s="16" t="s">
        <v>73</v>
      </c>
      <c r="E242" s="16" t="s">
        <v>467</v>
      </c>
    </row>
    <row r="243">
      <c r="A243" s="16" t="s">
        <v>976</v>
      </c>
      <c r="B243" s="16" t="s">
        <v>977</v>
      </c>
      <c r="C243" s="16" t="s">
        <v>23</v>
      </c>
      <c r="D243" s="16" t="s">
        <v>73</v>
      </c>
      <c r="E243" s="16" t="s">
        <v>129</v>
      </c>
    </row>
    <row r="244" hidden="1">
      <c r="A244" s="16" t="s">
        <v>979</v>
      </c>
      <c r="B244" s="16" t="s">
        <v>980</v>
      </c>
      <c r="C244" s="16" t="s">
        <v>234</v>
      </c>
      <c r="D244" s="16" t="s">
        <v>73</v>
      </c>
      <c r="E244" s="16" t="s">
        <v>236</v>
      </c>
    </row>
    <row r="245">
      <c r="A245" s="16" t="s">
        <v>982</v>
      </c>
      <c r="B245" s="16" t="s">
        <v>983</v>
      </c>
      <c r="C245" s="16" t="s">
        <v>23</v>
      </c>
      <c r="D245" s="16" t="s">
        <v>73</v>
      </c>
      <c r="E245" s="16" t="s">
        <v>129</v>
      </c>
    </row>
    <row r="246" hidden="1">
      <c r="A246" s="16" t="s">
        <v>984</v>
      </c>
      <c r="B246" s="16" t="s">
        <v>986</v>
      </c>
      <c r="C246" s="16" t="s">
        <v>234</v>
      </c>
      <c r="D246" s="16" t="s">
        <v>73</v>
      </c>
      <c r="E246" s="16" t="s">
        <v>236</v>
      </c>
    </row>
    <row r="247" hidden="1">
      <c r="A247" s="16" t="s">
        <v>988</v>
      </c>
      <c r="B247" s="16" t="s">
        <v>989</v>
      </c>
      <c r="C247" s="16" t="s">
        <v>234</v>
      </c>
      <c r="D247" s="16" t="s">
        <v>73</v>
      </c>
      <c r="E247" s="16" t="s">
        <v>236</v>
      </c>
    </row>
    <row r="248" hidden="1">
      <c r="A248" s="16" t="s">
        <v>990</v>
      </c>
      <c r="B248" s="16" t="s">
        <v>992</v>
      </c>
      <c r="C248" s="16" t="s">
        <v>234</v>
      </c>
      <c r="D248" s="16" t="s">
        <v>73</v>
      </c>
      <c r="E248" s="16" t="s">
        <v>236</v>
      </c>
    </row>
    <row r="249" hidden="1">
      <c r="A249" s="16" t="s">
        <v>993</v>
      </c>
      <c r="B249" s="16" t="s">
        <v>853</v>
      </c>
      <c r="C249" s="16" t="s">
        <v>234</v>
      </c>
      <c r="D249" s="16" t="s">
        <v>73</v>
      </c>
      <c r="E249" s="16" t="s">
        <v>236</v>
      </c>
    </row>
    <row r="250">
      <c r="A250" s="16" t="s">
        <v>996</v>
      </c>
      <c r="B250" s="16" t="s">
        <v>997</v>
      </c>
      <c r="C250" s="16" t="s">
        <v>57</v>
      </c>
      <c r="D250" s="16" t="s">
        <v>73</v>
      </c>
      <c r="E250" s="16" t="s">
        <v>1000</v>
      </c>
    </row>
    <row r="251">
      <c r="A251" s="16" t="s">
        <v>1001</v>
      </c>
      <c r="B251" s="16" t="s">
        <v>1002</v>
      </c>
      <c r="C251" s="16" t="s">
        <v>57</v>
      </c>
      <c r="D251" s="16" t="s">
        <v>73</v>
      </c>
      <c r="E251" s="16" t="s">
        <v>1000</v>
      </c>
    </row>
    <row r="252">
      <c r="A252" s="16" t="s">
        <v>1003</v>
      </c>
      <c r="B252" s="16" t="s">
        <v>1004</v>
      </c>
      <c r="C252" s="16" t="s">
        <v>23</v>
      </c>
      <c r="D252" s="16" t="s">
        <v>73</v>
      </c>
      <c r="E252" s="16" t="s">
        <v>178</v>
      </c>
    </row>
    <row r="253">
      <c r="A253" s="16" t="s">
        <v>1005</v>
      </c>
      <c r="B253" s="16" t="s">
        <v>1007</v>
      </c>
      <c r="C253" s="16" t="s">
        <v>23</v>
      </c>
      <c r="D253" s="16" t="s">
        <v>73</v>
      </c>
      <c r="E253" s="16" t="s">
        <v>178</v>
      </c>
    </row>
    <row r="254" hidden="1">
      <c r="A254" s="16" t="s">
        <v>1008</v>
      </c>
      <c r="B254" s="16" t="s">
        <v>1009</v>
      </c>
      <c r="C254" s="16" t="s">
        <v>234</v>
      </c>
      <c r="D254" s="16" t="s">
        <v>73</v>
      </c>
      <c r="E254" s="16" t="s">
        <v>236</v>
      </c>
    </row>
    <row r="255">
      <c r="A255" s="16" t="s">
        <v>1011</v>
      </c>
      <c r="B255" s="16" t="s">
        <v>1012</v>
      </c>
      <c r="C255" s="16" t="s">
        <v>23</v>
      </c>
      <c r="D255" s="16" t="s">
        <v>73</v>
      </c>
      <c r="E255" s="16" t="s">
        <v>135</v>
      </c>
    </row>
    <row r="256">
      <c r="A256" s="16" t="s">
        <v>1014</v>
      </c>
      <c r="B256" s="16" t="s">
        <v>1016</v>
      </c>
      <c r="C256" s="16" t="s">
        <v>23</v>
      </c>
      <c r="D256" s="16" t="s">
        <v>73</v>
      </c>
      <c r="E256" s="16" t="s">
        <v>129</v>
      </c>
    </row>
    <row r="257" hidden="1">
      <c r="A257" s="16" t="s">
        <v>1018</v>
      </c>
      <c r="B257" s="16" t="s">
        <v>1019</v>
      </c>
      <c r="C257" s="16" t="s">
        <v>234</v>
      </c>
      <c r="D257" s="16" t="s">
        <v>73</v>
      </c>
      <c r="E257" s="16" t="s">
        <v>236</v>
      </c>
    </row>
    <row r="258">
      <c r="A258" s="16" t="s">
        <v>1021</v>
      </c>
      <c r="B258" s="16" t="s">
        <v>1022</v>
      </c>
      <c r="C258" s="16" t="s">
        <v>23</v>
      </c>
      <c r="D258" s="16" t="s">
        <v>73</v>
      </c>
      <c r="E258" s="16" t="s">
        <v>135</v>
      </c>
    </row>
    <row r="259">
      <c r="A259" s="16" t="s">
        <v>1023</v>
      </c>
      <c r="B259" s="16" t="s">
        <v>1024</v>
      </c>
      <c r="C259" s="16" t="s">
        <v>23</v>
      </c>
      <c r="D259" s="16" t="s">
        <v>73</v>
      </c>
      <c r="E259" s="16" t="s">
        <v>135</v>
      </c>
    </row>
    <row r="260" hidden="1">
      <c r="A260" s="16" t="s">
        <v>1026</v>
      </c>
      <c r="B260" s="16" t="s">
        <v>1027</v>
      </c>
      <c r="C260" s="16" t="s">
        <v>234</v>
      </c>
      <c r="D260" s="16" t="s">
        <v>23</v>
      </c>
      <c r="E260" s="16" t="s">
        <v>236</v>
      </c>
    </row>
    <row r="261">
      <c r="A261" s="16" t="s">
        <v>1030</v>
      </c>
      <c r="B261" s="16" t="s">
        <v>1031</v>
      </c>
      <c r="C261" s="16" t="s">
        <v>23</v>
      </c>
      <c r="D261" s="16" t="s">
        <v>73</v>
      </c>
      <c r="E261" s="16" t="s">
        <v>280</v>
      </c>
    </row>
    <row r="262" hidden="1">
      <c r="A262" s="16" t="s">
        <v>1033</v>
      </c>
      <c r="B262" s="16" t="s">
        <v>1034</v>
      </c>
      <c r="C262" s="16" t="s">
        <v>234</v>
      </c>
      <c r="D262" s="16" t="s">
        <v>73</v>
      </c>
      <c r="E262" s="16" t="s">
        <v>236</v>
      </c>
    </row>
    <row r="263" hidden="1">
      <c r="A263" s="16" t="s">
        <v>1036</v>
      </c>
      <c r="B263" s="16" t="s">
        <v>1037</v>
      </c>
      <c r="C263" s="16" t="s">
        <v>234</v>
      </c>
      <c r="D263" s="16" t="s">
        <v>73</v>
      </c>
      <c r="E263" s="16" t="s">
        <v>236</v>
      </c>
    </row>
    <row r="264">
      <c r="A264" s="16" t="s">
        <v>1038</v>
      </c>
      <c r="B264" s="16" t="s">
        <v>1039</v>
      </c>
      <c r="C264" s="16" t="s">
        <v>57</v>
      </c>
      <c r="D264" s="16" t="s">
        <v>73</v>
      </c>
      <c r="E264" s="16" t="s">
        <v>189</v>
      </c>
    </row>
    <row r="265" hidden="1">
      <c r="A265" s="16" t="s">
        <v>1042</v>
      </c>
      <c r="B265" s="16" t="s">
        <v>1043</v>
      </c>
      <c r="C265" s="16" t="s">
        <v>234</v>
      </c>
      <c r="D265" s="16" t="s">
        <v>73</v>
      </c>
      <c r="E265" s="16" t="s">
        <v>236</v>
      </c>
    </row>
    <row r="266">
      <c r="A266" s="16" t="s">
        <v>1045</v>
      </c>
      <c r="B266" s="16" t="s">
        <v>1046</v>
      </c>
      <c r="C266" s="16" t="s">
        <v>57</v>
      </c>
      <c r="D266" s="16" t="s">
        <v>73</v>
      </c>
      <c r="E266" s="16" t="s">
        <v>295</v>
      </c>
    </row>
    <row r="267">
      <c r="A267" s="16" t="s">
        <v>1047</v>
      </c>
      <c r="B267" s="16" t="s">
        <v>1048</v>
      </c>
      <c r="C267" s="16" t="s">
        <v>57</v>
      </c>
      <c r="D267" s="16" t="s">
        <v>73</v>
      </c>
      <c r="E267" s="16" t="s">
        <v>195</v>
      </c>
    </row>
    <row r="268">
      <c r="A268" s="16" t="s">
        <v>1050</v>
      </c>
      <c r="B268" s="16" t="s">
        <v>1051</v>
      </c>
      <c r="C268" s="16" t="s">
        <v>23</v>
      </c>
      <c r="D268" s="16" t="s">
        <v>73</v>
      </c>
      <c r="E268" s="16" t="s">
        <v>129</v>
      </c>
    </row>
    <row r="269" hidden="1">
      <c r="A269" s="16" t="s">
        <v>1053</v>
      </c>
      <c r="B269" s="16" t="s">
        <v>1054</v>
      </c>
      <c r="C269" s="16" t="s">
        <v>234</v>
      </c>
      <c r="D269" s="16" t="s">
        <v>73</v>
      </c>
      <c r="E269" s="16" t="s">
        <v>236</v>
      </c>
    </row>
    <row r="270" hidden="1">
      <c r="A270" s="16" t="s">
        <v>1055</v>
      </c>
      <c r="B270" s="16" t="s">
        <v>1057</v>
      </c>
      <c r="C270" s="16" t="s">
        <v>234</v>
      </c>
      <c r="D270" s="16" t="s">
        <v>73</v>
      </c>
      <c r="E270" s="16" t="s">
        <v>236</v>
      </c>
    </row>
    <row r="271">
      <c r="A271" s="16" t="s">
        <v>173</v>
      </c>
      <c r="B271" s="16" t="s">
        <v>1058</v>
      </c>
      <c r="C271" s="16" t="s">
        <v>23</v>
      </c>
      <c r="D271" s="16" t="s">
        <v>73</v>
      </c>
      <c r="E271" s="16" t="s">
        <v>328</v>
      </c>
    </row>
    <row r="272">
      <c r="A272" s="16" t="s">
        <v>930</v>
      </c>
      <c r="B272" s="16" t="s">
        <v>1059</v>
      </c>
      <c r="C272" s="16" t="s">
        <v>23</v>
      </c>
      <c r="D272" s="16" t="s">
        <v>73</v>
      </c>
      <c r="E272" s="16" t="s">
        <v>546</v>
      </c>
    </row>
    <row r="273">
      <c r="A273" s="16" t="s">
        <v>1061</v>
      </c>
      <c r="B273" s="16" t="s">
        <v>1062</v>
      </c>
      <c r="C273" s="16" t="s">
        <v>23</v>
      </c>
      <c r="D273" s="16" t="s">
        <v>114</v>
      </c>
      <c r="E273" s="16" t="s">
        <v>328</v>
      </c>
    </row>
    <row r="274">
      <c r="A274" s="16" t="s">
        <v>1063</v>
      </c>
      <c r="B274" s="16" t="s">
        <v>1065</v>
      </c>
      <c r="C274" s="16" t="s">
        <v>23</v>
      </c>
      <c r="D274" s="16" t="s">
        <v>114</v>
      </c>
      <c r="E274" s="16" t="s">
        <v>328</v>
      </c>
    </row>
    <row r="275">
      <c r="A275" s="16" t="s">
        <v>1066</v>
      </c>
      <c r="B275" s="16" t="s">
        <v>1067</v>
      </c>
      <c r="C275" s="16" t="s">
        <v>23</v>
      </c>
      <c r="D275" s="16" t="s">
        <v>114</v>
      </c>
      <c r="E275" s="16" t="s">
        <v>328</v>
      </c>
    </row>
    <row r="276" hidden="1">
      <c r="A276" s="16" t="s">
        <v>1069</v>
      </c>
      <c r="B276" s="16" t="s">
        <v>1070</v>
      </c>
      <c r="C276" s="16" t="s">
        <v>234</v>
      </c>
      <c r="D276" s="16" t="s">
        <v>73</v>
      </c>
      <c r="E276" s="16" t="s">
        <v>236</v>
      </c>
    </row>
    <row r="277">
      <c r="A277" s="16" t="s">
        <v>1072</v>
      </c>
      <c r="B277" s="16" t="s">
        <v>1073</v>
      </c>
      <c r="C277" s="16" t="s">
        <v>23</v>
      </c>
      <c r="D277" s="16" t="s">
        <v>73</v>
      </c>
      <c r="E277" s="16" t="s">
        <v>129</v>
      </c>
    </row>
    <row r="278" hidden="1">
      <c r="A278" s="16" t="s">
        <v>1075</v>
      </c>
      <c r="B278" s="16" t="s">
        <v>1076</v>
      </c>
      <c r="C278" s="16" t="s">
        <v>234</v>
      </c>
      <c r="D278" s="16" t="s">
        <v>73</v>
      </c>
      <c r="E278" s="16" t="s">
        <v>236</v>
      </c>
    </row>
    <row r="279">
      <c r="A279" s="16" t="s">
        <v>1078</v>
      </c>
      <c r="B279" s="16" t="s">
        <v>1079</v>
      </c>
      <c r="C279" s="16" t="s">
        <v>57</v>
      </c>
      <c r="D279" s="16" t="s">
        <v>73</v>
      </c>
      <c r="E279" s="16" t="s">
        <v>140</v>
      </c>
    </row>
    <row r="280">
      <c r="A280" s="16" t="s">
        <v>1080</v>
      </c>
      <c r="B280" s="16" t="s">
        <v>1081</v>
      </c>
      <c r="C280" s="16" t="s">
        <v>23</v>
      </c>
      <c r="D280" s="16" t="s">
        <v>73</v>
      </c>
      <c r="E280" s="16" t="s">
        <v>178</v>
      </c>
    </row>
    <row r="281">
      <c r="A281" s="16" t="s">
        <v>1082</v>
      </c>
      <c r="B281" s="16" t="s">
        <v>1083</v>
      </c>
      <c r="C281" s="16" t="s">
        <v>23</v>
      </c>
      <c r="D281" s="16" t="s">
        <v>73</v>
      </c>
      <c r="E281" s="16" t="s">
        <v>178</v>
      </c>
    </row>
    <row r="282">
      <c r="A282" s="16" t="s">
        <v>1085</v>
      </c>
      <c r="B282" s="16" t="s">
        <v>1086</v>
      </c>
      <c r="C282" s="16" t="s">
        <v>23</v>
      </c>
      <c r="D282" s="16" t="s">
        <v>23</v>
      </c>
      <c r="E282" s="16" t="s">
        <v>171</v>
      </c>
    </row>
    <row r="283">
      <c r="A283" s="16" t="s">
        <v>1087</v>
      </c>
      <c r="B283" s="16" t="s">
        <v>1088</v>
      </c>
      <c r="C283" s="16" t="s">
        <v>23</v>
      </c>
      <c r="D283" s="16" t="s">
        <v>73</v>
      </c>
      <c r="E283" s="16" t="s">
        <v>178</v>
      </c>
    </row>
    <row r="284">
      <c r="A284" s="16" t="s">
        <v>1092</v>
      </c>
      <c r="B284" s="16" t="s">
        <v>1093</v>
      </c>
      <c r="C284" s="16" t="s">
        <v>23</v>
      </c>
      <c r="D284" s="16" t="s">
        <v>73</v>
      </c>
      <c r="E284" s="16" t="s">
        <v>178</v>
      </c>
    </row>
    <row r="285">
      <c r="A285" s="16" t="s">
        <v>1095</v>
      </c>
      <c r="B285" s="16" t="s">
        <v>1096</v>
      </c>
      <c r="C285" s="16" t="s">
        <v>23</v>
      </c>
      <c r="D285" s="16" t="s">
        <v>73</v>
      </c>
      <c r="E285" s="16" t="s">
        <v>178</v>
      </c>
    </row>
    <row r="286">
      <c r="A286" s="16" t="s">
        <v>1097</v>
      </c>
      <c r="B286" s="16" t="s">
        <v>1098</v>
      </c>
      <c r="C286" s="16" t="s">
        <v>23</v>
      </c>
      <c r="D286" s="16" t="s">
        <v>114</v>
      </c>
      <c r="E286" s="16" t="s">
        <v>328</v>
      </c>
    </row>
    <row r="287">
      <c r="A287" s="16" t="s">
        <v>1100</v>
      </c>
      <c r="B287" s="16" t="s">
        <v>1101</v>
      </c>
      <c r="C287" s="16" t="s">
        <v>23</v>
      </c>
      <c r="D287" s="16" t="s">
        <v>114</v>
      </c>
      <c r="E287" s="16" t="s">
        <v>328</v>
      </c>
    </row>
    <row r="288">
      <c r="A288" s="16" t="s">
        <v>1103</v>
      </c>
      <c r="B288" s="16" t="s">
        <v>1104</v>
      </c>
      <c r="C288" s="16" t="s">
        <v>23</v>
      </c>
      <c r="D288" s="16" t="s">
        <v>114</v>
      </c>
      <c r="E288" s="16" t="s">
        <v>328</v>
      </c>
    </row>
    <row r="289">
      <c r="A289" s="16" t="s">
        <v>1106</v>
      </c>
      <c r="B289" s="16" t="s">
        <v>1107</v>
      </c>
      <c r="C289" s="16" t="s">
        <v>23</v>
      </c>
      <c r="D289" s="16" t="s">
        <v>114</v>
      </c>
      <c r="E289" s="16" t="s">
        <v>328</v>
      </c>
    </row>
    <row r="290">
      <c r="A290" s="16" t="s">
        <v>1109</v>
      </c>
      <c r="B290" s="16" t="s">
        <v>1110</v>
      </c>
      <c r="C290" s="16" t="s">
        <v>23</v>
      </c>
      <c r="D290" s="16" t="s">
        <v>114</v>
      </c>
      <c r="E290" s="16" t="s">
        <v>328</v>
      </c>
    </row>
    <row r="291">
      <c r="A291" s="16" t="s">
        <v>1111</v>
      </c>
      <c r="B291" s="16" t="s">
        <v>1113</v>
      </c>
      <c r="C291" s="16" t="s">
        <v>23</v>
      </c>
      <c r="D291" s="16" t="s">
        <v>114</v>
      </c>
      <c r="E291" s="16" t="s">
        <v>328</v>
      </c>
    </row>
    <row r="292">
      <c r="A292" s="16" t="s">
        <v>1114</v>
      </c>
      <c r="B292" s="16" t="s">
        <v>1115</v>
      </c>
      <c r="C292" s="16" t="s">
        <v>23</v>
      </c>
      <c r="D292" s="16" t="s">
        <v>114</v>
      </c>
      <c r="E292" s="16" t="s">
        <v>328</v>
      </c>
    </row>
    <row r="293">
      <c r="A293" s="16" t="s">
        <v>1117</v>
      </c>
      <c r="B293" s="16" t="s">
        <v>1118</v>
      </c>
      <c r="C293" s="16" t="s">
        <v>23</v>
      </c>
      <c r="D293" s="16" t="s">
        <v>114</v>
      </c>
      <c r="E293" s="16" t="s">
        <v>328</v>
      </c>
    </row>
    <row r="294">
      <c r="A294" s="16" t="s">
        <v>679</v>
      </c>
      <c r="B294" s="16" t="s">
        <v>1120</v>
      </c>
      <c r="C294" s="16" t="s">
        <v>23</v>
      </c>
      <c r="D294" s="16" t="s">
        <v>114</v>
      </c>
      <c r="E294" s="16" t="s">
        <v>328</v>
      </c>
    </row>
    <row r="295">
      <c r="A295" s="16" t="s">
        <v>1121</v>
      </c>
      <c r="B295" s="16" t="s">
        <v>1122</v>
      </c>
      <c r="C295" s="16" t="s">
        <v>57</v>
      </c>
      <c r="D295" s="16" t="s">
        <v>73</v>
      </c>
      <c r="E295" s="16" t="s">
        <v>233</v>
      </c>
    </row>
    <row r="296">
      <c r="A296" s="16" t="s">
        <v>1124</v>
      </c>
      <c r="B296" s="16" t="s">
        <v>1125</v>
      </c>
      <c r="C296" s="16" t="s">
        <v>57</v>
      </c>
      <c r="D296" s="16" t="s">
        <v>73</v>
      </c>
      <c r="E296" s="16" t="s">
        <v>233</v>
      </c>
    </row>
    <row r="297">
      <c r="A297" s="16" t="s">
        <v>1128</v>
      </c>
      <c r="B297" s="16" t="s">
        <v>1129</v>
      </c>
      <c r="C297" s="16" t="s">
        <v>57</v>
      </c>
      <c r="D297" s="16" t="s">
        <v>73</v>
      </c>
      <c r="E297" s="16" t="s">
        <v>233</v>
      </c>
    </row>
    <row r="298">
      <c r="A298" s="16" t="s">
        <v>1131</v>
      </c>
      <c r="B298" s="16" t="s">
        <v>1133</v>
      </c>
      <c r="C298" s="16" t="s">
        <v>57</v>
      </c>
      <c r="D298" s="16" t="s">
        <v>73</v>
      </c>
      <c r="E298" s="16" t="s">
        <v>233</v>
      </c>
    </row>
    <row r="299">
      <c r="A299" s="16" t="s">
        <v>1135</v>
      </c>
      <c r="B299" s="16" t="s">
        <v>1136</v>
      </c>
      <c r="C299" s="16" t="s">
        <v>57</v>
      </c>
      <c r="D299" s="16" t="s">
        <v>73</v>
      </c>
      <c r="E299" s="16" t="s">
        <v>295</v>
      </c>
    </row>
    <row r="300">
      <c r="A300" s="16" t="s">
        <v>1138</v>
      </c>
      <c r="B300" s="16" t="s">
        <v>1139</v>
      </c>
      <c r="C300" s="16" t="s">
        <v>57</v>
      </c>
      <c r="D300" s="16" t="s">
        <v>73</v>
      </c>
      <c r="E300" s="16" t="s">
        <v>295</v>
      </c>
    </row>
    <row r="301">
      <c r="A301" s="16" t="s">
        <v>1143</v>
      </c>
      <c r="B301" s="16" t="s">
        <v>1144</v>
      </c>
      <c r="C301" s="16" t="s">
        <v>57</v>
      </c>
      <c r="D301" s="16" t="s">
        <v>73</v>
      </c>
      <c r="E301" s="16" t="s">
        <v>295</v>
      </c>
    </row>
    <row r="302">
      <c r="A302" s="16" t="s">
        <v>1146</v>
      </c>
      <c r="B302" s="16" t="s">
        <v>1147</v>
      </c>
      <c r="C302" s="16" t="s">
        <v>57</v>
      </c>
      <c r="D302" s="16" t="s">
        <v>73</v>
      </c>
      <c r="E302" s="16" t="s">
        <v>295</v>
      </c>
    </row>
    <row r="303">
      <c r="A303" s="16" t="s">
        <v>1148</v>
      </c>
      <c r="B303" s="16" t="s">
        <v>1150</v>
      </c>
      <c r="C303" s="16" t="s">
        <v>57</v>
      </c>
      <c r="D303" s="16" t="s">
        <v>73</v>
      </c>
      <c r="E303" s="16" t="s">
        <v>195</v>
      </c>
    </row>
    <row r="304">
      <c r="A304" s="16" t="s">
        <v>1151</v>
      </c>
      <c r="B304" s="16" t="s">
        <v>1152</v>
      </c>
      <c r="C304" s="16" t="s">
        <v>57</v>
      </c>
      <c r="D304" s="16" t="s">
        <v>73</v>
      </c>
      <c r="E304" s="16" t="s">
        <v>178</v>
      </c>
    </row>
    <row r="305">
      <c r="A305" s="16" t="s">
        <v>1154</v>
      </c>
      <c r="B305" s="16" t="s">
        <v>1155</v>
      </c>
      <c r="C305" s="16" t="s">
        <v>57</v>
      </c>
      <c r="D305" s="16" t="s">
        <v>73</v>
      </c>
      <c r="E305" s="16" t="s">
        <v>624</v>
      </c>
    </row>
    <row r="306">
      <c r="A306" s="16" t="s">
        <v>1157</v>
      </c>
      <c r="B306" s="16" t="s">
        <v>1158</v>
      </c>
      <c r="C306" s="16" t="s">
        <v>57</v>
      </c>
      <c r="D306" s="16" t="s">
        <v>73</v>
      </c>
      <c r="E306" s="16" t="s">
        <v>681</v>
      </c>
    </row>
    <row r="307">
      <c r="A307" s="16" t="s">
        <v>1162</v>
      </c>
      <c r="B307" s="16" t="s">
        <v>1163</v>
      </c>
      <c r="C307" s="16" t="s">
        <v>23</v>
      </c>
      <c r="D307" s="16" t="s">
        <v>114</v>
      </c>
      <c r="E307" s="16" t="s">
        <v>152</v>
      </c>
    </row>
    <row r="308" hidden="1">
      <c r="A308" s="16" t="s">
        <v>1164</v>
      </c>
      <c r="B308" s="16" t="s">
        <v>1166</v>
      </c>
      <c r="C308" s="16" t="s">
        <v>234</v>
      </c>
      <c r="D308" s="16" t="s">
        <v>73</v>
      </c>
      <c r="E308" s="16" t="s">
        <v>236</v>
      </c>
    </row>
    <row r="309" hidden="1">
      <c r="A309" s="16" t="s">
        <v>1167</v>
      </c>
      <c r="B309" s="16" t="s">
        <v>1168</v>
      </c>
      <c r="C309" s="16" t="s">
        <v>234</v>
      </c>
      <c r="D309" s="16" t="s">
        <v>73</v>
      </c>
      <c r="E309" s="16" t="s">
        <v>236</v>
      </c>
    </row>
    <row r="310" hidden="1">
      <c r="A310" s="16" t="s">
        <v>1171</v>
      </c>
      <c r="B310" s="16" t="s">
        <v>916</v>
      </c>
      <c r="C310" s="16" t="s">
        <v>234</v>
      </c>
      <c r="D310" s="16" t="s">
        <v>73</v>
      </c>
      <c r="E310" s="16" t="s">
        <v>236</v>
      </c>
    </row>
    <row r="311" hidden="1">
      <c r="A311" s="16" t="s">
        <v>1173</v>
      </c>
      <c r="B311" s="16" t="s">
        <v>1174</v>
      </c>
      <c r="C311" s="16" t="s">
        <v>234</v>
      </c>
      <c r="D311" s="16" t="s">
        <v>73</v>
      </c>
      <c r="E311" s="16" t="s">
        <v>236</v>
      </c>
    </row>
    <row r="312" hidden="1">
      <c r="A312" s="16" t="s">
        <v>1176</v>
      </c>
      <c r="B312" s="16" t="s">
        <v>1178</v>
      </c>
      <c r="C312" s="16" t="s">
        <v>234</v>
      </c>
      <c r="D312" s="16" t="s">
        <v>73</v>
      </c>
      <c r="E312" s="16" t="s">
        <v>236</v>
      </c>
    </row>
    <row r="313">
      <c r="A313" s="16" t="s">
        <v>1179</v>
      </c>
      <c r="B313" s="16" t="s">
        <v>1180</v>
      </c>
      <c r="C313" s="16" t="s">
        <v>23</v>
      </c>
      <c r="D313" s="16" t="s">
        <v>73</v>
      </c>
      <c r="E313" s="16" t="s">
        <v>280</v>
      </c>
    </row>
    <row r="314" hidden="1">
      <c r="A314" s="16" t="s">
        <v>1182</v>
      </c>
      <c r="B314" s="16" t="s">
        <v>1183</v>
      </c>
      <c r="C314" s="16" t="s">
        <v>234</v>
      </c>
      <c r="D314" s="16" t="s">
        <v>73</v>
      </c>
      <c r="E314" s="16" t="s">
        <v>1185</v>
      </c>
    </row>
    <row r="315" hidden="1">
      <c r="A315" s="16" t="s">
        <v>1186</v>
      </c>
      <c r="B315" s="16" t="s">
        <v>1187</v>
      </c>
      <c r="C315" s="16" t="s">
        <v>234</v>
      </c>
      <c r="D315" s="16" t="s">
        <v>73</v>
      </c>
      <c r="E315" s="16" t="s">
        <v>236</v>
      </c>
    </row>
    <row r="316">
      <c r="A316" s="16" t="s">
        <v>1189</v>
      </c>
      <c r="B316" s="16" t="s">
        <v>1190</v>
      </c>
      <c r="C316" s="16" t="s">
        <v>57</v>
      </c>
      <c r="D316" s="16" t="s">
        <v>73</v>
      </c>
      <c r="E316" s="16" t="s">
        <v>224</v>
      </c>
    </row>
    <row r="317">
      <c r="A317" s="16" t="s">
        <v>1193</v>
      </c>
      <c r="B317" s="16" t="s">
        <v>1194</v>
      </c>
      <c r="C317" s="16" t="s">
        <v>57</v>
      </c>
      <c r="D317" s="16" t="s">
        <v>73</v>
      </c>
      <c r="E317" s="16" t="s">
        <v>350</v>
      </c>
    </row>
    <row r="318" hidden="1">
      <c r="A318" s="16" t="s">
        <v>1196</v>
      </c>
      <c r="B318" s="16" t="s">
        <v>1197</v>
      </c>
      <c r="C318" s="16" t="s">
        <v>234</v>
      </c>
      <c r="D318" s="16" t="s">
        <v>73</v>
      </c>
      <c r="E318" s="16" t="s">
        <v>1198</v>
      </c>
    </row>
    <row r="319" hidden="1">
      <c r="A319" s="16" t="s">
        <v>1199</v>
      </c>
      <c r="B319" s="16" t="s">
        <v>1200</v>
      </c>
      <c r="C319" s="16" t="s">
        <v>234</v>
      </c>
      <c r="D319" s="16" t="s">
        <v>73</v>
      </c>
      <c r="E319" s="16" t="s">
        <v>1198</v>
      </c>
    </row>
    <row r="320">
      <c r="A320" s="16" t="s">
        <v>1202</v>
      </c>
      <c r="B320" s="16" t="s">
        <v>1203</v>
      </c>
      <c r="C320" s="16" t="s">
        <v>23</v>
      </c>
      <c r="D320" s="16" t="s">
        <v>73</v>
      </c>
      <c r="E320" s="16" t="s">
        <v>628</v>
      </c>
    </row>
    <row r="321" hidden="1">
      <c r="A321" s="16" t="s">
        <v>1205</v>
      </c>
      <c r="B321" s="16" t="s">
        <v>1206</v>
      </c>
      <c r="C321" s="16" t="s">
        <v>234</v>
      </c>
      <c r="D321" s="16" t="s">
        <v>73</v>
      </c>
      <c r="E321" s="16" t="s">
        <v>236</v>
      </c>
    </row>
    <row r="322" hidden="1">
      <c r="A322" s="16" t="s">
        <v>1208</v>
      </c>
      <c r="B322" s="16" t="s">
        <v>1209</v>
      </c>
      <c r="C322" s="16" t="s">
        <v>234</v>
      </c>
      <c r="D322" s="16" t="s">
        <v>73</v>
      </c>
      <c r="E322" s="16" t="s">
        <v>236</v>
      </c>
    </row>
    <row r="323" hidden="1">
      <c r="A323" s="16" t="s">
        <v>1210</v>
      </c>
      <c r="B323" s="16" t="s">
        <v>1212</v>
      </c>
      <c r="C323" s="16" t="s">
        <v>234</v>
      </c>
      <c r="D323" s="16" t="s">
        <v>73</v>
      </c>
      <c r="E323" s="16" t="s">
        <v>236</v>
      </c>
    </row>
    <row r="324" hidden="1">
      <c r="A324" s="16" t="s">
        <v>1213</v>
      </c>
      <c r="B324" s="16" t="s">
        <v>1214</v>
      </c>
      <c r="C324" s="16" t="s">
        <v>234</v>
      </c>
      <c r="D324" s="16" t="s">
        <v>73</v>
      </c>
      <c r="E324" s="16" t="s">
        <v>236</v>
      </c>
    </row>
    <row r="325" hidden="1">
      <c r="A325" s="16" t="s">
        <v>1217</v>
      </c>
      <c r="B325" s="16" t="s">
        <v>1218</v>
      </c>
      <c r="C325" s="16" t="s">
        <v>234</v>
      </c>
      <c r="D325" s="16" t="s">
        <v>73</v>
      </c>
      <c r="E325" s="16" t="s">
        <v>236</v>
      </c>
    </row>
    <row r="326">
      <c r="A326" s="16" t="s">
        <v>1220</v>
      </c>
      <c r="B326" s="16" t="s">
        <v>1222</v>
      </c>
      <c r="C326" s="16" t="s">
        <v>23</v>
      </c>
      <c r="D326" s="16" t="s">
        <v>23</v>
      </c>
      <c r="E326" s="16" t="s">
        <v>421</v>
      </c>
    </row>
    <row r="327">
      <c r="A327" s="16" t="s">
        <v>1225</v>
      </c>
      <c r="B327" s="16" t="s">
        <v>1226</v>
      </c>
      <c r="C327" s="16" t="s">
        <v>57</v>
      </c>
      <c r="D327" s="16" t="s">
        <v>73</v>
      </c>
      <c r="E327" s="16" t="s">
        <v>1228</v>
      </c>
    </row>
    <row r="328">
      <c r="A328" s="16" t="s">
        <v>1229</v>
      </c>
      <c r="B328" s="16" t="s">
        <v>1231</v>
      </c>
      <c r="C328" s="16" t="s">
        <v>57</v>
      </c>
      <c r="D328" s="16" t="s">
        <v>73</v>
      </c>
      <c r="E328" s="16" t="s">
        <v>1228</v>
      </c>
    </row>
    <row r="329">
      <c r="A329" s="16" t="s">
        <v>1232</v>
      </c>
      <c r="B329" s="16" t="s">
        <v>1233</v>
      </c>
      <c r="C329" s="16" t="s">
        <v>23</v>
      </c>
      <c r="D329" s="16" t="s">
        <v>73</v>
      </c>
      <c r="E329" s="16" t="s">
        <v>328</v>
      </c>
    </row>
    <row r="330">
      <c r="A330" s="16" t="s">
        <v>242</v>
      </c>
      <c r="B330" s="16" t="s">
        <v>1235</v>
      </c>
      <c r="C330" s="16" t="s">
        <v>23</v>
      </c>
      <c r="D330" s="16" t="s">
        <v>73</v>
      </c>
      <c r="E330" s="16" t="s">
        <v>328</v>
      </c>
    </row>
    <row r="331">
      <c r="A331" s="16" t="s">
        <v>1237</v>
      </c>
      <c r="B331" s="16" t="s">
        <v>1238</v>
      </c>
      <c r="C331" s="16" t="s">
        <v>23</v>
      </c>
      <c r="D331" s="16" t="s">
        <v>73</v>
      </c>
      <c r="E331" s="16" t="s">
        <v>328</v>
      </c>
    </row>
    <row r="332">
      <c r="A332" s="16" t="s">
        <v>1240</v>
      </c>
      <c r="B332" s="16" t="s">
        <v>1241</v>
      </c>
      <c r="C332" s="16" t="s">
        <v>23</v>
      </c>
      <c r="D332" s="16" t="s">
        <v>73</v>
      </c>
      <c r="E332" s="16" t="s">
        <v>628</v>
      </c>
    </row>
    <row r="333">
      <c r="A333" s="16" t="s">
        <v>1242</v>
      </c>
      <c r="B333" s="16" t="s">
        <v>1244</v>
      </c>
      <c r="C333" s="16" t="s">
        <v>57</v>
      </c>
      <c r="D333" s="16" t="s">
        <v>73</v>
      </c>
      <c r="E333" s="16" t="s">
        <v>280</v>
      </c>
    </row>
    <row r="334" hidden="1">
      <c r="A334" s="16" t="s">
        <v>153</v>
      </c>
      <c r="B334" s="16" t="s">
        <v>1245</v>
      </c>
      <c r="C334" s="16" t="s">
        <v>234</v>
      </c>
      <c r="D334" s="16" t="s">
        <v>114</v>
      </c>
      <c r="E334" s="16" t="s">
        <v>236</v>
      </c>
    </row>
    <row r="335">
      <c r="A335" s="16" t="s">
        <v>1246</v>
      </c>
      <c r="B335" s="16" t="s">
        <v>1248</v>
      </c>
      <c r="C335" s="16" t="s">
        <v>23</v>
      </c>
      <c r="D335" s="16" t="s">
        <v>73</v>
      </c>
      <c r="E335" s="16" t="s">
        <v>328</v>
      </c>
    </row>
    <row r="336">
      <c r="A336" s="16" t="s">
        <v>134</v>
      </c>
      <c r="B336" s="16" t="s">
        <v>1253</v>
      </c>
      <c r="C336" s="16" t="s">
        <v>23</v>
      </c>
      <c r="D336" s="16" t="s">
        <v>73</v>
      </c>
      <c r="E336" s="16" t="s">
        <v>328</v>
      </c>
    </row>
    <row r="337">
      <c r="A337" s="16" t="s">
        <v>1256</v>
      </c>
      <c r="B337" s="16" t="s">
        <v>1257</v>
      </c>
      <c r="C337" s="16" t="s">
        <v>23</v>
      </c>
      <c r="D337" s="16" t="s">
        <v>73</v>
      </c>
      <c r="E337" s="16" t="s">
        <v>628</v>
      </c>
    </row>
    <row r="338">
      <c r="A338" s="16" t="s">
        <v>1259</v>
      </c>
      <c r="B338" s="16" t="s">
        <v>1260</v>
      </c>
      <c r="C338" s="16" t="s">
        <v>23</v>
      </c>
      <c r="D338" s="16" t="s">
        <v>73</v>
      </c>
      <c r="E338" s="16" t="s">
        <v>628</v>
      </c>
    </row>
    <row r="339">
      <c r="A339" s="16" t="s">
        <v>1262</v>
      </c>
      <c r="B339" s="16" t="s">
        <v>1263</v>
      </c>
      <c r="C339" s="16" t="s">
        <v>23</v>
      </c>
      <c r="D339" s="16" t="s">
        <v>73</v>
      </c>
      <c r="E339" s="16" t="s">
        <v>328</v>
      </c>
    </row>
    <row r="340">
      <c r="A340" s="16" t="s">
        <v>1266</v>
      </c>
      <c r="B340" s="16" t="s">
        <v>1267</v>
      </c>
      <c r="C340" s="16" t="s">
        <v>57</v>
      </c>
      <c r="D340" s="16" t="s">
        <v>23</v>
      </c>
      <c r="E340" s="16" t="s">
        <v>118</v>
      </c>
    </row>
    <row r="341">
      <c r="A341" s="16" t="s">
        <v>609</v>
      </c>
      <c r="B341" s="16" t="s">
        <v>1269</v>
      </c>
      <c r="C341" s="16" t="s">
        <v>23</v>
      </c>
      <c r="D341" s="16" t="s">
        <v>73</v>
      </c>
      <c r="E341" s="16" t="s">
        <v>628</v>
      </c>
    </row>
    <row r="342">
      <c r="A342" s="16" t="s">
        <v>1270</v>
      </c>
      <c r="B342" s="16" t="s">
        <v>1271</v>
      </c>
      <c r="C342" s="16" t="s">
        <v>23</v>
      </c>
      <c r="D342" s="16" t="s">
        <v>73</v>
      </c>
      <c r="E342" s="16" t="s">
        <v>628</v>
      </c>
    </row>
    <row r="343">
      <c r="A343" s="16" t="s">
        <v>1273</v>
      </c>
      <c r="B343" s="16" t="s">
        <v>1274</v>
      </c>
      <c r="C343" s="16" t="s">
        <v>23</v>
      </c>
      <c r="D343" s="16" t="s">
        <v>73</v>
      </c>
      <c r="E343" s="16" t="s">
        <v>628</v>
      </c>
    </row>
    <row r="344">
      <c r="A344" s="16" t="s">
        <v>1276</v>
      </c>
      <c r="B344" s="16" t="s">
        <v>1277</v>
      </c>
      <c r="C344" s="16" t="s">
        <v>57</v>
      </c>
      <c r="D344" s="16" t="s">
        <v>73</v>
      </c>
      <c r="E344" s="16" t="s">
        <v>219</v>
      </c>
    </row>
    <row r="345" hidden="1">
      <c r="A345" s="16" t="s">
        <v>1278</v>
      </c>
      <c r="B345" s="16" t="s">
        <v>1280</v>
      </c>
      <c r="C345" s="16" t="s">
        <v>234</v>
      </c>
      <c r="D345" s="16" t="s">
        <v>73</v>
      </c>
      <c r="E345" s="16" t="s">
        <v>236</v>
      </c>
    </row>
    <row r="346">
      <c r="A346" s="16" t="s">
        <v>1281</v>
      </c>
      <c r="B346" s="16" t="s">
        <v>1282</v>
      </c>
      <c r="C346" s="16" t="s">
        <v>57</v>
      </c>
      <c r="D346" s="16" t="s">
        <v>73</v>
      </c>
      <c r="E346" s="16" t="s">
        <v>528</v>
      </c>
    </row>
    <row r="347">
      <c r="A347" s="16" t="s">
        <v>1284</v>
      </c>
      <c r="B347" s="16" t="s">
        <v>1285</v>
      </c>
      <c r="C347" s="16" t="s">
        <v>57</v>
      </c>
      <c r="D347" s="16" t="s">
        <v>73</v>
      </c>
      <c r="E347" s="16" t="s">
        <v>528</v>
      </c>
    </row>
    <row r="348">
      <c r="A348" s="16" t="s">
        <v>1287</v>
      </c>
      <c r="B348" s="16" t="s">
        <v>1288</v>
      </c>
      <c r="C348" s="16" t="s">
        <v>57</v>
      </c>
      <c r="D348" s="16" t="s">
        <v>73</v>
      </c>
      <c r="E348" s="16" t="s">
        <v>732</v>
      </c>
    </row>
    <row r="349">
      <c r="A349" s="16" t="s">
        <v>1290</v>
      </c>
      <c r="B349" s="16" t="s">
        <v>1291</v>
      </c>
      <c r="C349" s="16" t="s">
        <v>57</v>
      </c>
      <c r="D349" s="16" t="s">
        <v>73</v>
      </c>
      <c r="E349" s="16" t="s">
        <v>732</v>
      </c>
    </row>
    <row r="350">
      <c r="A350" s="16" t="s">
        <v>1292</v>
      </c>
      <c r="B350" s="16" t="s">
        <v>1294</v>
      </c>
      <c r="C350" s="16" t="s">
        <v>57</v>
      </c>
      <c r="D350" s="16" t="s">
        <v>73</v>
      </c>
      <c r="E350" s="16" t="s">
        <v>732</v>
      </c>
    </row>
    <row r="351">
      <c r="A351" s="16" t="s">
        <v>691</v>
      </c>
      <c r="B351" s="16" t="s">
        <v>1295</v>
      </c>
      <c r="C351" s="16" t="s">
        <v>57</v>
      </c>
      <c r="D351" s="16" t="s">
        <v>73</v>
      </c>
      <c r="E351" s="16" t="s">
        <v>732</v>
      </c>
    </row>
    <row r="352">
      <c r="A352" s="16" t="s">
        <v>1297</v>
      </c>
      <c r="B352" s="16" t="s">
        <v>1298</v>
      </c>
      <c r="C352" s="16" t="s">
        <v>57</v>
      </c>
      <c r="D352" s="16" t="s">
        <v>73</v>
      </c>
      <c r="E352" s="16" t="s">
        <v>732</v>
      </c>
    </row>
    <row r="353">
      <c r="A353" s="16" t="s">
        <v>778</v>
      </c>
      <c r="B353" s="16" t="s">
        <v>1300</v>
      </c>
      <c r="C353" s="16" t="s">
        <v>57</v>
      </c>
      <c r="D353" s="16" t="s">
        <v>73</v>
      </c>
      <c r="E353" s="16" t="s">
        <v>624</v>
      </c>
    </row>
    <row r="354">
      <c r="A354" s="16" t="s">
        <v>292</v>
      </c>
      <c r="B354" s="16" t="s">
        <v>1302</v>
      </c>
      <c r="C354" s="16" t="s">
        <v>57</v>
      </c>
      <c r="D354" s="16" t="s">
        <v>73</v>
      </c>
      <c r="E354" s="16" t="s">
        <v>624</v>
      </c>
    </row>
    <row r="355">
      <c r="A355" s="16" t="s">
        <v>1304</v>
      </c>
      <c r="B355" s="16" t="s">
        <v>1305</v>
      </c>
      <c r="C355" s="16" t="s">
        <v>57</v>
      </c>
      <c r="D355" s="16" t="s">
        <v>73</v>
      </c>
      <c r="E355" s="16" t="s">
        <v>500</v>
      </c>
    </row>
    <row r="356" hidden="1">
      <c r="A356" s="16" t="s">
        <v>1307</v>
      </c>
      <c r="B356" s="16" t="s">
        <v>1308</v>
      </c>
      <c r="C356" s="16" t="s">
        <v>234</v>
      </c>
      <c r="D356" s="16" t="s">
        <v>73</v>
      </c>
      <c r="E356" s="16" t="s">
        <v>236</v>
      </c>
    </row>
    <row r="357" hidden="1">
      <c r="A357" s="16" t="s">
        <v>1310</v>
      </c>
      <c r="B357" s="16" t="s">
        <v>1311</v>
      </c>
      <c r="C357" s="16" t="s">
        <v>234</v>
      </c>
      <c r="D357" s="16" t="s">
        <v>73</v>
      </c>
      <c r="E357" s="16" t="s">
        <v>236</v>
      </c>
    </row>
    <row r="358" hidden="1">
      <c r="A358" s="16" t="s">
        <v>1312</v>
      </c>
      <c r="B358" s="16" t="s">
        <v>1314</v>
      </c>
      <c r="C358" s="16" t="s">
        <v>234</v>
      </c>
      <c r="D358" s="16" t="s">
        <v>73</v>
      </c>
      <c r="E358" s="16" t="s">
        <v>236</v>
      </c>
    </row>
    <row r="359">
      <c r="A359" s="16" t="s">
        <v>1315</v>
      </c>
      <c r="B359" s="16" t="s">
        <v>1316</v>
      </c>
      <c r="C359" s="16" t="s">
        <v>23</v>
      </c>
      <c r="D359" s="16" t="s">
        <v>73</v>
      </c>
      <c r="E359" s="16" t="s">
        <v>178</v>
      </c>
    </row>
    <row r="360" hidden="1">
      <c r="A360" s="16" t="s">
        <v>1318</v>
      </c>
      <c r="B360" s="16" t="s">
        <v>1319</v>
      </c>
      <c r="C360" s="16" t="s">
        <v>234</v>
      </c>
      <c r="D360" s="16" t="s">
        <v>73</v>
      </c>
      <c r="E360" s="16" t="s">
        <v>236</v>
      </c>
    </row>
    <row r="361" hidden="1">
      <c r="A361" s="16" t="s">
        <v>1320</v>
      </c>
      <c r="B361" s="16" t="s">
        <v>1321</v>
      </c>
      <c r="C361" s="16" t="s">
        <v>234</v>
      </c>
      <c r="D361" s="16" t="s">
        <v>73</v>
      </c>
      <c r="E361" s="16" t="s">
        <v>1323</v>
      </c>
    </row>
    <row r="362" hidden="1">
      <c r="A362" s="16" t="s">
        <v>1325</v>
      </c>
      <c r="B362" s="16" t="s">
        <v>1326</v>
      </c>
      <c r="C362" s="16" t="s">
        <v>234</v>
      </c>
      <c r="D362" s="16" t="s">
        <v>73</v>
      </c>
      <c r="E362" s="16" t="s">
        <v>236</v>
      </c>
    </row>
    <row r="363" hidden="1">
      <c r="A363" s="16" t="s">
        <v>1328</v>
      </c>
      <c r="B363" s="16" t="s">
        <v>1329</v>
      </c>
      <c r="C363" s="16" t="s">
        <v>234</v>
      </c>
      <c r="D363" s="16" t="s">
        <v>73</v>
      </c>
      <c r="E363" s="16" t="s">
        <v>236</v>
      </c>
    </row>
    <row r="364">
      <c r="A364" s="16" t="s">
        <v>1330</v>
      </c>
      <c r="B364" s="16" t="s">
        <v>1331</v>
      </c>
      <c r="C364" s="16" t="s">
        <v>23</v>
      </c>
      <c r="D364" s="16" t="s">
        <v>73</v>
      </c>
      <c r="E364" s="16" t="s">
        <v>178</v>
      </c>
    </row>
    <row r="365" hidden="1">
      <c r="A365" s="16" t="s">
        <v>1333</v>
      </c>
      <c r="B365" s="16" t="s">
        <v>1334</v>
      </c>
      <c r="C365" s="16" t="s">
        <v>234</v>
      </c>
      <c r="D365" s="16" t="s">
        <v>73</v>
      </c>
      <c r="E365" s="16" t="s">
        <v>236</v>
      </c>
    </row>
    <row r="366" hidden="1">
      <c r="A366" s="16" t="s">
        <v>1336</v>
      </c>
      <c r="B366" s="16" t="s">
        <v>1337</v>
      </c>
      <c r="C366" s="16" t="s">
        <v>234</v>
      </c>
      <c r="D366" s="16" t="s">
        <v>73</v>
      </c>
      <c r="E366" s="16" t="s">
        <v>236</v>
      </c>
    </row>
    <row r="367" hidden="1">
      <c r="A367" s="16" t="s">
        <v>1339</v>
      </c>
      <c r="B367" s="16" t="s">
        <v>1340</v>
      </c>
      <c r="C367" s="16" t="s">
        <v>234</v>
      </c>
      <c r="D367" s="16" t="s">
        <v>73</v>
      </c>
      <c r="E367" s="16" t="s">
        <v>1341</v>
      </c>
    </row>
    <row r="368" hidden="1">
      <c r="A368" s="16" t="s">
        <v>1342</v>
      </c>
      <c r="B368" s="16" t="s">
        <v>1343</v>
      </c>
      <c r="C368" s="16" t="s">
        <v>234</v>
      </c>
      <c r="D368" s="16" t="s">
        <v>114</v>
      </c>
      <c r="E368" s="16" t="s">
        <v>236</v>
      </c>
    </row>
    <row r="369" hidden="1">
      <c r="A369" s="16" t="s">
        <v>1345</v>
      </c>
      <c r="B369" s="16" t="s">
        <v>1346</v>
      </c>
      <c r="C369" s="16" t="s">
        <v>234</v>
      </c>
      <c r="D369" s="16" t="s">
        <v>73</v>
      </c>
      <c r="E369" s="16" t="s">
        <v>236</v>
      </c>
    </row>
    <row r="370" hidden="1">
      <c r="A370" s="16" t="s">
        <v>1349</v>
      </c>
      <c r="B370" s="16" t="s">
        <v>1350</v>
      </c>
      <c r="C370" s="16" t="s">
        <v>234</v>
      </c>
      <c r="D370" s="16" t="s">
        <v>73</v>
      </c>
      <c r="E370" s="16" t="s">
        <v>236</v>
      </c>
    </row>
    <row r="371" hidden="1">
      <c r="A371" s="16" t="s">
        <v>1352</v>
      </c>
      <c r="B371" s="16" t="s">
        <v>1353</v>
      </c>
      <c r="C371" s="16" t="s">
        <v>234</v>
      </c>
      <c r="D371" s="16" t="s">
        <v>73</v>
      </c>
      <c r="E371" s="16" t="s">
        <v>236</v>
      </c>
    </row>
    <row r="372" hidden="1">
      <c r="A372" s="16" t="s">
        <v>1354</v>
      </c>
      <c r="B372" s="16" t="s">
        <v>1356</v>
      </c>
      <c r="C372" s="16" t="s">
        <v>234</v>
      </c>
      <c r="D372" s="16" t="s">
        <v>73</v>
      </c>
      <c r="E372" s="16" t="s">
        <v>236</v>
      </c>
    </row>
    <row r="373" hidden="1">
      <c r="A373" s="16" t="s">
        <v>1357</v>
      </c>
      <c r="B373" s="16" t="s">
        <v>1359</v>
      </c>
      <c r="C373" s="16" t="s">
        <v>234</v>
      </c>
      <c r="D373" s="16" t="s">
        <v>73</v>
      </c>
      <c r="E373" s="16" t="s">
        <v>236</v>
      </c>
    </row>
    <row r="374" hidden="1">
      <c r="A374" s="16" t="s">
        <v>1360</v>
      </c>
      <c r="B374" s="16" t="s">
        <v>1361</v>
      </c>
      <c r="C374" s="16" t="s">
        <v>234</v>
      </c>
      <c r="D374" s="16" t="s">
        <v>73</v>
      </c>
      <c r="E374" s="16" t="s">
        <v>236</v>
      </c>
    </row>
    <row r="375">
      <c r="A375" s="16" t="s">
        <v>1362</v>
      </c>
      <c r="B375" s="16" t="s">
        <v>1363</v>
      </c>
      <c r="C375" s="16" t="s">
        <v>23</v>
      </c>
      <c r="D375" s="16" t="s">
        <v>73</v>
      </c>
      <c r="E375" s="16" t="s">
        <v>841</v>
      </c>
    </row>
    <row r="376">
      <c r="A376" s="16" t="s">
        <v>1365</v>
      </c>
      <c r="B376" s="16" t="s">
        <v>1366</v>
      </c>
      <c r="C376" s="16" t="s">
        <v>57</v>
      </c>
      <c r="D376" s="16" t="s">
        <v>73</v>
      </c>
      <c r="E376" s="16" t="s">
        <v>1368</v>
      </c>
    </row>
    <row r="377">
      <c r="A377" s="16" t="s">
        <v>169</v>
      </c>
      <c r="B377" s="16" t="s">
        <v>1369</v>
      </c>
      <c r="C377" s="16" t="s">
        <v>23</v>
      </c>
      <c r="D377" s="16" t="s">
        <v>73</v>
      </c>
      <c r="E377" s="16" t="s">
        <v>513</v>
      </c>
    </row>
    <row r="378">
      <c r="A378" s="16" t="s">
        <v>202</v>
      </c>
      <c r="B378" s="16" t="s">
        <v>1371</v>
      </c>
      <c r="C378" s="16" t="s">
        <v>57</v>
      </c>
      <c r="D378" s="16" t="s">
        <v>73</v>
      </c>
      <c r="E378" s="16" t="s">
        <v>1372</v>
      </c>
    </row>
    <row r="379">
      <c r="A379" s="16" t="s">
        <v>1373</v>
      </c>
      <c r="B379" s="16" t="s">
        <v>1375</v>
      </c>
      <c r="C379" s="16" t="s">
        <v>57</v>
      </c>
      <c r="D379" s="16" t="s">
        <v>73</v>
      </c>
      <c r="E379" s="16" t="s">
        <v>198</v>
      </c>
    </row>
    <row r="380">
      <c r="A380" s="16" t="s">
        <v>1376</v>
      </c>
      <c r="B380" s="16" t="s">
        <v>1377</v>
      </c>
      <c r="C380" s="16" t="s">
        <v>23</v>
      </c>
      <c r="D380" s="16" t="s">
        <v>73</v>
      </c>
      <c r="E380" s="16" t="s">
        <v>628</v>
      </c>
    </row>
    <row r="381">
      <c r="A381" s="16" t="s">
        <v>1379</v>
      </c>
      <c r="B381" s="16" t="s">
        <v>1380</v>
      </c>
      <c r="C381" s="16" t="s">
        <v>23</v>
      </c>
      <c r="D381" s="16" t="s">
        <v>73</v>
      </c>
      <c r="E381" s="16" t="s">
        <v>513</v>
      </c>
    </row>
    <row r="382">
      <c r="A382" s="16" t="s">
        <v>1382</v>
      </c>
      <c r="B382" s="16" t="s">
        <v>1383</v>
      </c>
      <c r="C382" s="16" t="s">
        <v>23</v>
      </c>
      <c r="D382" s="16" t="s">
        <v>73</v>
      </c>
      <c r="E382" s="16" t="s">
        <v>328</v>
      </c>
    </row>
    <row r="383">
      <c r="A383" s="16" t="s">
        <v>1384</v>
      </c>
      <c r="B383" s="16" t="s">
        <v>1385</v>
      </c>
      <c r="C383" s="16" t="s">
        <v>23</v>
      </c>
      <c r="D383" s="16" t="s">
        <v>73</v>
      </c>
      <c r="E383" s="16" t="s">
        <v>328</v>
      </c>
    </row>
    <row r="384">
      <c r="A384" s="16" t="s">
        <v>1386</v>
      </c>
      <c r="B384" s="16" t="s">
        <v>1387</v>
      </c>
      <c r="C384" s="16" t="s">
        <v>23</v>
      </c>
      <c r="D384" s="16" t="s">
        <v>73</v>
      </c>
      <c r="E384" s="16" t="s">
        <v>628</v>
      </c>
    </row>
    <row r="385">
      <c r="A385" s="16" t="s">
        <v>1388</v>
      </c>
      <c r="B385" s="16" t="s">
        <v>1389</v>
      </c>
      <c r="C385" s="16" t="s">
        <v>23</v>
      </c>
      <c r="D385" s="16" t="s">
        <v>73</v>
      </c>
      <c r="E385" s="16" t="s">
        <v>328</v>
      </c>
    </row>
    <row r="386">
      <c r="A386" s="16" t="s">
        <v>1393</v>
      </c>
      <c r="B386" s="16" t="s">
        <v>1395</v>
      </c>
      <c r="C386" s="16" t="s">
        <v>23</v>
      </c>
      <c r="D386" s="16" t="s">
        <v>73</v>
      </c>
      <c r="E386" s="16" t="s">
        <v>328</v>
      </c>
    </row>
    <row r="387">
      <c r="A387" s="16" t="s">
        <v>1396</v>
      </c>
      <c r="B387" s="16" t="s">
        <v>1398</v>
      </c>
      <c r="C387" s="16" t="s">
        <v>23</v>
      </c>
      <c r="D387" s="16" t="s">
        <v>73</v>
      </c>
      <c r="E387" s="16" t="s">
        <v>328</v>
      </c>
    </row>
    <row r="388">
      <c r="A388" s="16" t="s">
        <v>1399</v>
      </c>
      <c r="B388" s="16" t="s">
        <v>1400</v>
      </c>
      <c r="C388" s="16" t="s">
        <v>23</v>
      </c>
      <c r="D388" s="16" t="s">
        <v>73</v>
      </c>
      <c r="E388" s="16" t="s">
        <v>328</v>
      </c>
    </row>
    <row r="389">
      <c r="A389" s="16" t="s">
        <v>1403</v>
      </c>
      <c r="B389" s="16" t="s">
        <v>1404</v>
      </c>
      <c r="C389" s="16" t="s">
        <v>23</v>
      </c>
      <c r="D389" s="16" t="s">
        <v>73</v>
      </c>
      <c r="E389" s="16" t="s">
        <v>328</v>
      </c>
    </row>
    <row r="390">
      <c r="A390" s="16" t="s">
        <v>1405</v>
      </c>
      <c r="B390" s="16" t="s">
        <v>1406</v>
      </c>
      <c r="C390" s="16" t="s">
        <v>57</v>
      </c>
      <c r="D390" s="16" t="s">
        <v>73</v>
      </c>
      <c r="E390" s="16" t="s">
        <v>473</v>
      </c>
    </row>
    <row r="391">
      <c r="A391" s="16" t="s">
        <v>1408</v>
      </c>
      <c r="B391" s="16" t="s">
        <v>1409</v>
      </c>
      <c r="C391" s="16" t="s">
        <v>57</v>
      </c>
      <c r="D391" s="16" t="s">
        <v>73</v>
      </c>
      <c r="E391" s="16" t="s">
        <v>536</v>
      </c>
    </row>
    <row r="392">
      <c r="A392" s="16" t="s">
        <v>1410</v>
      </c>
      <c r="B392" s="16" t="s">
        <v>1411</v>
      </c>
      <c r="C392" s="16" t="s">
        <v>57</v>
      </c>
      <c r="D392" s="16" t="s">
        <v>73</v>
      </c>
      <c r="E392" s="16" t="s">
        <v>198</v>
      </c>
    </row>
    <row r="393">
      <c r="A393" s="16" t="s">
        <v>1412</v>
      </c>
      <c r="B393" s="16" t="s">
        <v>1414</v>
      </c>
      <c r="C393" s="16" t="s">
        <v>57</v>
      </c>
      <c r="D393" s="16" t="s">
        <v>73</v>
      </c>
      <c r="E393" s="16" t="s">
        <v>219</v>
      </c>
    </row>
    <row r="394">
      <c r="A394" s="16" t="s">
        <v>1415</v>
      </c>
      <c r="B394" s="16" t="s">
        <v>1416</v>
      </c>
      <c r="C394" s="16" t="s">
        <v>57</v>
      </c>
      <c r="D394" s="16" t="s">
        <v>73</v>
      </c>
      <c r="E394" s="16" t="s">
        <v>219</v>
      </c>
    </row>
    <row r="395">
      <c r="A395" s="16" t="s">
        <v>1418</v>
      </c>
      <c r="B395" s="16" t="s">
        <v>1419</v>
      </c>
      <c r="C395" s="16" t="s">
        <v>57</v>
      </c>
      <c r="D395" s="16" t="s">
        <v>73</v>
      </c>
      <c r="E395" s="16" t="s">
        <v>189</v>
      </c>
    </row>
    <row r="396">
      <c r="A396" s="16" t="s">
        <v>1421</v>
      </c>
      <c r="B396" s="16" t="s">
        <v>1422</v>
      </c>
      <c r="C396" s="16" t="s">
        <v>57</v>
      </c>
      <c r="D396" s="16" t="s">
        <v>73</v>
      </c>
      <c r="E396" s="16" t="s">
        <v>295</v>
      </c>
    </row>
    <row r="397">
      <c r="A397" s="16" t="s">
        <v>1424</v>
      </c>
      <c r="B397" s="16" t="s">
        <v>1426</v>
      </c>
      <c r="C397" s="16" t="s">
        <v>57</v>
      </c>
      <c r="D397" s="16" t="s">
        <v>73</v>
      </c>
      <c r="E397" s="16" t="s">
        <v>189</v>
      </c>
    </row>
    <row r="398">
      <c r="A398" s="16" t="s">
        <v>1427</v>
      </c>
      <c r="B398" s="16" t="s">
        <v>1428</v>
      </c>
      <c r="C398" s="16" t="s">
        <v>57</v>
      </c>
      <c r="D398" s="16" t="s">
        <v>73</v>
      </c>
      <c r="E398" s="16" t="s">
        <v>295</v>
      </c>
    </row>
    <row r="399">
      <c r="A399" s="16" t="s">
        <v>1429</v>
      </c>
      <c r="B399" s="16" t="s">
        <v>1430</v>
      </c>
      <c r="C399" s="16" t="s">
        <v>57</v>
      </c>
      <c r="D399" s="16" t="s">
        <v>73</v>
      </c>
      <c r="E399" s="16" t="s">
        <v>189</v>
      </c>
    </row>
    <row r="400">
      <c r="A400" s="16" t="s">
        <v>1432</v>
      </c>
      <c r="B400" s="16" t="s">
        <v>1433</v>
      </c>
      <c r="C400" s="16" t="s">
        <v>57</v>
      </c>
      <c r="D400" s="16" t="s">
        <v>73</v>
      </c>
      <c r="E400" s="16" t="s">
        <v>295</v>
      </c>
    </row>
    <row r="401">
      <c r="A401" s="16" t="s">
        <v>1434</v>
      </c>
      <c r="B401" s="16" t="s">
        <v>1435</v>
      </c>
      <c r="C401" s="16" t="s">
        <v>57</v>
      </c>
      <c r="D401" s="16" t="s">
        <v>73</v>
      </c>
      <c r="E401" s="16" t="s">
        <v>1437</v>
      </c>
    </row>
    <row r="402">
      <c r="A402" s="16" t="s">
        <v>1438</v>
      </c>
      <c r="B402" s="16" t="s">
        <v>1439</v>
      </c>
      <c r="C402" s="16" t="s">
        <v>23</v>
      </c>
      <c r="D402" s="16" t="s">
        <v>114</v>
      </c>
      <c r="E402" s="16" t="s">
        <v>152</v>
      </c>
    </row>
    <row r="403" hidden="1">
      <c r="A403" s="16" t="s">
        <v>1441</v>
      </c>
      <c r="B403" s="16" t="s">
        <v>1443</v>
      </c>
      <c r="C403" s="16" t="s">
        <v>234</v>
      </c>
      <c r="D403" s="16" t="s">
        <v>73</v>
      </c>
      <c r="E403" s="16" t="s">
        <v>236</v>
      </c>
    </row>
    <row r="404">
      <c r="A404" s="16" t="s">
        <v>1444</v>
      </c>
      <c r="B404" s="16" t="s">
        <v>1446</v>
      </c>
      <c r="C404" s="16" t="s">
        <v>57</v>
      </c>
      <c r="D404" s="16" t="s">
        <v>73</v>
      </c>
      <c r="E404" s="16" t="s">
        <v>624</v>
      </c>
    </row>
    <row r="405">
      <c r="A405" s="16" t="s">
        <v>1448</v>
      </c>
      <c r="B405" s="16" t="s">
        <v>1450</v>
      </c>
      <c r="C405" s="16" t="s">
        <v>23</v>
      </c>
      <c r="D405" s="16" t="s">
        <v>73</v>
      </c>
      <c r="E405" s="16" t="s">
        <v>628</v>
      </c>
    </row>
    <row r="406">
      <c r="A406" s="16" t="s">
        <v>1452</v>
      </c>
      <c r="B406" s="16" t="s">
        <v>1453</v>
      </c>
      <c r="C406" s="16" t="s">
        <v>23</v>
      </c>
      <c r="D406" s="16" t="s">
        <v>73</v>
      </c>
      <c r="E406" s="16" t="s">
        <v>328</v>
      </c>
    </row>
    <row r="407">
      <c r="A407" s="16" t="s">
        <v>1454</v>
      </c>
      <c r="B407" s="16" t="s">
        <v>1456</v>
      </c>
      <c r="C407" s="16" t="s">
        <v>23</v>
      </c>
      <c r="D407" s="16" t="s">
        <v>73</v>
      </c>
      <c r="E407" s="16" t="s">
        <v>628</v>
      </c>
    </row>
    <row r="408">
      <c r="A408" s="16" t="s">
        <v>1457</v>
      </c>
      <c r="B408" s="16" t="s">
        <v>1458</v>
      </c>
      <c r="C408" s="16" t="s">
        <v>23</v>
      </c>
      <c r="D408" s="16" t="s">
        <v>73</v>
      </c>
      <c r="E408" s="16" t="s">
        <v>328</v>
      </c>
    </row>
    <row r="409" hidden="1">
      <c r="A409" s="16" t="s">
        <v>1461</v>
      </c>
      <c r="B409" s="16" t="s">
        <v>1462</v>
      </c>
      <c r="C409" s="16" t="s">
        <v>234</v>
      </c>
      <c r="D409" s="16" t="s">
        <v>73</v>
      </c>
      <c r="E409" s="16" t="s">
        <v>236</v>
      </c>
    </row>
    <row r="410" hidden="1">
      <c r="A410" s="16" t="s">
        <v>1464</v>
      </c>
      <c r="B410" s="16" t="s">
        <v>1465</v>
      </c>
      <c r="C410" s="16" t="s">
        <v>234</v>
      </c>
      <c r="D410" s="16" t="s">
        <v>73</v>
      </c>
      <c r="E410" s="16" t="s">
        <v>236</v>
      </c>
    </row>
    <row r="411">
      <c r="A411" s="16" t="s">
        <v>1467</v>
      </c>
      <c r="B411" s="16" t="s">
        <v>1468</v>
      </c>
      <c r="C411" s="16" t="s">
        <v>57</v>
      </c>
      <c r="D411" s="16" t="s">
        <v>114</v>
      </c>
      <c r="E411" s="16" t="s">
        <v>162</v>
      </c>
    </row>
    <row r="412">
      <c r="A412" s="16" t="s">
        <v>1470</v>
      </c>
      <c r="B412" s="16" t="s">
        <v>1471</v>
      </c>
      <c r="C412" s="16" t="s">
        <v>57</v>
      </c>
      <c r="D412" s="16" t="s">
        <v>73</v>
      </c>
      <c r="E412" s="16" t="s">
        <v>1472</v>
      </c>
    </row>
    <row r="413">
      <c r="A413" s="16" t="s">
        <v>1473</v>
      </c>
      <c r="B413" s="16" t="s">
        <v>1474</v>
      </c>
      <c r="C413" s="16" t="s">
        <v>57</v>
      </c>
      <c r="D413" s="16" t="s">
        <v>73</v>
      </c>
      <c r="E413" s="16" t="s">
        <v>1476</v>
      </c>
    </row>
    <row r="414">
      <c r="A414" s="16" t="s">
        <v>1477</v>
      </c>
      <c r="B414" s="16" t="s">
        <v>1478</v>
      </c>
      <c r="C414" s="16" t="s">
        <v>57</v>
      </c>
      <c r="D414" s="16" t="s">
        <v>73</v>
      </c>
      <c r="E414" s="16" t="s">
        <v>1480</v>
      </c>
    </row>
    <row r="415">
      <c r="A415" s="16" t="s">
        <v>1481</v>
      </c>
      <c r="B415" s="16" t="s">
        <v>1482</v>
      </c>
      <c r="C415" s="16" t="s">
        <v>57</v>
      </c>
      <c r="D415" s="16" t="s">
        <v>73</v>
      </c>
      <c r="E415" s="16" t="s">
        <v>1485</v>
      </c>
    </row>
    <row r="416">
      <c r="A416" s="16" t="s">
        <v>1486</v>
      </c>
      <c r="B416" s="16" t="s">
        <v>1487</v>
      </c>
      <c r="C416" s="16" t="s">
        <v>57</v>
      </c>
      <c r="D416" s="16" t="s">
        <v>73</v>
      </c>
      <c r="E416" s="16" t="s">
        <v>1489</v>
      </c>
    </row>
    <row r="417">
      <c r="A417" s="16" t="s">
        <v>1490</v>
      </c>
      <c r="B417" s="16" t="s">
        <v>1491</v>
      </c>
      <c r="C417" s="16" t="s">
        <v>57</v>
      </c>
      <c r="D417" s="16" t="s">
        <v>73</v>
      </c>
      <c r="E417" s="16" t="s">
        <v>1492</v>
      </c>
    </row>
    <row r="418">
      <c r="A418" s="16" t="s">
        <v>1494</v>
      </c>
      <c r="B418" s="16" t="s">
        <v>1495</v>
      </c>
      <c r="C418" s="16" t="s">
        <v>57</v>
      </c>
      <c r="D418" s="16" t="s">
        <v>73</v>
      </c>
      <c r="E418" s="16" t="s">
        <v>411</v>
      </c>
    </row>
    <row r="419">
      <c r="A419" s="16" t="s">
        <v>1496</v>
      </c>
      <c r="B419" s="16" t="s">
        <v>1498</v>
      </c>
      <c r="C419" s="16" t="s">
        <v>57</v>
      </c>
      <c r="D419" s="16" t="s">
        <v>73</v>
      </c>
      <c r="E419" s="16" t="s">
        <v>1499</v>
      </c>
    </row>
    <row r="420">
      <c r="A420" s="16" t="s">
        <v>1500</v>
      </c>
      <c r="B420" s="16" t="s">
        <v>1501</v>
      </c>
      <c r="C420" s="16" t="s">
        <v>57</v>
      </c>
      <c r="D420" s="16" t="s">
        <v>73</v>
      </c>
      <c r="E420" s="16" t="s">
        <v>1503</v>
      </c>
    </row>
    <row r="421">
      <c r="A421" s="16" t="s">
        <v>1504</v>
      </c>
      <c r="B421" s="16" t="s">
        <v>1505</v>
      </c>
      <c r="C421" s="16" t="s">
        <v>57</v>
      </c>
      <c r="D421" s="16" t="s">
        <v>73</v>
      </c>
      <c r="E421" s="16" t="s">
        <v>1507</v>
      </c>
    </row>
    <row r="422">
      <c r="A422" s="16" t="s">
        <v>1508</v>
      </c>
      <c r="B422" s="16" t="s">
        <v>1509</v>
      </c>
      <c r="C422" s="16" t="s">
        <v>23</v>
      </c>
      <c r="D422" s="16" t="s">
        <v>73</v>
      </c>
      <c r="E422" s="16" t="s">
        <v>1511</v>
      </c>
    </row>
    <row r="423">
      <c r="A423" s="16" t="s">
        <v>1512</v>
      </c>
      <c r="B423" s="16" t="s">
        <v>1513</v>
      </c>
      <c r="C423" s="16" t="s">
        <v>23</v>
      </c>
      <c r="D423" s="16" t="s">
        <v>73</v>
      </c>
      <c r="E423" s="16" t="s">
        <v>1514</v>
      </c>
    </row>
    <row r="424">
      <c r="A424" s="16" t="s">
        <v>1516</v>
      </c>
      <c r="B424" s="16" t="s">
        <v>1517</v>
      </c>
      <c r="C424" s="16" t="s">
        <v>23</v>
      </c>
      <c r="D424" s="16" t="s">
        <v>73</v>
      </c>
      <c r="E424" s="16" t="s">
        <v>1518</v>
      </c>
    </row>
    <row r="425">
      <c r="A425" s="16" t="s">
        <v>1519</v>
      </c>
      <c r="B425" s="16" t="s">
        <v>1520</v>
      </c>
      <c r="C425" s="16" t="s">
        <v>23</v>
      </c>
      <c r="D425" s="16" t="s">
        <v>73</v>
      </c>
      <c r="E425" s="16" t="s">
        <v>1521</v>
      </c>
    </row>
    <row r="426">
      <c r="A426" s="16" t="s">
        <v>1523</v>
      </c>
      <c r="B426" s="16" t="s">
        <v>1524</v>
      </c>
      <c r="C426" s="16" t="s">
        <v>23</v>
      </c>
      <c r="D426" s="16" t="s">
        <v>73</v>
      </c>
      <c r="E426" s="16" t="s">
        <v>628</v>
      </c>
    </row>
    <row r="427">
      <c r="A427" s="16" t="s">
        <v>1525</v>
      </c>
      <c r="B427" s="16" t="s">
        <v>1526</v>
      </c>
      <c r="C427" s="16" t="s">
        <v>23</v>
      </c>
      <c r="D427" s="16" t="s">
        <v>73</v>
      </c>
      <c r="E427" s="16" t="s">
        <v>628</v>
      </c>
    </row>
    <row r="428">
      <c r="A428" s="16" t="s">
        <v>1528</v>
      </c>
      <c r="B428" s="16" t="s">
        <v>1529</v>
      </c>
      <c r="C428" s="16" t="s">
        <v>23</v>
      </c>
      <c r="D428" s="16" t="s">
        <v>73</v>
      </c>
      <c r="E428" s="16" t="s">
        <v>628</v>
      </c>
    </row>
    <row r="429">
      <c r="A429" s="16" t="s">
        <v>1532</v>
      </c>
      <c r="B429" s="16" t="s">
        <v>1533</v>
      </c>
      <c r="C429" s="16" t="s">
        <v>23</v>
      </c>
      <c r="D429" s="16" t="s">
        <v>73</v>
      </c>
      <c r="E429" s="16" t="s">
        <v>628</v>
      </c>
    </row>
    <row r="430">
      <c r="A430" s="16" t="s">
        <v>122</v>
      </c>
      <c r="B430" s="16" t="s">
        <v>1536</v>
      </c>
      <c r="C430" s="16" t="s">
        <v>57</v>
      </c>
      <c r="D430" s="16" t="s">
        <v>73</v>
      </c>
      <c r="E430" s="16" t="s">
        <v>159</v>
      </c>
    </row>
    <row r="431">
      <c r="A431" s="16" t="s">
        <v>1537</v>
      </c>
      <c r="B431" s="16" t="s">
        <v>1538</v>
      </c>
      <c r="C431" s="16" t="s">
        <v>57</v>
      </c>
      <c r="D431" s="16" t="s">
        <v>73</v>
      </c>
      <c r="E431" s="16" t="s">
        <v>140</v>
      </c>
    </row>
    <row r="432" hidden="1">
      <c r="A432" s="16" t="s">
        <v>1541</v>
      </c>
      <c r="B432" s="16" t="s">
        <v>1543</v>
      </c>
      <c r="C432" s="16" t="s">
        <v>234</v>
      </c>
      <c r="D432" s="16" t="s">
        <v>73</v>
      </c>
      <c r="E432" s="16" t="s">
        <v>236</v>
      </c>
    </row>
    <row r="433" hidden="1">
      <c r="A433" s="16" t="s">
        <v>1546</v>
      </c>
      <c r="B433" s="16" t="s">
        <v>1547</v>
      </c>
      <c r="C433" s="16" t="s">
        <v>234</v>
      </c>
      <c r="D433" s="16" t="s">
        <v>73</v>
      </c>
      <c r="E433" s="16" t="s">
        <v>236</v>
      </c>
    </row>
    <row r="434" hidden="1">
      <c r="A434" s="16" t="s">
        <v>1548</v>
      </c>
      <c r="B434" s="16" t="s">
        <v>1550</v>
      </c>
      <c r="C434" s="16" t="s">
        <v>234</v>
      </c>
      <c r="D434" s="16" t="s">
        <v>73</v>
      </c>
      <c r="E434" s="16" t="s">
        <v>236</v>
      </c>
    </row>
    <row r="435" hidden="1">
      <c r="A435" s="16" t="s">
        <v>1551</v>
      </c>
      <c r="B435" s="16" t="s">
        <v>1552</v>
      </c>
      <c r="C435" s="16" t="s">
        <v>234</v>
      </c>
      <c r="D435" s="16" t="s">
        <v>73</v>
      </c>
      <c r="E435" s="16" t="s">
        <v>236</v>
      </c>
    </row>
    <row r="436">
      <c r="A436" s="16" t="s">
        <v>1554</v>
      </c>
      <c r="B436" s="16" t="s">
        <v>1556</v>
      </c>
      <c r="C436" s="16" t="s">
        <v>57</v>
      </c>
      <c r="D436" s="16" t="s">
        <v>73</v>
      </c>
      <c r="E436" s="16" t="s">
        <v>295</v>
      </c>
    </row>
    <row r="437">
      <c r="A437" s="16" t="s">
        <v>1558</v>
      </c>
      <c r="B437" s="16" t="s">
        <v>1559</v>
      </c>
      <c r="C437" s="16" t="s">
        <v>57</v>
      </c>
      <c r="D437" s="16" t="s">
        <v>73</v>
      </c>
      <c r="E437" s="16" t="s">
        <v>118</v>
      </c>
    </row>
    <row r="438">
      <c r="A438" s="16" t="s">
        <v>1561</v>
      </c>
      <c r="B438" s="16" t="s">
        <v>1562</v>
      </c>
      <c r="C438" s="16" t="s">
        <v>57</v>
      </c>
      <c r="D438" s="16" t="s">
        <v>73</v>
      </c>
      <c r="E438" s="16" t="s">
        <v>118</v>
      </c>
    </row>
    <row r="439">
      <c r="A439" s="16" t="s">
        <v>1563</v>
      </c>
      <c r="B439" s="16" t="s">
        <v>1564</v>
      </c>
      <c r="C439" s="16" t="s">
        <v>57</v>
      </c>
      <c r="D439" s="16" t="s">
        <v>73</v>
      </c>
      <c r="E439" s="16" t="s">
        <v>1565</v>
      </c>
    </row>
    <row r="440">
      <c r="A440" s="16" t="s">
        <v>1566</v>
      </c>
      <c r="B440" s="16" t="s">
        <v>1568</v>
      </c>
      <c r="C440" s="16" t="s">
        <v>57</v>
      </c>
      <c r="D440" s="16" t="s">
        <v>73</v>
      </c>
      <c r="E440" s="16" t="s">
        <v>1565</v>
      </c>
    </row>
    <row r="441">
      <c r="A441" s="16" t="s">
        <v>1569</v>
      </c>
      <c r="B441" s="16" t="s">
        <v>1570</v>
      </c>
      <c r="C441" s="16" t="s">
        <v>57</v>
      </c>
      <c r="D441" s="16" t="s">
        <v>73</v>
      </c>
      <c r="E441" s="16" t="s">
        <v>1565</v>
      </c>
    </row>
    <row r="442">
      <c r="A442" s="16" t="s">
        <v>1572</v>
      </c>
      <c r="B442" s="16" t="s">
        <v>1573</v>
      </c>
      <c r="C442" s="16" t="s">
        <v>57</v>
      </c>
      <c r="D442" s="16" t="s">
        <v>114</v>
      </c>
      <c r="E442" s="16" t="s">
        <v>118</v>
      </c>
    </row>
    <row r="443">
      <c r="A443" s="16" t="s">
        <v>1575</v>
      </c>
      <c r="B443" s="16" t="s">
        <v>1576</v>
      </c>
      <c r="C443" s="16" t="s">
        <v>57</v>
      </c>
      <c r="D443" s="16" t="s">
        <v>73</v>
      </c>
      <c r="E443" s="16" t="s">
        <v>1565</v>
      </c>
    </row>
    <row r="444">
      <c r="A444" s="16" t="s">
        <v>1578</v>
      </c>
      <c r="B444" s="16" t="s">
        <v>1580</v>
      </c>
      <c r="C444" s="16" t="s">
        <v>57</v>
      </c>
      <c r="D444" s="16" t="s">
        <v>73</v>
      </c>
      <c r="E444" s="16" t="s">
        <v>1565</v>
      </c>
    </row>
    <row r="445">
      <c r="A445" s="16" t="s">
        <v>1582</v>
      </c>
      <c r="B445" s="16" t="s">
        <v>1583</v>
      </c>
      <c r="C445" s="16" t="s">
        <v>57</v>
      </c>
      <c r="D445" s="16" t="s">
        <v>73</v>
      </c>
      <c r="E445" s="16" t="s">
        <v>1565</v>
      </c>
    </row>
    <row r="446">
      <c r="A446" s="16" t="s">
        <v>1585</v>
      </c>
      <c r="B446" s="16" t="s">
        <v>1586</v>
      </c>
      <c r="C446" s="16" t="s">
        <v>57</v>
      </c>
      <c r="D446" s="16" t="s">
        <v>73</v>
      </c>
      <c r="E446" s="16" t="s">
        <v>1565</v>
      </c>
    </row>
    <row r="447">
      <c r="A447" s="16" t="s">
        <v>1588</v>
      </c>
      <c r="B447" s="16" t="s">
        <v>1589</v>
      </c>
      <c r="C447" s="16" t="s">
        <v>57</v>
      </c>
      <c r="D447" s="16" t="s">
        <v>73</v>
      </c>
      <c r="E447" s="16" t="s">
        <v>503</v>
      </c>
    </row>
    <row r="448">
      <c r="A448" s="16" t="s">
        <v>1590</v>
      </c>
      <c r="B448" s="16" t="s">
        <v>1591</v>
      </c>
      <c r="C448" s="16" t="s">
        <v>57</v>
      </c>
      <c r="D448" s="16" t="s">
        <v>73</v>
      </c>
      <c r="E448" s="16" t="s">
        <v>503</v>
      </c>
    </row>
    <row r="449">
      <c r="A449" s="16" t="s">
        <v>1594</v>
      </c>
      <c r="B449" s="16" t="s">
        <v>1596</v>
      </c>
      <c r="C449" s="16" t="s">
        <v>57</v>
      </c>
      <c r="D449" s="16" t="s">
        <v>114</v>
      </c>
      <c r="E449" s="16" t="s">
        <v>1598</v>
      </c>
    </row>
    <row r="450">
      <c r="A450" s="16" t="s">
        <v>1600</v>
      </c>
      <c r="B450" s="16" t="s">
        <v>1601</v>
      </c>
      <c r="C450" s="16" t="s">
        <v>57</v>
      </c>
      <c r="D450" s="16" t="s">
        <v>114</v>
      </c>
      <c r="E450" s="16" t="s">
        <v>1598</v>
      </c>
    </row>
    <row r="451">
      <c r="A451" s="16" t="s">
        <v>1603</v>
      </c>
      <c r="B451" s="16" t="s">
        <v>1604</v>
      </c>
      <c r="C451" s="16" t="s">
        <v>57</v>
      </c>
      <c r="D451" s="16" t="s">
        <v>73</v>
      </c>
      <c r="E451" s="16" t="s">
        <v>350</v>
      </c>
    </row>
    <row r="452">
      <c r="A452" s="16" t="s">
        <v>1606</v>
      </c>
      <c r="B452" s="16" t="s">
        <v>1607</v>
      </c>
      <c r="C452" s="16" t="s">
        <v>57</v>
      </c>
      <c r="D452" s="16" t="s">
        <v>73</v>
      </c>
      <c r="E452" s="16" t="s">
        <v>1565</v>
      </c>
    </row>
    <row r="453">
      <c r="A453" s="16" t="s">
        <v>1609</v>
      </c>
      <c r="B453" s="16" t="s">
        <v>1611</v>
      </c>
      <c r="C453" s="16" t="s">
        <v>57</v>
      </c>
      <c r="D453" s="16" t="s">
        <v>73</v>
      </c>
      <c r="E453" s="16" t="s">
        <v>118</v>
      </c>
    </row>
    <row r="454">
      <c r="A454" s="16" t="s">
        <v>1612</v>
      </c>
      <c r="B454" s="16" t="s">
        <v>1613</v>
      </c>
      <c r="C454" s="16" t="s">
        <v>57</v>
      </c>
      <c r="D454" s="16" t="s">
        <v>73</v>
      </c>
      <c r="E454" s="16" t="s">
        <v>118</v>
      </c>
    </row>
    <row r="455">
      <c r="A455" s="16" t="s">
        <v>1615</v>
      </c>
      <c r="B455" s="16" t="s">
        <v>1616</v>
      </c>
      <c r="C455" s="16" t="s">
        <v>57</v>
      </c>
      <c r="D455" s="16" t="s">
        <v>114</v>
      </c>
      <c r="E455" s="16" t="s">
        <v>1598</v>
      </c>
    </row>
    <row r="456">
      <c r="A456" s="16" t="s">
        <v>1618</v>
      </c>
      <c r="B456" s="16" t="s">
        <v>1619</v>
      </c>
      <c r="C456" s="16" t="s">
        <v>57</v>
      </c>
      <c r="D456" s="16" t="s">
        <v>73</v>
      </c>
      <c r="E456" s="16" t="s">
        <v>1598</v>
      </c>
    </row>
    <row r="457">
      <c r="A457" s="16" t="s">
        <v>1622</v>
      </c>
      <c r="B457" s="16" t="s">
        <v>1623</v>
      </c>
      <c r="C457" s="16" t="s">
        <v>57</v>
      </c>
      <c r="D457" s="16" t="s">
        <v>114</v>
      </c>
      <c r="E457" s="16" t="s">
        <v>1598</v>
      </c>
    </row>
    <row r="458">
      <c r="A458" s="16" t="s">
        <v>1624</v>
      </c>
      <c r="B458" s="16" t="s">
        <v>1625</v>
      </c>
      <c r="C458" s="16" t="s">
        <v>23</v>
      </c>
      <c r="D458" s="16" t="s">
        <v>73</v>
      </c>
      <c r="E458" s="16" t="s">
        <v>1627</v>
      </c>
    </row>
    <row r="459" hidden="1">
      <c r="A459" s="16" t="s">
        <v>1628</v>
      </c>
      <c r="B459" s="16" t="s">
        <v>1629</v>
      </c>
      <c r="C459" s="16" t="s">
        <v>234</v>
      </c>
      <c r="D459" s="16" t="s">
        <v>73</v>
      </c>
      <c r="E459" s="16" t="s">
        <v>236</v>
      </c>
    </row>
    <row r="460" hidden="1">
      <c r="A460" s="16" t="s">
        <v>1631</v>
      </c>
      <c r="B460" s="16" t="s">
        <v>1632</v>
      </c>
      <c r="C460" s="16" t="s">
        <v>234</v>
      </c>
      <c r="D460" s="16" t="s">
        <v>73</v>
      </c>
      <c r="E460" s="16" t="s">
        <v>236</v>
      </c>
    </row>
    <row r="461">
      <c r="A461" s="16" t="s">
        <v>1635</v>
      </c>
      <c r="B461" s="16" t="s">
        <v>1637</v>
      </c>
      <c r="C461" s="16" t="s">
        <v>23</v>
      </c>
      <c r="D461" s="16" t="s">
        <v>73</v>
      </c>
      <c r="E461" s="16" t="s">
        <v>328</v>
      </c>
    </row>
    <row r="462">
      <c r="A462" s="16" t="s">
        <v>1638</v>
      </c>
      <c r="B462" s="16" t="s">
        <v>1640</v>
      </c>
      <c r="C462" s="16" t="s">
        <v>23</v>
      </c>
      <c r="D462" s="16" t="s">
        <v>73</v>
      </c>
      <c r="E462" s="16" t="s">
        <v>328</v>
      </c>
    </row>
    <row r="463">
      <c r="A463" s="16" t="s">
        <v>1641</v>
      </c>
      <c r="B463" s="16" t="s">
        <v>1642</v>
      </c>
      <c r="C463" s="16" t="s">
        <v>57</v>
      </c>
      <c r="D463" s="16" t="s">
        <v>73</v>
      </c>
      <c r="E463" s="16" t="s">
        <v>1644</v>
      </c>
    </row>
    <row r="464">
      <c r="A464" s="16" t="s">
        <v>1645</v>
      </c>
      <c r="B464" s="16" t="s">
        <v>1646</v>
      </c>
      <c r="C464" s="16" t="s">
        <v>57</v>
      </c>
      <c r="D464" s="16" t="s">
        <v>73</v>
      </c>
      <c r="E464" s="16" t="s">
        <v>1644</v>
      </c>
    </row>
    <row r="465">
      <c r="A465" s="16" t="s">
        <v>1648</v>
      </c>
      <c r="B465" s="16" t="s">
        <v>1649</v>
      </c>
      <c r="C465" s="16" t="s">
        <v>23</v>
      </c>
      <c r="D465" s="16" t="s">
        <v>73</v>
      </c>
      <c r="E465" s="16" t="s">
        <v>328</v>
      </c>
    </row>
    <row r="466">
      <c r="A466" s="16" t="s">
        <v>1650</v>
      </c>
      <c r="B466" s="16" t="s">
        <v>1652</v>
      </c>
      <c r="C466" s="16" t="s">
        <v>57</v>
      </c>
      <c r="D466" s="16" t="s">
        <v>73</v>
      </c>
      <c r="E466" s="16" t="s">
        <v>1598</v>
      </c>
    </row>
    <row r="467">
      <c r="A467" s="16" t="s">
        <v>1653</v>
      </c>
      <c r="B467" s="16" t="s">
        <v>1654</v>
      </c>
      <c r="C467" s="16" t="s">
        <v>57</v>
      </c>
      <c r="D467" s="16" t="s">
        <v>114</v>
      </c>
      <c r="E467" s="16" t="s">
        <v>1598</v>
      </c>
    </row>
    <row r="468">
      <c r="A468" s="16" t="s">
        <v>1656</v>
      </c>
      <c r="B468" s="16" t="s">
        <v>1657</v>
      </c>
      <c r="C468" s="16" t="s">
        <v>57</v>
      </c>
      <c r="D468" s="16" t="s">
        <v>73</v>
      </c>
      <c r="E468" s="16" t="s">
        <v>503</v>
      </c>
    </row>
    <row r="469">
      <c r="A469" s="16" t="s">
        <v>1660</v>
      </c>
      <c r="B469" s="16" t="s">
        <v>1661</v>
      </c>
      <c r="C469" s="16" t="s">
        <v>57</v>
      </c>
      <c r="D469" s="16" t="s">
        <v>73</v>
      </c>
      <c r="E469" s="16" t="s">
        <v>503</v>
      </c>
    </row>
    <row r="470">
      <c r="A470" s="16" t="s">
        <v>1663</v>
      </c>
      <c r="B470" s="16" t="s">
        <v>1664</v>
      </c>
      <c r="C470" s="16" t="s">
        <v>57</v>
      </c>
      <c r="D470" s="16" t="s">
        <v>73</v>
      </c>
      <c r="E470" s="16" t="s">
        <v>189</v>
      </c>
    </row>
    <row r="471">
      <c r="A471" s="16" t="s">
        <v>1666</v>
      </c>
      <c r="B471" s="16" t="s">
        <v>1668</v>
      </c>
      <c r="C471" s="16" t="s">
        <v>57</v>
      </c>
      <c r="D471" s="16" t="s">
        <v>73</v>
      </c>
      <c r="E471" s="16" t="s">
        <v>473</v>
      </c>
    </row>
    <row r="472" hidden="1">
      <c r="A472" s="16" t="s">
        <v>1670</v>
      </c>
      <c r="B472" s="16" t="s">
        <v>1672</v>
      </c>
      <c r="C472" s="16" t="s">
        <v>234</v>
      </c>
      <c r="D472" s="16" t="s">
        <v>73</v>
      </c>
      <c r="E472" s="16" t="s">
        <v>236</v>
      </c>
    </row>
    <row r="473" hidden="1">
      <c r="A473" s="16" t="s">
        <v>1674</v>
      </c>
      <c r="B473" s="16" t="s">
        <v>1675</v>
      </c>
      <c r="C473" s="16" t="s">
        <v>234</v>
      </c>
      <c r="D473" s="16" t="s">
        <v>73</v>
      </c>
      <c r="E473" s="16" t="s">
        <v>236</v>
      </c>
    </row>
    <row r="474">
      <c r="A474" s="16" t="s">
        <v>1677</v>
      </c>
      <c r="B474" s="16" t="s">
        <v>1678</v>
      </c>
      <c r="C474" s="16" t="s">
        <v>57</v>
      </c>
      <c r="D474" s="16" t="s">
        <v>73</v>
      </c>
      <c r="E474" s="16" t="s">
        <v>528</v>
      </c>
    </row>
    <row r="475">
      <c r="A475" s="16" t="s">
        <v>1680</v>
      </c>
      <c r="B475" s="16" t="s">
        <v>1681</v>
      </c>
      <c r="C475" s="16" t="s">
        <v>57</v>
      </c>
      <c r="D475" s="16" t="s">
        <v>73</v>
      </c>
      <c r="E475" s="16" t="s">
        <v>528</v>
      </c>
    </row>
    <row r="476">
      <c r="A476" s="16" t="s">
        <v>1683</v>
      </c>
      <c r="B476" s="16" t="s">
        <v>1684</v>
      </c>
      <c r="C476" s="16" t="s">
        <v>57</v>
      </c>
      <c r="D476" s="16" t="s">
        <v>73</v>
      </c>
      <c r="E476" s="16" t="s">
        <v>219</v>
      </c>
    </row>
    <row r="477">
      <c r="A477" s="16" t="s">
        <v>1685</v>
      </c>
      <c r="B477" s="16" t="s">
        <v>1686</v>
      </c>
      <c r="C477" s="16" t="s">
        <v>57</v>
      </c>
      <c r="D477" s="16" t="s">
        <v>73</v>
      </c>
      <c r="E477" s="16" t="s">
        <v>224</v>
      </c>
    </row>
    <row r="478">
      <c r="A478" s="16" t="s">
        <v>1689</v>
      </c>
      <c r="B478" s="16" t="s">
        <v>1690</v>
      </c>
      <c r="C478" s="16" t="s">
        <v>57</v>
      </c>
      <c r="D478" s="16" t="s">
        <v>73</v>
      </c>
      <c r="E478" s="16" t="s">
        <v>536</v>
      </c>
    </row>
    <row r="479">
      <c r="A479" s="16" t="s">
        <v>1694</v>
      </c>
      <c r="B479" s="16" t="s">
        <v>1695</v>
      </c>
      <c r="C479" s="16" t="s">
        <v>57</v>
      </c>
      <c r="D479" s="16" t="s">
        <v>73</v>
      </c>
      <c r="E479" s="16" t="s">
        <v>350</v>
      </c>
    </row>
    <row r="480">
      <c r="A480" s="16" t="s">
        <v>1696</v>
      </c>
      <c r="B480" s="16" t="s">
        <v>1697</v>
      </c>
      <c r="C480" s="16" t="s">
        <v>57</v>
      </c>
      <c r="D480" s="16" t="s">
        <v>73</v>
      </c>
      <c r="E480" s="16" t="s">
        <v>300</v>
      </c>
    </row>
    <row r="481">
      <c r="A481" s="16" t="s">
        <v>517</v>
      </c>
      <c r="B481" s="16" t="s">
        <v>1699</v>
      </c>
      <c r="C481" s="16" t="s">
        <v>57</v>
      </c>
      <c r="D481" s="16" t="s">
        <v>73</v>
      </c>
      <c r="E481" s="16" t="s">
        <v>233</v>
      </c>
    </row>
    <row r="482">
      <c r="A482" s="16" t="s">
        <v>1700</v>
      </c>
      <c r="B482" s="16" t="s">
        <v>1701</v>
      </c>
      <c r="C482" s="16" t="s">
        <v>57</v>
      </c>
      <c r="D482" s="16" t="s">
        <v>73</v>
      </c>
      <c r="E482" s="16" t="s">
        <v>228</v>
      </c>
    </row>
    <row r="483">
      <c r="A483" s="16" t="s">
        <v>1703</v>
      </c>
      <c r="B483" s="16" t="s">
        <v>1704</v>
      </c>
      <c r="C483" s="16" t="s">
        <v>57</v>
      </c>
      <c r="D483" s="16" t="s">
        <v>73</v>
      </c>
      <c r="E483" s="16" t="s">
        <v>295</v>
      </c>
    </row>
    <row r="484">
      <c r="A484" s="16" t="s">
        <v>1706</v>
      </c>
      <c r="B484" s="16" t="s">
        <v>1707</v>
      </c>
      <c r="C484" s="16" t="s">
        <v>23</v>
      </c>
      <c r="D484" s="16" t="s">
        <v>73</v>
      </c>
      <c r="E484" s="16" t="s">
        <v>328</v>
      </c>
    </row>
    <row r="485">
      <c r="A485" s="16" t="s">
        <v>1709</v>
      </c>
      <c r="B485" s="16" t="s">
        <v>1710</v>
      </c>
      <c r="C485" s="16" t="s">
        <v>57</v>
      </c>
      <c r="D485" s="16" t="s">
        <v>73</v>
      </c>
      <c r="E485" s="16" t="s">
        <v>442</v>
      </c>
    </row>
    <row r="486">
      <c r="A486" s="16" t="s">
        <v>1711</v>
      </c>
      <c r="B486" s="16" t="s">
        <v>1713</v>
      </c>
      <c r="C486" s="16" t="s">
        <v>57</v>
      </c>
      <c r="D486" s="16" t="s">
        <v>73</v>
      </c>
      <c r="E486" s="16" t="s">
        <v>189</v>
      </c>
    </row>
    <row r="487">
      <c r="A487" s="16" t="s">
        <v>1714</v>
      </c>
      <c r="B487" s="16" t="s">
        <v>1715</v>
      </c>
      <c r="C487" s="16" t="s">
        <v>57</v>
      </c>
      <c r="D487" s="16" t="s">
        <v>73</v>
      </c>
      <c r="E487" s="16" t="s">
        <v>442</v>
      </c>
    </row>
    <row r="488">
      <c r="A488" s="16" t="s">
        <v>1717</v>
      </c>
      <c r="B488" s="16" t="s">
        <v>1718</v>
      </c>
      <c r="C488" s="16" t="s">
        <v>57</v>
      </c>
      <c r="D488" s="16" t="s">
        <v>73</v>
      </c>
      <c r="E488" s="16" t="s">
        <v>1721</v>
      </c>
    </row>
    <row r="489">
      <c r="A489" s="16" t="s">
        <v>1722</v>
      </c>
      <c r="B489" s="16" t="s">
        <v>1723</v>
      </c>
      <c r="C489" s="16" t="s">
        <v>23</v>
      </c>
      <c r="D489" s="16" t="s">
        <v>73</v>
      </c>
      <c r="E489" s="16" t="s">
        <v>1726</v>
      </c>
    </row>
    <row r="490">
      <c r="A490" s="16" t="s">
        <v>1727</v>
      </c>
      <c r="B490" s="16" t="s">
        <v>1728</v>
      </c>
      <c r="C490" s="16" t="s">
        <v>23</v>
      </c>
      <c r="D490" s="16" t="s">
        <v>73</v>
      </c>
      <c r="E490" s="16" t="s">
        <v>280</v>
      </c>
    </row>
    <row r="491">
      <c r="A491" s="16" t="s">
        <v>1731</v>
      </c>
      <c r="B491" s="16" t="s">
        <v>1732</v>
      </c>
      <c r="C491" s="16" t="s">
        <v>23</v>
      </c>
      <c r="D491" s="16" t="s">
        <v>73</v>
      </c>
      <c r="E491" s="16" t="s">
        <v>280</v>
      </c>
    </row>
    <row r="492">
      <c r="A492" s="16" t="s">
        <v>1734</v>
      </c>
      <c r="B492" s="16" t="s">
        <v>1736</v>
      </c>
      <c r="C492" s="16" t="s">
        <v>23</v>
      </c>
      <c r="D492" s="16" t="s">
        <v>73</v>
      </c>
      <c r="E492" s="16" t="s">
        <v>280</v>
      </c>
    </row>
    <row r="493" hidden="1">
      <c r="A493" s="16" t="s">
        <v>1737</v>
      </c>
      <c r="B493" s="16" t="s">
        <v>1738</v>
      </c>
      <c r="C493" s="16" t="s">
        <v>234</v>
      </c>
      <c r="D493" s="16" t="s">
        <v>73</v>
      </c>
      <c r="E493" s="16" t="s">
        <v>236</v>
      </c>
    </row>
    <row r="494">
      <c r="A494" s="16" t="s">
        <v>1740</v>
      </c>
      <c r="B494" s="16" t="s">
        <v>1741</v>
      </c>
      <c r="C494" s="16" t="s">
        <v>57</v>
      </c>
      <c r="D494" s="16" t="s">
        <v>73</v>
      </c>
      <c r="E494" s="16" t="s">
        <v>1743</v>
      </c>
    </row>
    <row r="495">
      <c r="A495" s="16" t="s">
        <v>1744</v>
      </c>
      <c r="B495" s="16" t="s">
        <v>1745</v>
      </c>
      <c r="C495" s="16" t="s">
        <v>23</v>
      </c>
      <c r="D495" s="16" t="s">
        <v>73</v>
      </c>
      <c r="E495" s="16" t="s">
        <v>280</v>
      </c>
    </row>
    <row r="496">
      <c r="A496" s="16" t="s">
        <v>1747</v>
      </c>
      <c r="B496" s="16" t="s">
        <v>1748</v>
      </c>
      <c r="C496" s="16" t="s">
        <v>23</v>
      </c>
      <c r="D496" s="16" t="s">
        <v>73</v>
      </c>
      <c r="E496" s="16" t="s">
        <v>280</v>
      </c>
    </row>
    <row r="497">
      <c r="A497" s="16" t="s">
        <v>1751</v>
      </c>
      <c r="B497" s="16" t="s">
        <v>1752</v>
      </c>
      <c r="C497" s="16" t="s">
        <v>57</v>
      </c>
      <c r="D497" s="16" t="s">
        <v>73</v>
      </c>
      <c r="E497" s="16" t="s">
        <v>228</v>
      </c>
    </row>
    <row r="498">
      <c r="A498" s="16" t="s">
        <v>1753</v>
      </c>
      <c r="B498" s="16" t="s">
        <v>1755</v>
      </c>
      <c r="C498" s="16" t="s">
        <v>23</v>
      </c>
      <c r="D498" s="16" t="s">
        <v>73</v>
      </c>
      <c r="E498" s="16" t="s">
        <v>280</v>
      </c>
    </row>
    <row r="499">
      <c r="A499" s="16" t="s">
        <v>1756</v>
      </c>
      <c r="B499" s="16" t="s">
        <v>1757</v>
      </c>
      <c r="C499" s="16" t="s">
        <v>23</v>
      </c>
      <c r="D499" s="16" t="s">
        <v>73</v>
      </c>
      <c r="E499" s="16" t="s">
        <v>280</v>
      </c>
    </row>
    <row r="500">
      <c r="A500" s="16" t="s">
        <v>1759</v>
      </c>
      <c r="B500" s="16" t="s">
        <v>1760</v>
      </c>
      <c r="C500" s="16" t="s">
        <v>23</v>
      </c>
      <c r="D500" s="16" t="s">
        <v>73</v>
      </c>
      <c r="E500" s="16" t="s">
        <v>280</v>
      </c>
    </row>
    <row r="501">
      <c r="A501" s="16" t="s">
        <v>1763</v>
      </c>
      <c r="B501" s="16" t="s">
        <v>1764</v>
      </c>
      <c r="C501" s="16" t="s">
        <v>57</v>
      </c>
      <c r="D501" s="16" t="s">
        <v>114</v>
      </c>
      <c r="E501" s="16" t="s">
        <v>1766</v>
      </c>
    </row>
    <row r="502">
      <c r="A502" s="16" t="s">
        <v>1767</v>
      </c>
      <c r="B502" s="16" t="s">
        <v>1768</v>
      </c>
      <c r="C502" s="16" t="s">
        <v>57</v>
      </c>
      <c r="D502" s="16" t="s">
        <v>73</v>
      </c>
      <c r="E502" s="16" t="s">
        <v>1766</v>
      </c>
    </row>
    <row r="503">
      <c r="A503" s="16" t="s">
        <v>1771</v>
      </c>
      <c r="B503" s="16" t="s">
        <v>1772</v>
      </c>
      <c r="C503" s="16" t="s">
        <v>57</v>
      </c>
      <c r="D503" s="16" t="s">
        <v>114</v>
      </c>
      <c r="E503" s="16" t="s">
        <v>1766</v>
      </c>
    </row>
    <row r="504">
      <c r="A504" s="16" t="s">
        <v>1774</v>
      </c>
      <c r="B504" s="16" t="s">
        <v>1776</v>
      </c>
      <c r="C504" s="16" t="s">
        <v>57</v>
      </c>
      <c r="D504" s="16" t="s">
        <v>73</v>
      </c>
      <c r="E504" s="16" t="s">
        <v>1766</v>
      </c>
    </row>
    <row r="505">
      <c r="A505" s="16" t="s">
        <v>1777</v>
      </c>
      <c r="B505" s="16" t="s">
        <v>1779</v>
      </c>
      <c r="C505" s="16" t="s">
        <v>57</v>
      </c>
      <c r="D505" s="16" t="s">
        <v>114</v>
      </c>
      <c r="E505" s="16" t="s">
        <v>1766</v>
      </c>
    </row>
    <row r="506">
      <c r="A506" s="16" t="s">
        <v>1780</v>
      </c>
      <c r="B506" s="16" t="s">
        <v>1781</v>
      </c>
      <c r="C506" s="16" t="s">
        <v>57</v>
      </c>
      <c r="D506" s="16" t="s">
        <v>73</v>
      </c>
      <c r="E506" s="16" t="s">
        <v>1766</v>
      </c>
    </row>
    <row r="507">
      <c r="A507" s="16" t="s">
        <v>1784</v>
      </c>
      <c r="B507" s="16" t="s">
        <v>1785</v>
      </c>
      <c r="C507" s="16" t="s">
        <v>57</v>
      </c>
      <c r="D507" s="16" t="s">
        <v>73</v>
      </c>
      <c r="E507" s="16" t="s">
        <v>1565</v>
      </c>
    </row>
    <row r="508">
      <c r="A508" s="16" t="s">
        <v>1786</v>
      </c>
      <c r="B508" s="16" t="s">
        <v>1787</v>
      </c>
      <c r="C508" s="16" t="s">
        <v>57</v>
      </c>
      <c r="D508" s="16" t="s">
        <v>73</v>
      </c>
      <c r="E508" s="16" t="s">
        <v>1565</v>
      </c>
    </row>
    <row r="509">
      <c r="A509" s="16" t="s">
        <v>1789</v>
      </c>
      <c r="B509" s="16" t="s">
        <v>1790</v>
      </c>
      <c r="C509" s="16" t="s">
        <v>57</v>
      </c>
      <c r="D509" s="16" t="s">
        <v>73</v>
      </c>
      <c r="E509" s="16" t="s">
        <v>189</v>
      </c>
    </row>
    <row r="510">
      <c r="A510" s="16" t="s">
        <v>1792</v>
      </c>
      <c r="B510" s="16" t="s">
        <v>1793</v>
      </c>
      <c r="C510" s="16" t="s">
        <v>57</v>
      </c>
      <c r="D510" s="16" t="s">
        <v>73</v>
      </c>
      <c r="E510" s="16" t="s">
        <v>189</v>
      </c>
    </row>
    <row r="511">
      <c r="A511" s="16" t="s">
        <v>1795</v>
      </c>
      <c r="B511" s="16" t="s">
        <v>1797</v>
      </c>
      <c r="C511" s="16" t="s">
        <v>23</v>
      </c>
      <c r="D511" s="16" t="s">
        <v>73</v>
      </c>
      <c r="E511" s="16" t="s">
        <v>129</v>
      </c>
    </row>
    <row r="512" hidden="1">
      <c r="A512" s="16" t="s">
        <v>1798</v>
      </c>
      <c r="B512" s="16" t="s">
        <v>1800</v>
      </c>
      <c r="C512" s="16" t="s">
        <v>234</v>
      </c>
      <c r="D512" s="16" t="s">
        <v>73</v>
      </c>
      <c r="E512" s="16" t="s">
        <v>236</v>
      </c>
    </row>
    <row r="513">
      <c r="A513" s="16" t="s">
        <v>1801</v>
      </c>
      <c r="B513" s="16" t="s">
        <v>1802</v>
      </c>
      <c r="C513" s="16" t="s">
        <v>57</v>
      </c>
      <c r="D513" s="16" t="s">
        <v>73</v>
      </c>
      <c r="E513" s="16" t="s">
        <v>1804</v>
      </c>
    </row>
    <row r="514" hidden="1">
      <c r="A514" s="16" t="s">
        <v>1805</v>
      </c>
      <c r="B514" s="16" t="s">
        <v>1806</v>
      </c>
      <c r="C514" s="16" t="s">
        <v>234</v>
      </c>
      <c r="D514" s="16" t="s">
        <v>73</v>
      </c>
      <c r="E514" s="16" t="s">
        <v>236</v>
      </c>
    </row>
    <row r="515">
      <c r="A515" s="16" t="s">
        <v>1809</v>
      </c>
      <c r="B515" s="16" t="s">
        <v>1810</v>
      </c>
      <c r="C515" s="16" t="s">
        <v>23</v>
      </c>
      <c r="D515" s="16" t="s">
        <v>73</v>
      </c>
      <c r="E515" s="16" t="s">
        <v>129</v>
      </c>
    </row>
    <row r="516">
      <c r="A516" s="16" t="s">
        <v>1812</v>
      </c>
      <c r="B516" s="16" t="s">
        <v>1813</v>
      </c>
      <c r="C516" s="16" t="s">
        <v>23</v>
      </c>
      <c r="D516" s="16" t="s">
        <v>73</v>
      </c>
      <c r="E516" s="16" t="s">
        <v>328</v>
      </c>
    </row>
    <row r="517">
      <c r="A517" s="16" t="s">
        <v>1814</v>
      </c>
      <c r="B517" s="16" t="s">
        <v>1816</v>
      </c>
      <c r="C517" s="16" t="s">
        <v>23</v>
      </c>
      <c r="D517" s="16" t="s">
        <v>73</v>
      </c>
      <c r="E517" s="16" t="s">
        <v>129</v>
      </c>
    </row>
    <row r="518">
      <c r="A518" s="16" t="s">
        <v>1818</v>
      </c>
      <c r="B518" s="16" t="s">
        <v>1820</v>
      </c>
      <c r="C518" s="16" t="s">
        <v>57</v>
      </c>
      <c r="D518" s="16" t="s">
        <v>114</v>
      </c>
      <c r="E518" s="16" t="s">
        <v>1766</v>
      </c>
    </row>
    <row r="519">
      <c r="A519" s="16" t="s">
        <v>1822</v>
      </c>
      <c r="B519" s="16" t="s">
        <v>1823</v>
      </c>
      <c r="C519" s="16" t="s">
        <v>57</v>
      </c>
      <c r="D519" s="16" t="s">
        <v>73</v>
      </c>
      <c r="E519" s="16" t="s">
        <v>228</v>
      </c>
    </row>
    <row r="520">
      <c r="A520" s="16" t="s">
        <v>1824</v>
      </c>
      <c r="B520" s="16" t="s">
        <v>1825</v>
      </c>
      <c r="C520" s="16" t="s">
        <v>57</v>
      </c>
      <c r="D520" s="16" t="s">
        <v>114</v>
      </c>
      <c r="E520" s="16" t="s">
        <v>745</v>
      </c>
    </row>
    <row r="521">
      <c r="A521" s="16" t="s">
        <v>1826</v>
      </c>
      <c r="B521" s="16" t="s">
        <v>1828</v>
      </c>
      <c r="C521" s="16" t="s">
        <v>57</v>
      </c>
      <c r="D521" s="16" t="s">
        <v>73</v>
      </c>
      <c r="E521" s="16" t="s">
        <v>745</v>
      </c>
    </row>
    <row r="522">
      <c r="A522" s="16" t="s">
        <v>1829</v>
      </c>
      <c r="B522" s="16" t="s">
        <v>1830</v>
      </c>
      <c r="C522" s="16" t="s">
        <v>23</v>
      </c>
      <c r="D522" s="16" t="s">
        <v>114</v>
      </c>
      <c r="E522" s="16" t="s">
        <v>328</v>
      </c>
    </row>
    <row r="523">
      <c r="A523" s="16" t="s">
        <v>1832</v>
      </c>
      <c r="B523" s="16" t="s">
        <v>1833</v>
      </c>
      <c r="C523" s="16" t="s">
        <v>23</v>
      </c>
      <c r="D523" s="16" t="s">
        <v>73</v>
      </c>
      <c r="E523" s="16" t="s">
        <v>328</v>
      </c>
    </row>
    <row r="524">
      <c r="A524" s="16" t="s">
        <v>1835</v>
      </c>
      <c r="B524" s="16" t="s">
        <v>1836</v>
      </c>
      <c r="C524" s="16" t="s">
        <v>57</v>
      </c>
      <c r="D524" s="16" t="s">
        <v>73</v>
      </c>
      <c r="E524" s="16" t="s">
        <v>1838</v>
      </c>
    </row>
    <row r="525">
      <c r="A525" s="16" t="s">
        <v>1839</v>
      </c>
      <c r="B525" s="16" t="s">
        <v>1840</v>
      </c>
      <c r="C525" s="16" t="s">
        <v>57</v>
      </c>
      <c r="D525" s="16" t="s">
        <v>73</v>
      </c>
      <c r="E525" s="16" t="s">
        <v>1842</v>
      </c>
    </row>
    <row r="526">
      <c r="A526" s="16" t="s">
        <v>1843</v>
      </c>
      <c r="B526" s="16" t="s">
        <v>1844</v>
      </c>
      <c r="C526" s="16" t="s">
        <v>23</v>
      </c>
      <c r="D526" s="16" t="s">
        <v>23</v>
      </c>
      <c r="E526" s="16" t="s">
        <v>421</v>
      </c>
    </row>
    <row r="527">
      <c r="A527" s="16" t="s">
        <v>1846</v>
      </c>
      <c r="B527" s="16" t="s">
        <v>1847</v>
      </c>
      <c r="C527" s="16" t="s">
        <v>57</v>
      </c>
      <c r="D527" s="16" t="s">
        <v>73</v>
      </c>
      <c r="E527" s="16" t="s">
        <v>1721</v>
      </c>
    </row>
    <row r="528">
      <c r="A528" s="16" t="s">
        <v>1849</v>
      </c>
      <c r="B528" s="16" t="s">
        <v>1850</v>
      </c>
      <c r="C528" s="16" t="s">
        <v>57</v>
      </c>
      <c r="D528" s="16" t="s">
        <v>73</v>
      </c>
      <c r="E528" s="16" t="s">
        <v>1851</v>
      </c>
    </row>
    <row r="529">
      <c r="A529" s="16" t="s">
        <v>1853</v>
      </c>
      <c r="B529" s="16" t="s">
        <v>1855</v>
      </c>
      <c r="C529" s="16" t="s">
        <v>57</v>
      </c>
      <c r="D529" s="16" t="s">
        <v>73</v>
      </c>
      <c r="E529" s="16" t="s">
        <v>1857</v>
      </c>
    </row>
    <row r="530">
      <c r="A530" s="16" t="s">
        <v>1858</v>
      </c>
      <c r="B530" s="16" t="s">
        <v>1859</v>
      </c>
      <c r="C530" s="16" t="s">
        <v>57</v>
      </c>
      <c r="D530" s="16" t="s">
        <v>73</v>
      </c>
      <c r="E530" s="16" t="s">
        <v>1861</v>
      </c>
    </row>
    <row r="531">
      <c r="A531" s="16" t="s">
        <v>1862</v>
      </c>
      <c r="B531" s="16" t="s">
        <v>1863</v>
      </c>
      <c r="C531" s="16" t="s">
        <v>57</v>
      </c>
      <c r="D531" s="16" t="s">
        <v>73</v>
      </c>
      <c r="E531" s="16" t="s">
        <v>148</v>
      </c>
    </row>
    <row r="532">
      <c r="A532" s="16" t="s">
        <v>1865</v>
      </c>
      <c r="B532" s="16" t="s">
        <v>1867</v>
      </c>
      <c r="C532" s="16" t="s">
        <v>57</v>
      </c>
      <c r="D532" s="16" t="s">
        <v>73</v>
      </c>
      <c r="E532" s="16" t="s">
        <v>198</v>
      </c>
    </row>
    <row r="533">
      <c r="A533" s="16" t="s">
        <v>1869</v>
      </c>
      <c r="B533" s="16" t="s">
        <v>1870</v>
      </c>
      <c r="C533" s="16" t="s">
        <v>57</v>
      </c>
      <c r="D533" s="16" t="s">
        <v>73</v>
      </c>
      <c r="E533" s="16" t="s">
        <v>198</v>
      </c>
    </row>
    <row r="534">
      <c r="A534" s="16" t="s">
        <v>1871</v>
      </c>
      <c r="B534" s="16" t="s">
        <v>1872</v>
      </c>
      <c r="C534" s="16" t="s">
        <v>57</v>
      </c>
      <c r="D534" s="16" t="s">
        <v>73</v>
      </c>
      <c r="E534" s="16" t="s">
        <v>285</v>
      </c>
    </row>
    <row r="535">
      <c r="A535" s="16" t="s">
        <v>1874</v>
      </c>
      <c r="B535" s="16" t="s">
        <v>1875</v>
      </c>
      <c r="C535" s="16" t="s">
        <v>57</v>
      </c>
      <c r="D535" s="16" t="s">
        <v>73</v>
      </c>
      <c r="E535" s="16" t="s">
        <v>1804</v>
      </c>
    </row>
    <row r="536">
      <c r="A536" s="16" t="s">
        <v>1877</v>
      </c>
      <c r="B536" s="16" t="s">
        <v>1878</v>
      </c>
      <c r="C536" s="16" t="s">
        <v>57</v>
      </c>
      <c r="D536" s="16" t="s">
        <v>73</v>
      </c>
      <c r="E536" s="16" t="s">
        <v>1804</v>
      </c>
    </row>
    <row r="537">
      <c r="A537" s="16" t="s">
        <v>1881</v>
      </c>
      <c r="B537" s="16" t="s">
        <v>1882</v>
      </c>
      <c r="C537" s="16" t="s">
        <v>57</v>
      </c>
      <c r="D537" s="16" t="s">
        <v>73</v>
      </c>
      <c r="E537" s="16" t="s">
        <v>1883</v>
      </c>
    </row>
    <row r="538">
      <c r="A538" s="16" t="s">
        <v>1885</v>
      </c>
      <c r="B538" s="16" t="s">
        <v>1886</v>
      </c>
      <c r="C538" s="16" t="s">
        <v>57</v>
      </c>
      <c r="D538" s="16" t="s">
        <v>73</v>
      </c>
      <c r="E538" s="16" t="s">
        <v>1887</v>
      </c>
    </row>
    <row r="539">
      <c r="A539" s="16" t="s">
        <v>1889</v>
      </c>
      <c r="B539" s="16" t="s">
        <v>1890</v>
      </c>
      <c r="C539" s="16" t="s">
        <v>23</v>
      </c>
      <c r="D539" s="16" t="s">
        <v>73</v>
      </c>
      <c r="E539" s="16" t="s">
        <v>328</v>
      </c>
    </row>
    <row r="540">
      <c r="A540" s="16" t="s">
        <v>1891</v>
      </c>
      <c r="B540" s="16" t="s">
        <v>1892</v>
      </c>
      <c r="C540" s="16" t="s">
        <v>23</v>
      </c>
      <c r="D540" s="16" t="s">
        <v>73</v>
      </c>
      <c r="E540" s="16" t="s">
        <v>328</v>
      </c>
    </row>
    <row r="541">
      <c r="A541" s="16" t="s">
        <v>1894</v>
      </c>
      <c r="B541" s="16" t="s">
        <v>1895</v>
      </c>
      <c r="C541" s="16" t="s">
        <v>23</v>
      </c>
      <c r="D541" s="16" t="s">
        <v>73</v>
      </c>
      <c r="E541" s="16" t="s">
        <v>628</v>
      </c>
    </row>
    <row r="542">
      <c r="A542" s="16" t="s">
        <v>1897</v>
      </c>
      <c r="B542" s="16" t="s">
        <v>1898</v>
      </c>
      <c r="C542" s="16" t="s">
        <v>23</v>
      </c>
      <c r="D542" s="16" t="s">
        <v>73</v>
      </c>
      <c r="E542" s="16" t="s">
        <v>628</v>
      </c>
    </row>
    <row r="543">
      <c r="A543" s="16" t="s">
        <v>1900</v>
      </c>
      <c r="B543" s="16" t="s">
        <v>1901</v>
      </c>
      <c r="C543" s="16" t="s">
        <v>23</v>
      </c>
      <c r="D543" s="16" t="s">
        <v>73</v>
      </c>
      <c r="E543" s="16" t="s">
        <v>328</v>
      </c>
    </row>
    <row r="544">
      <c r="A544" s="16" t="s">
        <v>1902</v>
      </c>
      <c r="B544" s="16" t="s">
        <v>1903</v>
      </c>
      <c r="C544" s="16" t="s">
        <v>23</v>
      </c>
      <c r="D544" s="16" t="s">
        <v>73</v>
      </c>
      <c r="E544" s="16" t="s">
        <v>328</v>
      </c>
    </row>
    <row r="545">
      <c r="A545" s="16" t="s">
        <v>1905</v>
      </c>
      <c r="B545" s="16" t="s">
        <v>1906</v>
      </c>
      <c r="C545" s="16" t="s">
        <v>23</v>
      </c>
      <c r="D545" s="16" t="s">
        <v>73</v>
      </c>
      <c r="E545" s="16" t="s">
        <v>628</v>
      </c>
    </row>
    <row r="546">
      <c r="A546" s="16" t="s">
        <v>1908</v>
      </c>
      <c r="B546" s="16" t="s">
        <v>1909</v>
      </c>
      <c r="C546" s="16" t="s">
        <v>23</v>
      </c>
      <c r="D546" s="16" t="s">
        <v>73</v>
      </c>
      <c r="E546" s="16" t="s">
        <v>628</v>
      </c>
    </row>
    <row r="547">
      <c r="A547" s="16" t="s">
        <v>1911</v>
      </c>
      <c r="B547" s="16" t="s">
        <v>1912</v>
      </c>
      <c r="C547" s="16" t="s">
        <v>23</v>
      </c>
      <c r="D547" s="16" t="s">
        <v>73</v>
      </c>
      <c r="E547" s="16" t="s">
        <v>328</v>
      </c>
    </row>
    <row r="548">
      <c r="A548" s="16" t="s">
        <v>1914</v>
      </c>
      <c r="B548" s="16" t="s">
        <v>1915</v>
      </c>
      <c r="C548" s="16" t="s">
        <v>23</v>
      </c>
      <c r="D548" s="16" t="s">
        <v>73</v>
      </c>
      <c r="E548" s="16" t="s">
        <v>328</v>
      </c>
    </row>
    <row r="549">
      <c r="A549" s="16" t="s">
        <v>1916</v>
      </c>
      <c r="B549" s="16" t="s">
        <v>1917</v>
      </c>
      <c r="C549" s="16" t="s">
        <v>57</v>
      </c>
      <c r="D549" s="16" t="s">
        <v>73</v>
      </c>
      <c r="E549" s="16" t="s">
        <v>228</v>
      </c>
    </row>
    <row r="550">
      <c r="A550" s="16" t="s">
        <v>1919</v>
      </c>
      <c r="B550" s="16" t="s">
        <v>1920</v>
      </c>
      <c r="C550" s="16" t="s">
        <v>57</v>
      </c>
      <c r="D550" s="16" t="s">
        <v>73</v>
      </c>
      <c r="E550" s="16" t="s">
        <v>228</v>
      </c>
    </row>
    <row r="551">
      <c r="A551" s="16" t="s">
        <v>1922</v>
      </c>
      <c r="B551" s="16" t="s">
        <v>1923</v>
      </c>
      <c r="C551" s="16" t="s">
        <v>23</v>
      </c>
      <c r="D551" s="16" t="s">
        <v>73</v>
      </c>
      <c r="E551" s="16" t="s">
        <v>328</v>
      </c>
    </row>
    <row r="552">
      <c r="A552" s="16" t="s">
        <v>1925</v>
      </c>
      <c r="B552" s="16" t="s">
        <v>1926</v>
      </c>
      <c r="C552" s="16" t="s">
        <v>23</v>
      </c>
      <c r="D552" s="16" t="s">
        <v>73</v>
      </c>
      <c r="E552" s="16" t="s">
        <v>328</v>
      </c>
    </row>
    <row r="553">
      <c r="A553" s="16" t="s">
        <v>1928</v>
      </c>
      <c r="B553" s="16" t="s">
        <v>1929</v>
      </c>
      <c r="C553" s="16" t="s">
        <v>23</v>
      </c>
      <c r="D553" s="16" t="s">
        <v>73</v>
      </c>
      <c r="E553" s="16" t="s">
        <v>328</v>
      </c>
    </row>
    <row r="554">
      <c r="A554" s="16" t="s">
        <v>1931</v>
      </c>
      <c r="B554" s="16" t="s">
        <v>1932</v>
      </c>
      <c r="C554" s="16" t="s">
        <v>23</v>
      </c>
      <c r="D554" s="16" t="s">
        <v>73</v>
      </c>
      <c r="E554" s="16" t="s">
        <v>1934</v>
      </c>
    </row>
    <row r="555">
      <c r="A555" s="16" t="s">
        <v>1935</v>
      </c>
      <c r="B555" s="16" t="s">
        <v>1936</v>
      </c>
      <c r="C555" s="16" t="s">
        <v>23</v>
      </c>
      <c r="D555" s="16" t="s">
        <v>73</v>
      </c>
      <c r="E555" s="16" t="s">
        <v>628</v>
      </c>
    </row>
    <row r="556">
      <c r="A556" s="16" t="s">
        <v>1938</v>
      </c>
      <c r="B556" s="16" t="s">
        <v>1939</v>
      </c>
      <c r="C556" s="16" t="s">
        <v>23</v>
      </c>
      <c r="D556" s="16" t="s">
        <v>73</v>
      </c>
      <c r="E556" s="16" t="s">
        <v>628</v>
      </c>
    </row>
    <row r="557">
      <c r="A557" s="16" t="s">
        <v>1940</v>
      </c>
      <c r="B557" s="16" t="s">
        <v>1941</v>
      </c>
      <c r="C557" s="16" t="s">
        <v>57</v>
      </c>
      <c r="D557" s="16" t="s">
        <v>73</v>
      </c>
      <c r="E557" s="16" t="s">
        <v>803</v>
      </c>
    </row>
    <row r="558" hidden="1">
      <c r="A558" s="16" t="s">
        <v>1943</v>
      </c>
      <c r="B558" s="16" t="s">
        <v>1944</v>
      </c>
      <c r="C558" s="16" t="s">
        <v>234</v>
      </c>
      <c r="D558" s="16" t="s">
        <v>73</v>
      </c>
      <c r="E558" s="16" t="s">
        <v>236</v>
      </c>
    </row>
    <row r="559">
      <c r="A559" s="16" t="s">
        <v>1946</v>
      </c>
      <c r="B559" s="16" t="s">
        <v>1948</v>
      </c>
      <c r="C559" s="16" t="s">
        <v>23</v>
      </c>
      <c r="D559" s="16" t="s">
        <v>73</v>
      </c>
      <c r="E559" s="16" t="s">
        <v>628</v>
      </c>
    </row>
    <row r="560">
      <c r="A560" s="16" t="s">
        <v>1950</v>
      </c>
      <c r="B560" s="16" t="s">
        <v>1951</v>
      </c>
      <c r="C560" s="16" t="s">
        <v>23</v>
      </c>
      <c r="D560" s="16" t="s">
        <v>73</v>
      </c>
      <c r="E560" s="16" t="s">
        <v>628</v>
      </c>
    </row>
    <row r="561">
      <c r="A561" s="16" t="s">
        <v>1953</v>
      </c>
      <c r="B561" s="16" t="s">
        <v>1955</v>
      </c>
      <c r="C561" s="16" t="s">
        <v>23</v>
      </c>
      <c r="D561" s="16" t="s">
        <v>73</v>
      </c>
      <c r="E561" s="16" t="s">
        <v>628</v>
      </c>
    </row>
    <row r="562">
      <c r="A562" s="16" t="s">
        <v>1957</v>
      </c>
      <c r="B562" s="16" t="s">
        <v>1958</v>
      </c>
      <c r="C562" s="16" t="s">
        <v>23</v>
      </c>
      <c r="D562" s="16" t="s">
        <v>73</v>
      </c>
      <c r="E562" s="16" t="s">
        <v>628</v>
      </c>
    </row>
    <row r="563" hidden="1">
      <c r="A563" s="16" t="s">
        <v>1961</v>
      </c>
      <c r="B563" s="16" t="s">
        <v>1962</v>
      </c>
      <c r="C563" s="16" t="s">
        <v>234</v>
      </c>
      <c r="D563" s="16" t="s">
        <v>73</v>
      </c>
      <c r="E563" s="16" t="s">
        <v>236</v>
      </c>
    </row>
    <row r="564">
      <c r="A564" s="16" t="s">
        <v>1963</v>
      </c>
      <c r="B564" s="16" t="s">
        <v>1965</v>
      </c>
      <c r="C564" s="16" t="s">
        <v>23</v>
      </c>
      <c r="D564" s="16" t="s">
        <v>73</v>
      </c>
      <c r="E564" s="16" t="s">
        <v>328</v>
      </c>
    </row>
    <row r="565">
      <c r="A565" s="16" t="s">
        <v>1966</v>
      </c>
      <c r="B565" s="16" t="s">
        <v>1968</v>
      </c>
      <c r="C565" s="16" t="s">
        <v>57</v>
      </c>
      <c r="D565" s="16" t="s">
        <v>73</v>
      </c>
      <c r="E565" s="16" t="s">
        <v>285</v>
      </c>
    </row>
    <row r="566" hidden="1">
      <c r="A566" s="16" t="s">
        <v>1969</v>
      </c>
      <c r="B566" s="16" t="s">
        <v>1970</v>
      </c>
      <c r="C566" s="16" t="s">
        <v>234</v>
      </c>
      <c r="D566" s="16" t="s">
        <v>73</v>
      </c>
      <c r="E566" s="16" t="s">
        <v>236</v>
      </c>
    </row>
    <row r="567">
      <c r="A567" s="16" t="s">
        <v>1972</v>
      </c>
      <c r="B567" s="16" t="s">
        <v>1973</v>
      </c>
      <c r="C567" s="16" t="s">
        <v>23</v>
      </c>
      <c r="D567" s="16" t="s">
        <v>73</v>
      </c>
      <c r="E567" s="16" t="s">
        <v>178</v>
      </c>
    </row>
    <row r="568" hidden="1">
      <c r="A568" s="16" t="s">
        <v>1976</v>
      </c>
      <c r="B568" s="16" t="s">
        <v>1977</v>
      </c>
      <c r="C568" s="16" t="s">
        <v>234</v>
      </c>
      <c r="D568" s="16" t="s">
        <v>73</v>
      </c>
      <c r="E568" s="16" t="s">
        <v>236</v>
      </c>
    </row>
    <row r="569">
      <c r="A569" s="16" t="s">
        <v>1978</v>
      </c>
      <c r="B569" s="16" t="s">
        <v>1979</v>
      </c>
      <c r="C569" s="16" t="s">
        <v>23</v>
      </c>
      <c r="D569" s="16" t="s">
        <v>73</v>
      </c>
      <c r="E569" s="16" t="s">
        <v>1934</v>
      </c>
    </row>
    <row r="570">
      <c r="A570" s="16" t="s">
        <v>1981</v>
      </c>
      <c r="B570" s="16" t="s">
        <v>1982</v>
      </c>
      <c r="C570" s="16" t="s">
        <v>57</v>
      </c>
      <c r="D570" s="16" t="s">
        <v>114</v>
      </c>
      <c r="E570" s="16" t="s">
        <v>1598</v>
      </c>
    </row>
    <row r="571">
      <c r="A571" s="16" t="s">
        <v>1983</v>
      </c>
      <c r="B571" s="16" t="s">
        <v>1985</v>
      </c>
      <c r="C571" s="16" t="s">
        <v>57</v>
      </c>
      <c r="D571" s="16" t="s">
        <v>114</v>
      </c>
      <c r="E571" s="16" t="s">
        <v>1598</v>
      </c>
    </row>
    <row r="572">
      <c r="A572" s="16" t="s">
        <v>1986</v>
      </c>
      <c r="B572" s="16" t="s">
        <v>1987</v>
      </c>
      <c r="C572" s="16" t="s">
        <v>57</v>
      </c>
      <c r="D572" s="16" t="s">
        <v>114</v>
      </c>
      <c r="E572" s="16" t="s">
        <v>1598</v>
      </c>
    </row>
    <row r="573">
      <c r="A573" s="16" t="s">
        <v>1989</v>
      </c>
      <c r="B573" s="16" t="s">
        <v>1990</v>
      </c>
      <c r="C573" s="16" t="s">
        <v>23</v>
      </c>
      <c r="D573" s="16" t="s">
        <v>114</v>
      </c>
      <c r="E573" s="16" t="s">
        <v>152</v>
      </c>
    </row>
    <row r="574">
      <c r="A574" s="16" t="s">
        <v>1992</v>
      </c>
      <c r="B574" s="16" t="s">
        <v>1993</v>
      </c>
      <c r="C574" s="16" t="s">
        <v>23</v>
      </c>
      <c r="D574" s="16" t="s">
        <v>114</v>
      </c>
      <c r="E574" s="16" t="s">
        <v>152</v>
      </c>
    </row>
    <row r="575">
      <c r="A575" s="16" t="s">
        <v>834</v>
      </c>
      <c r="B575" s="16" t="s">
        <v>1996</v>
      </c>
      <c r="C575" s="16" t="s">
        <v>23</v>
      </c>
      <c r="D575" s="16" t="s">
        <v>73</v>
      </c>
      <c r="E575" s="16" t="s">
        <v>628</v>
      </c>
    </row>
    <row r="576">
      <c r="A576" s="16" t="s">
        <v>797</v>
      </c>
      <c r="B576" s="16" t="s">
        <v>1999</v>
      </c>
      <c r="C576" s="16" t="s">
        <v>23</v>
      </c>
      <c r="D576" s="16" t="s">
        <v>73</v>
      </c>
      <c r="E576" s="16" t="s">
        <v>328</v>
      </c>
    </row>
    <row r="577">
      <c r="A577" s="16" t="s">
        <v>452</v>
      </c>
      <c r="B577" s="16" t="s">
        <v>2001</v>
      </c>
      <c r="C577" s="16" t="s">
        <v>23</v>
      </c>
      <c r="D577" s="16" t="s">
        <v>73</v>
      </c>
      <c r="E577" s="16" t="s">
        <v>628</v>
      </c>
    </row>
    <row r="578">
      <c r="A578" s="16" t="s">
        <v>482</v>
      </c>
      <c r="B578" s="16" t="s">
        <v>2004</v>
      </c>
      <c r="C578" s="16" t="s">
        <v>23</v>
      </c>
      <c r="D578" s="16" t="s">
        <v>73</v>
      </c>
      <c r="E578" s="16" t="s">
        <v>328</v>
      </c>
    </row>
    <row r="579">
      <c r="A579" s="16" t="s">
        <v>383</v>
      </c>
      <c r="B579" s="16" t="s">
        <v>2006</v>
      </c>
      <c r="C579" s="16" t="s">
        <v>23</v>
      </c>
      <c r="D579" s="16" t="s">
        <v>73</v>
      </c>
      <c r="E579" s="16" t="s">
        <v>628</v>
      </c>
    </row>
    <row r="580">
      <c r="A580" s="16" t="s">
        <v>354</v>
      </c>
      <c r="B580" s="16" t="s">
        <v>2009</v>
      </c>
      <c r="C580" s="16" t="s">
        <v>23</v>
      </c>
      <c r="D580" s="16" t="s">
        <v>73</v>
      </c>
      <c r="E580" s="16" t="s">
        <v>628</v>
      </c>
    </row>
    <row r="581">
      <c r="A581" s="16" t="s">
        <v>2011</v>
      </c>
      <c r="B581" s="16" t="s">
        <v>2013</v>
      </c>
      <c r="C581" s="16" t="s">
        <v>23</v>
      </c>
      <c r="D581" s="16" t="s">
        <v>73</v>
      </c>
      <c r="E581" s="16" t="s">
        <v>628</v>
      </c>
    </row>
    <row r="582">
      <c r="A582" s="16" t="s">
        <v>2016</v>
      </c>
      <c r="B582" s="16" t="s">
        <v>2017</v>
      </c>
      <c r="C582" s="16" t="s">
        <v>23</v>
      </c>
      <c r="D582" s="16" t="s">
        <v>73</v>
      </c>
      <c r="E582" s="16" t="s">
        <v>628</v>
      </c>
    </row>
    <row r="583">
      <c r="A583" s="16" t="s">
        <v>93</v>
      </c>
      <c r="B583" s="16" t="s">
        <v>2020</v>
      </c>
      <c r="C583" s="16" t="s">
        <v>23</v>
      </c>
      <c r="D583" s="16" t="s">
        <v>73</v>
      </c>
      <c r="E583" s="16" t="s">
        <v>328</v>
      </c>
    </row>
    <row r="584">
      <c r="A584" s="16" t="s">
        <v>889</v>
      </c>
      <c r="B584" s="16" t="s">
        <v>2022</v>
      </c>
      <c r="C584" s="16" t="s">
        <v>23</v>
      </c>
      <c r="D584" s="16" t="s">
        <v>73</v>
      </c>
      <c r="E584" s="16" t="s">
        <v>628</v>
      </c>
    </row>
    <row r="585">
      <c r="A585" s="16" t="s">
        <v>863</v>
      </c>
      <c r="B585" s="16" t="s">
        <v>2024</v>
      </c>
      <c r="C585" s="16" t="s">
        <v>23</v>
      </c>
      <c r="D585" s="16" t="s">
        <v>73</v>
      </c>
      <c r="E585" s="16" t="s">
        <v>328</v>
      </c>
    </row>
    <row r="586">
      <c r="A586" s="16" t="s">
        <v>2027</v>
      </c>
      <c r="B586" s="16" t="s">
        <v>2028</v>
      </c>
      <c r="C586" s="16" t="s">
        <v>23</v>
      </c>
      <c r="D586" s="16" t="s">
        <v>73</v>
      </c>
      <c r="E586" s="16" t="s">
        <v>628</v>
      </c>
    </row>
    <row r="587">
      <c r="A587" s="16" t="s">
        <v>2030</v>
      </c>
      <c r="B587" s="16" t="s">
        <v>2031</v>
      </c>
      <c r="C587" s="16" t="s">
        <v>23</v>
      </c>
      <c r="D587" s="16" t="s">
        <v>73</v>
      </c>
      <c r="E587" s="16" t="s">
        <v>628</v>
      </c>
    </row>
    <row r="588">
      <c r="A588" s="16" t="s">
        <v>2033</v>
      </c>
      <c r="B588" s="16" t="s">
        <v>2034</v>
      </c>
      <c r="C588" s="16" t="s">
        <v>23</v>
      </c>
      <c r="D588" s="16" t="s">
        <v>73</v>
      </c>
      <c r="E588" s="16" t="s">
        <v>628</v>
      </c>
    </row>
    <row r="589">
      <c r="A589" s="16" t="s">
        <v>765</v>
      </c>
      <c r="B589" s="16" t="s">
        <v>2036</v>
      </c>
      <c r="C589" s="16" t="s">
        <v>23</v>
      </c>
      <c r="D589" s="16" t="s">
        <v>73</v>
      </c>
      <c r="E589" s="16" t="s">
        <v>628</v>
      </c>
    </row>
    <row r="590">
      <c r="A590" s="16" t="s">
        <v>2039</v>
      </c>
      <c r="B590" s="16" t="s">
        <v>2040</v>
      </c>
      <c r="C590" s="16" t="s">
        <v>23</v>
      </c>
      <c r="D590" s="16" t="s">
        <v>73</v>
      </c>
      <c r="E590" s="16" t="s">
        <v>328</v>
      </c>
    </row>
    <row r="591">
      <c r="A591" s="16" t="s">
        <v>2041</v>
      </c>
      <c r="B591" s="16" t="s">
        <v>2042</v>
      </c>
      <c r="C591" s="16" t="s">
        <v>23</v>
      </c>
      <c r="D591" s="16" t="s">
        <v>73</v>
      </c>
      <c r="E591" s="16" t="s">
        <v>628</v>
      </c>
    </row>
    <row r="592">
      <c r="A592" s="16" t="s">
        <v>2044</v>
      </c>
      <c r="B592" s="16" t="s">
        <v>2046</v>
      </c>
      <c r="C592" s="16" t="s">
        <v>23</v>
      </c>
      <c r="D592" s="16" t="s">
        <v>73</v>
      </c>
      <c r="E592" s="16" t="s">
        <v>328</v>
      </c>
    </row>
    <row r="593">
      <c r="A593" s="16" t="s">
        <v>2047</v>
      </c>
      <c r="B593" s="16" t="s">
        <v>2048</v>
      </c>
      <c r="C593" s="16" t="s">
        <v>23</v>
      </c>
      <c r="D593" s="16" t="s">
        <v>73</v>
      </c>
      <c r="E593" s="16" t="s">
        <v>628</v>
      </c>
    </row>
    <row r="594">
      <c r="A594" s="16" t="s">
        <v>2051</v>
      </c>
      <c r="B594" s="16" t="s">
        <v>2053</v>
      </c>
      <c r="C594" s="16" t="s">
        <v>23</v>
      </c>
      <c r="D594" s="16" t="s">
        <v>73</v>
      </c>
      <c r="E594" s="16" t="s">
        <v>628</v>
      </c>
    </row>
    <row r="595">
      <c r="A595" s="16" t="s">
        <v>2054</v>
      </c>
      <c r="B595" s="16" t="s">
        <v>2055</v>
      </c>
      <c r="C595" s="16" t="s">
        <v>23</v>
      </c>
      <c r="D595" s="16" t="s">
        <v>73</v>
      </c>
      <c r="E595" s="16" t="s">
        <v>628</v>
      </c>
    </row>
    <row r="596">
      <c r="A596" s="16" t="s">
        <v>2057</v>
      </c>
      <c r="B596" s="16" t="s">
        <v>2059</v>
      </c>
      <c r="C596" s="16" t="s">
        <v>23</v>
      </c>
      <c r="D596" s="16" t="s">
        <v>73</v>
      </c>
      <c r="E596" s="16" t="s">
        <v>628</v>
      </c>
    </row>
    <row r="597">
      <c r="A597" s="16" t="s">
        <v>2061</v>
      </c>
      <c r="B597" s="16" t="s">
        <v>2062</v>
      </c>
      <c r="C597" s="16" t="s">
        <v>57</v>
      </c>
      <c r="D597" s="16" t="s">
        <v>114</v>
      </c>
      <c r="E597" s="16" t="s">
        <v>118</v>
      </c>
    </row>
    <row r="598" hidden="1">
      <c r="A598" s="16" t="s">
        <v>2064</v>
      </c>
      <c r="B598" s="16" t="s">
        <v>2065</v>
      </c>
      <c r="C598" s="16" t="s">
        <v>234</v>
      </c>
      <c r="D598" s="16" t="s">
        <v>73</v>
      </c>
      <c r="E598" s="16" t="s">
        <v>236</v>
      </c>
    </row>
    <row r="599">
      <c r="A599" s="16" t="s">
        <v>2066</v>
      </c>
      <c r="B599" s="16" t="s">
        <v>2067</v>
      </c>
      <c r="C599" s="16" t="s">
        <v>57</v>
      </c>
      <c r="D599" s="16" t="s">
        <v>73</v>
      </c>
      <c r="E599" s="16" t="s">
        <v>233</v>
      </c>
    </row>
    <row r="600">
      <c r="A600" s="16" t="s">
        <v>2069</v>
      </c>
      <c r="B600" s="16" t="s">
        <v>2070</v>
      </c>
      <c r="C600" s="16" t="s">
        <v>57</v>
      </c>
      <c r="D600" s="16" t="s">
        <v>73</v>
      </c>
      <c r="E600" s="16" t="s">
        <v>233</v>
      </c>
    </row>
    <row r="601">
      <c r="A601" s="16" t="s">
        <v>2073</v>
      </c>
      <c r="B601" s="16" t="s">
        <v>2074</v>
      </c>
      <c r="C601" s="16" t="s">
        <v>57</v>
      </c>
      <c r="D601" s="16" t="s">
        <v>73</v>
      </c>
      <c r="E601" s="16" t="s">
        <v>364</v>
      </c>
    </row>
    <row r="602">
      <c r="A602" s="16" t="s">
        <v>2076</v>
      </c>
      <c r="B602" s="16" t="s">
        <v>2077</v>
      </c>
      <c r="C602" s="16" t="s">
        <v>57</v>
      </c>
      <c r="D602" s="16" t="s">
        <v>73</v>
      </c>
      <c r="E602" s="16" t="s">
        <v>364</v>
      </c>
    </row>
    <row r="603">
      <c r="A603" s="16" t="s">
        <v>2078</v>
      </c>
      <c r="B603" s="16" t="s">
        <v>2079</v>
      </c>
      <c r="C603" s="16" t="s">
        <v>57</v>
      </c>
      <c r="D603" s="16" t="s">
        <v>73</v>
      </c>
      <c r="E603" s="16" t="s">
        <v>332</v>
      </c>
    </row>
    <row r="604">
      <c r="A604" s="16" t="s">
        <v>2081</v>
      </c>
      <c r="B604" s="16" t="s">
        <v>2082</v>
      </c>
      <c r="C604" s="16" t="s">
        <v>57</v>
      </c>
      <c r="D604" s="16" t="s">
        <v>73</v>
      </c>
      <c r="E604" s="16" t="s">
        <v>332</v>
      </c>
    </row>
    <row r="605">
      <c r="A605" s="16" t="s">
        <v>2084</v>
      </c>
      <c r="B605" s="16" t="s">
        <v>2085</v>
      </c>
      <c r="C605" s="16" t="s">
        <v>57</v>
      </c>
      <c r="D605" s="16" t="s">
        <v>73</v>
      </c>
      <c r="E605" s="16" t="s">
        <v>364</v>
      </c>
    </row>
    <row r="606">
      <c r="A606" s="16" t="s">
        <v>2087</v>
      </c>
      <c r="B606" s="16" t="s">
        <v>2088</v>
      </c>
      <c r="C606" s="16" t="s">
        <v>23</v>
      </c>
      <c r="D606" s="16" t="s">
        <v>73</v>
      </c>
      <c r="E606" s="16" t="s">
        <v>1627</v>
      </c>
    </row>
    <row r="607">
      <c r="A607" s="16" t="s">
        <v>2090</v>
      </c>
      <c r="B607" s="16" t="s">
        <v>2091</v>
      </c>
      <c r="C607" s="16" t="s">
        <v>23</v>
      </c>
      <c r="D607" s="16" t="s">
        <v>73</v>
      </c>
      <c r="E607" s="16" t="s">
        <v>1627</v>
      </c>
    </row>
    <row r="608">
      <c r="A608" s="16" t="s">
        <v>2092</v>
      </c>
      <c r="B608" s="16" t="s">
        <v>2094</v>
      </c>
      <c r="C608" s="16" t="s">
        <v>23</v>
      </c>
      <c r="D608" s="16" t="s">
        <v>73</v>
      </c>
      <c r="E608" s="16" t="s">
        <v>1627</v>
      </c>
    </row>
    <row r="609">
      <c r="A609" s="16" t="s">
        <v>2095</v>
      </c>
      <c r="B609" s="16" t="s">
        <v>2096</v>
      </c>
      <c r="C609" s="16" t="s">
        <v>23</v>
      </c>
      <c r="D609" s="16" t="s">
        <v>73</v>
      </c>
      <c r="E609" s="16" t="s">
        <v>1627</v>
      </c>
    </row>
    <row r="610">
      <c r="A610" s="16" t="s">
        <v>2099</v>
      </c>
      <c r="B610" s="16" t="s">
        <v>2100</v>
      </c>
      <c r="C610" s="16" t="s">
        <v>23</v>
      </c>
      <c r="D610" s="16" t="s">
        <v>73</v>
      </c>
      <c r="E610" s="16" t="s">
        <v>1627</v>
      </c>
    </row>
    <row r="611">
      <c r="A611" s="16" t="s">
        <v>2103</v>
      </c>
      <c r="B611" s="16" t="s">
        <v>2104</v>
      </c>
      <c r="C611" s="16" t="s">
        <v>23</v>
      </c>
      <c r="D611" s="16" t="s">
        <v>73</v>
      </c>
      <c r="E611" s="16" t="s">
        <v>1627</v>
      </c>
    </row>
    <row r="612">
      <c r="A612" s="16" t="s">
        <v>2108</v>
      </c>
      <c r="B612" s="16" t="s">
        <v>2109</v>
      </c>
      <c r="C612" s="16" t="s">
        <v>23</v>
      </c>
      <c r="D612" s="16" t="s">
        <v>73</v>
      </c>
      <c r="E612" s="16" t="s">
        <v>1627</v>
      </c>
    </row>
    <row r="613">
      <c r="A613" s="16" t="s">
        <v>2111</v>
      </c>
      <c r="B613" s="16" t="s">
        <v>2113</v>
      </c>
      <c r="C613" s="16" t="s">
        <v>23</v>
      </c>
      <c r="D613" s="16" t="s">
        <v>73</v>
      </c>
      <c r="E613" s="16" t="s">
        <v>1627</v>
      </c>
    </row>
    <row r="614">
      <c r="A614" s="16" t="s">
        <v>2114</v>
      </c>
      <c r="B614" s="16" t="s">
        <v>2115</v>
      </c>
      <c r="C614" s="16" t="s">
        <v>57</v>
      </c>
      <c r="D614" s="16" t="s">
        <v>73</v>
      </c>
      <c r="E614" s="16" t="s">
        <v>364</v>
      </c>
    </row>
    <row r="615">
      <c r="A615" s="16" t="s">
        <v>2117</v>
      </c>
      <c r="B615" s="16" t="s">
        <v>2067</v>
      </c>
      <c r="C615" s="16" t="s">
        <v>57</v>
      </c>
      <c r="D615" s="16" t="s">
        <v>73</v>
      </c>
      <c r="E615" s="16" t="s">
        <v>233</v>
      </c>
    </row>
    <row r="616">
      <c r="A616" s="16" t="s">
        <v>2118</v>
      </c>
      <c r="B616" s="16" t="s">
        <v>2119</v>
      </c>
      <c r="C616" s="16" t="s">
        <v>57</v>
      </c>
      <c r="D616" s="16" t="s">
        <v>73</v>
      </c>
      <c r="E616" s="16" t="s">
        <v>233</v>
      </c>
    </row>
    <row r="617">
      <c r="A617" s="16" t="s">
        <v>2121</v>
      </c>
      <c r="B617" s="16" t="s">
        <v>2122</v>
      </c>
      <c r="C617" s="16" t="s">
        <v>57</v>
      </c>
      <c r="D617" s="16" t="s">
        <v>73</v>
      </c>
      <c r="E617" s="16" t="s">
        <v>118</v>
      </c>
    </row>
    <row r="618">
      <c r="A618" s="16" t="s">
        <v>2124</v>
      </c>
      <c r="B618" s="16" t="s">
        <v>2125</v>
      </c>
      <c r="C618" s="16" t="s">
        <v>57</v>
      </c>
      <c r="D618" s="16" t="s">
        <v>73</v>
      </c>
      <c r="E618" s="16" t="s">
        <v>162</v>
      </c>
    </row>
    <row r="619">
      <c r="A619" s="16" t="s">
        <v>2127</v>
      </c>
      <c r="B619" s="16" t="s">
        <v>2128</v>
      </c>
      <c r="C619" s="16" t="s">
        <v>57</v>
      </c>
      <c r="D619" s="16" t="s">
        <v>73</v>
      </c>
      <c r="E619" s="16" t="s">
        <v>332</v>
      </c>
    </row>
    <row r="620">
      <c r="A620" s="16" t="s">
        <v>2130</v>
      </c>
      <c r="B620" s="16" t="s">
        <v>2131</v>
      </c>
      <c r="C620" s="16" t="s">
        <v>57</v>
      </c>
      <c r="D620" s="16" t="s">
        <v>73</v>
      </c>
      <c r="E620" s="16" t="s">
        <v>332</v>
      </c>
    </row>
    <row r="621">
      <c r="A621" s="16" t="s">
        <v>2133</v>
      </c>
      <c r="B621" s="16" t="s">
        <v>2134</v>
      </c>
      <c r="C621" s="16" t="s">
        <v>57</v>
      </c>
      <c r="D621" s="16" t="s">
        <v>73</v>
      </c>
      <c r="E621" s="16" t="s">
        <v>732</v>
      </c>
    </row>
    <row r="622">
      <c r="A622" s="16" t="s">
        <v>2137</v>
      </c>
      <c r="B622" s="16" t="s">
        <v>2138</v>
      </c>
      <c r="C622" s="16" t="s">
        <v>57</v>
      </c>
      <c r="D622" s="16" t="s">
        <v>73</v>
      </c>
      <c r="E622" s="16" t="s">
        <v>732</v>
      </c>
    </row>
    <row r="623">
      <c r="A623" s="16" t="s">
        <v>2140</v>
      </c>
      <c r="B623" s="16" t="s">
        <v>2142</v>
      </c>
      <c r="C623" s="16" t="s">
        <v>57</v>
      </c>
      <c r="D623" s="16" t="s">
        <v>73</v>
      </c>
      <c r="E623" s="16" t="s">
        <v>732</v>
      </c>
    </row>
    <row r="624">
      <c r="A624" s="16" t="s">
        <v>2146</v>
      </c>
      <c r="B624" s="16" t="s">
        <v>2147</v>
      </c>
      <c r="C624" s="16" t="s">
        <v>57</v>
      </c>
      <c r="D624" s="16" t="s">
        <v>114</v>
      </c>
      <c r="E624" s="16" t="s">
        <v>1598</v>
      </c>
    </row>
    <row r="625">
      <c r="A625" s="16" t="s">
        <v>2148</v>
      </c>
      <c r="B625" s="16" t="s">
        <v>2150</v>
      </c>
      <c r="C625" s="16" t="s">
        <v>57</v>
      </c>
      <c r="D625" s="16" t="s">
        <v>73</v>
      </c>
      <c r="E625" s="16" t="s">
        <v>1598</v>
      </c>
    </row>
    <row r="626">
      <c r="A626" s="16" t="s">
        <v>2151</v>
      </c>
      <c r="B626" s="16" t="s">
        <v>2152</v>
      </c>
      <c r="C626" s="16" t="s">
        <v>57</v>
      </c>
      <c r="D626" s="16" t="s">
        <v>114</v>
      </c>
      <c r="E626" s="16" t="s">
        <v>1598</v>
      </c>
    </row>
    <row r="627">
      <c r="A627" s="16" t="s">
        <v>2154</v>
      </c>
      <c r="B627" s="16" t="s">
        <v>2155</v>
      </c>
      <c r="C627" s="16" t="s">
        <v>57</v>
      </c>
      <c r="D627" s="16" t="s">
        <v>73</v>
      </c>
      <c r="E627" s="16" t="s">
        <v>1598</v>
      </c>
    </row>
    <row r="628">
      <c r="A628" s="16" t="s">
        <v>2158</v>
      </c>
      <c r="B628" s="16" t="s">
        <v>2159</v>
      </c>
      <c r="C628" s="16" t="s">
        <v>57</v>
      </c>
      <c r="D628" s="16" t="s">
        <v>114</v>
      </c>
      <c r="E628" s="16" t="s">
        <v>1598</v>
      </c>
    </row>
    <row r="629">
      <c r="A629" s="16" t="s">
        <v>2160</v>
      </c>
      <c r="B629" s="16" t="s">
        <v>2161</v>
      </c>
      <c r="C629" s="16" t="s">
        <v>57</v>
      </c>
      <c r="D629" s="16" t="s">
        <v>73</v>
      </c>
      <c r="E629" s="16" t="s">
        <v>1598</v>
      </c>
    </row>
    <row r="630">
      <c r="A630" s="16" t="s">
        <v>2163</v>
      </c>
      <c r="B630" s="16" t="s">
        <v>2164</v>
      </c>
      <c r="C630" s="16" t="s">
        <v>57</v>
      </c>
      <c r="D630" s="16" t="s">
        <v>114</v>
      </c>
      <c r="E630" s="16" t="s">
        <v>1598</v>
      </c>
    </row>
    <row r="631">
      <c r="A631" s="16" t="s">
        <v>2165</v>
      </c>
      <c r="B631" s="16" t="s">
        <v>2166</v>
      </c>
      <c r="C631" s="16" t="s">
        <v>57</v>
      </c>
      <c r="D631" s="16" t="s">
        <v>73</v>
      </c>
      <c r="E631" s="16" t="s">
        <v>1598</v>
      </c>
    </row>
    <row r="632">
      <c r="A632" s="16" t="s">
        <v>2168</v>
      </c>
      <c r="B632" s="16" t="s">
        <v>2169</v>
      </c>
      <c r="C632" s="16" t="s">
        <v>57</v>
      </c>
      <c r="D632" s="16" t="s">
        <v>114</v>
      </c>
      <c r="E632" s="16" t="s">
        <v>1598</v>
      </c>
    </row>
    <row r="633">
      <c r="A633" s="16" t="s">
        <v>2171</v>
      </c>
      <c r="B633" s="16" t="s">
        <v>2172</v>
      </c>
      <c r="C633" s="16" t="s">
        <v>57</v>
      </c>
      <c r="D633" s="16" t="s">
        <v>73</v>
      </c>
      <c r="E633" s="16" t="s">
        <v>1598</v>
      </c>
    </row>
    <row r="634">
      <c r="A634" s="16" t="s">
        <v>2174</v>
      </c>
      <c r="B634" s="16" t="s">
        <v>2175</v>
      </c>
      <c r="C634" s="16" t="s">
        <v>57</v>
      </c>
      <c r="D634" s="16" t="s">
        <v>114</v>
      </c>
      <c r="E634" s="16" t="s">
        <v>1598</v>
      </c>
    </row>
    <row r="635">
      <c r="A635" s="16" t="s">
        <v>2176</v>
      </c>
      <c r="B635" s="16" t="s">
        <v>2177</v>
      </c>
      <c r="C635" s="16" t="s">
        <v>57</v>
      </c>
      <c r="D635" s="16" t="s">
        <v>73</v>
      </c>
      <c r="E635" s="16" t="s">
        <v>1598</v>
      </c>
    </row>
    <row r="636">
      <c r="A636" s="16" t="s">
        <v>2179</v>
      </c>
      <c r="B636" s="16" t="s">
        <v>2180</v>
      </c>
      <c r="C636" s="16" t="s">
        <v>57</v>
      </c>
      <c r="D636" s="16" t="s">
        <v>114</v>
      </c>
      <c r="E636" s="16" t="s">
        <v>1598</v>
      </c>
    </row>
    <row r="637">
      <c r="A637" s="16" t="s">
        <v>2182</v>
      </c>
      <c r="B637" s="16" t="s">
        <v>2183</v>
      </c>
      <c r="C637" s="16" t="s">
        <v>57</v>
      </c>
      <c r="D637" s="16" t="s">
        <v>73</v>
      </c>
      <c r="E637" s="16" t="s">
        <v>1598</v>
      </c>
    </row>
    <row r="638">
      <c r="A638" s="16" t="s">
        <v>2186</v>
      </c>
      <c r="B638" s="16" t="s">
        <v>2187</v>
      </c>
      <c r="C638" s="16" t="s">
        <v>57</v>
      </c>
      <c r="D638" s="16" t="s">
        <v>114</v>
      </c>
      <c r="E638" s="16" t="s">
        <v>1598</v>
      </c>
    </row>
    <row r="639">
      <c r="A639" s="16" t="s">
        <v>2190</v>
      </c>
      <c r="B639" s="16" t="s">
        <v>2192</v>
      </c>
      <c r="C639" s="16" t="s">
        <v>57</v>
      </c>
      <c r="D639" s="16" t="s">
        <v>73</v>
      </c>
      <c r="E639" s="16" t="s">
        <v>1598</v>
      </c>
    </row>
    <row r="640">
      <c r="A640" s="16" t="s">
        <v>2193</v>
      </c>
      <c r="B640" s="16" t="s">
        <v>2194</v>
      </c>
      <c r="C640" s="16" t="s">
        <v>57</v>
      </c>
      <c r="D640" s="16" t="s">
        <v>114</v>
      </c>
      <c r="E640" s="16" t="s">
        <v>1598</v>
      </c>
    </row>
    <row r="641">
      <c r="A641" s="16" t="s">
        <v>2196</v>
      </c>
      <c r="B641" s="16" t="s">
        <v>2197</v>
      </c>
      <c r="C641" s="16" t="s">
        <v>57</v>
      </c>
      <c r="D641" s="16" t="s">
        <v>73</v>
      </c>
      <c r="E641" s="16" t="s">
        <v>1598</v>
      </c>
    </row>
    <row r="642">
      <c r="A642" s="16" t="s">
        <v>2198</v>
      </c>
      <c r="B642" s="16" t="s">
        <v>2199</v>
      </c>
      <c r="C642" s="16" t="s">
        <v>57</v>
      </c>
      <c r="D642" s="16" t="s">
        <v>114</v>
      </c>
      <c r="E642" s="16" t="s">
        <v>1598</v>
      </c>
    </row>
    <row r="643">
      <c r="A643" s="16" t="s">
        <v>2201</v>
      </c>
      <c r="B643" s="16" t="s">
        <v>2204</v>
      </c>
      <c r="C643" s="16" t="s">
        <v>57</v>
      </c>
      <c r="D643" s="16" t="s">
        <v>73</v>
      </c>
      <c r="E643" s="16" t="s">
        <v>1598</v>
      </c>
    </row>
    <row r="644">
      <c r="A644" s="16" t="s">
        <v>2206</v>
      </c>
      <c r="B644" s="16" t="s">
        <v>2207</v>
      </c>
      <c r="C644" s="16" t="s">
        <v>57</v>
      </c>
      <c r="D644" s="16" t="s">
        <v>114</v>
      </c>
      <c r="E644" s="16" t="s">
        <v>1598</v>
      </c>
    </row>
    <row r="645">
      <c r="A645" s="16" t="s">
        <v>2208</v>
      </c>
      <c r="B645" s="16" t="s">
        <v>2209</v>
      </c>
      <c r="C645" s="16" t="s">
        <v>57</v>
      </c>
      <c r="D645" s="16" t="s">
        <v>73</v>
      </c>
      <c r="E645" s="16" t="s">
        <v>1598</v>
      </c>
    </row>
    <row r="646">
      <c r="A646" s="16" t="s">
        <v>2210</v>
      </c>
      <c r="B646" s="16" t="s">
        <v>2211</v>
      </c>
      <c r="C646" s="16" t="s">
        <v>57</v>
      </c>
      <c r="D646" s="16" t="s">
        <v>114</v>
      </c>
      <c r="E646" s="16" t="s">
        <v>1598</v>
      </c>
    </row>
    <row r="647">
      <c r="A647" s="16" t="s">
        <v>2212</v>
      </c>
      <c r="B647" s="16" t="s">
        <v>2213</v>
      </c>
      <c r="C647" s="16" t="s">
        <v>57</v>
      </c>
      <c r="D647" s="16" t="s">
        <v>114</v>
      </c>
      <c r="E647" s="16" t="s">
        <v>1598</v>
      </c>
    </row>
    <row r="648">
      <c r="A648" s="16" t="s">
        <v>2218</v>
      </c>
      <c r="B648" s="16" t="s">
        <v>2219</v>
      </c>
      <c r="C648" s="16" t="s">
        <v>57</v>
      </c>
      <c r="D648" s="16" t="s">
        <v>114</v>
      </c>
      <c r="E648" s="16" t="s">
        <v>1598</v>
      </c>
    </row>
    <row r="649">
      <c r="A649" s="16" t="s">
        <v>2220</v>
      </c>
      <c r="B649" s="16" t="s">
        <v>2221</v>
      </c>
      <c r="C649" s="16" t="s">
        <v>57</v>
      </c>
      <c r="D649" s="16" t="s">
        <v>73</v>
      </c>
      <c r="E649" s="16" t="s">
        <v>1598</v>
      </c>
    </row>
    <row r="650">
      <c r="A650" s="16" t="s">
        <v>2222</v>
      </c>
      <c r="B650" s="16" t="s">
        <v>2223</v>
      </c>
      <c r="C650" s="16" t="s">
        <v>57</v>
      </c>
      <c r="D650" s="16" t="s">
        <v>114</v>
      </c>
      <c r="E650" s="16" t="s">
        <v>1598</v>
      </c>
    </row>
    <row r="651">
      <c r="A651" s="16" t="s">
        <v>2224</v>
      </c>
      <c r="B651" s="16" t="s">
        <v>2225</v>
      </c>
      <c r="C651" s="16" t="s">
        <v>57</v>
      </c>
      <c r="D651" s="16" t="s">
        <v>73</v>
      </c>
      <c r="E651" s="16" t="s">
        <v>1598</v>
      </c>
    </row>
    <row r="652">
      <c r="A652" s="16" t="s">
        <v>2228</v>
      </c>
      <c r="B652" s="16" t="s">
        <v>2229</v>
      </c>
      <c r="C652" s="16" t="s">
        <v>57</v>
      </c>
      <c r="D652" s="16" t="s">
        <v>114</v>
      </c>
      <c r="E652" s="16" t="s">
        <v>1598</v>
      </c>
    </row>
    <row r="653">
      <c r="A653" s="16" t="s">
        <v>2230</v>
      </c>
      <c r="B653" s="16" t="s">
        <v>2231</v>
      </c>
      <c r="C653" s="16" t="s">
        <v>57</v>
      </c>
      <c r="D653" s="16" t="s">
        <v>73</v>
      </c>
      <c r="E653" s="16" t="s">
        <v>1598</v>
      </c>
    </row>
    <row r="654">
      <c r="A654" s="16" t="s">
        <v>2232</v>
      </c>
      <c r="B654" s="16" t="s">
        <v>2233</v>
      </c>
      <c r="C654" s="16" t="s">
        <v>57</v>
      </c>
      <c r="D654" s="16" t="s">
        <v>114</v>
      </c>
      <c r="E654" s="16" t="s">
        <v>1598</v>
      </c>
    </row>
    <row r="655">
      <c r="A655" s="16" t="s">
        <v>2234</v>
      </c>
      <c r="B655" s="16" t="s">
        <v>2236</v>
      </c>
      <c r="C655" s="16" t="s">
        <v>57</v>
      </c>
      <c r="D655" s="16" t="s">
        <v>73</v>
      </c>
      <c r="E655" s="16" t="s">
        <v>1598</v>
      </c>
    </row>
    <row r="656">
      <c r="A656" s="16" t="s">
        <v>2238</v>
      </c>
      <c r="B656" s="16" t="s">
        <v>2239</v>
      </c>
      <c r="C656" s="16" t="s">
        <v>57</v>
      </c>
      <c r="D656" s="16" t="s">
        <v>114</v>
      </c>
      <c r="E656" s="16" t="s">
        <v>1842</v>
      </c>
    </row>
    <row r="657">
      <c r="A657" s="16" t="s">
        <v>2240</v>
      </c>
      <c r="B657" s="16" t="s">
        <v>2241</v>
      </c>
      <c r="C657" s="16" t="s">
        <v>57</v>
      </c>
      <c r="D657" s="16" t="s">
        <v>73</v>
      </c>
      <c r="E657" s="16" t="s">
        <v>1842</v>
      </c>
    </row>
    <row r="658">
      <c r="A658" s="16" t="s">
        <v>2242</v>
      </c>
      <c r="B658" s="16" t="s">
        <v>2243</v>
      </c>
      <c r="C658" s="16" t="s">
        <v>57</v>
      </c>
      <c r="D658" s="16" t="s">
        <v>114</v>
      </c>
      <c r="E658" s="16" t="s">
        <v>1842</v>
      </c>
    </row>
    <row r="659">
      <c r="A659" s="16" t="s">
        <v>2244</v>
      </c>
      <c r="B659" s="16" t="s">
        <v>2245</v>
      </c>
      <c r="C659" s="16" t="s">
        <v>57</v>
      </c>
      <c r="D659" s="16" t="s">
        <v>73</v>
      </c>
      <c r="E659" s="16" t="s">
        <v>1842</v>
      </c>
    </row>
    <row r="660">
      <c r="A660" s="16" t="s">
        <v>2248</v>
      </c>
      <c r="B660" s="16" t="s">
        <v>2249</v>
      </c>
      <c r="C660" s="16" t="s">
        <v>57</v>
      </c>
      <c r="D660" s="16" t="s">
        <v>114</v>
      </c>
      <c r="E660" s="16" t="s">
        <v>1842</v>
      </c>
    </row>
    <row r="661">
      <c r="A661" s="16" t="s">
        <v>2250</v>
      </c>
      <c r="B661" s="16" t="s">
        <v>2251</v>
      </c>
      <c r="C661" s="16" t="s">
        <v>57</v>
      </c>
      <c r="D661" s="16" t="s">
        <v>73</v>
      </c>
      <c r="E661" s="16" t="s">
        <v>1842</v>
      </c>
    </row>
    <row r="662">
      <c r="A662" s="16" t="s">
        <v>2253</v>
      </c>
      <c r="B662" s="16" t="s">
        <v>2255</v>
      </c>
      <c r="C662" s="16" t="s">
        <v>57</v>
      </c>
      <c r="D662" s="16" t="s">
        <v>114</v>
      </c>
      <c r="E662" s="16" t="s">
        <v>1842</v>
      </c>
    </row>
    <row r="663">
      <c r="A663" s="16" t="s">
        <v>2257</v>
      </c>
      <c r="B663" s="16" t="s">
        <v>2258</v>
      </c>
      <c r="C663" s="16" t="s">
        <v>57</v>
      </c>
      <c r="D663" s="16" t="s">
        <v>73</v>
      </c>
      <c r="E663" s="16" t="s">
        <v>1842</v>
      </c>
    </row>
    <row r="664">
      <c r="A664" s="16" t="s">
        <v>2262</v>
      </c>
      <c r="B664" s="16" t="s">
        <v>2263</v>
      </c>
      <c r="C664" s="16" t="s">
        <v>57</v>
      </c>
      <c r="D664" s="16" t="s">
        <v>114</v>
      </c>
      <c r="E664" s="16" t="s">
        <v>1842</v>
      </c>
    </row>
    <row r="665">
      <c r="A665" s="16" t="s">
        <v>2264</v>
      </c>
      <c r="B665" s="16" t="s">
        <v>2265</v>
      </c>
      <c r="C665" s="16" t="s">
        <v>57</v>
      </c>
      <c r="D665" s="16" t="s">
        <v>73</v>
      </c>
      <c r="E665" s="16" t="s">
        <v>1842</v>
      </c>
    </row>
    <row r="666">
      <c r="A666" s="16" t="s">
        <v>2266</v>
      </c>
      <c r="B666" s="16" t="s">
        <v>2268</v>
      </c>
      <c r="C666" s="16" t="s">
        <v>57</v>
      </c>
      <c r="D666" s="16" t="s">
        <v>73</v>
      </c>
      <c r="E666" s="16" t="s">
        <v>162</v>
      </c>
    </row>
    <row r="667">
      <c r="A667" s="16" t="s">
        <v>2269</v>
      </c>
      <c r="B667" s="16" t="s">
        <v>2270</v>
      </c>
      <c r="C667" s="16" t="s">
        <v>57</v>
      </c>
      <c r="D667" s="16" t="s">
        <v>73</v>
      </c>
      <c r="E667" s="16" t="s">
        <v>162</v>
      </c>
    </row>
    <row r="668">
      <c r="A668" s="16" t="s">
        <v>2272</v>
      </c>
      <c r="B668" s="16" t="s">
        <v>2274</v>
      </c>
      <c r="C668" s="16" t="s">
        <v>57</v>
      </c>
      <c r="D668" s="16" t="s">
        <v>73</v>
      </c>
      <c r="E668" s="16" t="s">
        <v>162</v>
      </c>
    </row>
    <row r="669">
      <c r="A669" s="16" t="s">
        <v>2275</v>
      </c>
      <c r="B669" s="16" t="s">
        <v>2276</v>
      </c>
      <c r="C669" s="16" t="s">
        <v>57</v>
      </c>
      <c r="D669" s="16" t="s">
        <v>73</v>
      </c>
      <c r="E669" s="16" t="s">
        <v>162</v>
      </c>
    </row>
    <row r="670">
      <c r="A670" s="16" t="s">
        <v>2277</v>
      </c>
      <c r="B670" s="16" t="s">
        <v>2279</v>
      </c>
      <c r="C670" s="16" t="s">
        <v>57</v>
      </c>
      <c r="D670" s="16" t="s">
        <v>73</v>
      </c>
      <c r="E670" s="16" t="s">
        <v>162</v>
      </c>
    </row>
    <row r="671">
      <c r="A671" s="16" t="s">
        <v>2281</v>
      </c>
      <c r="B671" s="16" t="s">
        <v>2282</v>
      </c>
      <c r="C671" s="16" t="s">
        <v>57</v>
      </c>
      <c r="D671" s="16" t="s">
        <v>73</v>
      </c>
      <c r="E671" s="16" t="s">
        <v>162</v>
      </c>
    </row>
    <row r="672">
      <c r="A672" s="16" t="s">
        <v>2283</v>
      </c>
      <c r="B672" s="16" t="s">
        <v>2284</v>
      </c>
      <c r="C672" s="16" t="s">
        <v>57</v>
      </c>
      <c r="D672" s="16" t="s">
        <v>73</v>
      </c>
      <c r="E672" s="16" t="s">
        <v>162</v>
      </c>
    </row>
    <row r="673">
      <c r="A673" s="16" t="s">
        <v>2287</v>
      </c>
      <c r="B673" s="16" t="s">
        <v>2288</v>
      </c>
      <c r="C673" s="16" t="s">
        <v>57</v>
      </c>
      <c r="D673" s="16" t="s">
        <v>73</v>
      </c>
      <c r="E673" s="16" t="s">
        <v>162</v>
      </c>
    </row>
    <row r="674">
      <c r="A674" s="16" t="s">
        <v>2290</v>
      </c>
      <c r="B674" s="16" t="s">
        <v>2291</v>
      </c>
      <c r="C674" s="16" t="s">
        <v>57</v>
      </c>
      <c r="D674" s="16" t="s">
        <v>73</v>
      </c>
      <c r="E674" s="16" t="s">
        <v>189</v>
      </c>
    </row>
    <row r="675">
      <c r="A675" s="16" t="s">
        <v>2292</v>
      </c>
      <c r="B675" s="16" t="s">
        <v>2294</v>
      </c>
      <c r="C675" s="16" t="s">
        <v>57</v>
      </c>
      <c r="D675" s="16" t="s">
        <v>73</v>
      </c>
      <c r="E675" s="16" t="s">
        <v>189</v>
      </c>
    </row>
    <row r="676">
      <c r="A676" s="16" t="s">
        <v>2295</v>
      </c>
      <c r="B676" s="16" t="s">
        <v>2296</v>
      </c>
      <c r="C676" s="16" t="s">
        <v>57</v>
      </c>
      <c r="D676" s="16" t="s">
        <v>73</v>
      </c>
      <c r="E676" s="16" t="s">
        <v>189</v>
      </c>
    </row>
    <row r="677">
      <c r="A677" s="16" t="s">
        <v>2299</v>
      </c>
      <c r="B677" s="16" t="s">
        <v>2301</v>
      </c>
      <c r="C677" s="16" t="s">
        <v>57</v>
      </c>
      <c r="D677" s="16" t="s">
        <v>73</v>
      </c>
      <c r="E677" s="16" t="s">
        <v>189</v>
      </c>
    </row>
    <row r="678">
      <c r="A678" s="16" t="s">
        <v>2303</v>
      </c>
      <c r="B678" s="16" t="s">
        <v>2305</v>
      </c>
      <c r="C678" s="16" t="s">
        <v>57</v>
      </c>
      <c r="D678" s="16" t="s">
        <v>73</v>
      </c>
      <c r="E678" s="16" t="s">
        <v>189</v>
      </c>
    </row>
    <row r="679">
      <c r="A679" s="16" t="s">
        <v>2306</v>
      </c>
      <c r="B679" s="16" t="s">
        <v>2307</v>
      </c>
      <c r="C679" s="16" t="s">
        <v>57</v>
      </c>
      <c r="D679" s="16" t="s">
        <v>73</v>
      </c>
      <c r="E679" s="16" t="s">
        <v>228</v>
      </c>
    </row>
    <row r="680">
      <c r="A680" s="16" t="s">
        <v>2308</v>
      </c>
      <c r="B680" s="16" t="s">
        <v>2309</v>
      </c>
      <c r="C680" s="16" t="s">
        <v>57</v>
      </c>
      <c r="D680" s="16" t="s">
        <v>73</v>
      </c>
      <c r="E680" s="16" t="s">
        <v>228</v>
      </c>
    </row>
    <row r="681">
      <c r="A681" s="16" t="s">
        <v>2310</v>
      </c>
      <c r="B681" s="16" t="s">
        <v>2311</v>
      </c>
      <c r="C681" s="16" t="s">
        <v>57</v>
      </c>
      <c r="D681" s="16" t="s">
        <v>73</v>
      </c>
      <c r="E681" s="16" t="s">
        <v>228</v>
      </c>
    </row>
    <row r="682">
      <c r="A682" s="16" t="s">
        <v>2312</v>
      </c>
      <c r="B682" s="16" t="s">
        <v>2313</v>
      </c>
      <c r="C682" s="16" t="s">
        <v>57</v>
      </c>
      <c r="D682" s="16" t="s">
        <v>73</v>
      </c>
      <c r="E682" s="16" t="s">
        <v>228</v>
      </c>
    </row>
    <row r="683">
      <c r="A683" s="16" t="s">
        <v>2314</v>
      </c>
      <c r="B683" s="16" t="s">
        <v>2315</v>
      </c>
      <c r="C683" s="16" t="s">
        <v>57</v>
      </c>
      <c r="D683" s="16" t="s">
        <v>73</v>
      </c>
      <c r="E683" s="16" t="s">
        <v>228</v>
      </c>
    </row>
    <row r="684">
      <c r="A684" s="16" t="s">
        <v>2316</v>
      </c>
      <c r="B684" s="16" t="s">
        <v>2317</v>
      </c>
      <c r="C684" s="16" t="s">
        <v>57</v>
      </c>
      <c r="D684" s="16" t="s">
        <v>73</v>
      </c>
      <c r="E684" s="16" t="s">
        <v>295</v>
      </c>
    </row>
    <row r="685">
      <c r="A685" s="16" t="s">
        <v>2319</v>
      </c>
      <c r="B685" s="16" t="s">
        <v>2320</v>
      </c>
      <c r="C685" s="16" t="s">
        <v>57</v>
      </c>
      <c r="D685" s="16" t="s">
        <v>73</v>
      </c>
      <c r="E685" s="16" t="s">
        <v>295</v>
      </c>
    </row>
    <row r="686">
      <c r="A686" s="16" t="s">
        <v>2321</v>
      </c>
      <c r="B686" s="16" t="s">
        <v>2322</v>
      </c>
      <c r="C686" s="16" t="s">
        <v>57</v>
      </c>
      <c r="D686" s="16" t="s">
        <v>73</v>
      </c>
      <c r="E686" s="16" t="s">
        <v>295</v>
      </c>
    </row>
    <row r="687">
      <c r="A687" s="16" t="s">
        <v>2325</v>
      </c>
      <c r="B687" s="16" t="s">
        <v>2326</v>
      </c>
      <c r="C687" s="16" t="s">
        <v>57</v>
      </c>
      <c r="D687" s="16" t="s">
        <v>73</v>
      </c>
      <c r="E687" s="16" t="s">
        <v>295</v>
      </c>
    </row>
    <row r="688">
      <c r="A688" s="16" t="s">
        <v>2328</v>
      </c>
      <c r="B688" s="16" t="s">
        <v>2329</v>
      </c>
      <c r="C688" s="16" t="s">
        <v>57</v>
      </c>
      <c r="D688" s="16" t="s">
        <v>73</v>
      </c>
      <c r="E688" s="16" t="s">
        <v>295</v>
      </c>
    </row>
    <row r="689">
      <c r="A689" s="16" t="s">
        <v>2331</v>
      </c>
      <c r="B689" s="16" t="s">
        <v>2332</v>
      </c>
      <c r="C689" s="16" t="s">
        <v>57</v>
      </c>
      <c r="D689" s="16" t="s">
        <v>73</v>
      </c>
      <c r="E689" s="16" t="s">
        <v>364</v>
      </c>
    </row>
    <row r="690">
      <c r="A690" s="16" t="s">
        <v>2333</v>
      </c>
      <c r="B690" s="16" t="s">
        <v>2335</v>
      </c>
      <c r="C690" s="16" t="s">
        <v>57</v>
      </c>
      <c r="D690" s="16" t="s">
        <v>73</v>
      </c>
      <c r="E690" s="16" t="s">
        <v>364</v>
      </c>
    </row>
    <row r="691">
      <c r="A691" s="16" t="s">
        <v>2336</v>
      </c>
      <c r="B691" s="16" t="s">
        <v>2339</v>
      </c>
      <c r="C691" s="16" t="s">
        <v>57</v>
      </c>
      <c r="D691" s="16" t="s">
        <v>73</v>
      </c>
      <c r="E691" s="16" t="s">
        <v>364</v>
      </c>
    </row>
    <row r="692">
      <c r="A692" s="16" t="s">
        <v>2340</v>
      </c>
      <c r="B692" s="16" t="s">
        <v>2342</v>
      </c>
      <c r="C692" s="16" t="s">
        <v>57</v>
      </c>
      <c r="D692" s="16" t="s">
        <v>73</v>
      </c>
      <c r="E692" s="16" t="s">
        <v>364</v>
      </c>
    </row>
    <row r="693">
      <c r="A693" s="16" t="s">
        <v>2343</v>
      </c>
      <c r="B693" s="16" t="s">
        <v>2344</v>
      </c>
      <c r="C693" s="16" t="s">
        <v>57</v>
      </c>
      <c r="D693" s="16" t="s">
        <v>73</v>
      </c>
      <c r="E693" s="16" t="s">
        <v>364</v>
      </c>
    </row>
    <row r="694">
      <c r="A694" s="16" t="s">
        <v>2347</v>
      </c>
      <c r="B694" s="16" t="s">
        <v>2348</v>
      </c>
      <c r="C694" s="16" t="s">
        <v>57</v>
      </c>
      <c r="D694" s="16" t="s">
        <v>73</v>
      </c>
      <c r="E694" s="16" t="s">
        <v>332</v>
      </c>
    </row>
    <row r="695">
      <c r="A695" s="16" t="s">
        <v>2349</v>
      </c>
      <c r="B695" s="16" t="s">
        <v>2351</v>
      </c>
      <c r="C695" s="16" t="s">
        <v>57</v>
      </c>
      <c r="D695" s="16" t="s">
        <v>73</v>
      </c>
      <c r="E695" s="16" t="s">
        <v>332</v>
      </c>
    </row>
    <row r="696">
      <c r="A696" s="16" t="s">
        <v>2352</v>
      </c>
      <c r="B696" s="16" t="s">
        <v>2353</v>
      </c>
      <c r="C696" s="16" t="s">
        <v>57</v>
      </c>
      <c r="D696" s="16" t="s">
        <v>73</v>
      </c>
      <c r="E696" s="16" t="s">
        <v>332</v>
      </c>
    </row>
    <row r="697">
      <c r="A697" s="16" t="s">
        <v>2355</v>
      </c>
      <c r="B697" s="16" t="s">
        <v>2356</v>
      </c>
      <c r="C697" s="16" t="s">
        <v>57</v>
      </c>
      <c r="D697" s="16" t="s">
        <v>73</v>
      </c>
      <c r="E697" s="16" t="s">
        <v>332</v>
      </c>
    </row>
    <row r="698">
      <c r="A698" s="16" t="s">
        <v>2359</v>
      </c>
      <c r="B698" s="16" t="s">
        <v>2360</v>
      </c>
      <c r="C698" s="16" t="s">
        <v>57</v>
      </c>
      <c r="D698" s="16" t="s">
        <v>73</v>
      </c>
      <c r="E698" s="16" t="s">
        <v>332</v>
      </c>
    </row>
    <row r="699">
      <c r="A699" s="16" t="s">
        <v>2362</v>
      </c>
      <c r="B699" s="16" t="s">
        <v>2363</v>
      </c>
      <c r="C699" s="16" t="s">
        <v>57</v>
      </c>
      <c r="D699" s="16" t="s">
        <v>73</v>
      </c>
      <c r="E699" s="16" t="s">
        <v>392</v>
      </c>
    </row>
    <row r="700">
      <c r="A700" s="16" t="s">
        <v>2365</v>
      </c>
      <c r="B700" s="16" t="s">
        <v>2366</v>
      </c>
      <c r="C700" s="16" t="s">
        <v>57</v>
      </c>
      <c r="D700" s="16" t="s">
        <v>73</v>
      </c>
      <c r="E700" s="16" t="s">
        <v>392</v>
      </c>
    </row>
    <row r="701">
      <c r="A701" s="16" t="s">
        <v>2367</v>
      </c>
      <c r="B701" s="16" t="s">
        <v>2368</v>
      </c>
      <c r="C701" s="16" t="s">
        <v>57</v>
      </c>
      <c r="D701" s="16" t="s">
        <v>73</v>
      </c>
      <c r="E701" s="16" t="s">
        <v>392</v>
      </c>
    </row>
    <row r="702">
      <c r="A702" s="16" t="s">
        <v>2371</v>
      </c>
      <c r="B702" s="16" t="s">
        <v>2373</v>
      </c>
      <c r="C702" s="16" t="s">
        <v>57</v>
      </c>
      <c r="D702" s="16" t="s">
        <v>73</v>
      </c>
      <c r="E702" s="16" t="s">
        <v>392</v>
      </c>
    </row>
    <row r="703">
      <c r="A703" s="16" t="s">
        <v>2374</v>
      </c>
      <c r="B703" s="16" t="s">
        <v>2376</v>
      </c>
      <c r="C703" s="16" t="s">
        <v>57</v>
      </c>
      <c r="D703" s="16" t="s">
        <v>73</v>
      </c>
      <c r="E703" s="16" t="s">
        <v>392</v>
      </c>
    </row>
    <row r="704">
      <c r="A704" s="16" t="s">
        <v>2377</v>
      </c>
      <c r="B704" s="16" t="s">
        <v>2378</v>
      </c>
      <c r="C704" s="16" t="s">
        <v>57</v>
      </c>
      <c r="D704" s="16" t="s">
        <v>73</v>
      </c>
      <c r="E704" s="16" t="s">
        <v>195</v>
      </c>
    </row>
    <row r="705">
      <c r="A705" s="16" t="s">
        <v>2380</v>
      </c>
      <c r="B705" s="16" t="s">
        <v>2381</v>
      </c>
      <c r="C705" s="16" t="s">
        <v>57</v>
      </c>
      <c r="D705" s="16" t="s">
        <v>73</v>
      </c>
      <c r="E705" s="16" t="s">
        <v>189</v>
      </c>
    </row>
    <row r="706">
      <c r="A706" s="16" t="s">
        <v>2383</v>
      </c>
      <c r="B706" s="16" t="s">
        <v>2384</v>
      </c>
      <c r="C706" s="16" t="s">
        <v>57</v>
      </c>
      <c r="D706" s="16" t="s">
        <v>73</v>
      </c>
      <c r="E706" s="16" t="s">
        <v>189</v>
      </c>
    </row>
    <row r="707">
      <c r="A707" s="16" t="s">
        <v>2385</v>
      </c>
      <c r="B707" s="16" t="s">
        <v>2386</v>
      </c>
      <c r="C707" s="16" t="s">
        <v>57</v>
      </c>
      <c r="D707" s="16" t="s">
        <v>73</v>
      </c>
      <c r="E707" s="16" t="s">
        <v>189</v>
      </c>
    </row>
    <row r="708">
      <c r="A708" s="16" t="s">
        <v>2389</v>
      </c>
      <c r="B708" s="16" t="s">
        <v>2390</v>
      </c>
      <c r="C708" s="16" t="s">
        <v>57</v>
      </c>
      <c r="D708" s="16" t="s">
        <v>73</v>
      </c>
      <c r="E708" s="16" t="s">
        <v>189</v>
      </c>
    </row>
    <row r="709">
      <c r="A709" s="16" t="s">
        <v>2393</v>
      </c>
      <c r="B709" s="16" t="s">
        <v>2394</v>
      </c>
      <c r="C709" s="16" t="s">
        <v>57</v>
      </c>
      <c r="D709" s="16" t="s">
        <v>73</v>
      </c>
      <c r="E709" s="16" t="s">
        <v>189</v>
      </c>
    </row>
    <row r="710">
      <c r="A710" s="16" t="s">
        <v>2398</v>
      </c>
      <c r="B710" s="16" t="s">
        <v>2399</v>
      </c>
      <c r="C710" s="16" t="s">
        <v>57</v>
      </c>
      <c r="D710" s="16" t="s">
        <v>73</v>
      </c>
      <c r="E710" s="16" t="s">
        <v>228</v>
      </c>
    </row>
    <row r="711">
      <c r="A711" s="16" t="s">
        <v>2401</v>
      </c>
      <c r="B711" s="16" t="s">
        <v>2402</v>
      </c>
      <c r="C711" s="16" t="s">
        <v>57</v>
      </c>
      <c r="D711" s="16" t="s">
        <v>73</v>
      </c>
      <c r="E711" s="16" t="s">
        <v>228</v>
      </c>
    </row>
    <row r="712">
      <c r="A712" s="16" t="s">
        <v>2404</v>
      </c>
      <c r="B712" s="16" t="s">
        <v>2405</v>
      </c>
      <c r="C712" s="16" t="s">
        <v>57</v>
      </c>
      <c r="D712" s="16" t="s">
        <v>73</v>
      </c>
      <c r="E712" s="16" t="s">
        <v>228</v>
      </c>
    </row>
    <row r="713">
      <c r="A713" s="16" t="s">
        <v>2406</v>
      </c>
      <c r="B713" s="16" t="s">
        <v>2408</v>
      </c>
      <c r="C713" s="16" t="s">
        <v>57</v>
      </c>
      <c r="D713" s="16" t="s">
        <v>73</v>
      </c>
      <c r="E713" s="16" t="s">
        <v>228</v>
      </c>
    </row>
    <row r="714">
      <c r="A714" s="16" t="s">
        <v>2410</v>
      </c>
      <c r="B714" s="16" t="s">
        <v>2411</v>
      </c>
      <c r="C714" s="16" t="s">
        <v>57</v>
      </c>
      <c r="D714" s="16" t="s">
        <v>73</v>
      </c>
      <c r="E714" s="16" t="s">
        <v>228</v>
      </c>
    </row>
    <row r="715">
      <c r="A715" s="16" t="s">
        <v>2414</v>
      </c>
      <c r="B715" s="16" t="s">
        <v>2415</v>
      </c>
      <c r="C715" s="16" t="s">
        <v>57</v>
      </c>
      <c r="D715" s="16" t="s">
        <v>73</v>
      </c>
      <c r="E715" s="16" t="s">
        <v>295</v>
      </c>
    </row>
    <row r="716">
      <c r="A716" s="16" t="s">
        <v>2417</v>
      </c>
      <c r="B716" s="16" t="s">
        <v>2418</v>
      </c>
      <c r="C716" s="16" t="s">
        <v>57</v>
      </c>
      <c r="D716" s="16" t="s">
        <v>73</v>
      </c>
      <c r="E716" s="16" t="s">
        <v>295</v>
      </c>
    </row>
    <row r="717">
      <c r="A717" s="16" t="s">
        <v>2419</v>
      </c>
      <c r="B717" s="16" t="s">
        <v>2421</v>
      </c>
      <c r="C717" s="16" t="s">
        <v>57</v>
      </c>
      <c r="D717" s="16" t="s">
        <v>73</v>
      </c>
      <c r="E717" s="16" t="s">
        <v>295</v>
      </c>
    </row>
    <row r="718">
      <c r="A718" s="16" t="s">
        <v>2422</v>
      </c>
      <c r="B718" s="16" t="s">
        <v>2423</v>
      </c>
      <c r="C718" s="16" t="s">
        <v>57</v>
      </c>
      <c r="D718" s="16" t="s">
        <v>73</v>
      </c>
      <c r="E718" s="16" t="s">
        <v>295</v>
      </c>
    </row>
    <row r="719">
      <c r="A719" s="16" t="s">
        <v>2425</v>
      </c>
      <c r="B719" s="16" t="s">
        <v>2426</v>
      </c>
      <c r="C719" s="16" t="s">
        <v>57</v>
      </c>
      <c r="D719" s="16" t="s">
        <v>73</v>
      </c>
      <c r="E719" s="16" t="s">
        <v>295</v>
      </c>
    </row>
    <row r="720">
      <c r="A720" s="16" t="s">
        <v>2427</v>
      </c>
      <c r="B720" s="16" t="s">
        <v>2428</v>
      </c>
      <c r="C720" s="16" t="s">
        <v>57</v>
      </c>
      <c r="D720" s="16" t="s">
        <v>73</v>
      </c>
      <c r="E720" s="16" t="s">
        <v>405</v>
      </c>
    </row>
    <row r="721">
      <c r="A721" s="16" t="s">
        <v>2430</v>
      </c>
      <c r="B721" s="16" t="s">
        <v>2431</v>
      </c>
      <c r="C721" s="16" t="s">
        <v>57</v>
      </c>
      <c r="D721" s="16" t="s">
        <v>73</v>
      </c>
      <c r="E721" s="16" t="s">
        <v>405</v>
      </c>
    </row>
    <row r="722">
      <c r="A722" s="16" t="s">
        <v>2433</v>
      </c>
      <c r="B722" s="16" t="s">
        <v>2434</v>
      </c>
      <c r="C722" s="16" t="s">
        <v>57</v>
      </c>
      <c r="D722" s="16" t="s">
        <v>73</v>
      </c>
      <c r="E722" s="16" t="s">
        <v>405</v>
      </c>
    </row>
    <row r="723">
      <c r="A723" s="16" t="s">
        <v>2435</v>
      </c>
      <c r="B723" s="16" t="s">
        <v>2436</v>
      </c>
      <c r="C723" s="16" t="s">
        <v>57</v>
      </c>
      <c r="D723" s="16" t="s">
        <v>73</v>
      </c>
      <c r="E723" s="16" t="s">
        <v>405</v>
      </c>
    </row>
    <row r="724">
      <c r="A724" s="16" t="s">
        <v>2438</v>
      </c>
      <c r="B724" s="16" t="s">
        <v>2439</v>
      </c>
      <c r="C724" s="16" t="s">
        <v>57</v>
      </c>
      <c r="D724" s="16" t="s">
        <v>73</v>
      </c>
      <c r="E724" s="16" t="s">
        <v>405</v>
      </c>
    </row>
    <row r="725">
      <c r="A725" s="16" t="s">
        <v>2442</v>
      </c>
      <c r="B725" s="16" t="s">
        <v>2443</v>
      </c>
      <c r="C725" s="16" t="s">
        <v>57</v>
      </c>
      <c r="D725" s="16" t="s">
        <v>73</v>
      </c>
      <c r="E725" s="16" t="s">
        <v>332</v>
      </c>
    </row>
    <row r="726">
      <c r="A726" s="16" t="s">
        <v>2446</v>
      </c>
      <c r="B726" s="16" t="s">
        <v>2447</v>
      </c>
      <c r="C726" s="16" t="s">
        <v>57</v>
      </c>
      <c r="D726" s="16" t="s">
        <v>73</v>
      </c>
      <c r="E726" s="16" t="s">
        <v>332</v>
      </c>
    </row>
    <row r="727">
      <c r="A727" s="16" t="s">
        <v>2449</v>
      </c>
      <c r="B727" s="16" t="s">
        <v>2451</v>
      </c>
      <c r="C727" s="16" t="s">
        <v>57</v>
      </c>
      <c r="D727" s="16" t="s">
        <v>73</v>
      </c>
      <c r="E727" s="16" t="s">
        <v>332</v>
      </c>
    </row>
    <row r="728">
      <c r="A728" s="16" t="s">
        <v>2452</v>
      </c>
      <c r="B728" s="16" t="s">
        <v>2454</v>
      </c>
      <c r="C728" s="16" t="s">
        <v>57</v>
      </c>
      <c r="D728" s="16" t="s">
        <v>73</v>
      </c>
      <c r="E728" s="16" t="s">
        <v>332</v>
      </c>
    </row>
    <row r="729">
      <c r="A729" s="16" t="s">
        <v>2455</v>
      </c>
      <c r="B729" s="16" t="s">
        <v>2456</v>
      </c>
      <c r="C729" s="16" t="s">
        <v>57</v>
      </c>
      <c r="D729" s="16" t="s">
        <v>73</v>
      </c>
      <c r="E729" s="16" t="s">
        <v>332</v>
      </c>
    </row>
    <row r="730">
      <c r="A730" s="16" t="s">
        <v>2458</v>
      </c>
      <c r="B730" s="16" t="s">
        <v>2459</v>
      </c>
      <c r="C730" s="16" t="s">
        <v>57</v>
      </c>
      <c r="D730" s="16" t="s">
        <v>73</v>
      </c>
      <c r="E730" s="16" t="s">
        <v>392</v>
      </c>
    </row>
    <row r="731">
      <c r="A731" s="16" t="s">
        <v>2460</v>
      </c>
      <c r="B731" s="16" t="s">
        <v>2461</v>
      </c>
      <c r="C731" s="16" t="s">
        <v>57</v>
      </c>
      <c r="D731" s="16" t="s">
        <v>73</v>
      </c>
      <c r="E731" s="16" t="s">
        <v>392</v>
      </c>
    </row>
    <row r="732">
      <c r="A732" s="16" t="s">
        <v>2462</v>
      </c>
      <c r="B732" s="16" t="s">
        <v>2463</v>
      </c>
      <c r="C732" s="16" t="s">
        <v>57</v>
      </c>
      <c r="D732" s="16" t="s">
        <v>73</v>
      </c>
      <c r="E732" s="16" t="s">
        <v>392</v>
      </c>
    </row>
    <row r="733">
      <c r="A733" s="16" t="s">
        <v>2464</v>
      </c>
      <c r="B733" s="16" t="s">
        <v>2465</v>
      </c>
      <c r="C733" s="16" t="s">
        <v>57</v>
      </c>
      <c r="D733" s="16" t="s">
        <v>73</v>
      </c>
      <c r="E733" s="16" t="s">
        <v>392</v>
      </c>
    </row>
    <row r="734">
      <c r="A734" s="16" t="s">
        <v>2466</v>
      </c>
      <c r="B734" s="16" t="s">
        <v>2467</v>
      </c>
      <c r="C734" s="16" t="s">
        <v>57</v>
      </c>
      <c r="D734" s="16" t="s">
        <v>73</v>
      </c>
      <c r="E734" s="16" t="s">
        <v>392</v>
      </c>
    </row>
    <row r="735">
      <c r="A735" s="16" t="s">
        <v>2468</v>
      </c>
      <c r="B735" s="16" t="s">
        <v>2469</v>
      </c>
      <c r="C735" s="16" t="s">
        <v>23</v>
      </c>
      <c r="D735" s="16" t="s">
        <v>73</v>
      </c>
      <c r="E735" s="16" t="s">
        <v>681</v>
      </c>
    </row>
    <row r="736">
      <c r="A736" s="16" t="s">
        <v>2470</v>
      </c>
      <c r="B736" s="16" t="s">
        <v>2472</v>
      </c>
      <c r="C736" s="16" t="s">
        <v>57</v>
      </c>
      <c r="D736" s="16" t="s">
        <v>114</v>
      </c>
      <c r="E736" s="16" t="s">
        <v>1766</v>
      </c>
    </row>
    <row r="737">
      <c r="A737" s="16" t="s">
        <v>2474</v>
      </c>
      <c r="B737" s="16" t="s">
        <v>2475</v>
      </c>
      <c r="C737" s="16" t="s">
        <v>57</v>
      </c>
      <c r="D737" s="16" t="s">
        <v>73</v>
      </c>
      <c r="E737" s="16" t="s">
        <v>558</v>
      </c>
    </row>
    <row r="738">
      <c r="A738" s="16" t="s">
        <v>2476</v>
      </c>
      <c r="B738" s="16" t="s">
        <v>2477</v>
      </c>
      <c r="C738" s="16" t="s">
        <v>57</v>
      </c>
      <c r="D738" s="16" t="s">
        <v>114</v>
      </c>
      <c r="E738" s="16" t="s">
        <v>118</v>
      </c>
    </row>
    <row r="739">
      <c r="A739" s="16" t="s">
        <v>2479</v>
      </c>
      <c r="B739" s="16" t="s">
        <v>2480</v>
      </c>
      <c r="C739" s="16" t="s">
        <v>57</v>
      </c>
      <c r="D739" s="16" t="s">
        <v>114</v>
      </c>
      <c r="E739" s="16" t="s">
        <v>118</v>
      </c>
    </row>
    <row r="740" hidden="1">
      <c r="A740" s="16" t="s">
        <v>2482</v>
      </c>
      <c r="B740" s="16" t="s">
        <v>2484</v>
      </c>
      <c r="C740" s="16" t="s">
        <v>234</v>
      </c>
      <c r="D740" s="16" t="s">
        <v>73</v>
      </c>
      <c r="E740" s="16" t="s">
        <v>1341</v>
      </c>
    </row>
    <row r="741">
      <c r="A741" s="16" t="s">
        <v>2487</v>
      </c>
      <c r="B741" s="16" t="s">
        <v>2488</v>
      </c>
      <c r="C741" s="16" t="s">
        <v>57</v>
      </c>
      <c r="D741" s="16" t="s">
        <v>73</v>
      </c>
      <c r="E741" s="16" t="s">
        <v>295</v>
      </c>
    </row>
    <row r="742">
      <c r="A742" s="16" t="s">
        <v>2489</v>
      </c>
      <c r="B742" s="16" t="s">
        <v>2490</v>
      </c>
      <c r="C742" s="16" t="s">
        <v>57</v>
      </c>
      <c r="D742" s="16" t="s">
        <v>73</v>
      </c>
      <c r="E742" s="16" t="s">
        <v>295</v>
      </c>
    </row>
    <row r="743">
      <c r="A743" s="16" t="s">
        <v>2492</v>
      </c>
      <c r="B743" s="16" t="s">
        <v>2493</v>
      </c>
      <c r="C743" s="16" t="s">
        <v>57</v>
      </c>
      <c r="D743" s="16" t="s">
        <v>73</v>
      </c>
      <c r="E743" s="16" t="s">
        <v>295</v>
      </c>
    </row>
    <row r="744">
      <c r="A744" s="16" t="s">
        <v>2495</v>
      </c>
      <c r="B744" s="16" t="s">
        <v>2496</v>
      </c>
      <c r="C744" s="16" t="s">
        <v>57</v>
      </c>
      <c r="D744" s="16" t="s">
        <v>73</v>
      </c>
      <c r="E744" s="16" t="s">
        <v>295</v>
      </c>
    </row>
    <row r="745">
      <c r="A745" s="16" t="s">
        <v>2500</v>
      </c>
      <c r="B745" s="16" t="s">
        <v>2501</v>
      </c>
      <c r="C745" s="16" t="s">
        <v>23</v>
      </c>
      <c r="D745" s="16" t="s">
        <v>73</v>
      </c>
      <c r="E745" s="16" t="s">
        <v>328</v>
      </c>
    </row>
    <row r="746">
      <c r="A746" s="16" t="s">
        <v>324</v>
      </c>
      <c r="B746" s="16" t="s">
        <v>2503</v>
      </c>
      <c r="C746" s="16" t="s">
        <v>57</v>
      </c>
      <c r="D746" s="16" t="s">
        <v>73</v>
      </c>
      <c r="E746" s="16" t="s">
        <v>2504</v>
      </c>
    </row>
    <row r="747">
      <c r="A747" s="16" t="s">
        <v>2505</v>
      </c>
      <c r="B747" s="16" t="s">
        <v>2506</v>
      </c>
      <c r="C747" s="16" t="s">
        <v>57</v>
      </c>
      <c r="D747" s="16" t="s">
        <v>73</v>
      </c>
      <c r="E747" s="16" t="s">
        <v>2504</v>
      </c>
    </row>
    <row r="748" hidden="1">
      <c r="A748" s="16" t="s">
        <v>2507</v>
      </c>
      <c r="B748" s="16" t="s">
        <v>2509</v>
      </c>
      <c r="C748" s="16" t="s">
        <v>234</v>
      </c>
      <c r="D748" s="16" t="s">
        <v>73</v>
      </c>
      <c r="E748" s="16" t="s">
        <v>236</v>
      </c>
    </row>
    <row r="749" hidden="1">
      <c r="A749" s="16" t="s">
        <v>2511</v>
      </c>
      <c r="B749" s="16" t="s">
        <v>2512</v>
      </c>
      <c r="C749" s="16" t="s">
        <v>234</v>
      </c>
      <c r="D749" s="16" t="s">
        <v>73</v>
      </c>
      <c r="E749" s="16" t="s">
        <v>236</v>
      </c>
    </row>
    <row r="750" hidden="1">
      <c r="A750" s="16" t="s">
        <v>2513</v>
      </c>
      <c r="B750" s="16" t="s">
        <v>2514</v>
      </c>
      <c r="C750" s="16" t="s">
        <v>234</v>
      </c>
      <c r="D750" s="16" t="s">
        <v>73</v>
      </c>
      <c r="E750" s="16" t="s">
        <v>236</v>
      </c>
    </row>
    <row r="751" hidden="1">
      <c r="A751" s="16" t="s">
        <v>2516</v>
      </c>
      <c r="B751" s="16" t="s">
        <v>2518</v>
      </c>
      <c r="C751" s="16" t="s">
        <v>234</v>
      </c>
      <c r="D751" s="16" t="s">
        <v>73</v>
      </c>
      <c r="E751" s="16" t="s">
        <v>236</v>
      </c>
    </row>
    <row r="752">
      <c r="A752" s="16" t="s">
        <v>2520</v>
      </c>
      <c r="B752" s="16" t="s">
        <v>2521</v>
      </c>
      <c r="C752" s="16" t="s">
        <v>23</v>
      </c>
      <c r="D752" s="16" t="s">
        <v>73</v>
      </c>
      <c r="E752" s="16" t="s">
        <v>328</v>
      </c>
    </row>
    <row r="753">
      <c r="A753" s="16" t="s">
        <v>2523</v>
      </c>
      <c r="B753" s="16" t="s">
        <v>2525</v>
      </c>
      <c r="C753" s="16" t="s">
        <v>57</v>
      </c>
      <c r="D753" s="16" t="s">
        <v>73</v>
      </c>
      <c r="E753" s="16" t="s">
        <v>663</v>
      </c>
    </row>
    <row r="754" hidden="1">
      <c r="A754" s="16" t="s">
        <v>2527</v>
      </c>
      <c r="B754" s="16" t="s">
        <v>2529</v>
      </c>
      <c r="C754" s="16" t="s">
        <v>234</v>
      </c>
      <c r="D754" s="16" t="s">
        <v>73</v>
      </c>
      <c r="E754" s="16" t="s">
        <v>2530</v>
      </c>
    </row>
    <row r="755" hidden="1">
      <c r="A755" s="16" t="s">
        <v>2531</v>
      </c>
      <c r="B755" s="16" t="s">
        <v>2532</v>
      </c>
      <c r="C755" s="16" t="s">
        <v>234</v>
      </c>
      <c r="D755" s="16" t="s">
        <v>73</v>
      </c>
      <c r="E755" s="16" t="s">
        <v>129</v>
      </c>
    </row>
    <row r="756" hidden="1">
      <c r="A756" s="16" t="s">
        <v>2533</v>
      </c>
      <c r="B756" s="16" t="s">
        <v>2535</v>
      </c>
      <c r="C756" s="16" t="s">
        <v>234</v>
      </c>
      <c r="D756" s="16" t="s">
        <v>73</v>
      </c>
      <c r="E756" s="16" t="s">
        <v>178</v>
      </c>
    </row>
    <row r="757">
      <c r="A757" s="16" t="s">
        <v>2536</v>
      </c>
      <c r="B757" s="16" t="s">
        <v>2537</v>
      </c>
      <c r="C757" s="16" t="s">
        <v>23</v>
      </c>
      <c r="D757" s="16" t="s">
        <v>73</v>
      </c>
      <c r="E757" s="16" t="s">
        <v>135</v>
      </c>
    </row>
    <row r="758" hidden="1">
      <c r="A758" s="16" t="s">
        <v>2540</v>
      </c>
      <c r="B758" s="16" t="s">
        <v>2542</v>
      </c>
      <c r="C758" s="16" t="s">
        <v>234</v>
      </c>
      <c r="D758" s="16" t="s">
        <v>73</v>
      </c>
      <c r="E758" s="16" t="s">
        <v>2530</v>
      </c>
    </row>
    <row r="759" hidden="1">
      <c r="A759" s="16" t="s">
        <v>2546</v>
      </c>
      <c r="B759" s="16" t="s">
        <v>2548</v>
      </c>
      <c r="C759" s="16" t="s">
        <v>234</v>
      </c>
      <c r="D759" s="16" t="s">
        <v>73</v>
      </c>
      <c r="E759" s="16" t="s">
        <v>2550</v>
      </c>
    </row>
    <row r="760" hidden="1">
      <c r="A760" s="16" t="s">
        <v>2551</v>
      </c>
      <c r="B760" s="16" t="s">
        <v>2552</v>
      </c>
      <c r="C760" s="16" t="s">
        <v>234</v>
      </c>
      <c r="D760" s="16" t="s">
        <v>73</v>
      </c>
      <c r="E760" s="16" t="s">
        <v>2530</v>
      </c>
    </row>
    <row r="761" hidden="1">
      <c r="A761" s="16" t="s">
        <v>2554</v>
      </c>
      <c r="B761" s="16" t="s">
        <v>2555</v>
      </c>
      <c r="C761" s="16" t="s">
        <v>234</v>
      </c>
      <c r="D761" s="16" t="s">
        <v>73</v>
      </c>
      <c r="E761" s="16" t="s">
        <v>236</v>
      </c>
    </row>
    <row r="762" hidden="1">
      <c r="A762" s="16" t="s">
        <v>2558</v>
      </c>
      <c r="B762" s="16" t="s">
        <v>2559</v>
      </c>
      <c r="C762" s="16" t="s">
        <v>234</v>
      </c>
      <c r="D762" s="16" t="s">
        <v>73</v>
      </c>
      <c r="E762" s="16" t="s">
        <v>236</v>
      </c>
    </row>
    <row r="763" hidden="1">
      <c r="A763" s="16" t="s">
        <v>2561</v>
      </c>
      <c r="B763" s="16" t="s">
        <v>2562</v>
      </c>
      <c r="C763" s="16" t="s">
        <v>234</v>
      </c>
      <c r="D763" s="16" t="s">
        <v>73</v>
      </c>
      <c r="E763" s="16" t="s">
        <v>236</v>
      </c>
    </row>
    <row r="764">
      <c r="A764" s="16" t="s">
        <v>2563</v>
      </c>
      <c r="B764" s="16" t="s">
        <v>2565</v>
      </c>
      <c r="C764" s="16" t="s">
        <v>23</v>
      </c>
      <c r="D764" s="16" t="s">
        <v>73</v>
      </c>
      <c r="E764" s="16" t="s">
        <v>135</v>
      </c>
    </row>
    <row r="765" hidden="1">
      <c r="A765" s="16" t="s">
        <v>2566</v>
      </c>
      <c r="B765" s="16" t="s">
        <v>2569</v>
      </c>
      <c r="C765" s="16" t="s">
        <v>234</v>
      </c>
      <c r="D765" s="16" t="s">
        <v>73</v>
      </c>
      <c r="E765" s="16" t="s">
        <v>236</v>
      </c>
    </row>
    <row r="766" hidden="1">
      <c r="A766" s="16" t="s">
        <v>2571</v>
      </c>
      <c r="B766" s="16" t="s">
        <v>2572</v>
      </c>
      <c r="C766" s="16" t="s">
        <v>234</v>
      </c>
      <c r="D766" s="16" t="s">
        <v>73</v>
      </c>
      <c r="E766" s="16" t="s">
        <v>236</v>
      </c>
    </row>
    <row r="767">
      <c r="A767" s="16" t="s">
        <v>2574</v>
      </c>
      <c r="B767" s="16" t="s">
        <v>2575</v>
      </c>
      <c r="C767" s="16" t="s">
        <v>57</v>
      </c>
      <c r="D767" s="16" t="s">
        <v>73</v>
      </c>
      <c r="E767" s="16" t="s">
        <v>2576</v>
      </c>
    </row>
    <row r="768">
      <c r="A768" s="16" t="s">
        <v>2578</v>
      </c>
      <c r="B768" s="16" t="s">
        <v>2579</v>
      </c>
      <c r="C768" s="16" t="s">
        <v>57</v>
      </c>
      <c r="D768" s="16" t="s">
        <v>73</v>
      </c>
      <c r="E768" s="16" t="s">
        <v>2576</v>
      </c>
    </row>
    <row r="769">
      <c r="A769" s="16" t="s">
        <v>1252</v>
      </c>
      <c r="B769" s="16" t="s">
        <v>2581</v>
      </c>
      <c r="C769" s="16" t="s">
        <v>57</v>
      </c>
      <c r="D769" s="16" t="s">
        <v>73</v>
      </c>
      <c r="E769" s="16" t="s">
        <v>228</v>
      </c>
    </row>
    <row r="770">
      <c r="A770" s="16" t="s">
        <v>2585</v>
      </c>
      <c r="B770" s="16" t="s">
        <v>2587</v>
      </c>
      <c r="C770" s="16" t="s">
        <v>57</v>
      </c>
      <c r="D770" s="16" t="s">
        <v>73</v>
      </c>
      <c r="E770" s="16" t="s">
        <v>228</v>
      </c>
    </row>
    <row r="771">
      <c r="A771" s="16" t="s">
        <v>2589</v>
      </c>
      <c r="B771" s="16" t="s">
        <v>2590</v>
      </c>
      <c r="C771" s="16" t="s">
        <v>57</v>
      </c>
      <c r="D771" s="16" t="s">
        <v>73</v>
      </c>
      <c r="E771" s="16" t="s">
        <v>233</v>
      </c>
    </row>
    <row r="772">
      <c r="A772" s="16" t="s">
        <v>2592</v>
      </c>
      <c r="B772" s="16" t="s">
        <v>2593</v>
      </c>
      <c r="C772" s="16" t="s">
        <v>57</v>
      </c>
      <c r="D772" s="16" t="s">
        <v>73</v>
      </c>
      <c r="E772" s="16" t="s">
        <v>233</v>
      </c>
    </row>
    <row r="773">
      <c r="A773" s="16" t="s">
        <v>2594</v>
      </c>
      <c r="B773" s="16" t="s">
        <v>2596</v>
      </c>
      <c r="C773" s="16" t="s">
        <v>57</v>
      </c>
      <c r="D773" s="16" t="s">
        <v>73</v>
      </c>
      <c r="E773" s="16" t="s">
        <v>2598</v>
      </c>
    </row>
    <row r="774">
      <c r="A774" s="16" t="s">
        <v>2599</v>
      </c>
      <c r="B774" s="16" t="s">
        <v>2600</v>
      </c>
      <c r="C774" s="16" t="s">
        <v>57</v>
      </c>
      <c r="D774" s="16" t="s">
        <v>73</v>
      </c>
      <c r="E774" s="16" t="s">
        <v>405</v>
      </c>
    </row>
    <row r="775">
      <c r="A775" s="16" t="s">
        <v>2601</v>
      </c>
      <c r="B775" s="16" t="s">
        <v>2603</v>
      </c>
      <c r="C775" s="16" t="s">
        <v>57</v>
      </c>
      <c r="D775" s="16" t="s">
        <v>73</v>
      </c>
      <c r="E775" s="16" t="s">
        <v>332</v>
      </c>
    </row>
    <row r="776">
      <c r="A776" s="16" t="s">
        <v>2604</v>
      </c>
      <c r="B776" s="16" t="s">
        <v>2606</v>
      </c>
      <c r="C776" s="16" t="s">
        <v>57</v>
      </c>
      <c r="D776" s="16" t="s">
        <v>73</v>
      </c>
      <c r="E776" s="16" t="s">
        <v>332</v>
      </c>
    </row>
    <row r="777" hidden="1">
      <c r="A777" s="16" t="s">
        <v>2608</v>
      </c>
      <c r="B777" s="16" t="s">
        <v>2609</v>
      </c>
      <c r="C777" s="16" t="s">
        <v>234</v>
      </c>
      <c r="D777" s="16" t="s">
        <v>73</v>
      </c>
      <c r="E777" s="16" t="s">
        <v>236</v>
      </c>
    </row>
    <row r="778" hidden="1">
      <c r="A778" s="16" t="s">
        <v>2611</v>
      </c>
      <c r="B778" s="16" t="s">
        <v>2612</v>
      </c>
      <c r="C778" s="16" t="s">
        <v>234</v>
      </c>
      <c r="D778" s="16" t="s">
        <v>73</v>
      </c>
      <c r="E778" s="16" t="s">
        <v>236</v>
      </c>
    </row>
    <row r="779" hidden="1">
      <c r="A779" s="16" t="s">
        <v>2614</v>
      </c>
      <c r="B779" s="16" t="s">
        <v>2615</v>
      </c>
      <c r="C779" s="16" t="s">
        <v>234</v>
      </c>
      <c r="D779" s="16" t="s">
        <v>73</v>
      </c>
      <c r="E779" s="16" t="s">
        <v>236</v>
      </c>
    </row>
    <row r="780" hidden="1">
      <c r="A780" s="16" t="s">
        <v>2617</v>
      </c>
      <c r="B780" s="16" t="s">
        <v>2618</v>
      </c>
      <c r="C780" s="16" t="s">
        <v>234</v>
      </c>
      <c r="D780" s="16" t="s">
        <v>73</v>
      </c>
      <c r="E780" s="16" t="s">
        <v>236</v>
      </c>
    </row>
    <row r="781" hidden="1">
      <c r="A781" s="16" t="s">
        <v>2620</v>
      </c>
      <c r="B781" s="16" t="s">
        <v>2622</v>
      </c>
      <c r="C781" s="16" t="s">
        <v>234</v>
      </c>
      <c r="D781" s="16" t="s">
        <v>73</v>
      </c>
      <c r="E781" s="16" t="s">
        <v>236</v>
      </c>
    </row>
    <row r="782">
      <c r="A782" s="16" t="s">
        <v>2623</v>
      </c>
      <c r="B782" s="16" t="s">
        <v>2624</v>
      </c>
      <c r="C782" s="16" t="s">
        <v>23</v>
      </c>
      <c r="D782" s="16" t="s">
        <v>73</v>
      </c>
      <c r="E782" s="16" t="s">
        <v>135</v>
      </c>
    </row>
    <row r="783">
      <c r="A783" s="16" t="s">
        <v>190</v>
      </c>
      <c r="B783" s="16" t="s">
        <v>2625</v>
      </c>
      <c r="C783" s="16" t="s">
        <v>57</v>
      </c>
      <c r="D783" s="16" t="s">
        <v>73</v>
      </c>
      <c r="E783" s="16" t="s">
        <v>2626</v>
      </c>
    </row>
    <row r="784">
      <c r="A784" s="16" t="s">
        <v>2627</v>
      </c>
      <c r="B784" s="16" t="s">
        <v>2629</v>
      </c>
      <c r="C784" s="16" t="s">
        <v>57</v>
      </c>
      <c r="D784" s="16" t="s">
        <v>73</v>
      </c>
      <c r="E784" s="16" t="s">
        <v>332</v>
      </c>
    </row>
    <row r="785" hidden="1">
      <c r="A785" s="16" t="s">
        <v>2631</v>
      </c>
      <c r="B785" s="16" t="s">
        <v>2632</v>
      </c>
      <c r="C785" s="16" t="s">
        <v>234</v>
      </c>
      <c r="D785" s="16" t="s">
        <v>73</v>
      </c>
      <c r="E785" s="16" t="s">
        <v>236</v>
      </c>
    </row>
    <row r="786" hidden="1">
      <c r="A786" s="16" t="s">
        <v>2634</v>
      </c>
      <c r="B786" s="16" t="s">
        <v>2635</v>
      </c>
      <c r="C786" s="16" t="s">
        <v>234</v>
      </c>
      <c r="D786" s="16" t="s">
        <v>73</v>
      </c>
      <c r="E786" s="16" t="s">
        <v>236</v>
      </c>
    </row>
    <row r="787">
      <c r="A787" s="16" t="s">
        <v>2636</v>
      </c>
      <c r="B787" s="16" t="s">
        <v>2638</v>
      </c>
      <c r="C787" s="16" t="s">
        <v>23</v>
      </c>
      <c r="D787" s="16" t="s">
        <v>73</v>
      </c>
      <c r="E787" s="16" t="s">
        <v>328</v>
      </c>
    </row>
    <row r="788">
      <c r="A788" s="16" t="s">
        <v>2639</v>
      </c>
      <c r="B788" s="16" t="s">
        <v>2640</v>
      </c>
      <c r="C788" s="16" t="s">
        <v>57</v>
      </c>
      <c r="D788" s="16" t="s">
        <v>73</v>
      </c>
      <c r="E788" s="16" t="s">
        <v>189</v>
      </c>
    </row>
    <row r="789">
      <c r="A789" s="16" t="s">
        <v>2643</v>
      </c>
      <c r="B789" s="16" t="s">
        <v>2644</v>
      </c>
      <c r="C789" s="16" t="s">
        <v>57</v>
      </c>
      <c r="D789" s="16" t="s">
        <v>73</v>
      </c>
      <c r="E789" s="16" t="s">
        <v>300</v>
      </c>
    </row>
    <row r="790">
      <c r="A790" s="16" t="s">
        <v>2646</v>
      </c>
      <c r="B790" s="16" t="s">
        <v>2647</v>
      </c>
      <c r="C790" s="16" t="s">
        <v>57</v>
      </c>
      <c r="D790" s="16" t="s">
        <v>114</v>
      </c>
      <c r="E790" s="16" t="s">
        <v>195</v>
      </c>
    </row>
    <row r="791">
      <c r="A791" s="16" t="s">
        <v>2649</v>
      </c>
      <c r="B791" s="16" t="s">
        <v>2650</v>
      </c>
      <c r="C791" s="16" t="s">
        <v>57</v>
      </c>
      <c r="D791" s="16" t="s">
        <v>23</v>
      </c>
      <c r="E791" s="16" t="s">
        <v>558</v>
      </c>
    </row>
    <row r="792" hidden="1">
      <c r="A792" s="16" t="s">
        <v>2651</v>
      </c>
      <c r="B792" s="16" t="s">
        <v>2653</v>
      </c>
      <c r="C792" s="16" t="s">
        <v>234</v>
      </c>
      <c r="D792" s="16" t="s">
        <v>73</v>
      </c>
      <c r="E792" s="16" t="s">
        <v>236</v>
      </c>
    </row>
    <row r="793">
      <c r="A793" s="16" t="s">
        <v>2654</v>
      </c>
      <c r="B793" s="16" t="s">
        <v>2655</v>
      </c>
      <c r="C793" s="16" t="s">
        <v>57</v>
      </c>
      <c r="D793" s="16" t="s">
        <v>114</v>
      </c>
      <c r="E793" s="16" t="s">
        <v>219</v>
      </c>
    </row>
    <row r="794">
      <c r="A794" s="16" t="s">
        <v>2657</v>
      </c>
      <c r="B794" s="16" t="s">
        <v>2658</v>
      </c>
      <c r="C794" s="16" t="s">
        <v>57</v>
      </c>
      <c r="D794" s="16" t="s">
        <v>114</v>
      </c>
      <c r="E794" s="16" t="s">
        <v>219</v>
      </c>
    </row>
    <row r="795">
      <c r="A795" s="16" t="s">
        <v>2659</v>
      </c>
      <c r="B795" s="16" t="s">
        <v>2660</v>
      </c>
      <c r="C795" s="16" t="s">
        <v>57</v>
      </c>
      <c r="D795" s="16" t="s">
        <v>73</v>
      </c>
      <c r="E795" s="16" t="s">
        <v>364</v>
      </c>
    </row>
    <row r="796">
      <c r="A796" s="16" t="s">
        <v>2662</v>
      </c>
      <c r="B796" s="16" t="s">
        <v>2664</v>
      </c>
      <c r="C796" s="16" t="s">
        <v>57</v>
      </c>
      <c r="D796" s="16" t="s">
        <v>73</v>
      </c>
      <c r="E796" s="16" t="s">
        <v>332</v>
      </c>
    </row>
    <row r="797">
      <c r="A797" s="16" t="s">
        <v>2665</v>
      </c>
      <c r="B797" s="16" t="s">
        <v>2666</v>
      </c>
      <c r="C797" s="16" t="s">
        <v>57</v>
      </c>
      <c r="D797" s="16" t="s">
        <v>73</v>
      </c>
      <c r="E797" s="16" t="s">
        <v>332</v>
      </c>
    </row>
    <row r="798">
      <c r="A798" s="16" t="s">
        <v>2667</v>
      </c>
      <c r="B798" s="16" t="s">
        <v>2668</v>
      </c>
      <c r="C798" s="16" t="s">
        <v>57</v>
      </c>
      <c r="D798" s="16" t="s">
        <v>73</v>
      </c>
      <c r="E798" s="16" t="s">
        <v>332</v>
      </c>
    </row>
    <row r="799">
      <c r="A799" s="16" t="s">
        <v>2670</v>
      </c>
      <c r="B799" s="16" t="s">
        <v>2671</v>
      </c>
      <c r="C799" s="16" t="s">
        <v>57</v>
      </c>
      <c r="D799" s="16" t="s">
        <v>73</v>
      </c>
      <c r="E799" s="16" t="s">
        <v>500</v>
      </c>
    </row>
    <row r="800" hidden="1">
      <c r="A800" s="16" t="s">
        <v>2672</v>
      </c>
      <c r="B800" s="16" t="s">
        <v>2673</v>
      </c>
      <c r="C800" s="16" t="s">
        <v>234</v>
      </c>
      <c r="D800" s="16" t="s">
        <v>114</v>
      </c>
      <c r="E800" s="16" t="s">
        <v>236</v>
      </c>
    </row>
    <row r="801" hidden="1">
      <c r="A801" s="16" t="s">
        <v>2675</v>
      </c>
      <c r="B801" s="16" t="s">
        <v>2676</v>
      </c>
      <c r="C801" s="16" t="s">
        <v>234</v>
      </c>
      <c r="D801" s="16" t="s">
        <v>114</v>
      </c>
      <c r="E801" s="16" t="s">
        <v>236</v>
      </c>
    </row>
    <row r="802">
      <c r="A802" s="16" t="s">
        <v>2677</v>
      </c>
      <c r="B802" s="16" t="s">
        <v>388</v>
      </c>
      <c r="C802" s="16" t="s">
        <v>23</v>
      </c>
      <c r="D802" s="16" t="s">
        <v>73</v>
      </c>
      <c r="E802" s="16" t="s">
        <v>328</v>
      </c>
    </row>
    <row r="803">
      <c r="A803" s="16" t="s">
        <v>2678</v>
      </c>
      <c r="B803" s="16" t="s">
        <v>2680</v>
      </c>
      <c r="C803" s="16" t="s">
        <v>23</v>
      </c>
      <c r="D803" s="16" t="s">
        <v>73</v>
      </c>
      <c r="E803" s="16" t="s">
        <v>328</v>
      </c>
    </row>
    <row r="804">
      <c r="A804" s="16" t="s">
        <v>223</v>
      </c>
      <c r="B804" s="16" t="s">
        <v>2681</v>
      </c>
      <c r="C804" s="16" t="s">
        <v>57</v>
      </c>
      <c r="D804" s="16" t="s">
        <v>73</v>
      </c>
      <c r="E804" s="16" t="s">
        <v>405</v>
      </c>
    </row>
    <row r="805">
      <c r="A805" s="16" t="s">
        <v>2683</v>
      </c>
      <c r="B805" s="16" t="s">
        <v>2685</v>
      </c>
      <c r="C805" s="16" t="s">
        <v>57</v>
      </c>
      <c r="D805" s="16" t="s">
        <v>73</v>
      </c>
      <c r="E805" s="16" t="s">
        <v>233</v>
      </c>
    </row>
    <row r="806">
      <c r="A806" s="16" t="s">
        <v>2686</v>
      </c>
      <c r="B806" s="16" t="s">
        <v>2687</v>
      </c>
      <c r="C806" s="16" t="s">
        <v>57</v>
      </c>
      <c r="D806" s="16" t="s">
        <v>73</v>
      </c>
      <c r="E806" s="16" t="s">
        <v>233</v>
      </c>
    </row>
    <row r="807">
      <c r="A807" s="16" t="s">
        <v>2688</v>
      </c>
      <c r="B807" s="16" t="s">
        <v>2689</v>
      </c>
      <c r="C807" s="16" t="s">
        <v>57</v>
      </c>
      <c r="D807" s="16" t="s">
        <v>73</v>
      </c>
      <c r="E807" s="16" t="s">
        <v>233</v>
      </c>
    </row>
    <row r="808">
      <c r="A808" s="16" t="s">
        <v>2691</v>
      </c>
      <c r="B808" s="16" t="s">
        <v>2692</v>
      </c>
      <c r="C808" s="16" t="s">
        <v>57</v>
      </c>
      <c r="D808" s="16" t="s">
        <v>73</v>
      </c>
      <c r="E808" s="16" t="s">
        <v>233</v>
      </c>
    </row>
    <row r="809">
      <c r="A809" s="16" t="s">
        <v>2693</v>
      </c>
      <c r="B809" s="16" t="s">
        <v>2694</v>
      </c>
      <c r="C809" s="16" t="s">
        <v>57</v>
      </c>
      <c r="D809" s="16" t="s">
        <v>73</v>
      </c>
      <c r="E809" s="16" t="s">
        <v>233</v>
      </c>
    </row>
    <row r="810">
      <c r="A810" s="16" t="s">
        <v>2696</v>
      </c>
      <c r="B810" s="16" t="s">
        <v>2697</v>
      </c>
      <c r="C810" s="16" t="s">
        <v>57</v>
      </c>
      <c r="D810" s="16" t="s">
        <v>73</v>
      </c>
      <c r="E810" s="16" t="s">
        <v>233</v>
      </c>
    </row>
    <row r="811">
      <c r="A811" s="16" t="s">
        <v>2698</v>
      </c>
      <c r="B811" s="16" t="s">
        <v>2700</v>
      </c>
      <c r="C811" s="16" t="s">
        <v>57</v>
      </c>
      <c r="D811" s="16" t="s">
        <v>73</v>
      </c>
      <c r="E811" s="16" t="s">
        <v>233</v>
      </c>
    </row>
    <row r="812">
      <c r="A812" s="16" t="s">
        <v>2701</v>
      </c>
      <c r="B812" s="16" t="s">
        <v>2702</v>
      </c>
      <c r="C812" s="16" t="s">
        <v>57</v>
      </c>
      <c r="D812" s="16" t="s">
        <v>73</v>
      </c>
      <c r="E812" s="16" t="s">
        <v>233</v>
      </c>
    </row>
    <row r="813">
      <c r="A813" s="16" t="s">
        <v>2704</v>
      </c>
      <c r="B813" s="16" t="s">
        <v>2705</v>
      </c>
      <c r="C813" s="16" t="s">
        <v>57</v>
      </c>
      <c r="D813" s="16" t="s">
        <v>73</v>
      </c>
      <c r="E813" s="16" t="s">
        <v>233</v>
      </c>
    </row>
    <row r="814">
      <c r="A814" s="16" t="s">
        <v>2706</v>
      </c>
      <c r="B814" s="16" t="s">
        <v>2707</v>
      </c>
      <c r="C814" s="16" t="s">
        <v>57</v>
      </c>
      <c r="D814" s="16" t="s">
        <v>73</v>
      </c>
      <c r="E814" s="16" t="s">
        <v>233</v>
      </c>
    </row>
    <row r="815" hidden="1">
      <c r="A815" s="16" t="s">
        <v>2708</v>
      </c>
      <c r="B815" s="16" t="s">
        <v>2710</v>
      </c>
      <c r="C815" s="16" t="s">
        <v>234</v>
      </c>
      <c r="D815" s="16" t="s">
        <v>73</v>
      </c>
      <c r="E815" s="16" t="s">
        <v>236</v>
      </c>
    </row>
    <row r="816">
      <c r="A816" s="16" t="s">
        <v>2711</v>
      </c>
      <c r="B816" s="16" t="s">
        <v>2712</v>
      </c>
      <c r="C816" s="16" t="s">
        <v>23</v>
      </c>
      <c r="D816" s="16" t="s">
        <v>73</v>
      </c>
      <c r="E816" s="16" t="s">
        <v>328</v>
      </c>
    </row>
    <row r="817" hidden="1">
      <c r="A817" s="16" t="s">
        <v>2715</v>
      </c>
      <c r="B817" s="16" t="s">
        <v>2716</v>
      </c>
      <c r="C817" s="16" t="s">
        <v>234</v>
      </c>
      <c r="D817" s="16" t="s">
        <v>73</v>
      </c>
      <c r="E817" s="16" t="s">
        <v>236</v>
      </c>
    </row>
    <row r="818" hidden="1">
      <c r="A818" s="16" t="s">
        <v>2718</v>
      </c>
      <c r="B818" s="16" t="s">
        <v>2719</v>
      </c>
      <c r="C818" s="16" t="s">
        <v>234</v>
      </c>
      <c r="D818" s="16" t="s">
        <v>73</v>
      </c>
      <c r="E818" s="16" t="s">
        <v>236</v>
      </c>
    </row>
    <row r="819" hidden="1">
      <c r="A819" s="16" t="s">
        <v>2721</v>
      </c>
      <c r="B819" s="16" t="s">
        <v>2722</v>
      </c>
      <c r="C819" s="16" t="s">
        <v>234</v>
      </c>
      <c r="D819" s="16" t="s">
        <v>73</v>
      </c>
      <c r="E819" s="16" t="s">
        <v>236</v>
      </c>
    </row>
    <row r="820" hidden="1">
      <c r="A820" s="16" t="s">
        <v>2724</v>
      </c>
      <c r="B820" s="16" t="s">
        <v>2726</v>
      </c>
      <c r="C820" s="16" t="s">
        <v>234</v>
      </c>
      <c r="D820" s="16" t="s">
        <v>73</v>
      </c>
      <c r="E820" s="16" t="s">
        <v>236</v>
      </c>
    </row>
    <row r="821" hidden="1">
      <c r="A821" s="16" t="s">
        <v>2727</v>
      </c>
      <c r="B821" s="16" t="s">
        <v>2728</v>
      </c>
      <c r="C821" s="16" t="s">
        <v>234</v>
      </c>
      <c r="D821" s="16" t="s">
        <v>73</v>
      </c>
      <c r="E821" s="16" t="s">
        <v>236</v>
      </c>
    </row>
    <row r="822" hidden="1">
      <c r="A822" s="16" t="s">
        <v>2730</v>
      </c>
      <c r="B822" s="16" t="s">
        <v>2731</v>
      </c>
      <c r="C822" s="16" t="s">
        <v>234</v>
      </c>
      <c r="D822" s="16" t="s">
        <v>73</v>
      </c>
      <c r="E822" s="16" t="s">
        <v>236</v>
      </c>
    </row>
    <row r="823">
      <c r="A823" s="16" t="s">
        <v>2733</v>
      </c>
      <c r="B823" s="16" t="s">
        <v>2734</v>
      </c>
      <c r="C823" s="16" t="s">
        <v>57</v>
      </c>
      <c r="D823" s="16" t="s">
        <v>73</v>
      </c>
      <c r="E823" s="16" t="s">
        <v>2598</v>
      </c>
    </row>
    <row r="824">
      <c r="A824" s="16" t="s">
        <v>2737</v>
      </c>
      <c r="B824" s="16" t="s">
        <v>2738</v>
      </c>
      <c r="C824" s="16" t="s">
        <v>57</v>
      </c>
      <c r="D824" s="16" t="s">
        <v>73</v>
      </c>
      <c r="E824" s="16" t="s">
        <v>2598</v>
      </c>
    </row>
    <row r="825">
      <c r="A825" s="16" t="s">
        <v>2739</v>
      </c>
      <c r="B825" s="16" t="s">
        <v>2741</v>
      </c>
      <c r="C825" s="16" t="s">
        <v>57</v>
      </c>
      <c r="D825" s="16" t="s">
        <v>114</v>
      </c>
      <c r="E825" s="16" t="s">
        <v>118</v>
      </c>
    </row>
    <row r="826">
      <c r="A826" s="16" t="s">
        <v>2742</v>
      </c>
      <c r="B826" s="16" t="s">
        <v>2743</v>
      </c>
      <c r="C826" s="16" t="s">
        <v>57</v>
      </c>
      <c r="D826" s="16" t="s">
        <v>73</v>
      </c>
      <c r="E826" s="16" t="s">
        <v>162</v>
      </c>
    </row>
    <row r="827">
      <c r="A827" s="16" t="s">
        <v>2745</v>
      </c>
      <c r="B827" s="16" t="s">
        <v>2746</v>
      </c>
      <c r="C827" s="16" t="s">
        <v>57</v>
      </c>
      <c r="D827" s="16" t="s">
        <v>73</v>
      </c>
      <c r="E827" s="16" t="s">
        <v>392</v>
      </c>
    </row>
    <row r="828">
      <c r="A828" s="16" t="s">
        <v>2750</v>
      </c>
      <c r="B828" s="16" t="s">
        <v>2751</v>
      </c>
      <c r="C828" s="16" t="s">
        <v>57</v>
      </c>
      <c r="D828" s="16" t="s">
        <v>73</v>
      </c>
      <c r="E828" s="16" t="s">
        <v>425</v>
      </c>
    </row>
    <row r="829">
      <c r="A829" s="16" t="s">
        <v>2753</v>
      </c>
      <c r="B829" s="16" t="s">
        <v>2754</v>
      </c>
      <c r="C829" s="16" t="s">
        <v>57</v>
      </c>
      <c r="D829" s="16" t="s">
        <v>73</v>
      </c>
      <c r="E829" s="16" t="s">
        <v>228</v>
      </c>
    </row>
    <row r="830">
      <c r="A830" s="16" t="s">
        <v>2756</v>
      </c>
      <c r="B830" s="16" t="s">
        <v>2757</v>
      </c>
      <c r="C830" s="16" t="s">
        <v>57</v>
      </c>
      <c r="D830" s="16" t="s">
        <v>73</v>
      </c>
      <c r="E830" s="16" t="s">
        <v>228</v>
      </c>
    </row>
    <row r="831" hidden="1">
      <c r="A831" s="16" t="s">
        <v>2759</v>
      </c>
      <c r="B831" s="16" t="s">
        <v>2761</v>
      </c>
      <c r="C831" s="16" t="s">
        <v>234</v>
      </c>
      <c r="D831" s="16" t="s">
        <v>73</v>
      </c>
      <c r="E831" s="16" t="s">
        <v>236</v>
      </c>
    </row>
    <row r="832" hidden="1">
      <c r="A832" s="16" t="s">
        <v>2762</v>
      </c>
      <c r="B832" s="16" t="s">
        <v>2764</v>
      </c>
      <c r="C832" s="16" t="s">
        <v>234</v>
      </c>
      <c r="D832" s="16" t="s">
        <v>73</v>
      </c>
      <c r="E832" s="16" t="s">
        <v>236</v>
      </c>
    </row>
    <row r="833" hidden="1">
      <c r="A833" s="16" t="s">
        <v>2765</v>
      </c>
      <c r="B833" s="16" t="s">
        <v>2766</v>
      </c>
      <c r="C833" s="16" t="s">
        <v>234</v>
      </c>
      <c r="D833" s="16" t="s">
        <v>73</v>
      </c>
      <c r="E833" s="16" t="s">
        <v>236</v>
      </c>
    </row>
    <row r="834">
      <c r="A834" s="16" t="s">
        <v>2768</v>
      </c>
      <c r="B834" s="16" t="s">
        <v>2769</v>
      </c>
      <c r="C834" s="16" t="s">
        <v>23</v>
      </c>
      <c r="D834" s="16" t="s">
        <v>73</v>
      </c>
      <c r="E834" s="16" t="s">
        <v>328</v>
      </c>
    </row>
    <row r="835" hidden="1">
      <c r="A835" s="16" t="s">
        <v>2772</v>
      </c>
      <c r="B835" s="16" t="s">
        <v>2773</v>
      </c>
      <c r="C835" s="16" t="s">
        <v>234</v>
      </c>
      <c r="D835" s="16" t="s">
        <v>73</v>
      </c>
      <c r="E835" s="16" t="s">
        <v>236</v>
      </c>
    </row>
    <row r="836" hidden="1">
      <c r="A836" s="16" t="s">
        <v>2774</v>
      </c>
      <c r="B836" s="16" t="s">
        <v>2776</v>
      </c>
      <c r="C836" s="16" t="s">
        <v>234</v>
      </c>
      <c r="D836" s="16" t="s">
        <v>73</v>
      </c>
      <c r="E836" s="16" t="s">
        <v>236</v>
      </c>
    </row>
    <row r="837" hidden="1">
      <c r="A837" s="16" t="s">
        <v>2777</v>
      </c>
      <c r="B837" s="16" t="s">
        <v>2778</v>
      </c>
      <c r="C837" s="16" t="s">
        <v>234</v>
      </c>
      <c r="D837" s="16" t="s">
        <v>73</v>
      </c>
      <c r="E837" s="16" t="s">
        <v>236</v>
      </c>
    </row>
    <row r="838" hidden="1">
      <c r="A838" s="16" t="s">
        <v>2780</v>
      </c>
      <c r="B838" s="16" t="s">
        <v>2781</v>
      </c>
      <c r="C838" s="16" t="s">
        <v>234</v>
      </c>
      <c r="D838" s="16" t="s">
        <v>73</v>
      </c>
      <c r="E838" s="16" t="s">
        <v>236</v>
      </c>
    </row>
    <row r="839" hidden="1">
      <c r="A839" s="16" t="s">
        <v>2783</v>
      </c>
      <c r="B839" s="16" t="s">
        <v>2784</v>
      </c>
      <c r="C839" s="16" t="s">
        <v>234</v>
      </c>
      <c r="D839" s="16" t="s">
        <v>73</v>
      </c>
      <c r="E839" s="16" t="s">
        <v>236</v>
      </c>
    </row>
    <row r="840" hidden="1">
      <c r="A840" s="16" t="s">
        <v>2785</v>
      </c>
      <c r="B840" s="16" t="s">
        <v>2786</v>
      </c>
      <c r="C840" s="16" t="s">
        <v>234</v>
      </c>
      <c r="D840" s="16" t="s">
        <v>73</v>
      </c>
      <c r="E840" s="16" t="s">
        <v>236</v>
      </c>
    </row>
    <row r="841" hidden="1">
      <c r="A841" s="16" t="s">
        <v>2788</v>
      </c>
      <c r="B841" s="16" t="s">
        <v>2789</v>
      </c>
      <c r="C841" s="16" t="s">
        <v>234</v>
      </c>
      <c r="D841" s="16" t="s">
        <v>73</v>
      </c>
      <c r="E841" s="16" t="s">
        <v>236</v>
      </c>
    </row>
    <row r="842" hidden="1">
      <c r="A842" s="16" t="s">
        <v>2790</v>
      </c>
      <c r="B842" s="16" t="s">
        <v>2791</v>
      </c>
      <c r="C842" s="16" t="s">
        <v>234</v>
      </c>
      <c r="D842" s="16" t="s">
        <v>73</v>
      </c>
      <c r="E842" s="16" t="s">
        <v>236</v>
      </c>
    </row>
    <row r="843">
      <c r="A843" s="16" t="s">
        <v>2792</v>
      </c>
      <c r="B843" s="16" t="s">
        <v>2794</v>
      </c>
      <c r="C843" s="16" t="s">
        <v>57</v>
      </c>
      <c r="D843" s="16" t="s">
        <v>73</v>
      </c>
      <c r="E843" s="16" t="s">
        <v>405</v>
      </c>
    </row>
    <row r="844" hidden="1">
      <c r="A844" s="16" t="s">
        <v>2796</v>
      </c>
      <c r="B844" s="16" t="s">
        <v>2797</v>
      </c>
      <c r="C844" s="16" t="s">
        <v>234</v>
      </c>
      <c r="D844" s="16" t="s">
        <v>73</v>
      </c>
      <c r="E844" s="16" t="s">
        <v>236</v>
      </c>
    </row>
    <row r="845">
      <c r="A845" s="16" t="s">
        <v>2799</v>
      </c>
      <c r="B845" s="16" t="s">
        <v>2800</v>
      </c>
      <c r="C845" s="16" t="s">
        <v>57</v>
      </c>
      <c r="D845" s="16" t="s">
        <v>73</v>
      </c>
      <c r="E845" s="16" t="s">
        <v>233</v>
      </c>
    </row>
    <row r="846">
      <c r="A846" s="16" t="s">
        <v>2801</v>
      </c>
      <c r="B846" s="16" t="s">
        <v>2802</v>
      </c>
      <c r="C846" s="16" t="s">
        <v>57</v>
      </c>
      <c r="D846" s="16" t="s">
        <v>73</v>
      </c>
      <c r="E846" s="16" t="s">
        <v>228</v>
      </c>
    </row>
    <row r="847">
      <c r="A847" s="16" t="s">
        <v>2804</v>
      </c>
      <c r="B847" s="16" t="s">
        <v>2805</v>
      </c>
      <c r="C847" s="16" t="s">
        <v>23</v>
      </c>
      <c r="D847" s="16" t="s">
        <v>73</v>
      </c>
      <c r="E847" s="16" t="s">
        <v>628</v>
      </c>
    </row>
    <row r="848" hidden="1">
      <c r="A848" s="16" t="s">
        <v>2806</v>
      </c>
      <c r="B848" s="16" t="s">
        <v>2807</v>
      </c>
      <c r="C848" s="16" t="s">
        <v>234</v>
      </c>
      <c r="D848" s="16" t="s">
        <v>73</v>
      </c>
      <c r="E848" s="16" t="s">
        <v>236</v>
      </c>
    </row>
    <row r="849">
      <c r="A849" s="16" t="s">
        <v>2217</v>
      </c>
      <c r="B849" s="16" t="s">
        <v>2809</v>
      </c>
      <c r="C849" s="16" t="s">
        <v>57</v>
      </c>
      <c r="D849" s="16" t="s">
        <v>73</v>
      </c>
      <c r="E849" s="16" t="s">
        <v>2810</v>
      </c>
    </row>
    <row r="850">
      <c r="A850" s="16" t="s">
        <v>2811</v>
      </c>
      <c r="B850" s="16" t="s">
        <v>2812</v>
      </c>
      <c r="C850" s="16" t="s">
        <v>23</v>
      </c>
      <c r="D850" s="16" t="s">
        <v>73</v>
      </c>
      <c r="E850" s="16" t="s">
        <v>328</v>
      </c>
    </row>
    <row r="851" hidden="1">
      <c r="A851" s="16" t="s">
        <v>631</v>
      </c>
      <c r="B851" s="16" t="s">
        <v>2813</v>
      </c>
      <c r="C851" s="16" t="s">
        <v>234</v>
      </c>
      <c r="D851" s="16" t="s">
        <v>73</v>
      </c>
      <c r="E851" s="16" t="s">
        <v>236</v>
      </c>
    </row>
    <row r="852" hidden="1">
      <c r="A852" s="16" t="s">
        <v>662</v>
      </c>
      <c r="B852" s="16" t="s">
        <v>2815</v>
      </c>
      <c r="C852" s="16" t="s">
        <v>234</v>
      </c>
      <c r="D852" s="16" t="s">
        <v>73</v>
      </c>
      <c r="E852" s="16" t="s">
        <v>236</v>
      </c>
    </row>
    <row r="853" hidden="1">
      <c r="A853" s="16" t="s">
        <v>408</v>
      </c>
      <c r="B853" s="16" t="s">
        <v>2818</v>
      </c>
      <c r="C853" s="16" t="s">
        <v>234</v>
      </c>
      <c r="D853" s="16" t="s">
        <v>73</v>
      </c>
      <c r="E853" s="16" t="s">
        <v>236</v>
      </c>
    </row>
    <row r="854">
      <c r="A854" s="16" t="s">
        <v>2819</v>
      </c>
      <c r="B854" s="16" t="s">
        <v>2822</v>
      </c>
      <c r="C854" s="16" t="s">
        <v>23</v>
      </c>
      <c r="D854" s="16" t="s">
        <v>73</v>
      </c>
      <c r="E854" s="16" t="s">
        <v>328</v>
      </c>
    </row>
    <row r="855">
      <c r="A855" s="16" t="s">
        <v>902</v>
      </c>
      <c r="B855" s="16" t="s">
        <v>2824</v>
      </c>
      <c r="C855" s="16" t="s">
        <v>23</v>
      </c>
      <c r="D855" s="16" t="s">
        <v>73</v>
      </c>
      <c r="E855" s="16" t="s">
        <v>328</v>
      </c>
    </row>
    <row r="856">
      <c r="A856" s="16" t="s">
        <v>2826</v>
      </c>
      <c r="B856" s="16" t="s">
        <v>2827</v>
      </c>
      <c r="C856" s="16" t="s">
        <v>57</v>
      </c>
      <c r="D856" s="16" t="s">
        <v>73</v>
      </c>
      <c r="E856" s="16" t="s">
        <v>2830</v>
      </c>
    </row>
    <row r="857">
      <c r="A857" s="16" t="s">
        <v>2831</v>
      </c>
      <c r="B857" s="16" t="s">
        <v>2832</v>
      </c>
      <c r="C857" s="16" t="s">
        <v>57</v>
      </c>
      <c r="D857" s="16" t="s">
        <v>73</v>
      </c>
      <c r="E857" s="16" t="s">
        <v>2835</v>
      </c>
    </row>
    <row r="858">
      <c r="A858" s="16" t="s">
        <v>2836</v>
      </c>
      <c r="B858" s="16" t="s">
        <v>2837</v>
      </c>
      <c r="C858" s="16" t="s">
        <v>57</v>
      </c>
      <c r="D858" s="16" t="s">
        <v>73</v>
      </c>
      <c r="E858" s="16" t="s">
        <v>2838</v>
      </c>
    </row>
    <row r="859">
      <c r="A859" s="16" t="s">
        <v>2839</v>
      </c>
      <c r="B859" s="16" t="s">
        <v>2840</v>
      </c>
      <c r="C859" s="16" t="s">
        <v>57</v>
      </c>
      <c r="D859" s="16" t="s">
        <v>73</v>
      </c>
      <c r="E859" s="16" t="s">
        <v>1804</v>
      </c>
    </row>
    <row r="860" hidden="1">
      <c r="A860" s="16" t="s">
        <v>2841</v>
      </c>
      <c r="B860" s="16" t="s">
        <v>2842</v>
      </c>
      <c r="C860" s="16" t="s">
        <v>234</v>
      </c>
      <c r="D860" s="16" t="s">
        <v>73</v>
      </c>
      <c r="E860" s="16" t="s">
        <v>236</v>
      </c>
    </row>
    <row r="861" hidden="1">
      <c r="A861" s="16" t="s">
        <v>2843</v>
      </c>
      <c r="B861" s="16" t="s">
        <v>2845</v>
      </c>
      <c r="C861" s="16" t="s">
        <v>234</v>
      </c>
      <c r="D861" s="16" t="s">
        <v>73</v>
      </c>
      <c r="E861" s="16" t="s">
        <v>236</v>
      </c>
    </row>
    <row r="862" hidden="1">
      <c r="A862" s="16" t="s">
        <v>2846</v>
      </c>
      <c r="B862" s="16" t="s">
        <v>2847</v>
      </c>
      <c r="C862" s="16" t="s">
        <v>234</v>
      </c>
      <c r="D862" s="16" t="s">
        <v>73</v>
      </c>
      <c r="E862" s="16" t="s">
        <v>236</v>
      </c>
    </row>
    <row r="863" hidden="1">
      <c r="A863" s="16" t="s">
        <v>2848</v>
      </c>
      <c r="B863" s="16" t="s">
        <v>2849</v>
      </c>
      <c r="C863" s="16" t="s">
        <v>234</v>
      </c>
      <c r="D863" s="16" t="s">
        <v>73</v>
      </c>
      <c r="E863" s="16" t="s">
        <v>236</v>
      </c>
    </row>
    <row r="864" hidden="1">
      <c r="A864" s="16" t="s">
        <v>2850</v>
      </c>
      <c r="B864" s="16" t="s">
        <v>2851</v>
      </c>
      <c r="C864" s="16" t="s">
        <v>234</v>
      </c>
      <c r="D864" s="16" t="s">
        <v>73</v>
      </c>
      <c r="E864" s="16" t="s">
        <v>236</v>
      </c>
    </row>
    <row r="865" hidden="1">
      <c r="A865" s="16" t="s">
        <v>2852</v>
      </c>
      <c r="B865" s="16" t="s">
        <v>2855</v>
      </c>
      <c r="C865" s="16" t="s">
        <v>234</v>
      </c>
      <c r="D865" s="16" t="s">
        <v>73</v>
      </c>
      <c r="E865" s="16" t="s">
        <v>236</v>
      </c>
    </row>
    <row r="866" hidden="1">
      <c r="A866" s="16" t="s">
        <v>2856</v>
      </c>
      <c r="B866" s="16" t="s">
        <v>2858</v>
      </c>
      <c r="C866" s="16" t="s">
        <v>234</v>
      </c>
      <c r="D866" s="16" t="s">
        <v>73</v>
      </c>
      <c r="E866" s="16" t="s">
        <v>236</v>
      </c>
    </row>
    <row r="867" hidden="1">
      <c r="A867" s="16" t="s">
        <v>2859</v>
      </c>
      <c r="B867" s="16" t="s">
        <v>2860</v>
      </c>
      <c r="C867" s="16" t="s">
        <v>234</v>
      </c>
      <c r="D867" s="16" t="s">
        <v>73</v>
      </c>
      <c r="E867" s="16" t="s">
        <v>236</v>
      </c>
    </row>
    <row r="868" hidden="1">
      <c r="A868" s="16" t="s">
        <v>2861</v>
      </c>
      <c r="B868" s="16" t="s">
        <v>2863</v>
      </c>
      <c r="C868" s="16" t="s">
        <v>234</v>
      </c>
      <c r="D868" s="16" t="s">
        <v>73</v>
      </c>
      <c r="E868" s="16" t="s">
        <v>236</v>
      </c>
    </row>
    <row r="869" hidden="1">
      <c r="A869" s="16" t="s">
        <v>2865</v>
      </c>
      <c r="B869" s="16" t="s">
        <v>2866</v>
      </c>
      <c r="C869" s="16" t="s">
        <v>234</v>
      </c>
      <c r="D869" s="16" t="s">
        <v>73</v>
      </c>
      <c r="E869" s="16" t="s">
        <v>236</v>
      </c>
    </row>
    <row r="870" hidden="1">
      <c r="A870" s="16" t="s">
        <v>2868</v>
      </c>
      <c r="B870" s="16" t="s">
        <v>2869</v>
      </c>
      <c r="C870" s="16" t="s">
        <v>234</v>
      </c>
      <c r="D870" s="16" t="s">
        <v>73</v>
      </c>
      <c r="E870" s="16" t="s">
        <v>236</v>
      </c>
    </row>
    <row r="871" hidden="1">
      <c r="A871" s="16" t="s">
        <v>2871</v>
      </c>
      <c r="B871" s="16" t="s">
        <v>2872</v>
      </c>
      <c r="C871" s="16" t="s">
        <v>234</v>
      </c>
      <c r="D871" s="16" t="s">
        <v>73</v>
      </c>
      <c r="E871" s="16" t="s">
        <v>236</v>
      </c>
    </row>
    <row r="872" hidden="1">
      <c r="A872" s="16" t="s">
        <v>2876</v>
      </c>
      <c r="B872" s="16" t="s">
        <v>2877</v>
      </c>
      <c r="C872" s="16" t="s">
        <v>234</v>
      </c>
      <c r="D872" s="16" t="s">
        <v>73</v>
      </c>
      <c r="E872" s="16" t="s">
        <v>236</v>
      </c>
    </row>
    <row r="873">
      <c r="A873" s="16" t="s">
        <v>2878</v>
      </c>
      <c r="B873" s="16" t="s">
        <v>2880</v>
      </c>
      <c r="C873" s="16" t="s">
        <v>23</v>
      </c>
      <c r="D873" s="16" t="s">
        <v>73</v>
      </c>
      <c r="E873" s="16" t="s">
        <v>328</v>
      </c>
    </row>
    <row r="874" hidden="1">
      <c r="A874" s="16" t="s">
        <v>2881</v>
      </c>
      <c r="B874" s="16" t="s">
        <v>2882</v>
      </c>
      <c r="C874" s="16" t="s">
        <v>234</v>
      </c>
      <c r="D874" s="16" t="s">
        <v>73</v>
      </c>
      <c r="E874" s="16" t="s">
        <v>236</v>
      </c>
    </row>
    <row r="875" hidden="1">
      <c r="A875" s="16" t="s">
        <v>2884</v>
      </c>
      <c r="B875" s="16" t="s">
        <v>2885</v>
      </c>
      <c r="C875" s="16" t="s">
        <v>234</v>
      </c>
      <c r="D875" s="16" t="s">
        <v>73</v>
      </c>
      <c r="E875" s="16" t="s">
        <v>236</v>
      </c>
    </row>
    <row r="876" hidden="1">
      <c r="A876" s="16" t="s">
        <v>2886</v>
      </c>
      <c r="B876" s="16" t="s">
        <v>2888</v>
      </c>
      <c r="C876" s="16" t="s">
        <v>234</v>
      </c>
      <c r="D876" s="16" t="s">
        <v>73</v>
      </c>
      <c r="E876" s="16" t="s">
        <v>236</v>
      </c>
    </row>
    <row r="877">
      <c r="A877" s="16" t="s">
        <v>2890</v>
      </c>
      <c r="B877" s="16" t="s">
        <v>2891</v>
      </c>
      <c r="C877" s="16" t="s">
        <v>57</v>
      </c>
      <c r="D877" s="16" t="s">
        <v>73</v>
      </c>
      <c r="E877" s="16" t="s">
        <v>198</v>
      </c>
    </row>
    <row r="878">
      <c r="A878" s="16" t="s">
        <v>2892</v>
      </c>
      <c r="B878" s="16" t="s">
        <v>2893</v>
      </c>
      <c r="C878" s="16" t="s">
        <v>57</v>
      </c>
      <c r="D878" s="16" t="s">
        <v>73</v>
      </c>
      <c r="E878" s="16" t="s">
        <v>198</v>
      </c>
    </row>
    <row r="879">
      <c r="A879" s="16" t="s">
        <v>2894</v>
      </c>
      <c r="B879" s="16" t="s">
        <v>2895</v>
      </c>
      <c r="C879" s="16" t="s">
        <v>23</v>
      </c>
      <c r="D879" s="16" t="s">
        <v>73</v>
      </c>
      <c r="E879" s="16" t="s">
        <v>328</v>
      </c>
    </row>
    <row r="880">
      <c r="A880" s="16" t="s">
        <v>2896</v>
      </c>
      <c r="B880" s="16" t="s">
        <v>2897</v>
      </c>
      <c r="C880" s="16" t="s">
        <v>23</v>
      </c>
      <c r="D880" s="16" t="s">
        <v>73</v>
      </c>
      <c r="E880" s="16" t="s">
        <v>328</v>
      </c>
    </row>
    <row r="881">
      <c r="A881" s="19"/>
      <c r="B881" s="16"/>
      <c r="C881" s="19"/>
      <c r="D881" s="19"/>
      <c r="E881" s="16"/>
    </row>
    <row r="882">
      <c r="A882" s="19"/>
      <c r="B882" s="16"/>
      <c r="C882" s="19"/>
      <c r="D882" s="19"/>
      <c r="E882" s="16"/>
    </row>
    <row r="883">
      <c r="A883" s="19"/>
      <c r="B883" s="16"/>
      <c r="C883" s="19"/>
      <c r="D883" s="19"/>
      <c r="E883" s="16"/>
    </row>
    <row r="884">
      <c r="A884" s="19"/>
      <c r="B884" s="16"/>
      <c r="C884" s="19"/>
      <c r="D884" s="19"/>
      <c r="E884" s="19"/>
    </row>
    <row r="885">
      <c r="A885" s="19"/>
      <c r="B885" s="16"/>
      <c r="C885" s="19"/>
      <c r="D885" s="19"/>
      <c r="E885" s="16"/>
    </row>
    <row r="886">
      <c r="A886" s="19"/>
      <c r="B886" s="16"/>
      <c r="C886" s="19"/>
      <c r="D886" s="19"/>
      <c r="E886" s="19"/>
    </row>
    <row r="887">
      <c r="A887" s="19"/>
      <c r="B887" s="16"/>
      <c r="C887" s="19"/>
      <c r="D887" s="19"/>
      <c r="E887" s="19"/>
    </row>
    <row r="888">
      <c r="A888" s="19"/>
      <c r="B888" s="16"/>
      <c r="C888" s="19"/>
      <c r="D888" s="19"/>
      <c r="E888" s="19"/>
    </row>
    <row r="889">
      <c r="A889" s="19"/>
      <c r="B889" s="16"/>
      <c r="C889" s="19"/>
      <c r="D889" s="19"/>
      <c r="E889" s="19"/>
    </row>
    <row r="890">
      <c r="A890" s="19"/>
      <c r="B890" s="16"/>
      <c r="C890" s="19"/>
      <c r="D890" s="19"/>
      <c r="E890" s="19"/>
    </row>
    <row r="891">
      <c r="A891" s="19"/>
      <c r="B891" s="16"/>
      <c r="C891" s="19"/>
      <c r="D891" s="19"/>
      <c r="E891" s="19"/>
    </row>
    <row r="892">
      <c r="A892" s="19"/>
      <c r="B892" s="16"/>
      <c r="C892" s="19"/>
      <c r="D892" s="19"/>
      <c r="E892" s="19"/>
    </row>
    <row r="893">
      <c r="A893" s="19"/>
      <c r="B893" s="19"/>
      <c r="C893" s="19"/>
      <c r="D893" s="19"/>
      <c r="E893" s="16"/>
    </row>
    <row r="894">
      <c r="A894" s="19"/>
      <c r="B894" s="16"/>
      <c r="C894" s="19"/>
      <c r="D894" s="19"/>
      <c r="E894" s="16"/>
    </row>
    <row r="895">
      <c r="A895" s="19"/>
      <c r="B895" s="16"/>
      <c r="C895" s="19"/>
      <c r="D895" s="19"/>
      <c r="E895" s="16"/>
    </row>
    <row r="896">
      <c r="A896" s="19"/>
      <c r="B896" s="19"/>
      <c r="C896" s="19"/>
      <c r="D896" s="19"/>
      <c r="E896" s="16"/>
    </row>
    <row r="897">
      <c r="A897" s="19"/>
      <c r="B897" s="19"/>
      <c r="C897" s="19"/>
      <c r="D897" s="19"/>
      <c r="E897" s="19"/>
    </row>
    <row r="898">
      <c r="A898" s="19"/>
      <c r="B898" s="19"/>
      <c r="C898" s="19"/>
      <c r="D898" s="19"/>
      <c r="E898" s="19"/>
    </row>
    <row r="899">
      <c r="A899" s="19"/>
      <c r="B899" s="19"/>
      <c r="C899" s="19"/>
      <c r="D899" s="19"/>
      <c r="E899" s="19"/>
    </row>
    <row r="900">
      <c r="A900" s="19"/>
      <c r="B900" s="19"/>
      <c r="C900" s="19"/>
      <c r="D900" s="19"/>
      <c r="E900" s="19"/>
    </row>
    <row r="901">
      <c r="A901" s="19"/>
      <c r="B901" s="19"/>
      <c r="C901" s="19"/>
      <c r="D901" s="19"/>
      <c r="E901" s="19"/>
    </row>
    <row r="902">
      <c r="A902" s="19"/>
      <c r="B902" s="16"/>
      <c r="C902" s="19"/>
      <c r="D902" s="19"/>
      <c r="E902" s="19"/>
    </row>
    <row r="903">
      <c r="A903" s="19"/>
      <c r="B903" s="19"/>
      <c r="C903" s="19"/>
      <c r="D903" s="19"/>
      <c r="E903" s="19"/>
    </row>
    <row r="904">
      <c r="A904" s="19"/>
      <c r="B904" s="16"/>
      <c r="C904" s="19"/>
      <c r="D904" s="19"/>
      <c r="E904" s="19"/>
    </row>
    <row r="905">
      <c r="A905" s="19"/>
      <c r="B905" s="16"/>
      <c r="C905" s="19"/>
      <c r="D905" s="19"/>
      <c r="E905" s="19"/>
    </row>
    <row r="906">
      <c r="A906" s="19"/>
      <c r="B906" s="16"/>
      <c r="C906" s="19"/>
      <c r="D906" s="19"/>
      <c r="E906" s="19"/>
    </row>
    <row r="907">
      <c r="A907" s="19"/>
      <c r="B907" s="16"/>
      <c r="C907" s="19"/>
      <c r="D907" s="19"/>
      <c r="E907" s="19"/>
    </row>
    <row r="908">
      <c r="A908" s="19"/>
      <c r="B908" s="19"/>
      <c r="C908" s="19"/>
      <c r="D908" s="19"/>
      <c r="E908" s="19"/>
    </row>
    <row r="909">
      <c r="A909" s="19"/>
      <c r="B909" s="19"/>
      <c r="C909" s="19"/>
      <c r="D909" s="19"/>
      <c r="E909" s="19"/>
    </row>
    <row r="910">
      <c r="A910" s="19"/>
      <c r="B910" s="16"/>
      <c r="C910" s="19"/>
      <c r="D910" s="19"/>
      <c r="E910" s="19"/>
    </row>
    <row r="911">
      <c r="A911" s="19"/>
      <c r="B911" s="19"/>
      <c r="C911" s="19"/>
      <c r="D911" s="19"/>
      <c r="E911" s="19"/>
    </row>
    <row r="912">
      <c r="A912" s="19"/>
      <c r="B912" s="16"/>
      <c r="C912" s="19"/>
      <c r="D912" s="19"/>
      <c r="E912" s="19"/>
    </row>
    <row r="913">
      <c r="A913" s="19"/>
      <c r="B913" s="19"/>
      <c r="C913" s="19"/>
      <c r="D913" s="19"/>
      <c r="E913" s="19"/>
    </row>
    <row r="914">
      <c r="A914" s="19"/>
      <c r="B914" s="19"/>
      <c r="C914" s="19"/>
      <c r="D914" s="19"/>
      <c r="E914" s="19"/>
    </row>
    <row r="915">
      <c r="A915" s="19"/>
      <c r="B915" s="19"/>
      <c r="C915" s="19"/>
      <c r="D915" s="19"/>
      <c r="E915" s="19"/>
    </row>
    <row r="916">
      <c r="A916" s="19"/>
      <c r="B916" s="19"/>
      <c r="C916" s="19"/>
      <c r="D916" s="19"/>
      <c r="E916" s="19"/>
    </row>
    <row r="917">
      <c r="A917" s="19"/>
      <c r="B917" s="20"/>
      <c r="C917" s="19"/>
      <c r="D917" s="19"/>
      <c r="E917" s="19"/>
    </row>
    <row r="918">
      <c r="A918" s="19"/>
      <c r="B918" s="20"/>
      <c r="C918" s="19"/>
      <c r="D918" s="19"/>
      <c r="E918" s="19"/>
    </row>
    <row r="919">
      <c r="A919" s="19"/>
      <c r="B919" s="20"/>
      <c r="C919" s="19"/>
      <c r="D919" s="19"/>
      <c r="E919" s="19"/>
    </row>
    <row r="920">
      <c r="A920" s="19"/>
      <c r="B920" s="20"/>
      <c r="C920" s="19"/>
      <c r="D920" s="19"/>
      <c r="E920" s="19"/>
    </row>
    <row r="921">
      <c r="A921" s="19"/>
      <c r="B921" s="20"/>
      <c r="C921" s="19"/>
      <c r="D921" s="19"/>
      <c r="E921" s="19"/>
    </row>
    <row r="922">
      <c r="A922" s="19"/>
      <c r="B922" s="20"/>
      <c r="C922" s="19"/>
      <c r="D922" s="19"/>
      <c r="E922" s="19"/>
    </row>
    <row r="923">
      <c r="A923" s="19"/>
      <c r="B923" s="20"/>
      <c r="C923" s="19"/>
      <c r="D923" s="19"/>
      <c r="E923" s="19"/>
    </row>
    <row r="924">
      <c r="A924" s="19"/>
      <c r="B924" s="20"/>
      <c r="C924" s="19"/>
      <c r="D924" s="19"/>
      <c r="E924" s="19"/>
    </row>
    <row r="925">
      <c r="A925" s="19"/>
      <c r="B925" s="20"/>
      <c r="C925" s="19"/>
      <c r="D925" s="19"/>
      <c r="E925" s="19"/>
    </row>
    <row r="926">
      <c r="A926" s="19"/>
      <c r="B926" s="20"/>
      <c r="C926" s="19"/>
      <c r="D926" s="19"/>
      <c r="E926" s="19"/>
    </row>
    <row r="927">
      <c r="A927" s="19"/>
      <c r="B927" s="20"/>
      <c r="C927" s="19"/>
      <c r="D927" s="19"/>
      <c r="E927" s="19"/>
    </row>
    <row r="928">
      <c r="A928" s="19"/>
      <c r="B928" s="20"/>
      <c r="C928" s="19"/>
      <c r="D928" s="19"/>
      <c r="E928" s="19"/>
    </row>
    <row r="929">
      <c r="A929" s="19"/>
      <c r="B929" s="20"/>
      <c r="C929" s="19"/>
      <c r="D929" s="19"/>
      <c r="E929" s="19"/>
    </row>
    <row r="930">
      <c r="A930" s="19"/>
      <c r="B930" s="20"/>
      <c r="C930" s="19"/>
      <c r="D930" s="19"/>
      <c r="E930" s="19"/>
    </row>
    <row r="931">
      <c r="A931" s="19"/>
      <c r="B931" s="20"/>
      <c r="C931" s="19"/>
      <c r="D931" s="19"/>
      <c r="E931" s="19"/>
    </row>
    <row r="932">
      <c r="A932" s="19"/>
      <c r="B932" s="20"/>
      <c r="C932" s="19"/>
      <c r="D932" s="19"/>
      <c r="E932" s="19"/>
    </row>
    <row r="933">
      <c r="A933" s="19"/>
      <c r="B933" s="20"/>
      <c r="C933" s="19"/>
      <c r="D933" s="19"/>
      <c r="E933" s="19"/>
    </row>
    <row r="934">
      <c r="A934" s="19"/>
      <c r="B934" s="20"/>
      <c r="C934" s="19"/>
      <c r="D934" s="19"/>
      <c r="E934" s="19"/>
    </row>
    <row r="935">
      <c r="A935" s="19"/>
      <c r="B935" s="20"/>
      <c r="C935" s="19"/>
      <c r="D935" s="19"/>
      <c r="E935" s="19"/>
    </row>
    <row r="936">
      <c r="A936" s="19"/>
      <c r="B936" s="20"/>
      <c r="C936" s="19"/>
      <c r="D936" s="19"/>
      <c r="E936" s="19"/>
    </row>
    <row r="937">
      <c r="A937" s="19"/>
      <c r="B937" s="20"/>
      <c r="C937" s="19"/>
      <c r="D937" s="19"/>
      <c r="E937" s="19"/>
    </row>
    <row r="938">
      <c r="A938" s="19"/>
      <c r="B938" s="20"/>
      <c r="C938" s="19"/>
      <c r="D938" s="19"/>
      <c r="E938" s="19"/>
    </row>
    <row r="939">
      <c r="A939" s="19"/>
      <c r="B939" s="20"/>
      <c r="C939" s="19"/>
      <c r="D939" s="19"/>
      <c r="E939" s="19"/>
    </row>
    <row r="940">
      <c r="A940" s="19"/>
      <c r="B940" s="20"/>
      <c r="C940" s="19"/>
      <c r="D940" s="19"/>
      <c r="E940" s="19"/>
    </row>
    <row r="941">
      <c r="A941" s="19"/>
      <c r="B941" s="20"/>
      <c r="C941" s="19"/>
      <c r="D941" s="19"/>
      <c r="E941" s="19"/>
    </row>
    <row r="942">
      <c r="A942" s="19"/>
      <c r="B942" s="20"/>
      <c r="C942" s="19"/>
      <c r="D942" s="19"/>
      <c r="E942" s="19"/>
    </row>
    <row r="943">
      <c r="A943" s="19"/>
      <c r="B943" s="20"/>
      <c r="C943" s="19"/>
      <c r="D943" s="19"/>
      <c r="E943" s="19"/>
    </row>
    <row r="944">
      <c r="A944" s="19"/>
      <c r="B944" s="20"/>
      <c r="C944" s="19"/>
      <c r="D944" s="19"/>
      <c r="E944" s="19"/>
    </row>
    <row r="945">
      <c r="A945" s="19"/>
      <c r="B945" s="20"/>
      <c r="C945" s="19"/>
      <c r="D945" s="19"/>
      <c r="E945" s="19"/>
    </row>
    <row r="946">
      <c r="A946" s="19"/>
      <c r="B946" s="20"/>
      <c r="C946" s="19"/>
      <c r="D946" s="19"/>
      <c r="E946" s="19"/>
    </row>
    <row r="947">
      <c r="A947" s="19"/>
      <c r="B947" s="20"/>
      <c r="C947" s="19"/>
      <c r="D947" s="19"/>
      <c r="E947" s="19"/>
    </row>
    <row r="948">
      <c r="A948" s="19"/>
      <c r="B948" s="20"/>
      <c r="C948" s="19"/>
      <c r="D948" s="19"/>
      <c r="E948" s="19"/>
    </row>
    <row r="949">
      <c r="A949" s="19"/>
      <c r="B949" s="20"/>
      <c r="C949" s="19"/>
      <c r="D949" s="19"/>
      <c r="E949" s="19"/>
    </row>
    <row r="950">
      <c r="A950" s="19"/>
      <c r="B950" s="20"/>
      <c r="C950" s="19"/>
      <c r="D950" s="19"/>
      <c r="E950" s="19"/>
    </row>
    <row r="951">
      <c r="A951" s="19"/>
      <c r="B951" s="20"/>
      <c r="C951" s="19"/>
      <c r="D951" s="19"/>
      <c r="E951" s="19"/>
    </row>
    <row r="952">
      <c r="A952" s="19"/>
      <c r="B952" s="20"/>
      <c r="C952" s="19"/>
      <c r="D952" s="19"/>
      <c r="E952" s="19"/>
    </row>
    <row r="953">
      <c r="A953" s="19"/>
      <c r="B953" s="20"/>
      <c r="C953" s="19"/>
      <c r="D953" s="19"/>
      <c r="E953" s="19"/>
    </row>
    <row r="954">
      <c r="A954" s="19"/>
      <c r="B954" s="20"/>
      <c r="C954" s="19"/>
      <c r="D954" s="19"/>
      <c r="E954" s="19"/>
    </row>
    <row r="955">
      <c r="A955" s="19"/>
      <c r="B955" s="20"/>
      <c r="C955" s="19"/>
      <c r="D955" s="19"/>
      <c r="E955" s="19"/>
    </row>
    <row r="956">
      <c r="A956" s="19"/>
      <c r="B956" s="21"/>
      <c r="C956" s="19"/>
      <c r="D956" s="19"/>
      <c r="E956" s="19"/>
    </row>
    <row r="957">
      <c r="A957" s="19"/>
      <c r="B957" s="20"/>
      <c r="C957" s="19"/>
      <c r="D957" s="19"/>
      <c r="E957" s="19"/>
    </row>
    <row r="958">
      <c r="A958" s="19"/>
      <c r="B958" s="20"/>
      <c r="C958" s="19"/>
      <c r="D958" s="19"/>
      <c r="E958" s="19"/>
    </row>
    <row r="959">
      <c r="A959" s="19"/>
      <c r="B959" s="20"/>
      <c r="C959" s="19"/>
      <c r="D959" s="19"/>
      <c r="E959" s="19"/>
    </row>
    <row r="960">
      <c r="A960" s="19"/>
      <c r="B960" s="20"/>
      <c r="C960" s="19"/>
      <c r="D960" s="19"/>
      <c r="E960" s="19"/>
    </row>
    <row r="961">
      <c r="A961" s="19"/>
      <c r="B961" s="20"/>
      <c r="C961" s="19"/>
      <c r="D961" s="19"/>
      <c r="E961" s="19"/>
    </row>
    <row r="962">
      <c r="A962" s="19"/>
      <c r="B962" s="20"/>
      <c r="C962" s="19"/>
      <c r="D962" s="19"/>
      <c r="E962" s="19"/>
    </row>
    <row r="963">
      <c r="A963" s="19"/>
      <c r="B963" s="20"/>
      <c r="C963" s="19"/>
      <c r="D963" s="19"/>
      <c r="E963" s="19"/>
    </row>
    <row r="964">
      <c r="A964" s="19"/>
      <c r="B964" s="20"/>
      <c r="C964" s="19"/>
      <c r="D964" s="19"/>
      <c r="E964" s="19"/>
    </row>
    <row r="965">
      <c r="A965" s="19"/>
      <c r="B965" s="20"/>
      <c r="C965" s="19"/>
      <c r="D965" s="19"/>
      <c r="E965" s="19"/>
    </row>
    <row r="966">
      <c r="A966" s="19"/>
      <c r="B966" s="20"/>
      <c r="C966" s="19"/>
      <c r="D966" s="19"/>
      <c r="E966" s="19"/>
    </row>
    <row r="967">
      <c r="A967" s="19"/>
      <c r="B967" s="20"/>
      <c r="C967" s="19"/>
      <c r="D967" s="19"/>
      <c r="E967" s="19"/>
    </row>
    <row r="968">
      <c r="A968" s="19"/>
      <c r="B968" s="20"/>
      <c r="C968" s="19"/>
      <c r="D968" s="19"/>
      <c r="E968" s="19"/>
    </row>
    <row r="969">
      <c r="A969" s="19"/>
      <c r="B969" s="20"/>
      <c r="C969" s="19"/>
      <c r="D969" s="19"/>
      <c r="E969" s="19"/>
    </row>
    <row r="970">
      <c r="A970" s="19"/>
      <c r="B970" s="20"/>
      <c r="C970" s="19"/>
      <c r="D970" s="19"/>
      <c r="E970" s="19"/>
    </row>
    <row r="971">
      <c r="A971" s="19"/>
      <c r="B971" s="20"/>
      <c r="C971" s="19"/>
      <c r="D971" s="19"/>
      <c r="E971" s="19"/>
    </row>
    <row r="972">
      <c r="A972" s="22"/>
      <c r="B972" s="23"/>
      <c r="C972" s="19"/>
      <c r="D972" s="19"/>
      <c r="E972" s="19"/>
    </row>
    <row r="973">
      <c r="A973" s="22"/>
      <c r="B973" s="23"/>
      <c r="C973" s="19"/>
      <c r="D973" s="19"/>
      <c r="E973" s="19"/>
    </row>
    <row r="974">
      <c r="A974" s="22"/>
      <c r="B974" s="24"/>
      <c r="C974" s="19"/>
      <c r="D974" s="19"/>
      <c r="E974" s="19"/>
    </row>
    <row r="975">
      <c r="A975" s="22"/>
      <c r="B975" s="22"/>
      <c r="C975" s="19"/>
      <c r="D975" s="19"/>
      <c r="E975" s="19"/>
    </row>
    <row r="976">
      <c r="A976" s="22"/>
      <c r="B976" s="22"/>
      <c r="C976" s="19"/>
      <c r="D976" s="19"/>
      <c r="E976" s="19"/>
    </row>
    <row r="977">
      <c r="A977" s="22"/>
      <c r="B977" s="22"/>
      <c r="C977" s="19"/>
      <c r="D977" s="19"/>
      <c r="E977" s="19"/>
    </row>
    <row r="978">
      <c r="A978" s="22"/>
      <c r="B978" s="22"/>
      <c r="C978" s="19"/>
      <c r="D978" s="19"/>
      <c r="E978" s="19"/>
    </row>
    <row r="979">
      <c r="A979" s="22"/>
      <c r="B979" s="25"/>
      <c r="C979" s="19"/>
      <c r="D979" s="19"/>
      <c r="E979" s="19"/>
    </row>
    <row r="980">
      <c r="A980" s="22"/>
      <c r="B980" s="22"/>
      <c r="C980" s="19"/>
      <c r="D980" s="19"/>
      <c r="E980" s="19"/>
    </row>
    <row r="981">
      <c r="A981" s="22"/>
      <c r="B981" s="22"/>
      <c r="C981" s="19"/>
      <c r="D981" s="19"/>
      <c r="E981" s="19"/>
    </row>
    <row r="982">
      <c r="A982" s="22"/>
      <c r="B982" s="22"/>
      <c r="C982" s="19"/>
      <c r="D982" s="19"/>
      <c r="E982" s="19"/>
    </row>
    <row r="983">
      <c r="A983" s="22"/>
      <c r="B983" s="22"/>
      <c r="C983" s="19"/>
      <c r="D983" s="19"/>
      <c r="E983" s="19"/>
    </row>
    <row r="984">
      <c r="A984" s="22"/>
      <c r="B984" s="22"/>
      <c r="C984" s="19"/>
      <c r="D984" s="19"/>
      <c r="E984" s="19"/>
    </row>
    <row r="985">
      <c r="A985" s="22"/>
      <c r="B985" s="22"/>
      <c r="C985" s="19"/>
      <c r="D985" s="19"/>
      <c r="E985" s="19"/>
    </row>
    <row r="986">
      <c r="A986" s="22"/>
      <c r="B986" s="22"/>
      <c r="C986" s="19"/>
      <c r="D986" s="19"/>
      <c r="E986" s="19"/>
    </row>
    <row r="987">
      <c r="A987" s="26"/>
      <c r="B987" s="27"/>
      <c r="C987" s="19"/>
      <c r="D987" s="19"/>
      <c r="E987" s="19"/>
    </row>
    <row r="988">
      <c r="A988" s="26"/>
      <c r="B988" s="28"/>
      <c r="C988" s="19"/>
      <c r="D988" s="19"/>
      <c r="E988" s="19"/>
    </row>
    <row r="989">
      <c r="A989" s="29"/>
      <c r="B989" s="30"/>
      <c r="C989" s="19"/>
      <c r="D989" s="19"/>
      <c r="E989" s="19"/>
    </row>
    <row r="990">
      <c r="A990" s="29"/>
      <c r="B990" s="30"/>
      <c r="C990" s="19"/>
      <c r="D990" s="19"/>
      <c r="E990" s="19"/>
    </row>
    <row r="991">
      <c r="A991" s="29"/>
      <c r="B991" s="30"/>
      <c r="C991" s="19"/>
      <c r="D991" s="19"/>
      <c r="E991" s="19"/>
    </row>
    <row r="992">
      <c r="A992" s="29"/>
      <c r="B992" s="30"/>
      <c r="C992" s="19"/>
      <c r="D992" s="19"/>
      <c r="E992" s="19"/>
    </row>
    <row r="993">
      <c r="A993" s="29"/>
      <c r="B993" s="30"/>
      <c r="C993" s="19"/>
      <c r="D993" s="19"/>
      <c r="E993" s="19"/>
    </row>
    <row r="994">
      <c r="A994" s="22"/>
      <c r="B994" s="23"/>
      <c r="C994" s="20"/>
      <c r="D994" s="19"/>
      <c r="E994" s="19"/>
    </row>
    <row r="995">
      <c r="A995" s="22"/>
      <c r="B995" s="23"/>
      <c r="C995" s="20"/>
      <c r="D995" s="19"/>
      <c r="E995" s="19"/>
    </row>
    <row r="996">
      <c r="A996" s="22"/>
      <c r="B996" s="23"/>
      <c r="C996" s="20"/>
      <c r="D996" s="19"/>
      <c r="E996" s="19"/>
    </row>
    <row r="997">
      <c r="A997" s="22"/>
      <c r="B997" s="23"/>
      <c r="C997" s="20"/>
      <c r="D997" s="19"/>
      <c r="E997" s="19"/>
    </row>
    <row r="998">
      <c r="A998" s="22"/>
      <c r="B998" s="23"/>
      <c r="C998" s="20"/>
      <c r="D998" s="19"/>
      <c r="E998" s="19"/>
    </row>
    <row r="999">
      <c r="A999" s="22"/>
      <c r="B999" s="23"/>
      <c r="C999" s="19"/>
      <c r="D999" s="19"/>
      <c r="E999" s="19"/>
    </row>
    <row r="1000">
      <c r="A1000" s="22"/>
      <c r="B1000" s="23"/>
      <c r="C1000" s="19"/>
      <c r="D1000" s="19"/>
      <c r="E1000" s="19"/>
    </row>
    <row r="1001">
      <c r="A1001" s="22"/>
      <c r="B1001" s="23"/>
      <c r="C1001" s="19"/>
      <c r="D1001" s="19"/>
      <c r="E1001" s="19"/>
    </row>
    <row r="1002">
      <c r="A1002" s="22"/>
      <c r="B1002" s="23"/>
      <c r="C1002" s="19"/>
      <c r="D1002" s="19"/>
      <c r="E1002" s="19"/>
    </row>
    <row r="1003">
      <c r="A1003" s="22"/>
      <c r="B1003" s="23"/>
      <c r="C1003" s="19"/>
      <c r="D1003" s="19"/>
      <c r="E1003" s="19"/>
    </row>
    <row r="1004">
      <c r="A1004" s="22"/>
      <c r="B1004" s="23"/>
      <c r="C1004" s="19"/>
      <c r="D1004" s="19"/>
      <c r="E1004" s="19"/>
    </row>
    <row r="1005">
      <c r="A1005" s="22"/>
      <c r="B1005" s="23"/>
      <c r="C1005" s="19"/>
      <c r="D1005" s="19"/>
      <c r="E1005" s="19"/>
    </row>
    <row r="1006">
      <c r="A1006" s="22"/>
      <c r="B1006" s="23"/>
      <c r="C1006" s="19"/>
      <c r="D1006" s="19"/>
      <c r="E1006" s="19"/>
    </row>
    <row r="1007">
      <c r="A1007" s="22"/>
      <c r="B1007" s="23"/>
      <c r="C1007" s="19"/>
      <c r="D1007" s="19"/>
      <c r="E1007" s="19"/>
    </row>
    <row r="1008">
      <c r="A1008" s="22"/>
      <c r="B1008" s="23"/>
      <c r="C1008" s="19"/>
      <c r="D1008" s="19"/>
      <c r="E1008" s="19"/>
    </row>
    <row r="1009">
      <c r="A1009" s="22"/>
      <c r="B1009" s="23"/>
      <c r="C1009" s="19"/>
      <c r="D1009" s="19"/>
      <c r="E1009" s="19"/>
    </row>
    <row r="1010">
      <c r="A1010" s="22"/>
      <c r="B1010" s="23"/>
      <c r="C1010" s="19"/>
      <c r="D1010" s="19"/>
      <c r="E1010" s="19"/>
    </row>
    <row r="1011">
      <c r="A1011" s="22"/>
      <c r="B1011" s="23"/>
      <c r="C1011" s="19"/>
      <c r="D1011" s="19"/>
      <c r="E1011" s="19"/>
    </row>
    <row r="1012">
      <c r="A1012" s="22"/>
      <c r="B1012" s="23"/>
      <c r="C1012" s="19"/>
      <c r="D1012" s="19"/>
      <c r="E1012" s="19"/>
    </row>
    <row r="1013">
      <c r="A1013" s="22"/>
      <c r="B1013" s="23"/>
      <c r="C1013" s="19"/>
      <c r="D1013" s="19"/>
      <c r="E1013" s="19"/>
    </row>
    <row r="1014">
      <c r="A1014" s="22"/>
      <c r="B1014" s="23"/>
      <c r="C1014" s="19"/>
      <c r="D1014" s="19"/>
      <c r="E1014" s="19"/>
    </row>
    <row r="1015">
      <c r="A1015" s="22"/>
      <c r="B1015" s="23"/>
      <c r="C1015" s="19"/>
      <c r="D1015" s="19"/>
      <c r="E1015" s="19"/>
    </row>
    <row r="1016">
      <c r="A1016" s="22"/>
      <c r="B1016" s="23"/>
      <c r="C1016" s="19"/>
      <c r="D1016" s="19"/>
      <c r="E1016" s="19"/>
    </row>
    <row r="1017">
      <c r="A1017" s="22"/>
      <c r="B1017" s="23"/>
      <c r="C1017" s="19"/>
      <c r="D1017" s="19"/>
      <c r="E1017" s="19"/>
    </row>
    <row r="1018">
      <c r="A1018" s="22"/>
      <c r="B1018" s="23"/>
      <c r="C1018" s="19"/>
      <c r="D1018" s="19"/>
      <c r="E1018" s="19"/>
    </row>
    <row r="1019">
      <c r="A1019" s="22"/>
      <c r="B1019" s="23"/>
      <c r="C1019" s="19"/>
      <c r="D1019" s="19"/>
      <c r="E1019" s="19"/>
    </row>
    <row r="1020">
      <c r="A1020" s="22"/>
      <c r="B1020" s="23"/>
      <c r="C1020" s="19"/>
      <c r="D1020" s="19"/>
      <c r="E1020" s="19"/>
    </row>
    <row r="1021">
      <c r="A1021" s="22"/>
      <c r="B1021" s="23"/>
      <c r="C1021" s="19"/>
      <c r="D1021" s="19"/>
      <c r="E1021" s="19"/>
    </row>
    <row r="1022">
      <c r="A1022" s="22"/>
      <c r="B1022" s="23"/>
      <c r="C1022" s="19"/>
      <c r="D1022" s="19"/>
      <c r="E1022" s="19"/>
    </row>
    <row r="1023">
      <c r="A1023" s="22"/>
      <c r="B1023" s="23"/>
      <c r="C1023" s="19"/>
      <c r="D1023" s="19"/>
      <c r="E1023" s="19"/>
    </row>
    <row r="1024">
      <c r="A1024" s="22"/>
      <c r="B1024" s="23"/>
      <c r="C1024" s="19"/>
      <c r="D1024" s="19"/>
      <c r="E1024" s="19"/>
    </row>
    <row r="1025">
      <c r="A1025" s="22"/>
      <c r="B1025" s="23"/>
      <c r="C1025" s="19"/>
      <c r="D1025" s="19"/>
      <c r="E1025" s="19"/>
    </row>
    <row r="1026">
      <c r="A1026" s="22"/>
      <c r="B1026" s="23"/>
      <c r="C1026" s="19"/>
      <c r="D1026" s="19"/>
      <c r="E1026" s="19"/>
    </row>
    <row r="1027">
      <c r="A1027" s="22"/>
      <c r="B1027" s="23"/>
      <c r="C1027" s="19"/>
      <c r="D1027" s="19"/>
      <c r="E1027" s="19"/>
    </row>
    <row r="1028">
      <c r="A1028" s="22"/>
      <c r="B1028" s="23"/>
      <c r="C1028" s="19"/>
      <c r="D1028" s="19"/>
      <c r="E1028" s="19"/>
    </row>
    <row r="1029">
      <c r="A1029" s="22"/>
      <c r="B1029" s="23"/>
      <c r="C1029" s="19"/>
      <c r="D1029" s="19"/>
      <c r="E1029" s="19"/>
    </row>
    <row r="1030">
      <c r="A1030" s="22"/>
      <c r="B1030" s="23"/>
      <c r="C1030" s="19"/>
      <c r="D1030" s="19"/>
      <c r="E1030" s="19"/>
    </row>
    <row r="1031">
      <c r="A1031" s="22"/>
      <c r="B1031" s="23"/>
      <c r="C1031" s="19"/>
      <c r="D1031" s="19"/>
      <c r="E1031" s="19"/>
    </row>
    <row r="1032">
      <c r="A1032" s="22"/>
      <c r="B1032" s="23"/>
      <c r="C1032" s="19"/>
      <c r="D1032" s="19"/>
      <c r="E1032" s="19"/>
    </row>
    <row r="1033">
      <c r="A1033" s="22"/>
      <c r="B1033" s="23"/>
      <c r="C1033" s="19"/>
      <c r="D1033" s="19"/>
      <c r="E1033" s="19"/>
    </row>
    <row r="1034">
      <c r="A1034" s="22"/>
      <c r="B1034" s="23"/>
      <c r="C1034" s="19"/>
      <c r="D1034" s="19"/>
      <c r="E1034" s="19"/>
    </row>
    <row r="1035">
      <c r="A1035" s="22"/>
      <c r="B1035" s="23"/>
      <c r="C1035" s="19"/>
      <c r="D1035" s="19"/>
      <c r="E1035" s="19"/>
    </row>
    <row r="1036">
      <c r="A1036" s="22"/>
      <c r="B1036" s="23"/>
      <c r="C1036" s="19"/>
      <c r="D1036" s="19"/>
      <c r="E1036" s="19"/>
    </row>
    <row r="1037">
      <c r="A1037" s="22"/>
      <c r="B1037" s="23"/>
      <c r="C1037" s="19"/>
      <c r="D1037" s="19"/>
      <c r="E1037" s="19"/>
    </row>
    <row r="1038">
      <c r="A1038" s="22"/>
      <c r="B1038" s="23"/>
      <c r="C1038" s="19"/>
      <c r="D1038" s="19"/>
      <c r="E1038" s="19"/>
    </row>
    <row r="1039">
      <c r="A1039" s="22"/>
      <c r="B1039" s="23"/>
      <c r="C1039" s="19"/>
      <c r="D1039" s="19"/>
      <c r="E1039" s="19"/>
    </row>
    <row r="1040">
      <c r="A1040" s="22"/>
      <c r="B1040" s="23"/>
      <c r="C1040" s="19"/>
      <c r="D1040" s="19"/>
      <c r="E1040" s="19"/>
    </row>
    <row r="1041">
      <c r="A1041" s="22"/>
      <c r="B1041" s="23"/>
      <c r="C1041" s="19"/>
      <c r="D1041" s="19"/>
      <c r="E1041" s="19"/>
    </row>
    <row r="1042">
      <c r="A1042" s="22"/>
      <c r="B1042" s="23"/>
      <c r="C1042" s="19"/>
      <c r="D1042" s="19"/>
      <c r="E1042" s="19"/>
    </row>
    <row r="1043">
      <c r="A1043" s="22"/>
      <c r="B1043" s="23"/>
      <c r="C1043" s="19"/>
      <c r="D1043" s="19"/>
      <c r="E1043" s="19"/>
    </row>
    <row r="1044">
      <c r="A1044" s="22"/>
      <c r="B1044" s="23"/>
      <c r="C1044" s="19"/>
      <c r="D1044" s="19"/>
      <c r="E1044" s="19"/>
    </row>
    <row r="1045">
      <c r="A1045" s="22"/>
      <c r="B1045" s="23"/>
      <c r="C1045" s="19"/>
      <c r="D1045" s="19"/>
      <c r="E1045" s="19"/>
    </row>
    <row r="1046">
      <c r="A1046" s="22"/>
      <c r="B1046" s="23"/>
      <c r="C1046" s="19"/>
      <c r="D1046" s="19"/>
      <c r="E1046" s="19"/>
    </row>
    <row r="1047">
      <c r="A1047" s="22"/>
      <c r="B1047" s="23"/>
      <c r="C1047" s="19"/>
      <c r="D1047" s="19"/>
      <c r="E1047" s="19"/>
    </row>
    <row r="1048">
      <c r="A1048" s="22"/>
      <c r="B1048" s="23"/>
      <c r="C1048" s="19"/>
      <c r="D1048" s="19"/>
      <c r="E1048" s="19"/>
    </row>
    <row r="1049">
      <c r="A1049" s="22"/>
      <c r="B1049" s="23"/>
      <c r="C1049" s="19"/>
      <c r="D1049" s="19"/>
      <c r="E1049" s="19"/>
    </row>
    <row r="1050">
      <c r="A1050" s="22"/>
      <c r="B1050" s="23"/>
      <c r="C1050" s="19"/>
      <c r="D1050" s="19"/>
      <c r="E1050" s="19"/>
    </row>
    <row r="1051">
      <c r="A1051" s="22"/>
      <c r="B1051" s="23"/>
      <c r="C1051" s="19"/>
      <c r="D1051" s="19"/>
      <c r="E1051" s="19"/>
    </row>
    <row r="1052">
      <c r="A1052" s="22"/>
      <c r="B1052" s="23"/>
      <c r="C1052" s="19"/>
      <c r="D1052" s="19"/>
      <c r="E1052" s="19"/>
    </row>
    <row r="1053">
      <c r="A1053" s="22"/>
      <c r="B1053" s="23"/>
      <c r="C1053" s="19"/>
      <c r="D1053" s="19"/>
      <c r="E1053" s="19"/>
    </row>
    <row r="1054">
      <c r="A1054" s="22"/>
      <c r="B1054" s="23"/>
      <c r="C1054" s="19"/>
      <c r="D1054" s="19"/>
      <c r="E1054" s="19"/>
    </row>
    <row r="1055">
      <c r="A1055" s="22"/>
      <c r="B1055" s="23"/>
      <c r="C1055" s="19"/>
      <c r="D1055" s="19"/>
      <c r="E1055" s="19"/>
    </row>
    <row r="1056">
      <c r="A1056" s="22"/>
      <c r="B1056" s="23"/>
      <c r="C1056" s="19"/>
      <c r="D1056" s="19"/>
      <c r="E1056" s="19"/>
    </row>
    <row r="1057">
      <c r="A1057" s="22"/>
      <c r="B1057" s="23"/>
      <c r="C1057" s="19"/>
      <c r="D1057" s="19"/>
      <c r="E1057" s="19"/>
    </row>
    <row r="1058">
      <c r="A1058" s="22"/>
      <c r="B1058" s="23"/>
      <c r="C1058" s="19"/>
      <c r="D1058" s="19"/>
      <c r="E1058" s="19"/>
    </row>
    <row r="1059">
      <c r="A1059" s="22"/>
      <c r="B1059" s="23"/>
      <c r="C1059" s="19"/>
      <c r="D1059" s="19"/>
      <c r="E1059" s="19"/>
    </row>
    <row r="1060">
      <c r="A1060" s="22"/>
      <c r="B1060" s="23"/>
      <c r="C1060" s="19"/>
      <c r="D1060" s="19"/>
      <c r="E1060" s="19"/>
    </row>
    <row r="1061">
      <c r="A1061" s="22"/>
      <c r="B1061" s="23"/>
      <c r="C1061" s="19"/>
      <c r="D1061" s="19"/>
      <c r="E1061" s="19"/>
    </row>
    <row r="1062">
      <c r="A1062" s="22"/>
      <c r="B1062" s="23"/>
      <c r="C1062" s="19"/>
      <c r="D1062" s="19"/>
      <c r="E1062" s="19"/>
    </row>
    <row r="1063">
      <c r="A1063" s="22"/>
      <c r="B1063" s="23"/>
      <c r="C1063" s="19"/>
      <c r="D1063" s="19"/>
      <c r="E1063" s="19"/>
    </row>
    <row r="1064">
      <c r="A1064" s="22"/>
      <c r="B1064" s="23"/>
      <c r="C1064" s="19"/>
      <c r="D1064" s="19"/>
      <c r="E1064" s="19"/>
    </row>
    <row r="1065">
      <c r="A1065" s="22"/>
      <c r="B1065" s="23"/>
      <c r="C1065" s="19"/>
      <c r="D1065" s="19"/>
      <c r="E1065" s="19"/>
    </row>
    <row r="1066">
      <c r="A1066" s="22"/>
      <c r="B1066" s="23"/>
      <c r="C1066" s="19"/>
      <c r="D1066" s="19"/>
      <c r="E1066" s="19"/>
    </row>
    <row r="1067">
      <c r="A1067" s="22"/>
      <c r="B1067" s="23"/>
      <c r="C1067" s="19"/>
      <c r="D1067" s="19"/>
      <c r="E1067" s="19"/>
    </row>
    <row r="1068">
      <c r="A1068" s="22"/>
      <c r="B1068" s="23"/>
      <c r="C1068" s="19"/>
      <c r="D1068" s="19"/>
      <c r="E1068" s="19"/>
    </row>
    <row r="1069">
      <c r="A1069" s="22"/>
      <c r="B1069" s="23"/>
      <c r="C1069" s="19"/>
      <c r="D1069" s="19"/>
      <c r="E1069" s="19"/>
    </row>
    <row r="1070">
      <c r="A1070" s="22"/>
      <c r="B1070" s="23"/>
      <c r="C1070" s="19"/>
      <c r="D1070" s="19"/>
      <c r="E1070" s="19"/>
    </row>
    <row r="1071">
      <c r="A1071" s="22"/>
      <c r="B1071" s="23"/>
      <c r="C1071" s="19"/>
      <c r="D1071" s="19"/>
      <c r="E1071" s="19"/>
    </row>
    <row r="1072">
      <c r="A1072" s="22"/>
      <c r="B1072" s="23"/>
      <c r="C1072" s="19"/>
      <c r="D1072" s="19"/>
      <c r="E1072" s="19"/>
    </row>
    <row r="1073">
      <c r="A1073" s="22"/>
      <c r="B1073" s="23"/>
      <c r="C1073" s="19"/>
      <c r="D1073" s="19"/>
      <c r="E1073" s="19"/>
    </row>
    <row r="1074">
      <c r="A1074" s="22"/>
      <c r="B1074" s="23"/>
      <c r="C1074" s="19"/>
      <c r="D1074" s="19"/>
      <c r="E1074" s="19"/>
    </row>
    <row r="1075">
      <c r="A1075" s="22"/>
      <c r="B1075" s="23"/>
      <c r="C1075" s="19"/>
      <c r="D1075" s="19"/>
      <c r="E1075" s="19"/>
    </row>
    <row r="1076">
      <c r="A1076" s="22"/>
      <c r="B1076" s="23"/>
      <c r="C1076" s="19"/>
      <c r="D1076" s="19"/>
      <c r="E1076" s="19"/>
    </row>
    <row r="1077">
      <c r="A1077" s="22"/>
      <c r="B1077" s="23"/>
      <c r="C1077" s="19"/>
      <c r="D1077" s="19"/>
      <c r="E1077" s="19"/>
    </row>
    <row r="1078">
      <c r="A1078" s="22"/>
      <c r="B1078" s="23"/>
      <c r="C1078" s="19"/>
      <c r="D1078" s="19"/>
      <c r="E1078" s="19"/>
    </row>
    <row r="1079">
      <c r="A1079" s="22"/>
      <c r="B1079" s="23"/>
      <c r="C1079" s="19"/>
      <c r="D1079" s="19"/>
      <c r="E1079" s="19"/>
    </row>
    <row r="1080">
      <c r="A1080" s="22"/>
      <c r="B1080" s="23"/>
      <c r="C1080" s="19"/>
      <c r="D1080" s="19"/>
      <c r="E1080" s="19"/>
    </row>
    <row r="1081">
      <c r="A1081" s="22"/>
      <c r="B1081" s="23"/>
      <c r="C1081" s="19"/>
      <c r="D1081" s="19"/>
      <c r="E1081" s="19"/>
    </row>
    <row r="1082">
      <c r="A1082" s="22"/>
      <c r="B1082" s="23"/>
      <c r="C1082" s="19"/>
      <c r="D1082" s="19"/>
      <c r="E1082" s="19"/>
    </row>
    <row r="1083">
      <c r="A1083" s="22"/>
      <c r="B1083" s="23"/>
      <c r="C1083" s="19"/>
      <c r="D1083" s="19"/>
      <c r="E1083" s="19"/>
    </row>
    <row r="1084">
      <c r="A1084" s="22"/>
      <c r="B1084" s="23"/>
      <c r="C1084" s="19"/>
      <c r="D1084" s="19"/>
      <c r="E1084" s="19"/>
    </row>
    <row r="1085">
      <c r="A1085" s="22"/>
      <c r="B1085" s="23"/>
      <c r="C1085" s="19"/>
      <c r="D1085" s="19"/>
      <c r="E1085" s="19"/>
    </row>
    <row r="1086">
      <c r="A1086" s="22"/>
      <c r="B1086" s="23"/>
      <c r="C1086" s="19"/>
      <c r="D1086" s="19"/>
      <c r="E1086" s="19"/>
    </row>
    <row r="1087">
      <c r="A1087" s="22"/>
      <c r="B1087" s="23"/>
      <c r="C1087" s="19"/>
      <c r="D1087" s="19"/>
      <c r="E1087" s="19"/>
    </row>
    <row r="1088">
      <c r="A1088" s="22"/>
      <c r="B1088" s="23"/>
      <c r="C1088" s="19"/>
      <c r="D1088" s="19"/>
      <c r="E1088" s="19"/>
    </row>
    <row r="1089">
      <c r="A1089" s="22"/>
      <c r="B1089" s="23"/>
      <c r="C1089" s="19"/>
      <c r="D1089" s="19"/>
      <c r="E1089" s="19"/>
    </row>
    <row r="1090">
      <c r="A1090" s="22"/>
      <c r="B1090" s="23"/>
      <c r="C1090" s="19"/>
      <c r="D1090" s="19"/>
      <c r="E1090" s="19"/>
    </row>
    <row r="1091">
      <c r="A1091" s="22"/>
      <c r="B1091" s="23"/>
      <c r="C1091" s="19"/>
      <c r="D1091" s="19"/>
      <c r="E1091" s="19"/>
    </row>
    <row r="1092">
      <c r="A1092" s="22"/>
      <c r="B1092" s="23"/>
      <c r="C1092" s="19"/>
      <c r="D1092" s="19"/>
      <c r="E1092" s="19"/>
    </row>
    <row r="1093">
      <c r="A1093" s="22"/>
      <c r="B1093" s="23"/>
      <c r="C1093" s="19"/>
      <c r="D1093" s="19"/>
      <c r="E1093" s="19"/>
    </row>
    <row r="1094">
      <c r="A1094" s="22"/>
      <c r="B1094" s="23"/>
      <c r="C1094" s="19"/>
      <c r="D1094" s="19"/>
      <c r="E1094" s="19"/>
    </row>
    <row r="1095">
      <c r="A1095" s="22"/>
      <c r="B1095" s="23"/>
      <c r="C1095" s="19"/>
      <c r="D1095" s="19"/>
      <c r="E1095" s="19"/>
    </row>
    <row r="1096">
      <c r="A1096" s="22"/>
      <c r="B1096" s="23"/>
      <c r="C1096" s="19"/>
      <c r="D1096" s="19"/>
      <c r="E1096" s="19"/>
    </row>
    <row r="1097">
      <c r="A1097" s="22"/>
      <c r="B1097" s="23"/>
      <c r="C1097" s="19"/>
      <c r="D1097" s="19"/>
      <c r="E1097" s="19"/>
    </row>
    <row r="1098">
      <c r="A1098" s="22"/>
      <c r="B1098" s="23"/>
      <c r="C1098" s="19"/>
      <c r="D1098" s="19"/>
      <c r="E1098" s="19"/>
    </row>
    <row r="1099">
      <c r="A1099" s="22"/>
      <c r="B1099" s="23"/>
      <c r="C1099" s="19"/>
      <c r="D1099" s="19"/>
      <c r="E1099" s="19"/>
    </row>
    <row r="1100">
      <c r="A1100" s="22"/>
      <c r="B1100" s="23"/>
      <c r="C1100" s="19"/>
      <c r="D1100" s="19"/>
      <c r="E1100" s="19"/>
    </row>
    <row r="1101">
      <c r="A1101" s="22"/>
      <c r="B1101" s="23"/>
      <c r="C1101" s="19"/>
      <c r="D1101" s="19"/>
      <c r="E1101" s="19"/>
    </row>
    <row r="1102">
      <c r="A1102" s="22"/>
      <c r="B1102" s="23"/>
      <c r="C1102" s="19"/>
      <c r="D1102" s="19"/>
      <c r="E1102" s="19"/>
    </row>
    <row r="1103">
      <c r="A1103" s="22"/>
      <c r="B1103" s="23"/>
      <c r="C1103" s="19"/>
      <c r="D1103" s="19"/>
      <c r="E1103" s="19"/>
    </row>
    <row r="1104">
      <c r="A1104" s="22"/>
      <c r="B1104" s="23"/>
      <c r="C1104" s="19"/>
      <c r="D1104" s="19"/>
      <c r="E1104" s="19"/>
    </row>
    <row r="1105">
      <c r="A1105" s="22"/>
      <c r="B1105" s="23"/>
      <c r="C1105" s="19"/>
      <c r="D1105" s="19"/>
      <c r="E1105" s="19"/>
    </row>
    <row r="1106">
      <c r="A1106" s="22"/>
      <c r="B1106" s="23"/>
      <c r="C1106" s="19"/>
      <c r="D1106" s="19"/>
      <c r="E1106" s="19"/>
    </row>
    <row r="1107">
      <c r="A1107" s="22"/>
      <c r="B1107" s="23"/>
      <c r="C1107" s="19"/>
      <c r="D1107" s="19"/>
      <c r="E1107" s="19"/>
    </row>
    <row r="1108">
      <c r="A1108" s="22"/>
      <c r="B1108" s="23"/>
      <c r="C1108" s="19"/>
      <c r="D1108" s="19"/>
      <c r="E1108" s="19"/>
    </row>
    <row r="1109">
      <c r="A1109" s="22"/>
      <c r="B1109" s="23"/>
      <c r="C1109" s="19"/>
      <c r="D1109" s="19"/>
      <c r="E1109" s="19"/>
    </row>
    <row r="1110">
      <c r="A1110" s="22"/>
      <c r="B1110" s="23"/>
      <c r="C1110" s="19"/>
      <c r="D1110" s="19"/>
      <c r="E1110" s="19"/>
    </row>
    <row r="1111">
      <c r="A1111" s="22"/>
      <c r="B1111" s="23"/>
      <c r="C1111" s="19"/>
      <c r="D1111" s="19"/>
      <c r="E1111" s="19"/>
    </row>
    <row r="1112">
      <c r="A1112" s="22"/>
      <c r="B1112" s="23"/>
      <c r="C1112" s="19"/>
      <c r="D1112" s="19"/>
      <c r="E1112" s="19"/>
    </row>
    <row r="1113">
      <c r="A1113" s="22"/>
      <c r="B1113" s="23"/>
      <c r="C1113" s="19"/>
      <c r="D1113" s="19"/>
      <c r="E1113" s="19"/>
    </row>
    <row r="1114">
      <c r="A1114" s="22"/>
      <c r="B1114" s="23"/>
      <c r="C1114" s="19"/>
      <c r="D1114" s="19"/>
      <c r="E1114" s="19"/>
    </row>
    <row r="1115">
      <c r="A1115" s="22"/>
      <c r="B1115" s="23"/>
      <c r="C1115" s="19"/>
      <c r="D1115" s="19"/>
      <c r="E1115" s="19"/>
    </row>
    <row r="1116">
      <c r="A1116" s="22"/>
      <c r="B1116" s="23"/>
      <c r="C1116" s="19"/>
      <c r="D1116" s="19"/>
      <c r="E1116" s="19"/>
    </row>
    <row r="1117">
      <c r="A1117" s="22"/>
      <c r="B1117" s="23"/>
      <c r="C1117" s="19"/>
      <c r="D1117" s="19"/>
      <c r="E1117" s="19"/>
    </row>
    <row r="1118">
      <c r="A1118" s="22"/>
      <c r="B1118" s="23"/>
      <c r="C1118" s="19"/>
      <c r="D1118" s="19"/>
      <c r="E1118" s="19"/>
    </row>
    <row r="1119">
      <c r="A1119" s="22"/>
      <c r="B1119" s="23"/>
      <c r="C1119" s="19"/>
      <c r="D1119" s="19"/>
      <c r="E1119" s="19"/>
    </row>
    <row r="1120">
      <c r="A1120" s="22"/>
      <c r="B1120" s="23"/>
      <c r="C1120" s="19"/>
      <c r="D1120" s="19"/>
      <c r="E1120" s="19"/>
    </row>
    <row r="1121">
      <c r="A1121" s="22"/>
      <c r="B1121" s="23"/>
      <c r="C1121" s="19"/>
      <c r="D1121" s="19"/>
      <c r="E1121" s="19"/>
    </row>
    <row r="1122">
      <c r="A1122" s="22"/>
      <c r="B1122" s="23"/>
      <c r="C1122" s="19"/>
      <c r="D1122" s="19"/>
      <c r="E1122" s="19"/>
    </row>
    <row r="1123">
      <c r="A1123" s="22"/>
      <c r="B1123" s="23"/>
      <c r="C1123" s="19"/>
      <c r="D1123" s="19"/>
      <c r="E1123" s="19"/>
    </row>
    <row r="1124">
      <c r="A1124" s="22"/>
      <c r="B1124" s="23"/>
      <c r="C1124" s="19"/>
      <c r="D1124" s="19"/>
      <c r="E1124" s="19"/>
    </row>
    <row r="1125">
      <c r="A1125" s="22"/>
      <c r="B1125" s="23"/>
      <c r="C1125" s="19"/>
      <c r="D1125" s="19"/>
      <c r="E1125" s="19"/>
    </row>
    <row r="1126">
      <c r="A1126" s="22"/>
      <c r="B1126" s="23"/>
      <c r="C1126" s="19"/>
      <c r="D1126" s="19"/>
      <c r="E1126" s="19"/>
    </row>
    <row r="1127">
      <c r="A1127" s="22"/>
      <c r="B1127" s="23"/>
      <c r="C1127" s="19"/>
      <c r="D1127" s="19"/>
      <c r="E1127" s="19"/>
    </row>
    <row r="1128">
      <c r="A1128" s="22"/>
      <c r="B1128" s="23"/>
      <c r="C1128" s="19"/>
      <c r="D1128" s="19"/>
      <c r="E1128" s="19"/>
    </row>
    <row r="1129">
      <c r="A1129" s="22"/>
      <c r="B1129" s="23"/>
      <c r="C1129" s="19"/>
      <c r="D1129" s="19"/>
      <c r="E1129" s="19"/>
    </row>
    <row r="1130">
      <c r="A1130" s="22"/>
      <c r="B1130" s="23"/>
      <c r="C1130" s="19"/>
      <c r="D1130" s="19"/>
      <c r="E1130" s="19"/>
    </row>
    <row r="1131">
      <c r="A1131" s="22"/>
      <c r="B1131" s="23"/>
      <c r="C1131" s="19"/>
      <c r="D1131" s="19"/>
      <c r="E1131" s="19"/>
    </row>
    <row r="1132">
      <c r="A1132" s="22"/>
      <c r="B1132" s="23"/>
      <c r="C1132" s="19"/>
      <c r="D1132" s="19"/>
      <c r="E1132" s="19"/>
    </row>
    <row r="1133">
      <c r="A1133" s="22"/>
      <c r="B1133" s="23"/>
      <c r="C1133" s="19"/>
      <c r="D1133" s="19"/>
      <c r="E1133" s="19"/>
    </row>
    <row r="1134">
      <c r="A1134" s="22"/>
      <c r="B1134" s="23"/>
      <c r="C1134" s="19"/>
      <c r="D1134" s="19"/>
      <c r="E1134" s="19"/>
    </row>
    <row r="1135">
      <c r="A1135" s="22"/>
      <c r="B1135" s="23"/>
      <c r="C1135" s="19"/>
      <c r="D1135" s="19"/>
      <c r="E1135" s="19"/>
    </row>
    <row r="1136">
      <c r="A1136" s="22"/>
      <c r="B1136" s="23"/>
      <c r="C1136" s="19"/>
      <c r="D1136" s="19"/>
      <c r="E1136" s="19"/>
    </row>
    <row r="1137">
      <c r="A1137" s="22"/>
      <c r="B1137" s="23"/>
      <c r="C1137" s="19"/>
      <c r="D1137" s="19"/>
      <c r="E1137" s="19"/>
    </row>
    <row r="1138">
      <c r="A1138" s="22"/>
      <c r="B1138" s="23"/>
      <c r="C1138" s="19"/>
      <c r="D1138" s="19"/>
      <c r="E1138" s="19"/>
    </row>
    <row r="1139">
      <c r="A1139" s="22"/>
      <c r="B1139" s="23"/>
      <c r="C1139" s="19"/>
      <c r="D1139" s="19"/>
      <c r="E1139" s="19"/>
    </row>
    <row r="1140">
      <c r="A1140" s="22"/>
      <c r="B1140" s="23"/>
      <c r="C1140" s="19"/>
      <c r="D1140" s="19"/>
      <c r="E1140" s="19"/>
    </row>
    <row r="1141">
      <c r="A1141" s="22"/>
      <c r="B1141" s="23"/>
      <c r="C1141" s="19"/>
      <c r="D1141" s="19"/>
      <c r="E1141" s="19"/>
    </row>
    <row r="1142">
      <c r="A1142" s="22"/>
      <c r="B1142" s="23"/>
      <c r="C1142" s="19"/>
      <c r="D1142" s="19"/>
      <c r="E1142" s="19"/>
    </row>
    <row r="1143">
      <c r="A1143" s="22"/>
      <c r="B1143" s="23"/>
      <c r="C1143" s="19"/>
      <c r="D1143" s="19"/>
      <c r="E1143" s="19"/>
    </row>
    <row r="1144">
      <c r="A1144" s="22"/>
      <c r="B1144" s="23"/>
      <c r="C1144" s="19"/>
      <c r="D1144" s="19"/>
      <c r="E1144" s="19"/>
    </row>
    <row r="1145">
      <c r="A1145" s="22"/>
      <c r="B1145" s="23"/>
      <c r="C1145" s="19"/>
      <c r="D1145" s="19"/>
      <c r="E1145" s="19"/>
    </row>
    <row r="1146">
      <c r="A1146" s="22"/>
      <c r="B1146" s="23"/>
      <c r="C1146" s="19"/>
      <c r="D1146" s="19"/>
      <c r="E1146" s="19"/>
    </row>
    <row r="1147">
      <c r="A1147" s="22"/>
      <c r="B1147" s="23"/>
      <c r="C1147" s="19"/>
      <c r="D1147" s="19"/>
      <c r="E1147" s="19"/>
    </row>
    <row r="1148">
      <c r="A1148" s="22"/>
      <c r="B1148" s="23"/>
      <c r="C1148" s="19"/>
      <c r="D1148" s="19"/>
      <c r="E1148" s="19"/>
    </row>
    <row r="1149">
      <c r="A1149" s="22"/>
      <c r="B1149" s="23"/>
      <c r="C1149" s="19"/>
      <c r="D1149" s="19"/>
      <c r="E1149" s="19"/>
    </row>
    <row r="1150">
      <c r="A1150" s="22"/>
      <c r="B1150" s="23"/>
      <c r="C1150" s="19"/>
      <c r="D1150" s="19"/>
      <c r="E1150" s="19"/>
    </row>
    <row r="1151">
      <c r="A1151" s="22"/>
      <c r="B1151" s="23"/>
      <c r="C1151" s="19"/>
      <c r="D1151" s="19"/>
      <c r="E1151" s="19"/>
    </row>
    <row r="1152">
      <c r="A1152" s="22"/>
      <c r="B1152" s="23"/>
      <c r="C1152" s="19"/>
      <c r="D1152" s="19"/>
      <c r="E1152" s="19"/>
    </row>
    <row r="1153">
      <c r="A1153" s="22"/>
      <c r="B1153" s="23"/>
      <c r="C1153" s="19"/>
      <c r="D1153" s="19"/>
      <c r="E1153" s="19"/>
    </row>
    <row r="1154">
      <c r="A1154" s="22"/>
      <c r="B1154" s="23"/>
      <c r="C1154" s="19"/>
      <c r="D1154" s="19"/>
      <c r="E1154" s="19"/>
    </row>
    <row r="1155">
      <c r="A1155" s="22"/>
      <c r="B1155" s="23"/>
      <c r="C1155" s="19"/>
      <c r="D1155" s="19"/>
      <c r="E1155" s="19"/>
    </row>
    <row r="1156">
      <c r="A1156" s="22"/>
      <c r="B1156" s="23"/>
      <c r="C1156" s="19"/>
      <c r="D1156" s="19"/>
      <c r="E1156" s="19"/>
    </row>
    <row r="1157">
      <c r="A1157" s="22"/>
      <c r="B1157" s="23"/>
      <c r="C1157" s="19"/>
      <c r="D1157" s="19"/>
      <c r="E1157" s="19"/>
    </row>
    <row r="1158">
      <c r="A1158" s="22"/>
      <c r="B1158" s="23"/>
      <c r="C1158" s="19"/>
      <c r="D1158" s="19"/>
      <c r="E1158" s="19"/>
    </row>
    <row r="1159">
      <c r="A1159" s="22"/>
      <c r="B1159" s="23"/>
      <c r="C1159" s="19"/>
      <c r="D1159" s="19"/>
      <c r="E1159" s="19"/>
    </row>
    <row r="1160">
      <c r="A1160" s="22"/>
      <c r="B1160" s="23"/>
      <c r="C1160" s="19"/>
      <c r="D1160" s="19"/>
      <c r="E1160" s="19"/>
    </row>
    <row r="1161">
      <c r="A1161" s="22"/>
      <c r="B1161" s="23"/>
      <c r="C1161" s="19"/>
      <c r="D1161" s="19"/>
      <c r="E1161" s="19"/>
    </row>
    <row r="1162">
      <c r="A1162" s="22"/>
      <c r="B1162" s="23"/>
      <c r="C1162" s="19"/>
      <c r="D1162" s="19"/>
      <c r="E1162" s="19"/>
    </row>
    <row r="1163">
      <c r="A1163" s="22"/>
      <c r="B1163" s="23"/>
      <c r="C1163" s="19"/>
      <c r="D1163" s="19"/>
      <c r="E1163" s="19"/>
    </row>
    <row r="1164">
      <c r="A1164" s="22"/>
      <c r="B1164" s="23"/>
      <c r="C1164" s="19"/>
      <c r="D1164" s="19"/>
      <c r="E1164" s="19"/>
    </row>
    <row r="1165">
      <c r="A1165" s="22"/>
      <c r="B1165" s="23"/>
      <c r="C1165" s="19"/>
      <c r="D1165" s="19"/>
      <c r="E1165" s="19"/>
    </row>
    <row r="1166">
      <c r="A1166" s="22"/>
      <c r="B1166" s="23"/>
      <c r="C1166" s="19"/>
      <c r="D1166" s="19"/>
      <c r="E1166" s="19"/>
    </row>
    <row r="1167">
      <c r="A1167" s="19"/>
      <c r="B1167" s="19"/>
      <c r="C1167" s="19"/>
      <c r="D1167" s="19"/>
      <c r="E1167" s="19"/>
    </row>
    <row r="1168">
      <c r="A1168" s="19"/>
      <c r="B1168" s="19"/>
      <c r="C1168" s="19"/>
      <c r="D1168" s="19"/>
      <c r="E1168" s="19"/>
    </row>
    <row r="1169">
      <c r="A1169" s="19"/>
      <c r="B1169" s="19"/>
      <c r="C1169" s="19"/>
      <c r="D1169" s="19"/>
      <c r="E1169" s="19"/>
    </row>
    <row r="1170">
      <c r="A1170" s="19"/>
      <c r="B1170" s="19"/>
      <c r="C1170" s="19"/>
      <c r="D1170" s="19"/>
      <c r="E1170" s="19"/>
    </row>
    <row r="1171">
      <c r="A1171" s="19"/>
      <c r="B1171" s="19"/>
      <c r="C1171" s="19"/>
      <c r="D1171" s="19"/>
      <c r="E1171" s="19"/>
    </row>
    <row r="1172">
      <c r="A1172" s="19"/>
      <c r="B1172" s="19"/>
      <c r="C1172" s="19"/>
      <c r="D1172" s="19"/>
      <c r="E1172" s="19"/>
    </row>
    <row r="1173">
      <c r="A1173" s="19"/>
      <c r="B1173" s="19"/>
      <c r="C1173" s="19"/>
      <c r="D1173" s="19"/>
      <c r="E1173" s="19"/>
    </row>
    <row r="1174">
      <c r="A1174" s="19"/>
      <c r="B1174" s="19"/>
      <c r="C1174" s="19"/>
      <c r="D1174" s="19"/>
      <c r="E1174" s="19"/>
    </row>
    <row r="1175">
      <c r="A1175" s="19"/>
      <c r="B1175" s="19"/>
      <c r="C1175" s="19"/>
      <c r="D1175" s="19"/>
      <c r="E1175" s="19"/>
    </row>
    <row r="1176">
      <c r="A1176" s="19"/>
      <c r="B1176" s="19"/>
      <c r="C1176" s="19"/>
      <c r="D1176" s="19"/>
      <c r="E1176" s="19"/>
    </row>
    <row r="1177">
      <c r="A1177" s="19"/>
      <c r="B1177" s="19"/>
      <c r="C1177" s="19"/>
      <c r="D1177" s="19"/>
      <c r="E1177" s="19"/>
    </row>
    <row r="1178">
      <c r="A1178" s="19"/>
      <c r="B1178" s="19"/>
      <c r="C1178" s="19"/>
      <c r="D1178" s="19"/>
      <c r="E1178" s="19"/>
    </row>
    <row r="1179">
      <c r="A1179" s="19"/>
      <c r="B1179" s="19"/>
      <c r="C1179" s="19"/>
      <c r="D1179" s="19"/>
      <c r="E1179" s="19"/>
    </row>
    <row r="1180">
      <c r="A1180" s="19"/>
      <c r="B1180" s="19"/>
      <c r="C1180" s="19"/>
      <c r="D1180" s="19"/>
      <c r="E1180" s="19"/>
    </row>
    <row r="1181">
      <c r="A1181" s="19"/>
      <c r="B1181" s="19"/>
      <c r="C1181" s="19"/>
      <c r="D1181" s="19"/>
      <c r="E1181" s="19"/>
    </row>
    <row r="1182">
      <c r="A1182" s="19"/>
      <c r="B1182" s="19"/>
      <c r="C1182" s="19"/>
      <c r="D1182" s="19"/>
      <c r="E1182" s="19"/>
    </row>
    <row r="1183">
      <c r="A1183" s="19"/>
      <c r="B1183" s="19"/>
      <c r="C1183" s="19"/>
      <c r="D1183" s="19"/>
      <c r="E1183" s="19"/>
    </row>
    <row r="1184">
      <c r="A1184" s="19"/>
      <c r="B1184" s="19"/>
      <c r="C1184" s="19"/>
      <c r="D1184" s="19"/>
      <c r="E1184" s="19"/>
    </row>
    <row r="1185">
      <c r="A1185" s="19"/>
      <c r="B1185" s="19"/>
      <c r="C1185" s="19"/>
      <c r="D1185" s="19"/>
      <c r="E1185" s="19"/>
    </row>
    <row r="1186">
      <c r="A1186" s="19"/>
      <c r="B1186" s="19"/>
      <c r="C1186" s="19"/>
      <c r="D1186" s="19"/>
      <c r="E1186" s="19"/>
    </row>
    <row r="1187">
      <c r="A1187" s="19"/>
      <c r="B1187" s="19"/>
      <c r="C1187" s="19"/>
      <c r="D1187" s="19"/>
      <c r="E1187" s="19"/>
    </row>
    <row r="1188">
      <c r="A1188" s="19"/>
      <c r="B1188" s="19"/>
      <c r="C1188" s="19"/>
      <c r="D1188" s="19"/>
      <c r="E1188" s="19"/>
    </row>
    <row r="1189">
      <c r="A1189" s="19"/>
      <c r="B1189" s="19"/>
      <c r="C1189" s="19"/>
      <c r="D1189" s="19"/>
      <c r="E1189" s="19"/>
    </row>
    <row r="1190">
      <c r="A1190" s="19"/>
      <c r="B1190" s="19"/>
      <c r="C1190" s="19"/>
      <c r="D1190" s="19"/>
      <c r="E1190" s="19"/>
    </row>
    <row r="1191">
      <c r="A1191" s="19"/>
      <c r="B1191" s="19"/>
      <c r="C1191" s="19"/>
      <c r="D1191" s="19"/>
      <c r="E1191" s="19"/>
    </row>
    <row r="1192">
      <c r="A1192" s="19"/>
      <c r="B1192" s="19"/>
      <c r="C1192" s="19"/>
      <c r="D1192" s="19"/>
      <c r="E1192" s="19"/>
    </row>
    <row r="1193">
      <c r="A1193" s="19"/>
      <c r="B1193" s="19"/>
      <c r="C1193" s="19"/>
      <c r="D1193" s="19"/>
      <c r="E1193" s="19"/>
    </row>
    <row r="1194">
      <c r="A1194" s="22"/>
      <c r="B1194" s="23"/>
      <c r="C1194" s="23"/>
      <c r="D1194" s="23"/>
      <c r="E1194" s="23"/>
    </row>
    <row r="1195">
      <c r="A1195" s="22"/>
      <c r="B1195" s="23"/>
      <c r="C1195" s="23"/>
      <c r="D1195" s="23"/>
      <c r="E1195" s="23"/>
    </row>
    <row r="1196">
      <c r="A1196" s="22"/>
      <c r="B1196" s="23"/>
      <c r="C1196" s="23"/>
      <c r="D1196" s="23"/>
      <c r="E1196" s="23"/>
    </row>
    <row r="1197">
      <c r="A1197" s="22"/>
      <c r="B1197" s="23"/>
      <c r="C1197" s="23"/>
      <c r="D1197" s="23"/>
      <c r="E1197" s="23"/>
    </row>
    <row r="1198">
      <c r="A1198" s="22"/>
      <c r="B1198" s="23"/>
      <c r="C1198" s="23"/>
      <c r="D1198" s="23"/>
      <c r="E1198" s="23"/>
    </row>
    <row r="1199">
      <c r="A1199" s="22"/>
      <c r="B1199" s="23"/>
      <c r="C1199" s="23"/>
      <c r="D1199" s="23"/>
      <c r="E1199" s="23"/>
    </row>
    <row r="1200">
      <c r="A1200" s="22"/>
      <c r="B1200" s="23"/>
      <c r="C1200" s="23"/>
      <c r="D1200" s="23"/>
      <c r="E1200" s="23"/>
    </row>
    <row r="1201">
      <c r="A1201" s="22"/>
      <c r="B1201" s="23"/>
      <c r="C1201" s="23"/>
      <c r="D1201" s="23"/>
      <c r="E1201" s="23"/>
    </row>
    <row r="1202">
      <c r="A1202" s="22"/>
      <c r="B1202" s="23"/>
      <c r="C1202" s="23"/>
      <c r="D1202" s="23"/>
      <c r="E1202" s="23"/>
    </row>
    <row r="1203">
      <c r="A1203" s="22"/>
      <c r="B1203" s="23"/>
      <c r="C1203" s="23"/>
      <c r="D1203" s="23"/>
      <c r="E1203" s="23"/>
    </row>
    <row r="1204">
      <c r="A1204" s="22"/>
      <c r="B1204" s="23"/>
      <c r="C1204" s="23"/>
      <c r="D1204" s="23"/>
      <c r="E1204" s="23"/>
    </row>
    <row r="1205">
      <c r="A1205" s="22"/>
      <c r="B1205" s="23"/>
      <c r="C1205" s="23"/>
      <c r="D1205" s="23"/>
      <c r="E1205" s="23"/>
    </row>
    <row r="1206">
      <c r="A1206" s="22"/>
      <c r="B1206" s="23"/>
      <c r="C1206" s="23"/>
      <c r="D1206" s="23"/>
      <c r="E1206" s="23"/>
    </row>
    <row r="1207">
      <c r="A1207" s="22"/>
      <c r="B1207" s="23"/>
      <c r="C1207" s="23"/>
      <c r="D1207" s="23"/>
      <c r="E1207" s="23"/>
    </row>
    <row r="1208">
      <c r="A1208" s="22"/>
      <c r="B1208" s="23"/>
      <c r="C1208" s="23"/>
      <c r="D1208" s="23"/>
      <c r="E1208" s="23"/>
    </row>
    <row r="1209">
      <c r="A1209" s="22"/>
      <c r="B1209" s="23"/>
      <c r="C1209" s="23"/>
      <c r="D1209" s="23"/>
      <c r="E1209" s="23"/>
    </row>
    <row r="1210">
      <c r="A1210" s="22"/>
      <c r="B1210" s="23"/>
      <c r="C1210" s="23"/>
      <c r="D1210" s="23"/>
      <c r="E1210" s="23"/>
    </row>
    <row r="1211">
      <c r="A1211" s="22"/>
      <c r="B1211" s="23"/>
      <c r="C1211" s="23"/>
      <c r="D1211" s="23"/>
      <c r="E1211" s="23"/>
    </row>
    <row r="1212">
      <c r="A1212" s="22"/>
      <c r="B1212" s="23"/>
      <c r="C1212" s="23"/>
      <c r="D1212" s="23"/>
      <c r="E1212" s="23"/>
    </row>
    <row r="1213">
      <c r="A1213" s="22"/>
      <c r="B1213" s="23"/>
      <c r="C1213" s="23"/>
      <c r="D1213" s="23"/>
      <c r="E1213" s="23"/>
    </row>
    <row r="1214">
      <c r="A1214" s="22"/>
      <c r="B1214" s="23"/>
      <c r="C1214" s="23"/>
      <c r="D1214" s="23"/>
      <c r="E1214" s="23"/>
    </row>
    <row r="1215">
      <c r="A1215" s="22"/>
      <c r="B1215" s="23"/>
      <c r="C1215" s="23"/>
      <c r="D1215" s="23"/>
      <c r="E1215" s="23"/>
    </row>
    <row r="1216">
      <c r="A1216" s="22"/>
      <c r="B1216" s="23"/>
      <c r="C1216" s="23"/>
      <c r="D1216" s="23"/>
      <c r="E1216" s="23"/>
    </row>
    <row r="1217">
      <c r="A1217" s="22"/>
      <c r="B1217" s="23"/>
      <c r="C1217" s="23"/>
      <c r="D1217" s="23"/>
      <c r="E1217" s="23"/>
    </row>
    <row r="1218">
      <c r="A1218" s="22"/>
      <c r="B1218" s="23"/>
      <c r="C1218" s="23"/>
      <c r="D1218" s="23"/>
      <c r="E1218" s="23"/>
    </row>
    <row r="1219">
      <c r="A1219" s="22"/>
      <c r="B1219" s="23"/>
      <c r="C1219" s="23"/>
      <c r="D1219" s="23"/>
      <c r="E1219" s="23"/>
    </row>
    <row r="1220">
      <c r="A1220" s="22"/>
      <c r="B1220" s="23"/>
      <c r="C1220" s="23"/>
      <c r="D1220" s="23"/>
      <c r="E1220" s="23"/>
    </row>
    <row r="1221">
      <c r="A1221" s="22"/>
      <c r="B1221" s="23"/>
      <c r="C1221" s="23"/>
      <c r="D1221" s="23"/>
      <c r="E1221" s="23"/>
    </row>
    <row r="1222">
      <c r="A1222" s="22"/>
      <c r="B1222" s="23"/>
      <c r="C1222" s="23"/>
      <c r="D1222" s="23"/>
      <c r="E1222" s="23"/>
    </row>
    <row r="1223">
      <c r="A1223" s="22"/>
      <c r="B1223" s="23"/>
      <c r="C1223" s="23"/>
      <c r="D1223" s="23"/>
      <c r="E1223" s="23"/>
    </row>
    <row r="1224">
      <c r="A1224" s="22"/>
      <c r="B1224" s="23"/>
      <c r="C1224" s="23"/>
      <c r="D1224" s="23"/>
      <c r="E1224" s="23"/>
    </row>
    <row r="1225">
      <c r="A1225" s="22"/>
      <c r="B1225" s="23"/>
      <c r="C1225" s="23"/>
      <c r="D1225" s="23"/>
      <c r="E1225" s="23"/>
    </row>
    <row r="1226">
      <c r="A1226" s="22"/>
      <c r="B1226" s="23"/>
      <c r="C1226" s="23"/>
      <c r="D1226" s="23"/>
      <c r="E1226" s="23"/>
    </row>
    <row r="1227">
      <c r="A1227" s="22"/>
      <c r="B1227" s="23"/>
      <c r="C1227" s="23"/>
      <c r="D1227" s="23"/>
      <c r="E1227" s="23"/>
    </row>
    <row r="1228">
      <c r="A1228" s="22"/>
      <c r="B1228" s="23"/>
      <c r="C1228" s="23"/>
      <c r="D1228" s="23"/>
      <c r="E1228" s="23"/>
    </row>
    <row r="1229">
      <c r="A1229" s="22"/>
      <c r="B1229" s="23"/>
      <c r="C1229" s="23"/>
      <c r="D1229" s="23"/>
      <c r="E1229" s="23"/>
    </row>
    <row r="1230">
      <c r="A1230" s="22"/>
      <c r="B1230" s="23"/>
      <c r="C1230" s="23"/>
      <c r="D1230" s="23"/>
      <c r="E1230" s="23"/>
    </row>
    <row r="1231">
      <c r="A1231" s="22"/>
      <c r="B1231" s="23"/>
      <c r="C1231" s="23"/>
      <c r="D1231" s="23"/>
      <c r="E1231" s="23"/>
    </row>
    <row r="1232">
      <c r="A1232" s="22"/>
      <c r="B1232" s="23"/>
      <c r="C1232" s="23"/>
      <c r="D1232" s="23"/>
      <c r="E1232" s="23"/>
    </row>
    <row r="1233">
      <c r="A1233" s="22"/>
      <c r="B1233" s="23"/>
      <c r="C1233" s="23"/>
      <c r="D1233" s="23"/>
      <c r="E1233" s="23"/>
    </row>
    <row r="1234">
      <c r="A1234" s="22"/>
      <c r="B1234" s="23"/>
      <c r="C1234" s="23"/>
      <c r="D1234" s="23"/>
      <c r="E1234" s="23"/>
    </row>
    <row r="1235">
      <c r="A1235" s="22"/>
      <c r="B1235" s="23"/>
      <c r="C1235" s="23"/>
      <c r="D1235" s="23"/>
      <c r="E1235" s="23"/>
    </row>
    <row r="1236">
      <c r="A1236" s="22"/>
      <c r="B1236" s="23"/>
      <c r="C1236" s="23"/>
      <c r="D1236" s="23"/>
      <c r="E1236" s="23"/>
    </row>
    <row r="1237">
      <c r="A1237" s="22"/>
      <c r="B1237" s="23"/>
      <c r="C1237" s="23"/>
      <c r="D1237" s="23"/>
      <c r="E1237" s="23"/>
    </row>
    <row r="1238">
      <c r="A1238" s="22"/>
      <c r="B1238" s="23"/>
      <c r="C1238" s="23"/>
      <c r="D1238" s="23"/>
      <c r="E1238" s="23"/>
    </row>
    <row r="1239">
      <c r="A1239" s="22"/>
      <c r="B1239" s="23"/>
      <c r="C1239" s="23"/>
      <c r="D1239" s="23"/>
      <c r="E1239" s="23"/>
    </row>
    <row r="1240">
      <c r="A1240" s="22"/>
      <c r="B1240" s="23"/>
      <c r="C1240" s="23"/>
      <c r="D1240" s="23"/>
      <c r="E1240" s="23"/>
    </row>
    <row r="1241">
      <c r="A1241" s="22"/>
      <c r="B1241" s="23"/>
      <c r="C1241" s="23"/>
      <c r="D1241" s="23"/>
      <c r="E1241" s="23"/>
    </row>
    <row r="1242">
      <c r="A1242" s="22"/>
      <c r="B1242" s="23"/>
      <c r="C1242" s="23"/>
      <c r="D1242" s="23"/>
      <c r="E1242" s="23"/>
    </row>
    <row r="1243">
      <c r="A1243" s="22"/>
      <c r="B1243" s="23"/>
      <c r="C1243" s="23"/>
      <c r="D1243" s="23"/>
      <c r="E1243" s="23"/>
    </row>
    <row r="1244">
      <c r="A1244" s="22"/>
      <c r="B1244" s="23"/>
      <c r="C1244" s="23"/>
      <c r="D1244" s="23"/>
      <c r="E1244" s="23"/>
    </row>
    <row r="1245">
      <c r="A1245" s="22"/>
      <c r="B1245" s="23"/>
      <c r="C1245" s="23"/>
      <c r="D1245" s="23"/>
      <c r="E1245" s="23"/>
    </row>
    <row r="1246">
      <c r="A1246" s="22"/>
      <c r="B1246" s="23"/>
      <c r="C1246" s="23"/>
      <c r="D1246" s="23"/>
      <c r="E1246" s="23"/>
    </row>
    <row r="1247">
      <c r="A1247" s="22"/>
      <c r="B1247" s="23"/>
      <c r="C1247" s="23"/>
      <c r="D1247" s="23"/>
      <c r="E1247" s="23"/>
    </row>
    <row r="1248">
      <c r="A1248" s="22"/>
      <c r="B1248" s="23"/>
      <c r="C1248" s="23"/>
      <c r="D1248" s="23"/>
      <c r="E1248" s="23"/>
    </row>
    <row r="1249">
      <c r="A1249" s="22"/>
      <c r="B1249" s="23"/>
      <c r="C1249" s="23"/>
      <c r="D1249" s="23"/>
      <c r="E1249" s="23"/>
    </row>
    <row r="1250">
      <c r="A1250" s="22"/>
      <c r="B1250" s="23"/>
      <c r="C1250" s="23"/>
      <c r="D1250" s="23"/>
      <c r="E1250" s="23"/>
    </row>
    <row r="1251">
      <c r="A1251" s="22"/>
      <c r="B1251" s="23"/>
      <c r="C1251" s="23"/>
      <c r="D1251" s="23"/>
      <c r="E1251" s="23"/>
    </row>
    <row r="1252">
      <c r="A1252" s="22"/>
      <c r="B1252" s="23"/>
      <c r="C1252" s="23"/>
      <c r="D1252" s="23"/>
      <c r="E1252" s="23"/>
    </row>
    <row r="1253">
      <c r="A1253" s="22"/>
      <c r="B1253" s="23"/>
      <c r="C1253" s="23"/>
      <c r="D1253" s="23"/>
      <c r="E1253" s="23"/>
    </row>
    <row r="1254">
      <c r="A1254" s="22"/>
      <c r="B1254" s="23"/>
      <c r="C1254" s="23"/>
      <c r="D1254" s="23"/>
      <c r="E1254" s="23"/>
    </row>
    <row r="1255">
      <c r="A1255" s="22"/>
      <c r="B1255" s="23"/>
      <c r="C1255" s="23"/>
      <c r="D1255" s="23"/>
      <c r="E1255" s="23"/>
    </row>
    <row r="1256">
      <c r="A1256" s="22"/>
      <c r="B1256" s="23"/>
      <c r="C1256" s="23"/>
      <c r="D1256" s="23"/>
      <c r="E1256" s="23"/>
    </row>
    <row r="1257">
      <c r="A1257" s="22"/>
      <c r="B1257" s="23"/>
      <c r="C1257" s="23"/>
      <c r="D1257" s="23"/>
      <c r="E1257" s="23"/>
    </row>
    <row r="1258">
      <c r="A1258" s="22"/>
      <c r="B1258" s="23"/>
      <c r="C1258" s="23"/>
      <c r="D1258" s="23"/>
      <c r="E1258" s="23"/>
    </row>
    <row r="1259">
      <c r="A1259" s="22"/>
      <c r="B1259" s="23"/>
      <c r="C1259" s="23"/>
      <c r="D1259" s="23"/>
      <c r="E1259" s="23"/>
    </row>
    <row r="1260">
      <c r="A1260" s="22"/>
      <c r="B1260" s="23"/>
      <c r="C1260" s="23"/>
      <c r="D1260" s="23"/>
      <c r="E1260" s="23"/>
    </row>
    <row r="1261">
      <c r="A1261" s="22"/>
      <c r="B1261" s="23"/>
      <c r="C1261" s="23"/>
      <c r="D1261" s="23"/>
      <c r="E1261" s="23"/>
    </row>
    <row r="1262">
      <c r="A1262" s="22"/>
      <c r="B1262" s="23"/>
      <c r="C1262" s="23"/>
      <c r="D1262" s="23"/>
      <c r="E1262" s="23"/>
    </row>
    <row r="1263">
      <c r="A1263" s="22"/>
      <c r="B1263" s="23"/>
      <c r="C1263" s="23"/>
      <c r="D1263" s="23"/>
      <c r="E1263" s="23"/>
    </row>
    <row r="1264">
      <c r="A1264" s="22"/>
      <c r="B1264" s="23"/>
      <c r="C1264" s="23"/>
      <c r="D1264" s="23"/>
      <c r="E1264" s="23"/>
    </row>
    <row r="1265">
      <c r="A1265" s="22"/>
      <c r="B1265" s="23"/>
      <c r="C1265" s="23"/>
      <c r="D1265" s="23"/>
      <c r="E1265" s="23"/>
    </row>
    <row r="1266">
      <c r="A1266" s="22"/>
      <c r="B1266" s="23"/>
      <c r="C1266" s="23"/>
      <c r="D1266" s="23"/>
      <c r="E1266" s="23"/>
    </row>
    <row r="1267">
      <c r="A1267" s="22"/>
      <c r="B1267" s="23"/>
      <c r="C1267" s="23"/>
      <c r="D1267" s="23"/>
      <c r="E1267" s="23"/>
    </row>
    <row r="1268">
      <c r="A1268" s="22"/>
      <c r="B1268" s="23"/>
      <c r="C1268" s="23"/>
      <c r="D1268" s="23"/>
      <c r="E1268" s="23"/>
    </row>
    <row r="1269">
      <c r="A1269" s="22"/>
      <c r="B1269" s="23"/>
      <c r="C1269" s="23"/>
      <c r="D1269" s="23"/>
      <c r="E1269" s="23"/>
    </row>
    <row r="1270">
      <c r="A1270" s="22"/>
      <c r="B1270" s="23"/>
      <c r="C1270" s="23"/>
      <c r="D1270" s="23"/>
      <c r="E1270" s="23"/>
    </row>
    <row r="1271">
      <c r="A1271" s="22"/>
      <c r="B1271" s="23"/>
      <c r="C1271" s="23"/>
      <c r="D1271" s="23"/>
      <c r="E1271" s="23"/>
    </row>
    <row r="1272">
      <c r="A1272" s="22"/>
      <c r="B1272" s="23"/>
      <c r="C1272" s="23"/>
      <c r="D1272" s="23"/>
      <c r="E1272" s="23"/>
    </row>
    <row r="1273">
      <c r="A1273" s="22"/>
      <c r="B1273" s="23"/>
      <c r="C1273" s="23"/>
      <c r="D1273" s="23"/>
      <c r="E1273" s="23"/>
    </row>
    <row r="1274">
      <c r="A1274" s="22"/>
      <c r="B1274" s="23"/>
      <c r="C1274" s="23"/>
      <c r="D1274" s="23"/>
      <c r="E1274" s="23"/>
    </row>
    <row r="1275">
      <c r="A1275" s="22"/>
      <c r="B1275" s="23"/>
      <c r="C1275" s="23"/>
      <c r="D1275" s="23"/>
      <c r="E1275" s="23"/>
    </row>
    <row r="1276">
      <c r="A1276" s="22"/>
      <c r="B1276" s="23"/>
      <c r="C1276" s="23"/>
      <c r="D1276" s="23"/>
      <c r="E1276" s="23"/>
    </row>
    <row r="1277">
      <c r="A1277" s="22"/>
      <c r="B1277" s="23"/>
      <c r="C1277" s="23"/>
      <c r="D1277" s="23"/>
      <c r="E1277" s="23"/>
    </row>
    <row r="1278">
      <c r="A1278" s="22"/>
      <c r="B1278" s="23"/>
      <c r="C1278" s="23"/>
      <c r="D1278" s="23"/>
      <c r="E1278" s="23"/>
    </row>
    <row r="1279">
      <c r="A1279" s="22"/>
      <c r="B1279" s="23"/>
      <c r="C1279" s="23"/>
      <c r="D1279" s="23"/>
      <c r="E1279" s="23"/>
    </row>
    <row r="1280">
      <c r="A1280" s="22"/>
      <c r="B1280" s="23"/>
      <c r="C1280" s="23"/>
      <c r="D1280" s="23"/>
      <c r="E1280" s="23"/>
    </row>
    <row r="1281">
      <c r="A1281" s="22"/>
      <c r="B1281" s="23"/>
      <c r="C1281" s="23"/>
      <c r="D1281" s="23"/>
      <c r="E1281" s="23"/>
    </row>
    <row r="1282">
      <c r="A1282" s="22"/>
      <c r="B1282" s="23"/>
      <c r="C1282" s="23"/>
      <c r="D1282" s="23"/>
      <c r="E1282" s="23"/>
    </row>
    <row r="1283">
      <c r="A1283" s="22"/>
      <c r="B1283" s="23"/>
      <c r="C1283" s="23"/>
      <c r="D1283" s="23"/>
      <c r="E1283" s="23"/>
    </row>
    <row r="1284">
      <c r="A1284" s="22"/>
      <c r="B1284" s="23"/>
      <c r="C1284" s="23"/>
      <c r="D1284" s="23"/>
      <c r="E1284" s="23"/>
    </row>
    <row r="1285">
      <c r="A1285" s="22"/>
      <c r="B1285" s="23"/>
      <c r="C1285" s="23"/>
      <c r="D1285" s="23"/>
      <c r="E1285" s="23"/>
    </row>
    <row r="1286">
      <c r="A1286" s="22"/>
      <c r="B1286" s="23"/>
      <c r="C1286" s="23"/>
      <c r="D1286" s="23"/>
      <c r="E1286" s="23"/>
    </row>
    <row r="1287">
      <c r="A1287" s="22"/>
      <c r="B1287" s="23"/>
      <c r="C1287" s="23"/>
      <c r="D1287" s="23"/>
      <c r="E1287" s="23"/>
    </row>
    <row r="1288">
      <c r="A1288" s="22"/>
      <c r="B1288" s="23"/>
      <c r="C1288" s="23"/>
      <c r="D1288" s="23"/>
      <c r="E1288" s="23"/>
    </row>
    <row r="1289">
      <c r="A1289" s="22"/>
      <c r="B1289" s="23"/>
      <c r="C1289" s="23"/>
      <c r="D1289" s="23"/>
      <c r="E1289" s="23"/>
    </row>
    <row r="1290">
      <c r="A1290" s="22"/>
      <c r="B1290" s="23"/>
      <c r="C1290" s="23"/>
      <c r="D1290" s="23"/>
      <c r="E1290" s="23"/>
    </row>
    <row r="1291">
      <c r="A1291" s="22"/>
      <c r="B1291" s="23"/>
      <c r="C1291" s="23"/>
      <c r="D1291" s="23"/>
      <c r="E1291" s="23"/>
    </row>
    <row r="1292">
      <c r="A1292" s="22"/>
      <c r="B1292" s="23"/>
      <c r="C1292" s="23"/>
      <c r="D1292" s="23"/>
      <c r="E1292" s="23"/>
    </row>
    <row r="1293">
      <c r="A1293" s="22"/>
      <c r="B1293" s="23"/>
      <c r="C1293" s="23"/>
      <c r="D1293" s="23"/>
      <c r="E1293" s="23"/>
    </row>
    <row r="1294">
      <c r="A1294" s="22"/>
      <c r="B1294" s="23"/>
      <c r="C1294" s="23"/>
      <c r="D1294" s="23"/>
      <c r="E1294" s="23"/>
    </row>
    <row r="1295">
      <c r="A1295" s="22"/>
      <c r="B1295" s="23"/>
      <c r="C1295" s="23"/>
      <c r="D1295" s="23"/>
      <c r="E1295" s="23"/>
    </row>
    <row r="1296">
      <c r="A1296" s="22"/>
      <c r="B1296" s="23"/>
      <c r="C1296" s="23"/>
      <c r="D1296" s="23"/>
      <c r="E1296" s="23"/>
    </row>
    <row r="1297">
      <c r="A1297" s="22"/>
      <c r="B1297" s="23"/>
      <c r="C1297" s="23"/>
      <c r="D1297" s="23"/>
      <c r="E1297" s="23"/>
    </row>
    <row r="1298">
      <c r="A1298" s="22"/>
      <c r="B1298" s="23"/>
      <c r="C1298" s="23"/>
      <c r="D1298" s="23"/>
      <c r="E1298" s="23"/>
    </row>
    <row r="1299">
      <c r="A1299" s="22"/>
      <c r="B1299" s="23"/>
      <c r="C1299" s="23"/>
      <c r="D1299" s="23"/>
      <c r="E1299" s="23"/>
    </row>
    <row r="1300">
      <c r="A1300" s="22"/>
      <c r="B1300" s="23"/>
      <c r="C1300" s="23"/>
      <c r="D1300" s="23"/>
      <c r="E1300" s="23"/>
    </row>
    <row r="1301">
      <c r="A1301" s="22"/>
      <c r="B1301" s="23"/>
      <c r="C1301" s="23"/>
      <c r="D1301" s="23"/>
      <c r="E1301" s="23"/>
    </row>
    <row r="1302">
      <c r="A1302" s="22"/>
      <c r="B1302" s="23"/>
      <c r="C1302" s="23"/>
      <c r="D1302" s="23"/>
      <c r="E1302" s="23"/>
    </row>
    <row r="1303">
      <c r="A1303" s="22"/>
      <c r="B1303" s="23"/>
      <c r="C1303" s="23"/>
      <c r="D1303" s="23"/>
      <c r="E1303" s="23"/>
    </row>
    <row r="1304">
      <c r="A1304" s="22"/>
      <c r="B1304" s="23"/>
      <c r="C1304" s="23"/>
      <c r="D1304" s="23"/>
      <c r="E1304" s="23"/>
    </row>
    <row r="1305">
      <c r="A1305" s="22"/>
      <c r="B1305" s="23"/>
      <c r="C1305" s="23"/>
      <c r="D1305" s="23"/>
      <c r="E1305" s="23"/>
    </row>
    <row r="1306">
      <c r="A1306" s="22"/>
      <c r="B1306" s="23"/>
      <c r="C1306" s="23"/>
      <c r="D1306" s="23"/>
      <c r="E1306" s="23"/>
    </row>
    <row r="1307">
      <c r="A1307" s="22"/>
      <c r="B1307" s="23"/>
      <c r="C1307" s="23"/>
      <c r="D1307" s="23"/>
      <c r="E1307" s="23"/>
    </row>
    <row r="1308">
      <c r="A1308" s="22"/>
      <c r="B1308" s="23"/>
      <c r="C1308" s="23"/>
      <c r="D1308" s="23"/>
      <c r="E1308" s="23"/>
    </row>
    <row r="1309">
      <c r="A1309" s="22"/>
      <c r="B1309" s="23"/>
      <c r="C1309" s="23"/>
      <c r="D1309" s="23"/>
      <c r="E1309" s="23"/>
    </row>
    <row r="1310">
      <c r="A1310" s="22"/>
      <c r="B1310" s="23"/>
      <c r="C1310" s="23"/>
      <c r="D1310" s="23"/>
      <c r="E1310" s="23"/>
    </row>
    <row r="1311">
      <c r="A1311" s="22"/>
      <c r="B1311" s="23"/>
      <c r="C1311" s="23"/>
      <c r="D1311" s="23"/>
      <c r="E1311" s="23"/>
    </row>
    <row r="1312">
      <c r="A1312" s="22"/>
      <c r="B1312" s="23"/>
      <c r="C1312" s="23"/>
      <c r="D1312" s="23"/>
      <c r="E1312" s="23"/>
    </row>
    <row r="1313">
      <c r="A1313" s="22"/>
      <c r="B1313" s="23"/>
      <c r="C1313" s="23"/>
      <c r="D1313" s="23"/>
      <c r="E1313" s="23"/>
    </row>
    <row r="1314">
      <c r="A1314" s="22"/>
      <c r="B1314" s="23"/>
      <c r="C1314" s="23"/>
      <c r="D1314" s="23"/>
      <c r="E1314" s="23"/>
    </row>
    <row r="1315">
      <c r="A1315" s="22"/>
      <c r="B1315" s="23"/>
      <c r="C1315" s="23"/>
      <c r="D1315" s="23"/>
      <c r="E1315" s="23"/>
    </row>
    <row r="1316">
      <c r="A1316" s="22"/>
      <c r="B1316" s="23"/>
      <c r="C1316" s="23"/>
      <c r="D1316" s="23"/>
      <c r="E1316" s="23"/>
    </row>
    <row r="1317">
      <c r="A1317" s="22"/>
      <c r="B1317" s="23"/>
      <c r="C1317" s="23"/>
      <c r="D1317" s="23"/>
      <c r="E1317" s="23"/>
    </row>
    <row r="1318">
      <c r="A1318" s="22"/>
      <c r="B1318" s="23"/>
      <c r="C1318" s="23"/>
      <c r="D1318" s="23"/>
      <c r="E1318" s="23"/>
    </row>
    <row r="1319">
      <c r="A1319" s="22"/>
      <c r="B1319" s="23"/>
      <c r="C1319" s="23"/>
      <c r="D1319" s="23"/>
      <c r="E1319" s="23"/>
    </row>
    <row r="1320">
      <c r="A1320" s="22" t="s">
        <v>3157</v>
      </c>
      <c r="B1320" s="23" t="s">
        <v>3158</v>
      </c>
      <c r="C1320" s="23" t="s">
        <v>3157</v>
      </c>
      <c r="D1320" s="23"/>
      <c r="E1320" s="23"/>
    </row>
    <row r="1321">
      <c r="A1321" s="22" t="s">
        <v>3159</v>
      </c>
      <c r="B1321" s="23" t="s">
        <v>3160</v>
      </c>
      <c r="C1321" s="23" t="s">
        <v>3159</v>
      </c>
      <c r="D1321" s="23"/>
      <c r="E1321" s="23"/>
    </row>
    <row r="1322">
      <c r="A1322" s="22" t="s">
        <v>3162</v>
      </c>
      <c r="B1322" s="23" t="s">
        <v>3162</v>
      </c>
      <c r="C1322" s="23" t="s">
        <v>3162</v>
      </c>
      <c r="D1322" s="23"/>
      <c r="E1322" s="23"/>
    </row>
    <row r="1323">
      <c r="A1323" s="22"/>
      <c r="B1323" s="23"/>
      <c r="C1323" s="23"/>
      <c r="D1323" s="23"/>
      <c r="E1323" s="23"/>
    </row>
    <row r="1324">
      <c r="A1324" s="22"/>
      <c r="B1324" s="23"/>
      <c r="C1324" s="23"/>
      <c r="D1324" s="23"/>
      <c r="E1324" s="23"/>
    </row>
    <row r="1325">
      <c r="A1325" s="22"/>
      <c r="B1325" s="23"/>
      <c r="C1325" s="23"/>
      <c r="D1325" s="23"/>
      <c r="E1325" s="23"/>
    </row>
    <row r="1326">
      <c r="A1326" s="22"/>
      <c r="B1326" s="23"/>
      <c r="C1326" s="23"/>
      <c r="D1326" s="23"/>
      <c r="E1326" s="23"/>
    </row>
    <row r="1327">
      <c r="A1327" s="22"/>
      <c r="B1327" s="23"/>
      <c r="C1327" s="23"/>
      <c r="D1327" s="23"/>
      <c r="E1327" s="23"/>
    </row>
    <row r="1328">
      <c r="A1328" s="22"/>
      <c r="B1328" s="23"/>
      <c r="C1328" s="23"/>
      <c r="D1328" s="23"/>
      <c r="E1328" s="23"/>
    </row>
    <row r="1329">
      <c r="A1329" s="22"/>
      <c r="B1329" s="23"/>
      <c r="C1329" s="23"/>
      <c r="D1329" s="23"/>
      <c r="E1329" s="23"/>
    </row>
    <row r="1330">
      <c r="A1330" s="22"/>
      <c r="B1330" s="23"/>
      <c r="C1330" s="23"/>
      <c r="D1330" s="23"/>
      <c r="E1330" s="23"/>
    </row>
    <row r="1331">
      <c r="A1331" s="22"/>
      <c r="B1331" s="23"/>
      <c r="C1331" s="23"/>
      <c r="D1331" s="23"/>
      <c r="E1331" s="23"/>
    </row>
    <row r="1332">
      <c r="A1332" s="22"/>
      <c r="B1332" s="23"/>
      <c r="C1332" s="23"/>
      <c r="D1332" s="23"/>
      <c r="E1332" s="23"/>
    </row>
    <row r="1333">
      <c r="A1333" s="22"/>
      <c r="B1333" s="23"/>
      <c r="C1333" s="23"/>
      <c r="D1333" s="23"/>
      <c r="E1333" s="23"/>
    </row>
  </sheetData>
  <autoFilter ref="$A$1:$E$880">
    <filterColumn colId="2">
      <filters>
        <filter val="P"/>
        <filter val="D"/>
      </filters>
    </filterColumn>
  </autoFilter>
  <customSheetViews>
    <customSheetView guid="{D42415EC-BCD2-4837-8207-9828990F0E19}" filter="1" showAutoFilter="1">
      <autoFilter ref="$A$1:$E$880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52.25"/>
    <col customWidth="1" min="2" max="2" width="24.88"/>
    <col customWidth="1" min="3" max="3" width="20.13"/>
    <col customWidth="1" min="4" max="4" width="52.0"/>
  </cols>
  <sheetData>
    <row r="1">
      <c r="A1" s="2" t="s">
        <v>9</v>
      </c>
      <c r="B1" s="2" t="s">
        <v>10</v>
      </c>
      <c r="C1" s="31" t="s">
        <v>3190</v>
      </c>
      <c r="D1" s="31" t="s">
        <v>3190</v>
      </c>
    </row>
    <row r="2">
      <c r="A2" s="11" t="s">
        <v>3194</v>
      </c>
      <c r="B2" s="11" t="s">
        <v>44</v>
      </c>
      <c r="C2" s="31">
        <v>1025.0</v>
      </c>
      <c r="D2" s="31" t="s">
        <v>3194</v>
      </c>
    </row>
    <row r="3">
      <c r="A3" s="11" t="s">
        <v>3196</v>
      </c>
      <c r="B3" s="11" t="s">
        <v>120</v>
      </c>
      <c r="C3" s="31">
        <v>1026.0</v>
      </c>
      <c r="D3" s="31" t="s">
        <v>3197</v>
      </c>
    </row>
    <row r="4">
      <c r="A4" s="11" t="s">
        <v>3198</v>
      </c>
      <c r="B4" s="11" t="s">
        <v>120</v>
      </c>
      <c r="C4" s="31">
        <v>1027.0</v>
      </c>
      <c r="D4" s="31" t="s">
        <v>3198</v>
      </c>
    </row>
    <row r="5">
      <c r="A5" s="11" t="s">
        <v>1542</v>
      </c>
      <c r="B5" s="11" t="s">
        <v>44</v>
      </c>
      <c r="C5" s="31">
        <v>1028.0</v>
      </c>
      <c r="D5" s="31" t="s">
        <v>1542</v>
      </c>
    </row>
    <row r="6">
      <c r="A6" s="11" t="s">
        <v>3200</v>
      </c>
      <c r="B6" s="11" t="s">
        <v>44</v>
      </c>
      <c r="C6" s="31">
        <v>1029.0</v>
      </c>
      <c r="D6" s="31" t="s">
        <v>3200</v>
      </c>
    </row>
    <row r="7">
      <c r="A7" s="11" t="s">
        <v>3201</v>
      </c>
      <c r="B7" s="11" t="s">
        <v>44</v>
      </c>
      <c r="C7" s="31">
        <v>1030.0</v>
      </c>
      <c r="D7" s="31" t="s">
        <v>3201</v>
      </c>
    </row>
    <row r="8">
      <c r="A8" s="11" t="s">
        <v>3204</v>
      </c>
      <c r="B8" s="11" t="s">
        <v>44</v>
      </c>
      <c r="C8" s="31">
        <v>1031.0</v>
      </c>
      <c r="D8" s="31" t="s">
        <v>3204</v>
      </c>
    </row>
    <row r="9">
      <c r="A9" s="11" t="s">
        <v>2026</v>
      </c>
      <c r="B9" s="11" t="s">
        <v>44</v>
      </c>
      <c r="C9" s="31">
        <v>1032.0</v>
      </c>
      <c r="D9" s="31" t="s">
        <v>2026</v>
      </c>
    </row>
    <row r="10">
      <c r="A10" s="11" t="s">
        <v>2060</v>
      </c>
      <c r="B10" s="11" t="s">
        <v>120</v>
      </c>
      <c r="C10" s="31">
        <v>1033.0</v>
      </c>
      <c r="D10" s="31" t="s">
        <v>2060</v>
      </c>
    </row>
    <row r="11">
      <c r="A11" s="11" t="s">
        <v>2144</v>
      </c>
      <c r="B11" s="11" t="s">
        <v>120</v>
      </c>
      <c r="C11" s="31">
        <v>1034.0</v>
      </c>
      <c r="D11" s="31" t="s">
        <v>2144</v>
      </c>
    </row>
    <row r="12">
      <c r="A12" s="11" t="s">
        <v>2237</v>
      </c>
      <c r="B12" s="11" t="s">
        <v>120</v>
      </c>
      <c r="C12" s="31">
        <v>1035.0</v>
      </c>
      <c r="D12" s="31" t="s">
        <v>2237</v>
      </c>
    </row>
    <row r="13">
      <c r="A13" s="11" t="s">
        <v>2485</v>
      </c>
      <c r="B13" s="11" t="s">
        <v>44</v>
      </c>
      <c r="C13" s="31">
        <v>1036.0</v>
      </c>
      <c r="D13" s="31" t="s">
        <v>2485</v>
      </c>
    </row>
    <row r="14">
      <c r="A14" s="11" t="s">
        <v>2823</v>
      </c>
      <c r="B14" s="11" t="s">
        <v>120</v>
      </c>
      <c r="C14" s="31">
        <v>1037.0</v>
      </c>
      <c r="D14" s="31" t="s">
        <v>2823</v>
      </c>
    </row>
    <row r="15">
      <c r="A15" s="11" t="s">
        <v>2834</v>
      </c>
      <c r="B15" s="11" t="s">
        <v>120</v>
      </c>
      <c r="C15" s="31">
        <v>1037.0</v>
      </c>
      <c r="D15" s="31" t="s">
        <v>2823</v>
      </c>
    </row>
    <row r="16">
      <c r="A16" s="11" t="s">
        <v>3209</v>
      </c>
      <c r="B16" s="11" t="s">
        <v>120</v>
      </c>
      <c r="C16" s="31">
        <v>1037.0</v>
      </c>
      <c r="D16" s="31" t="s">
        <v>2823</v>
      </c>
    </row>
    <row r="17">
      <c r="A17" s="11" t="s">
        <v>2995</v>
      </c>
      <c r="B17" s="11" t="s">
        <v>44</v>
      </c>
      <c r="C17" s="31">
        <v>1038.0</v>
      </c>
      <c r="D17" s="31" t="s">
        <v>2823</v>
      </c>
    </row>
    <row r="18">
      <c r="A18" s="11" t="s">
        <v>3211</v>
      </c>
      <c r="B18" s="11" t="s">
        <v>44</v>
      </c>
      <c r="C18" s="32">
        <v>43.0</v>
      </c>
      <c r="D18" s="33" t="s">
        <v>310</v>
      </c>
      <c r="E18" s="34" t="s">
        <v>3213</v>
      </c>
    </row>
    <row r="19">
      <c r="A19" s="11" t="s">
        <v>3215</v>
      </c>
      <c r="B19" s="11" t="s">
        <v>44</v>
      </c>
      <c r="C19" s="31">
        <v>1039.0</v>
      </c>
      <c r="D19" s="31" t="s">
        <v>3215</v>
      </c>
      <c r="E19" s="35"/>
    </row>
    <row r="20">
      <c r="A20" s="11" t="s">
        <v>3216</v>
      </c>
      <c r="B20" s="11" t="s">
        <v>44</v>
      </c>
      <c r="C20" s="32">
        <v>1024.0</v>
      </c>
      <c r="D20" s="33" t="s">
        <v>2897</v>
      </c>
      <c r="E20" s="34" t="s">
        <v>3213</v>
      </c>
    </row>
    <row r="21">
      <c r="A21" s="11" t="s">
        <v>3220</v>
      </c>
      <c r="B21" s="11" t="s">
        <v>44</v>
      </c>
      <c r="C21" s="31">
        <v>1040.0</v>
      </c>
      <c r="D21" s="31" t="s">
        <v>3220</v>
      </c>
      <c r="E21" s="35"/>
    </row>
    <row r="22">
      <c r="A22" s="11" t="s">
        <v>3221</v>
      </c>
      <c r="B22" s="11" t="s">
        <v>44</v>
      </c>
      <c r="C22" s="31">
        <v>1041.0</v>
      </c>
      <c r="D22" s="31" t="s">
        <v>3221</v>
      </c>
      <c r="E22" s="35"/>
    </row>
    <row r="23">
      <c r="A23" s="11" t="s">
        <v>3223</v>
      </c>
      <c r="B23" s="11" t="s">
        <v>44</v>
      </c>
      <c r="C23" s="31">
        <v>1039.0</v>
      </c>
      <c r="D23" s="31" t="s">
        <v>3223</v>
      </c>
      <c r="E23" s="35"/>
    </row>
    <row r="24">
      <c r="A24" s="11" t="s">
        <v>3224</v>
      </c>
      <c r="B24" s="11" t="s">
        <v>44</v>
      </c>
      <c r="C24" s="32">
        <v>1024.0</v>
      </c>
      <c r="D24" s="33" t="s">
        <v>2897</v>
      </c>
      <c r="E24" s="34" t="s">
        <v>3213</v>
      </c>
    </row>
    <row r="25">
      <c r="A25" s="11" t="s">
        <v>3107</v>
      </c>
      <c r="B25" s="11" t="s">
        <v>120</v>
      </c>
      <c r="C25" s="31">
        <v>1042.0</v>
      </c>
      <c r="D25" s="31" t="s">
        <v>3107</v>
      </c>
      <c r="E25" s="35"/>
    </row>
    <row r="26">
      <c r="A26" s="11" t="s">
        <v>3115</v>
      </c>
      <c r="B26" s="11" t="s">
        <v>120</v>
      </c>
      <c r="C26" s="31">
        <v>1043.0</v>
      </c>
      <c r="D26" s="31" t="s">
        <v>3115</v>
      </c>
      <c r="E26" s="35"/>
    </row>
    <row r="27">
      <c r="A27" s="11" t="s">
        <v>3124</v>
      </c>
      <c r="B27" s="11" t="s">
        <v>120</v>
      </c>
      <c r="C27" s="31">
        <v>1044.0</v>
      </c>
      <c r="D27" s="31" t="s">
        <v>3228</v>
      </c>
    </row>
    <row r="28">
      <c r="A28" s="11" t="s">
        <v>3128</v>
      </c>
      <c r="B28" s="11" t="s">
        <v>120</v>
      </c>
      <c r="C28" s="31">
        <v>1044.0</v>
      </c>
      <c r="D28" s="31" t="s">
        <v>3228</v>
      </c>
    </row>
    <row r="29">
      <c r="A29" s="11" t="s">
        <v>3230</v>
      </c>
      <c r="B29" s="11" t="s">
        <v>120</v>
      </c>
      <c r="C29" s="31">
        <v>1045.0</v>
      </c>
      <c r="D29" s="31" t="s">
        <v>3230</v>
      </c>
    </row>
    <row r="30">
      <c r="A30" s="11" t="s">
        <v>3231</v>
      </c>
      <c r="B30" s="11" t="s">
        <v>120</v>
      </c>
      <c r="C30" s="31">
        <v>1047.0</v>
      </c>
      <c r="D30" s="31" t="s">
        <v>3228</v>
      </c>
    </row>
    <row r="31">
      <c r="A31" s="11" t="s">
        <v>3141</v>
      </c>
      <c r="B31" s="11" t="s">
        <v>120</v>
      </c>
      <c r="C31" s="31">
        <v>1044.0</v>
      </c>
      <c r="D31" s="31" t="s">
        <v>3228</v>
      </c>
    </row>
    <row r="32">
      <c r="A32" s="11" t="s">
        <v>3144</v>
      </c>
      <c r="B32" s="11" t="s">
        <v>120</v>
      </c>
      <c r="C32" s="31">
        <v>1044.0</v>
      </c>
      <c r="D32" s="31" t="s">
        <v>3228</v>
      </c>
    </row>
    <row r="33">
      <c r="A33" s="11" t="s">
        <v>3234</v>
      </c>
      <c r="B33" s="11" t="s">
        <v>120</v>
      </c>
      <c r="C33" s="31">
        <v>1044.0</v>
      </c>
      <c r="D33" s="31" t="s">
        <v>3228</v>
      </c>
    </row>
    <row r="34">
      <c r="A34" s="11" t="s">
        <v>3164</v>
      </c>
      <c r="B34" s="11" t="s">
        <v>120</v>
      </c>
      <c r="C34" s="31">
        <v>1044.0</v>
      </c>
      <c r="D34" s="31" t="s">
        <v>3228</v>
      </c>
    </row>
    <row r="35">
      <c r="A35" s="11" t="s">
        <v>3167</v>
      </c>
      <c r="B35" s="11" t="s">
        <v>120</v>
      </c>
      <c r="C35" s="31">
        <v>1044.0</v>
      </c>
      <c r="D35" s="31" t="s">
        <v>3228</v>
      </c>
    </row>
    <row r="36">
      <c r="A36" s="11" t="s">
        <v>3170</v>
      </c>
      <c r="B36" s="11" t="s">
        <v>120</v>
      </c>
      <c r="C36" s="31">
        <v>1044.0</v>
      </c>
      <c r="D36" s="31" t="s">
        <v>3228</v>
      </c>
    </row>
    <row r="37">
      <c r="A37" s="11" t="s">
        <v>3174</v>
      </c>
      <c r="B37" s="11" t="s">
        <v>120</v>
      </c>
      <c r="C37" s="31">
        <v>1045.0</v>
      </c>
      <c r="D37" s="31" t="s">
        <v>3238</v>
      </c>
    </row>
    <row r="38">
      <c r="A38" s="11" t="s">
        <v>3177</v>
      </c>
      <c r="B38" s="11" t="s">
        <v>120</v>
      </c>
      <c r="C38" s="31">
        <v>1045.0</v>
      </c>
      <c r="D38" s="31" t="s">
        <v>3238</v>
      </c>
    </row>
    <row r="39">
      <c r="A39" s="11" t="s">
        <v>3182</v>
      </c>
      <c r="B39" s="11" t="s">
        <v>120</v>
      </c>
      <c r="C39" s="31">
        <v>1045.0</v>
      </c>
      <c r="D39" s="31" t="s">
        <v>3238</v>
      </c>
    </row>
    <row r="40">
      <c r="A40" s="11" t="s">
        <v>3240</v>
      </c>
      <c r="B40" s="11" t="s">
        <v>120</v>
      </c>
      <c r="C40" s="31">
        <v>1045.0</v>
      </c>
      <c r="D40" s="31" t="s">
        <v>3238</v>
      </c>
    </row>
    <row r="41">
      <c r="A41" s="11" t="s">
        <v>3241</v>
      </c>
      <c r="B41" s="11" t="s">
        <v>120</v>
      </c>
      <c r="C41" s="31">
        <v>1045.0</v>
      </c>
      <c r="D41" s="31" t="s">
        <v>3238</v>
      </c>
    </row>
    <row r="42">
      <c r="A42" s="11" t="s">
        <v>3203</v>
      </c>
      <c r="B42" s="11" t="s">
        <v>120</v>
      </c>
      <c r="C42" s="31">
        <v>1045.0</v>
      </c>
      <c r="D42" s="31" t="s">
        <v>3238</v>
      </c>
    </row>
    <row r="43">
      <c r="A43" s="11" t="s">
        <v>3210</v>
      </c>
      <c r="B43" s="11" t="s">
        <v>120</v>
      </c>
      <c r="C43" s="31">
        <v>1045.0</v>
      </c>
      <c r="D43" s="31" t="s">
        <v>3238</v>
      </c>
    </row>
    <row r="44">
      <c r="A44" s="11" t="s">
        <v>3246</v>
      </c>
      <c r="B44" s="11" t="s">
        <v>120</v>
      </c>
      <c r="C44" s="31">
        <v>1046.0</v>
      </c>
      <c r="D44" s="31" t="s">
        <v>3247</v>
      </c>
    </row>
    <row r="45">
      <c r="A45" s="11" t="s">
        <v>3248</v>
      </c>
      <c r="B45" s="11" t="s">
        <v>120</v>
      </c>
      <c r="C45" s="31">
        <v>1046.0</v>
      </c>
      <c r="D45" s="31" t="s">
        <v>3247</v>
      </c>
    </row>
    <row r="46">
      <c r="A46" s="11" t="s">
        <v>3250</v>
      </c>
      <c r="B46" s="11" t="s">
        <v>120</v>
      </c>
      <c r="C46" s="31">
        <v>1045.0</v>
      </c>
      <c r="D46" s="31" t="s">
        <v>3238</v>
      </c>
    </row>
    <row r="47">
      <c r="A47" s="11" t="s">
        <v>3251</v>
      </c>
      <c r="B47" s="11" t="s">
        <v>120</v>
      </c>
      <c r="C47" s="31">
        <v>1047.0</v>
      </c>
      <c r="D47" s="31" t="s">
        <v>3253</v>
      </c>
    </row>
    <row r="48">
      <c r="A48" s="11" t="s">
        <v>3254</v>
      </c>
      <c r="B48" s="11" t="s">
        <v>120</v>
      </c>
      <c r="C48" s="31">
        <v>1046.0</v>
      </c>
      <c r="D48" s="31" t="s">
        <v>3247</v>
      </c>
    </row>
    <row r="49">
      <c r="A49" s="11" t="s">
        <v>3256</v>
      </c>
      <c r="B49" s="11" t="s">
        <v>120</v>
      </c>
      <c r="C49" s="31">
        <v>1046.0</v>
      </c>
      <c r="D49" s="31" t="s">
        <v>3247</v>
      </c>
    </row>
    <row r="50">
      <c r="A50" s="11" t="s">
        <v>3258</v>
      </c>
      <c r="B50" s="11" t="s">
        <v>120</v>
      </c>
      <c r="C50" s="31">
        <v>1046.0</v>
      </c>
      <c r="D50" s="31" t="s">
        <v>3247</v>
      </c>
    </row>
    <row r="51">
      <c r="A51" s="11" t="s">
        <v>3259</v>
      </c>
      <c r="B51" s="11" t="s">
        <v>120</v>
      </c>
      <c r="C51" s="31">
        <v>1048.0</v>
      </c>
      <c r="D51" s="31" t="s">
        <v>3261</v>
      </c>
    </row>
    <row r="52">
      <c r="A52" s="11" t="s">
        <v>3262</v>
      </c>
      <c r="B52" s="11" t="s">
        <v>120</v>
      </c>
      <c r="C52" s="31">
        <v>1048.0</v>
      </c>
      <c r="D52" s="31" t="s">
        <v>3261</v>
      </c>
    </row>
    <row r="53">
      <c r="A53" s="11" t="s">
        <v>3263</v>
      </c>
      <c r="B53" s="11" t="s">
        <v>120</v>
      </c>
      <c r="C53" s="31">
        <v>1048.0</v>
      </c>
      <c r="D53" s="31" t="s">
        <v>3261</v>
      </c>
    </row>
    <row r="54">
      <c r="A54" s="11" t="s">
        <v>3264</v>
      </c>
      <c r="B54" s="11" t="s">
        <v>120</v>
      </c>
      <c r="C54" s="31">
        <v>1048.0</v>
      </c>
      <c r="D54" s="31" t="s">
        <v>3261</v>
      </c>
    </row>
    <row r="55">
      <c r="A55" s="11" t="s">
        <v>3266</v>
      </c>
      <c r="B55" s="11" t="s">
        <v>120</v>
      </c>
      <c r="C55" s="31">
        <v>1048.0</v>
      </c>
      <c r="D55" s="31" t="s">
        <v>3261</v>
      </c>
    </row>
    <row r="56">
      <c r="A56" s="11" t="s">
        <v>3267</v>
      </c>
      <c r="B56" s="11" t="s">
        <v>120</v>
      </c>
      <c r="C56" s="32">
        <v>37.0</v>
      </c>
      <c r="D56" s="32" t="s">
        <v>283</v>
      </c>
      <c r="E56" s="32" t="s">
        <v>3213</v>
      </c>
    </row>
    <row r="57">
      <c r="A57" s="11" t="s">
        <v>3269</v>
      </c>
      <c r="B57" s="11" t="s">
        <v>120</v>
      </c>
      <c r="C57" s="32">
        <v>37.0</v>
      </c>
      <c r="D57" s="32" t="s">
        <v>283</v>
      </c>
      <c r="E57" s="32" t="s">
        <v>3213</v>
      </c>
    </row>
    <row r="58">
      <c r="A58" s="11" t="s">
        <v>3270</v>
      </c>
      <c r="B58" s="11" t="s">
        <v>120</v>
      </c>
      <c r="C58" s="32">
        <v>37.0</v>
      </c>
      <c r="D58" s="32" t="s">
        <v>283</v>
      </c>
      <c r="E58" s="32" t="s">
        <v>3213</v>
      </c>
    </row>
    <row r="59">
      <c r="A59" s="11" t="s">
        <v>3272</v>
      </c>
      <c r="B59" s="11" t="s">
        <v>120</v>
      </c>
      <c r="C59" s="32">
        <v>37.0</v>
      </c>
      <c r="D59" s="32" t="s">
        <v>283</v>
      </c>
      <c r="E59" s="32" t="s">
        <v>3213</v>
      </c>
    </row>
    <row r="60">
      <c r="A60" s="11" t="s">
        <v>3273</v>
      </c>
      <c r="B60" s="11" t="s">
        <v>120</v>
      </c>
      <c r="C60" s="32">
        <v>37.0</v>
      </c>
      <c r="D60" s="32" t="s">
        <v>283</v>
      </c>
      <c r="E60" s="32" t="s">
        <v>3213</v>
      </c>
    </row>
    <row r="61">
      <c r="A61" s="11" t="s">
        <v>3275</v>
      </c>
      <c r="B61" s="11" t="s">
        <v>120</v>
      </c>
      <c r="C61" s="32">
        <v>37.0</v>
      </c>
      <c r="D61" s="32" t="s">
        <v>283</v>
      </c>
      <c r="E61" s="32" t="s">
        <v>3213</v>
      </c>
    </row>
    <row r="62">
      <c r="A62" s="11" t="s">
        <v>3276</v>
      </c>
      <c r="B62" s="11" t="s">
        <v>120</v>
      </c>
      <c r="C62" s="32">
        <v>37.0</v>
      </c>
      <c r="D62" s="32" t="s">
        <v>283</v>
      </c>
      <c r="E62" s="32" t="s">
        <v>3213</v>
      </c>
    </row>
    <row r="63">
      <c r="A63" s="11" t="s">
        <v>3278</v>
      </c>
      <c r="B63" s="11" t="s">
        <v>120</v>
      </c>
      <c r="C63" s="32">
        <v>37.0</v>
      </c>
      <c r="D63" s="32" t="s">
        <v>283</v>
      </c>
      <c r="E63" s="32" t="s">
        <v>3213</v>
      </c>
    </row>
    <row r="64">
      <c r="A64" s="11" t="s">
        <v>3279</v>
      </c>
      <c r="B64" s="11" t="s">
        <v>120</v>
      </c>
      <c r="C64" s="31">
        <v>1049.0</v>
      </c>
      <c r="D64" s="31" t="s">
        <v>3280</v>
      </c>
    </row>
    <row r="65">
      <c r="A65" s="11" t="s">
        <v>3282</v>
      </c>
      <c r="B65" s="11" t="s">
        <v>120</v>
      </c>
      <c r="C65" s="31">
        <v>1050.0</v>
      </c>
      <c r="D65" s="31" t="s">
        <v>3283</v>
      </c>
    </row>
    <row r="66">
      <c r="A66" s="11" t="s">
        <v>3284</v>
      </c>
      <c r="B66" s="11" t="s">
        <v>120</v>
      </c>
      <c r="C66" s="31">
        <v>1051.0</v>
      </c>
      <c r="D66" s="31" t="s">
        <v>3285</v>
      </c>
    </row>
    <row r="67">
      <c r="A67" s="11" t="s">
        <v>3286</v>
      </c>
      <c r="B67" s="11" t="s">
        <v>120</v>
      </c>
      <c r="C67" s="31">
        <v>1052.0</v>
      </c>
      <c r="D67" s="31" t="s">
        <v>3288</v>
      </c>
    </row>
    <row r="68">
      <c r="A68" s="11" t="s">
        <v>3289</v>
      </c>
      <c r="B68" s="11" t="s">
        <v>120</v>
      </c>
      <c r="C68" s="31">
        <v>1053.0</v>
      </c>
      <c r="D68" s="31" t="s">
        <v>3289</v>
      </c>
    </row>
    <row r="69">
      <c r="A69" s="11" t="s">
        <v>3290</v>
      </c>
      <c r="B69" s="11" t="s">
        <v>120</v>
      </c>
      <c r="C69" s="31">
        <v>1054.0</v>
      </c>
      <c r="D69" s="31" t="s">
        <v>3290</v>
      </c>
    </row>
    <row r="70">
      <c r="A70" s="11" t="s">
        <v>3292</v>
      </c>
      <c r="B70" s="11" t="s">
        <v>120</v>
      </c>
      <c r="C70" s="31">
        <v>1055.0</v>
      </c>
      <c r="D70" s="31" t="s">
        <v>3292</v>
      </c>
    </row>
    <row r="71">
      <c r="A71" s="11" t="s">
        <v>3294</v>
      </c>
      <c r="B71" s="11" t="s">
        <v>120</v>
      </c>
      <c r="C71" s="31">
        <v>1056.0</v>
      </c>
      <c r="D71" s="31" t="s">
        <v>3294</v>
      </c>
    </row>
    <row r="72">
      <c r="A72" s="11" t="s">
        <v>3295</v>
      </c>
      <c r="B72" s="11" t="s">
        <v>120</v>
      </c>
      <c r="C72" s="31">
        <v>1057.0</v>
      </c>
      <c r="D72" s="31" t="s">
        <v>3295</v>
      </c>
    </row>
    <row r="73">
      <c r="A73" s="11" t="s">
        <v>3297</v>
      </c>
      <c r="B73" s="11" t="s">
        <v>120</v>
      </c>
      <c r="C73" s="31">
        <v>1058.0</v>
      </c>
      <c r="D73" s="31" t="s">
        <v>3298</v>
      </c>
    </row>
    <row r="74">
      <c r="A74" s="11" t="s">
        <v>3299</v>
      </c>
      <c r="B74" s="11" t="s">
        <v>44</v>
      </c>
      <c r="C74" s="31">
        <v>1026.0</v>
      </c>
      <c r="D74" s="31" t="s">
        <v>3197</v>
      </c>
    </row>
    <row r="75">
      <c r="A75" s="11" t="s">
        <v>3301</v>
      </c>
      <c r="B75" s="11" t="s">
        <v>120</v>
      </c>
      <c r="C75" s="31">
        <v>1027.0</v>
      </c>
      <c r="D75" s="31" t="s">
        <v>3302</v>
      </c>
    </row>
    <row r="76">
      <c r="A76" s="11" t="s">
        <v>3303</v>
      </c>
      <c r="B76" s="11" t="s">
        <v>44</v>
      </c>
      <c r="C76" s="31">
        <v>1059.0</v>
      </c>
      <c r="D76" s="31" t="s">
        <v>3303</v>
      </c>
    </row>
    <row r="77">
      <c r="A77" s="11" t="s">
        <v>3304</v>
      </c>
      <c r="B77" s="11" t="s">
        <v>44</v>
      </c>
      <c r="C77" s="31">
        <v>1060.0</v>
      </c>
      <c r="D77" s="31" t="s">
        <v>3304</v>
      </c>
    </row>
    <row r="78">
      <c r="A78" s="11" t="s">
        <v>3306</v>
      </c>
      <c r="B78" s="11" t="s">
        <v>44</v>
      </c>
      <c r="C78" s="31">
        <v>1061.0</v>
      </c>
      <c r="D78" s="31" t="s">
        <v>3306</v>
      </c>
    </row>
    <row r="79">
      <c r="A79" s="11" t="s">
        <v>3309</v>
      </c>
      <c r="B79" s="11" t="s">
        <v>44</v>
      </c>
      <c r="C79" s="31">
        <v>1060.0</v>
      </c>
      <c r="D79" s="31" t="s">
        <v>3309</v>
      </c>
    </row>
    <row r="80">
      <c r="A80" s="11" t="s">
        <v>3310</v>
      </c>
      <c r="B80" s="11" t="s">
        <v>120</v>
      </c>
      <c r="C80" s="31">
        <v>1062.0</v>
      </c>
      <c r="D80" s="31" t="s">
        <v>3310</v>
      </c>
    </row>
    <row r="81">
      <c r="A81" s="11" t="s">
        <v>3312</v>
      </c>
      <c r="B81" s="11" t="s">
        <v>120</v>
      </c>
      <c r="C81" s="31">
        <v>1063.0</v>
      </c>
      <c r="D81" s="31" t="s">
        <v>3312</v>
      </c>
    </row>
    <row r="82">
      <c r="A82" s="11" t="s">
        <v>3313</v>
      </c>
      <c r="B82" s="11" t="s">
        <v>120</v>
      </c>
      <c r="C82" s="31">
        <v>1064.0</v>
      </c>
      <c r="D82" s="31" t="s">
        <v>3313</v>
      </c>
    </row>
    <row r="83">
      <c r="A83" s="11" t="s">
        <v>3314</v>
      </c>
      <c r="B83" s="11" t="s">
        <v>44</v>
      </c>
      <c r="C83" s="31">
        <v>1065.0</v>
      </c>
      <c r="D83" s="31" t="s">
        <v>3314</v>
      </c>
    </row>
  </sheetData>
  <autoFilter ref="$A$1:$B$1000"/>
  <conditionalFormatting sqref="C1:C1000 D1">
    <cfRule type="notContainsBlanks" dxfId="4" priority="1">
      <formula>LEN(TRIM(C1))&gt;0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 outlineLevelCol="1"/>
  <cols>
    <col customWidth="1" min="2" max="2" width="42.13"/>
  </cols>
  <sheetData>
    <row r="1">
      <c r="A1" s="3" t="s">
        <v>7</v>
      </c>
      <c r="B1" s="3" t="s">
        <v>2</v>
      </c>
    </row>
    <row r="2">
      <c r="A2" s="5" t="s">
        <v>3344</v>
      </c>
      <c r="B2" s="5" t="s">
        <v>3345</v>
      </c>
    </row>
    <row r="3">
      <c r="A3" s="8" t="s">
        <v>3346</v>
      </c>
      <c r="B3" s="8" t="s">
        <v>3348</v>
      </c>
    </row>
    <row r="4">
      <c r="A4" s="5" t="s">
        <v>3350</v>
      </c>
      <c r="B4" s="5" t="s">
        <v>3351</v>
      </c>
    </row>
    <row r="5">
      <c r="A5" s="8" t="s">
        <v>3352</v>
      </c>
      <c r="B5" s="8" t="s">
        <v>3353</v>
      </c>
    </row>
    <row r="6">
      <c r="A6" s="5" t="s">
        <v>3354</v>
      </c>
      <c r="B6" s="5" t="s">
        <v>3355</v>
      </c>
    </row>
    <row r="7">
      <c r="A7" s="8" t="s">
        <v>3356</v>
      </c>
      <c r="B7" s="8" t="s">
        <v>3357</v>
      </c>
    </row>
    <row r="8">
      <c r="A8" s="5" t="s">
        <v>3358</v>
      </c>
      <c r="B8" s="5" t="s">
        <v>3359</v>
      </c>
    </row>
    <row r="9">
      <c r="A9" s="8" t="s">
        <v>3360</v>
      </c>
      <c r="B9" s="8" t="s">
        <v>3361</v>
      </c>
    </row>
    <row r="10">
      <c r="A10" s="5" t="s">
        <v>3363</v>
      </c>
      <c r="B10" s="5" t="s">
        <v>3364</v>
      </c>
    </row>
    <row r="11">
      <c r="A11" s="8" t="s">
        <v>3366</v>
      </c>
      <c r="B11" s="8" t="s">
        <v>3367</v>
      </c>
    </row>
    <row r="12">
      <c r="A12" s="5" t="s">
        <v>3368</v>
      </c>
      <c r="B12" s="5" t="s">
        <v>3369</v>
      </c>
    </row>
    <row r="13">
      <c r="A13" s="8" t="s">
        <v>3370</v>
      </c>
      <c r="B13" s="8" t="s">
        <v>3371</v>
      </c>
    </row>
    <row r="14">
      <c r="A14" s="5" t="s">
        <v>3373</v>
      </c>
      <c r="B14" s="5" t="s">
        <v>3375</v>
      </c>
    </row>
    <row r="15">
      <c r="A15" s="8" t="s">
        <v>3376</v>
      </c>
      <c r="B15" s="8" t="s">
        <v>3377</v>
      </c>
    </row>
    <row r="16">
      <c r="A16" s="5" t="s">
        <v>3378</v>
      </c>
      <c r="B16" s="5" t="s">
        <v>3379</v>
      </c>
    </row>
    <row r="17">
      <c r="A17" s="8" t="s">
        <v>3381</v>
      </c>
      <c r="B17" s="8" t="s">
        <v>3383</v>
      </c>
    </row>
    <row r="18">
      <c r="A18" s="5" t="s">
        <v>3384</v>
      </c>
      <c r="B18" s="5" t="s">
        <v>3385</v>
      </c>
    </row>
    <row r="19">
      <c r="A19" s="8" t="s">
        <v>3387</v>
      </c>
      <c r="B19" s="8" t="s">
        <v>3388</v>
      </c>
    </row>
    <row r="20">
      <c r="A20" s="5" t="s">
        <v>3389</v>
      </c>
      <c r="B20" s="5" t="s">
        <v>3391</v>
      </c>
    </row>
    <row r="21">
      <c r="A21" s="8" t="s">
        <v>3393</v>
      </c>
      <c r="B21" s="8" t="s">
        <v>3394</v>
      </c>
    </row>
    <row r="22">
      <c r="A22" s="5" t="s">
        <v>3395</v>
      </c>
      <c r="B22" s="5" t="s">
        <v>3396</v>
      </c>
    </row>
    <row r="23">
      <c r="A23" s="8" t="s">
        <v>3397</v>
      </c>
      <c r="B23" s="8" t="s">
        <v>3399</v>
      </c>
    </row>
    <row r="24">
      <c r="A24" s="5" t="s">
        <v>3401</v>
      </c>
      <c r="B24" s="5" t="s">
        <v>3402</v>
      </c>
    </row>
    <row r="25">
      <c r="A25" s="8" t="s">
        <v>3403</v>
      </c>
      <c r="B25" s="8" t="s">
        <v>3404</v>
      </c>
    </row>
    <row r="26">
      <c r="A26" s="5" t="s">
        <v>3405</v>
      </c>
      <c r="B26" s="5" t="s">
        <v>3408</v>
      </c>
    </row>
    <row r="27">
      <c r="A27" s="8" t="s">
        <v>3409</v>
      </c>
      <c r="B27" s="8" t="s">
        <v>3410</v>
      </c>
    </row>
    <row r="28">
      <c r="A28" s="5" t="s">
        <v>3411</v>
      </c>
      <c r="B28" s="5" t="s">
        <v>3412</v>
      </c>
    </row>
    <row r="29">
      <c r="A29" s="8" t="s">
        <v>3413</v>
      </c>
      <c r="B29" s="8" t="s">
        <v>3414</v>
      </c>
    </row>
    <row r="30">
      <c r="A30" s="5" t="s">
        <v>3416</v>
      </c>
      <c r="B30" s="5" t="s">
        <v>3417</v>
      </c>
    </row>
    <row r="31">
      <c r="A31" s="8" t="s">
        <v>3419</v>
      </c>
      <c r="B31" s="8" t="s">
        <v>3420</v>
      </c>
    </row>
    <row r="32">
      <c r="A32" s="5" t="s">
        <v>3421</v>
      </c>
      <c r="B32" s="5" t="s">
        <v>3422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1.13"/>
    <col customWidth="1" min="2" max="2" width="14.13"/>
    <col customWidth="1" min="3" max="3" width="19.63"/>
    <col customWidth="1" min="4" max="4" width="42.88"/>
    <col customWidth="1" min="5" max="5" width="17.38"/>
    <col customWidth="1" min="6" max="6" width="13.25"/>
    <col customWidth="1" min="7" max="7" width="8.38"/>
    <col customWidth="1" min="8" max="8" width="10.25"/>
    <col customWidth="1" min="9" max="9" width="7.38"/>
    <col customWidth="1" min="10" max="10" width="14.75"/>
    <col customWidth="1" min="11" max="11" width="13.0"/>
  </cols>
  <sheetData>
    <row r="1">
      <c r="A1" s="40" t="s">
        <v>3426</v>
      </c>
      <c r="B1" s="40" t="s">
        <v>1</v>
      </c>
      <c r="C1" s="40" t="s">
        <v>9</v>
      </c>
      <c r="D1" s="40" t="s">
        <v>3428</v>
      </c>
      <c r="E1" s="40" t="s">
        <v>3431</v>
      </c>
      <c r="F1" s="40" t="s">
        <v>3432</v>
      </c>
      <c r="G1" s="40" t="s">
        <v>3436</v>
      </c>
      <c r="H1" s="40" t="s">
        <v>3438</v>
      </c>
      <c r="I1" s="40" t="s">
        <v>3439</v>
      </c>
      <c r="J1" s="40" t="s">
        <v>3440</v>
      </c>
      <c r="K1" s="40" t="s">
        <v>3441</v>
      </c>
    </row>
    <row r="2">
      <c r="A2" s="12" t="s">
        <v>121</v>
      </c>
      <c r="B2" s="12" t="s">
        <v>38</v>
      </c>
      <c r="C2" s="12" t="s">
        <v>3444</v>
      </c>
      <c r="D2" s="12" t="s">
        <v>3445</v>
      </c>
      <c r="E2" s="12" t="s">
        <v>3446</v>
      </c>
      <c r="F2" s="12" t="s">
        <v>3447</v>
      </c>
      <c r="G2" s="12" t="s">
        <v>3449</v>
      </c>
      <c r="H2" s="12" t="s">
        <v>3451</v>
      </c>
      <c r="I2" s="12" t="s">
        <v>3452</v>
      </c>
      <c r="J2" s="12" t="s">
        <v>47</v>
      </c>
      <c r="K2" s="12" t="s">
        <v>47</v>
      </c>
    </row>
    <row r="3">
      <c r="A3" s="12" t="s">
        <v>972</v>
      </c>
      <c r="B3" s="12" t="s">
        <v>115</v>
      </c>
      <c r="C3" s="12" t="s">
        <v>3453</v>
      </c>
      <c r="D3" s="12" t="s">
        <v>3454</v>
      </c>
      <c r="E3" s="12" t="s">
        <v>3456</v>
      </c>
      <c r="F3" s="12" t="s">
        <v>3447</v>
      </c>
      <c r="G3" s="12" t="s">
        <v>47</v>
      </c>
      <c r="H3" s="12" t="s">
        <v>1074</v>
      </c>
      <c r="I3" s="12" t="s">
        <v>3458</v>
      </c>
      <c r="J3" s="12" t="s">
        <v>121</v>
      </c>
      <c r="K3" s="12" t="s">
        <v>47</v>
      </c>
    </row>
    <row r="4">
      <c r="A4" s="12" t="s">
        <v>985</v>
      </c>
      <c r="B4" s="12" t="s">
        <v>172</v>
      </c>
      <c r="C4" s="12" t="s">
        <v>3459</v>
      </c>
      <c r="D4" s="12" t="s">
        <v>3460</v>
      </c>
      <c r="E4" s="12" t="s">
        <v>3461</v>
      </c>
      <c r="F4" s="12" t="s">
        <v>3447</v>
      </c>
      <c r="G4" s="12" t="s">
        <v>121</v>
      </c>
      <c r="H4" s="12" t="s">
        <v>3464</v>
      </c>
      <c r="I4" s="12" t="s">
        <v>3465</v>
      </c>
      <c r="J4" s="12" t="s">
        <v>1029</v>
      </c>
      <c r="K4" s="12" t="s">
        <v>47</v>
      </c>
    </row>
    <row r="5">
      <c r="A5" s="12" t="s">
        <v>1029</v>
      </c>
      <c r="B5" s="12" t="s">
        <v>97</v>
      </c>
      <c r="C5" s="12" t="s">
        <v>3468</v>
      </c>
      <c r="D5" s="12" t="s">
        <v>3469</v>
      </c>
      <c r="E5" s="12" t="s">
        <v>3471</v>
      </c>
      <c r="F5" s="12" t="s">
        <v>3447</v>
      </c>
      <c r="G5" s="12" t="s">
        <v>3458</v>
      </c>
      <c r="H5" s="12" t="s">
        <v>3473</v>
      </c>
      <c r="I5" s="12" t="s">
        <v>3474</v>
      </c>
      <c r="J5" s="12" t="s">
        <v>972</v>
      </c>
      <c r="K5" s="12" t="s">
        <v>47</v>
      </c>
    </row>
    <row r="6">
      <c r="A6" s="12" t="s">
        <v>47</v>
      </c>
      <c r="B6" s="12" t="s">
        <v>142</v>
      </c>
      <c r="C6" s="12" t="s">
        <v>3475</v>
      </c>
      <c r="D6" s="12" t="s">
        <v>3477</v>
      </c>
      <c r="E6" s="12" t="s">
        <v>3479</v>
      </c>
      <c r="F6" s="12" t="s">
        <v>3447</v>
      </c>
      <c r="G6" s="12" t="s">
        <v>3366</v>
      </c>
      <c r="H6" s="12" t="s">
        <v>3480</v>
      </c>
      <c r="I6" s="12" t="s">
        <v>3481</v>
      </c>
      <c r="J6" s="12" t="s">
        <v>985</v>
      </c>
      <c r="K6" s="12" t="s">
        <v>47</v>
      </c>
    </row>
    <row r="7">
      <c r="A7" s="12" t="s">
        <v>1074</v>
      </c>
      <c r="B7" s="12" t="s">
        <v>199</v>
      </c>
      <c r="C7" s="12" t="s">
        <v>3483</v>
      </c>
      <c r="D7" s="12" t="s">
        <v>3485</v>
      </c>
      <c r="E7" s="12" t="s">
        <v>3486</v>
      </c>
      <c r="F7" s="12" t="s">
        <v>3447</v>
      </c>
      <c r="G7" s="12" t="s">
        <v>1029</v>
      </c>
      <c r="H7" s="12" t="s">
        <v>47</v>
      </c>
      <c r="I7" s="12" t="s">
        <v>972</v>
      </c>
      <c r="J7" s="12" t="s">
        <v>1074</v>
      </c>
      <c r="K7" s="12" t="s">
        <v>47</v>
      </c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</row>
  </sheetData>
  <autoFilter ref="$A$1:$K$7">
    <sortState ref="A1:K7">
      <sortCondition ref="J1:J7"/>
    </sortState>
  </autoFilter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47.63"/>
    <col customWidth="1" min="4" max="4" width="7.38"/>
    <col customWidth="1" min="5" max="5" width="10.38"/>
    <col customWidth="1" min="6" max="6" width="14.75"/>
  </cols>
  <sheetData>
    <row r="1">
      <c r="A1" s="40" t="s">
        <v>1</v>
      </c>
      <c r="B1" s="40" t="s">
        <v>5</v>
      </c>
      <c r="C1" s="40" t="s">
        <v>9</v>
      </c>
      <c r="D1" s="40" t="s">
        <v>3625</v>
      </c>
      <c r="E1" s="40" t="s">
        <v>3626</v>
      </c>
      <c r="F1" s="6" t="s">
        <v>13</v>
      </c>
    </row>
    <row r="2">
      <c r="A2" s="12" t="s">
        <v>142</v>
      </c>
      <c r="B2" s="12" t="s">
        <v>3627</v>
      </c>
      <c r="C2" s="12" t="s">
        <v>3628</v>
      </c>
      <c r="D2" s="12" t="s">
        <v>3629</v>
      </c>
      <c r="E2" s="12" t="s">
        <v>3629</v>
      </c>
      <c r="F2" s="43" t="s">
        <v>3630</v>
      </c>
    </row>
    <row r="3">
      <c r="A3" s="12" t="s">
        <v>38</v>
      </c>
      <c r="B3" s="12" t="s">
        <v>3631</v>
      </c>
      <c r="C3" s="12" t="s">
        <v>3632</v>
      </c>
      <c r="D3" s="12" t="s">
        <v>3633</v>
      </c>
      <c r="E3" s="12" t="s">
        <v>3633</v>
      </c>
      <c r="F3" s="43" t="s">
        <v>3634</v>
      </c>
    </row>
    <row r="4">
      <c r="A4" s="12" t="s">
        <v>38</v>
      </c>
      <c r="B4" s="12" t="s">
        <v>3635</v>
      </c>
      <c r="C4" s="12" t="s">
        <v>3636</v>
      </c>
      <c r="D4" s="12" t="s">
        <v>3633</v>
      </c>
      <c r="E4" s="12" t="s">
        <v>3633</v>
      </c>
      <c r="F4" s="43" t="s">
        <v>3637</v>
      </c>
    </row>
    <row r="5">
      <c r="A5" s="12" t="s">
        <v>38</v>
      </c>
      <c r="B5" s="12" t="s">
        <v>3638</v>
      </c>
      <c r="C5" s="12" t="s">
        <v>3639</v>
      </c>
      <c r="D5" s="12" t="s">
        <v>3640</v>
      </c>
      <c r="E5" s="12" t="s">
        <v>3640</v>
      </c>
      <c r="F5" s="43" t="s">
        <v>3641</v>
      </c>
    </row>
    <row r="6">
      <c r="A6" s="12" t="s">
        <v>38</v>
      </c>
      <c r="B6" s="12" t="s">
        <v>3642</v>
      </c>
      <c r="C6" s="12" t="s">
        <v>3643</v>
      </c>
      <c r="D6" s="12" t="s">
        <v>3644</v>
      </c>
      <c r="E6" s="12" t="s">
        <v>3644</v>
      </c>
      <c r="F6" s="43" t="s">
        <v>3645</v>
      </c>
    </row>
    <row r="7">
      <c r="A7" s="12" t="s">
        <v>38</v>
      </c>
      <c r="B7" s="12" t="s">
        <v>3646</v>
      </c>
      <c r="C7" s="12" t="s">
        <v>3647</v>
      </c>
      <c r="D7" s="12" t="s">
        <v>3648</v>
      </c>
      <c r="E7" s="12" t="s">
        <v>3648</v>
      </c>
      <c r="F7" s="43" t="s">
        <v>3649</v>
      </c>
    </row>
    <row r="8">
      <c r="A8" s="12" t="s">
        <v>38</v>
      </c>
      <c r="B8" s="12" t="s">
        <v>3650</v>
      </c>
      <c r="C8" s="12" t="s">
        <v>3651</v>
      </c>
      <c r="D8" s="12" t="s">
        <v>3648</v>
      </c>
      <c r="E8" s="12" t="s">
        <v>3648</v>
      </c>
      <c r="F8" s="43" t="s">
        <v>3652</v>
      </c>
    </row>
    <row r="9">
      <c r="A9" s="12" t="s">
        <v>172</v>
      </c>
      <c r="B9" s="12" t="s">
        <v>3654</v>
      </c>
      <c r="C9" s="12" t="s">
        <v>3651</v>
      </c>
      <c r="D9" s="12" t="s">
        <v>3648</v>
      </c>
      <c r="E9" s="12" t="s">
        <v>3648</v>
      </c>
      <c r="F9" s="43" t="s">
        <v>3652</v>
      </c>
    </row>
    <row r="10">
      <c r="A10" s="12" t="s">
        <v>115</v>
      </c>
      <c r="B10" s="12" t="s">
        <v>3655</v>
      </c>
      <c r="C10" s="12" t="s">
        <v>3656</v>
      </c>
      <c r="D10" s="12" t="s">
        <v>3629</v>
      </c>
      <c r="E10" s="12" t="s">
        <v>3657</v>
      </c>
      <c r="F10" s="43" t="s">
        <v>3658</v>
      </c>
    </row>
    <row r="11">
      <c r="A11" s="12" t="s">
        <v>38</v>
      </c>
      <c r="B11" s="12" t="s">
        <v>3655</v>
      </c>
      <c r="C11" s="12" t="s">
        <v>3656</v>
      </c>
      <c r="D11" s="12" t="s">
        <v>3629</v>
      </c>
      <c r="E11" s="12" t="s">
        <v>3629</v>
      </c>
      <c r="F11" s="43" t="s">
        <v>3659</v>
      </c>
    </row>
    <row r="12">
      <c r="A12" s="12" t="s">
        <v>38</v>
      </c>
      <c r="B12" s="12" t="s">
        <v>3660</v>
      </c>
      <c r="C12" s="12" t="s">
        <v>3661</v>
      </c>
      <c r="D12" s="12" t="s">
        <v>3629</v>
      </c>
      <c r="E12" s="12" t="s">
        <v>3629</v>
      </c>
      <c r="F12" s="43" t="s">
        <v>3662</v>
      </c>
    </row>
    <row r="13">
      <c r="A13" s="12" t="s">
        <v>38</v>
      </c>
      <c r="B13" s="12" t="s">
        <v>3663</v>
      </c>
      <c r="C13" s="12" t="s">
        <v>3664</v>
      </c>
      <c r="D13" s="12" t="s">
        <v>3665</v>
      </c>
      <c r="E13" s="12" t="s">
        <v>3665</v>
      </c>
      <c r="F13" s="43" t="s">
        <v>3666</v>
      </c>
    </row>
    <row r="14">
      <c r="A14" s="12" t="s">
        <v>38</v>
      </c>
      <c r="B14" s="12" t="s">
        <v>3667</v>
      </c>
      <c r="C14" s="12" t="s">
        <v>3668</v>
      </c>
      <c r="D14" s="12" t="s">
        <v>3669</v>
      </c>
      <c r="E14" s="12" t="s">
        <v>3669</v>
      </c>
      <c r="F14" s="43" t="s">
        <v>3670</v>
      </c>
    </row>
    <row r="15">
      <c r="A15" s="12" t="s">
        <v>38</v>
      </c>
      <c r="B15" s="12" t="s">
        <v>3671</v>
      </c>
      <c r="C15" s="12" t="s">
        <v>3672</v>
      </c>
      <c r="D15" s="12" t="s">
        <v>3673</v>
      </c>
      <c r="E15" s="12" t="s">
        <v>3673</v>
      </c>
      <c r="F15" s="43" t="s">
        <v>3674</v>
      </c>
    </row>
    <row r="16">
      <c r="A16" s="12" t="s">
        <v>38</v>
      </c>
      <c r="B16" s="12" t="s">
        <v>3675</v>
      </c>
      <c r="C16" s="12" t="s">
        <v>3676</v>
      </c>
      <c r="D16" s="12" t="s">
        <v>3673</v>
      </c>
      <c r="E16" s="12" t="s">
        <v>3673</v>
      </c>
      <c r="F16" s="43" t="s">
        <v>3677</v>
      </c>
    </row>
    <row r="17">
      <c r="A17" s="12" t="s">
        <v>38</v>
      </c>
      <c r="B17" s="12" t="s">
        <v>3678</v>
      </c>
      <c r="C17" s="12" t="s">
        <v>3679</v>
      </c>
      <c r="D17" s="12" t="s">
        <v>3680</v>
      </c>
      <c r="E17" s="12" t="s">
        <v>3680</v>
      </c>
      <c r="F17" s="43" t="s">
        <v>3681</v>
      </c>
    </row>
    <row r="18">
      <c r="A18" s="12" t="s">
        <v>38</v>
      </c>
      <c r="B18" s="12" t="s">
        <v>3682</v>
      </c>
      <c r="C18" s="12" t="s">
        <v>3683</v>
      </c>
      <c r="D18" s="12" t="s">
        <v>3684</v>
      </c>
      <c r="E18" s="12" t="s">
        <v>3684</v>
      </c>
      <c r="F18" s="43" t="s">
        <v>3685</v>
      </c>
    </row>
    <row r="19">
      <c r="A19" s="12" t="s">
        <v>38</v>
      </c>
      <c r="B19" s="12" t="s">
        <v>3686</v>
      </c>
      <c r="C19" s="12" t="s">
        <v>3687</v>
      </c>
      <c r="D19" s="12"/>
      <c r="E19" s="12" t="s">
        <v>3688</v>
      </c>
      <c r="F19" s="43" t="s">
        <v>3689</v>
      </c>
    </row>
    <row r="20">
      <c r="A20" s="12" t="s">
        <v>115</v>
      </c>
      <c r="B20" s="12" t="s">
        <v>3690</v>
      </c>
      <c r="C20" s="12" t="s">
        <v>3687</v>
      </c>
      <c r="D20" s="12"/>
      <c r="E20" s="12" t="s">
        <v>3688</v>
      </c>
      <c r="F20" s="43" t="s">
        <v>3689</v>
      </c>
    </row>
    <row r="21" ht="15.75" customHeight="1">
      <c r="A21" s="12" t="s">
        <v>38</v>
      </c>
      <c r="B21" s="12" t="s">
        <v>3691</v>
      </c>
      <c r="C21" s="12" t="s">
        <v>3692</v>
      </c>
      <c r="D21" s="12"/>
      <c r="E21" s="12" t="s">
        <v>3688</v>
      </c>
      <c r="F21" s="43" t="s">
        <v>3693</v>
      </c>
    </row>
    <row r="22" ht="15.75" customHeight="1">
      <c r="A22" s="12" t="s">
        <v>38</v>
      </c>
      <c r="B22" s="12" t="s">
        <v>3694</v>
      </c>
      <c r="C22" s="12" t="s">
        <v>3695</v>
      </c>
      <c r="D22" s="12" t="s">
        <v>3696</v>
      </c>
      <c r="E22" s="12" t="s">
        <v>3696</v>
      </c>
      <c r="F22" s="43" t="s">
        <v>3697</v>
      </c>
    </row>
    <row r="23" ht="15.75" customHeight="1">
      <c r="A23" s="12" t="s">
        <v>38</v>
      </c>
      <c r="B23" s="12" t="s">
        <v>3698</v>
      </c>
      <c r="C23" s="12" t="s">
        <v>3699</v>
      </c>
      <c r="D23" s="12" t="s">
        <v>3700</v>
      </c>
      <c r="E23" s="12" t="s">
        <v>3700</v>
      </c>
      <c r="F23" s="43" t="s">
        <v>3701</v>
      </c>
    </row>
    <row r="24" ht="15.75" customHeight="1">
      <c r="A24" s="12" t="s">
        <v>38</v>
      </c>
      <c r="B24" s="12" t="s">
        <v>3702</v>
      </c>
      <c r="C24" s="12" t="s">
        <v>3703</v>
      </c>
      <c r="D24" s="12" t="s">
        <v>3629</v>
      </c>
      <c r="E24" s="12" t="s">
        <v>3673</v>
      </c>
      <c r="F24" s="43" t="s">
        <v>3704</v>
      </c>
    </row>
    <row r="25" ht="15.75" customHeight="1">
      <c r="A25" s="12" t="s">
        <v>38</v>
      </c>
      <c r="B25" s="12" t="s">
        <v>3705</v>
      </c>
      <c r="C25" s="12" t="s">
        <v>3706</v>
      </c>
      <c r="D25" s="12" t="s">
        <v>3707</v>
      </c>
      <c r="E25" s="12" t="s">
        <v>3707</v>
      </c>
      <c r="F25" s="43" t="s">
        <v>3708</v>
      </c>
    </row>
    <row r="26" ht="15.75" customHeight="1">
      <c r="A26" s="12" t="s">
        <v>38</v>
      </c>
      <c r="B26" s="12" t="s">
        <v>3709</v>
      </c>
      <c r="C26" s="12" t="s">
        <v>3710</v>
      </c>
      <c r="D26" s="12" t="s">
        <v>3665</v>
      </c>
      <c r="E26" s="12" t="s">
        <v>3665</v>
      </c>
      <c r="F26" s="43" t="s">
        <v>3711</v>
      </c>
    </row>
    <row r="27" ht="15.75" customHeight="1">
      <c r="A27" s="12" t="s">
        <v>38</v>
      </c>
      <c r="B27" s="12" t="s">
        <v>3712</v>
      </c>
      <c r="C27" s="12" t="s">
        <v>3713</v>
      </c>
      <c r="D27" s="12" t="s">
        <v>3665</v>
      </c>
      <c r="E27" s="12" t="s">
        <v>3665</v>
      </c>
      <c r="F27" s="43" t="s">
        <v>3714</v>
      </c>
    </row>
    <row r="28" ht="15.75" customHeight="1">
      <c r="A28" s="12" t="s">
        <v>38</v>
      </c>
      <c r="B28" s="12" t="s">
        <v>3715</v>
      </c>
      <c r="C28" s="12" t="s">
        <v>3716</v>
      </c>
      <c r="D28" s="12" t="s">
        <v>3665</v>
      </c>
      <c r="E28" s="12" t="s">
        <v>3665</v>
      </c>
      <c r="F28" s="43" t="s">
        <v>3717</v>
      </c>
    </row>
    <row r="29" ht="15.75" customHeight="1">
      <c r="A29" s="12" t="s">
        <v>38</v>
      </c>
      <c r="B29" s="12" t="s">
        <v>3718</v>
      </c>
      <c r="C29" s="12" t="s">
        <v>3719</v>
      </c>
      <c r="D29" s="12" t="s">
        <v>3665</v>
      </c>
      <c r="E29" s="12" t="s">
        <v>3720</v>
      </c>
      <c r="F29" s="43" t="s">
        <v>3721</v>
      </c>
    </row>
    <row r="30" ht="15.75" customHeight="1">
      <c r="A30" s="12" t="s">
        <v>38</v>
      </c>
      <c r="B30" s="12" t="s">
        <v>3722</v>
      </c>
      <c r="C30" s="12" t="s">
        <v>3723</v>
      </c>
      <c r="D30" s="12" t="s">
        <v>3724</v>
      </c>
      <c r="E30" s="12" t="s">
        <v>3724</v>
      </c>
      <c r="F30" s="43" t="s">
        <v>3725</v>
      </c>
    </row>
    <row r="31" ht="15.75" customHeight="1">
      <c r="A31" s="12" t="s">
        <v>38</v>
      </c>
      <c r="B31" s="12" t="s">
        <v>3726</v>
      </c>
      <c r="C31" s="12" t="s">
        <v>3727</v>
      </c>
      <c r="D31" s="12" t="s">
        <v>3724</v>
      </c>
      <c r="E31" s="12" t="s">
        <v>3724</v>
      </c>
      <c r="F31" s="43" t="s">
        <v>3728</v>
      </c>
    </row>
    <row r="32" ht="15.75" customHeight="1">
      <c r="A32" s="12" t="s">
        <v>38</v>
      </c>
      <c r="B32" s="12" t="s">
        <v>3729</v>
      </c>
      <c r="C32" s="12" t="s">
        <v>3730</v>
      </c>
      <c r="D32" s="12" t="s">
        <v>3724</v>
      </c>
      <c r="E32" s="12" t="s">
        <v>3724</v>
      </c>
      <c r="F32" s="43" t="s">
        <v>3731</v>
      </c>
    </row>
    <row r="33" ht="15.75" customHeight="1">
      <c r="A33" s="12" t="s">
        <v>142</v>
      </c>
      <c r="B33" s="12" t="s">
        <v>3732</v>
      </c>
      <c r="C33" s="12" t="s">
        <v>3733</v>
      </c>
      <c r="D33" s="12" t="s">
        <v>3734</v>
      </c>
      <c r="E33" s="12" t="s">
        <v>3734</v>
      </c>
      <c r="F33" s="43" t="s">
        <v>3735</v>
      </c>
    </row>
    <row r="34" ht="15.75" customHeight="1">
      <c r="A34" s="12" t="s">
        <v>38</v>
      </c>
      <c r="B34" s="12" t="s">
        <v>3736</v>
      </c>
      <c r="C34" s="12" t="s">
        <v>3737</v>
      </c>
      <c r="D34" s="12" t="s">
        <v>3738</v>
      </c>
      <c r="E34" s="12" t="s">
        <v>3738</v>
      </c>
      <c r="F34" s="43" t="s">
        <v>3739</v>
      </c>
    </row>
    <row r="35" ht="15.75" customHeight="1">
      <c r="A35" s="12" t="s">
        <v>97</v>
      </c>
      <c r="B35" s="12" t="s">
        <v>3740</v>
      </c>
      <c r="C35" s="12" t="s">
        <v>3741</v>
      </c>
      <c r="D35" s="12" t="s">
        <v>3738</v>
      </c>
      <c r="E35" s="12" t="s">
        <v>3738</v>
      </c>
      <c r="F35" s="43" t="s">
        <v>3742</v>
      </c>
    </row>
    <row r="36" ht="15.75" customHeight="1">
      <c r="A36" s="12" t="s">
        <v>142</v>
      </c>
      <c r="B36" s="12" t="s">
        <v>3743</v>
      </c>
      <c r="C36" s="12" t="s">
        <v>3741</v>
      </c>
      <c r="D36" s="12" t="s">
        <v>3738</v>
      </c>
      <c r="E36" s="12" t="s">
        <v>3738</v>
      </c>
      <c r="F36" s="43" t="s">
        <v>3742</v>
      </c>
    </row>
    <row r="37" ht="15.75" customHeight="1">
      <c r="A37" s="12" t="s">
        <v>115</v>
      </c>
      <c r="B37" s="12" t="s">
        <v>3740</v>
      </c>
      <c r="C37" s="12" t="s">
        <v>3741</v>
      </c>
      <c r="D37" s="12" t="s">
        <v>3738</v>
      </c>
      <c r="E37" s="12" t="s">
        <v>3738</v>
      </c>
      <c r="F37" s="43" t="s">
        <v>3742</v>
      </c>
    </row>
    <row r="38" ht="15.75" customHeight="1">
      <c r="A38" s="12" t="s">
        <v>38</v>
      </c>
      <c r="B38" s="12" t="s">
        <v>3744</v>
      </c>
      <c r="C38" s="12" t="s">
        <v>3745</v>
      </c>
      <c r="D38" s="12" t="s">
        <v>3738</v>
      </c>
      <c r="E38" s="12" t="s">
        <v>3738</v>
      </c>
      <c r="F38" s="43" t="s">
        <v>3746</v>
      </c>
    </row>
    <row r="39" ht="15.75" customHeight="1">
      <c r="A39" s="12" t="s">
        <v>38</v>
      </c>
      <c r="B39" s="12" t="s">
        <v>3740</v>
      </c>
      <c r="C39" s="12" t="s">
        <v>3747</v>
      </c>
      <c r="D39" s="12" t="s">
        <v>3738</v>
      </c>
      <c r="E39" s="12" t="s">
        <v>3738</v>
      </c>
      <c r="F39" s="43" t="s">
        <v>3748</v>
      </c>
    </row>
    <row r="40" ht="15.75" customHeight="1">
      <c r="A40" s="12" t="s">
        <v>38</v>
      </c>
      <c r="B40" s="12" t="s">
        <v>3749</v>
      </c>
      <c r="C40" s="12" t="s">
        <v>3750</v>
      </c>
      <c r="D40" s="12" t="s">
        <v>3738</v>
      </c>
      <c r="E40" s="12" t="s">
        <v>3738</v>
      </c>
      <c r="F40" s="43" t="s">
        <v>3751</v>
      </c>
    </row>
    <row r="41" ht="15.75" customHeight="1">
      <c r="A41" s="12" t="s">
        <v>97</v>
      </c>
      <c r="B41" s="12" t="s">
        <v>3752</v>
      </c>
      <c r="C41" s="12" t="s">
        <v>3753</v>
      </c>
      <c r="D41" s="12" t="s">
        <v>3738</v>
      </c>
      <c r="E41" s="12" t="s">
        <v>3738</v>
      </c>
      <c r="F41" s="43" t="s">
        <v>3754</v>
      </c>
    </row>
    <row r="42" ht="15.75" customHeight="1">
      <c r="A42" s="12" t="s">
        <v>38</v>
      </c>
      <c r="B42" s="12" t="s">
        <v>3755</v>
      </c>
      <c r="C42" s="12" t="s">
        <v>3756</v>
      </c>
      <c r="D42" s="12" t="s">
        <v>3757</v>
      </c>
      <c r="E42" s="12" t="s">
        <v>3757</v>
      </c>
      <c r="F42" s="43" t="s">
        <v>3758</v>
      </c>
    </row>
    <row r="43" ht="15.75" customHeight="1">
      <c r="A43" s="12" t="s">
        <v>38</v>
      </c>
      <c r="B43" s="12" t="s">
        <v>3759</v>
      </c>
      <c r="C43" s="12" t="s">
        <v>3760</v>
      </c>
      <c r="D43" s="12" t="s">
        <v>3761</v>
      </c>
      <c r="E43" s="12" t="s">
        <v>3761</v>
      </c>
      <c r="F43" s="43" t="s">
        <v>3762</v>
      </c>
    </row>
    <row r="44" ht="15.75" customHeight="1">
      <c r="A44" s="12" t="s">
        <v>38</v>
      </c>
      <c r="B44" s="12" t="s">
        <v>3763</v>
      </c>
      <c r="C44" s="12" t="s">
        <v>3764</v>
      </c>
      <c r="D44" s="12" t="s">
        <v>3765</v>
      </c>
      <c r="E44" s="12" t="s">
        <v>3765</v>
      </c>
      <c r="F44" s="43" t="s">
        <v>3766</v>
      </c>
    </row>
    <row r="45" ht="15.75" customHeight="1">
      <c r="A45" s="12" t="s">
        <v>38</v>
      </c>
      <c r="B45" s="12" t="s">
        <v>3767</v>
      </c>
      <c r="C45" s="12" t="s">
        <v>3768</v>
      </c>
      <c r="D45" s="12" t="s">
        <v>3680</v>
      </c>
      <c r="E45" s="12" t="s">
        <v>3680</v>
      </c>
      <c r="F45" s="43" t="s">
        <v>3769</v>
      </c>
    </row>
    <row r="46" ht="15.75" customHeight="1">
      <c r="A46" s="12" t="s">
        <v>97</v>
      </c>
      <c r="B46" s="12" t="s">
        <v>3770</v>
      </c>
      <c r="C46" s="12" t="s">
        <v>3771</v>
      </c>
      <c r="D46" s="12" t="s">
        <v>3772</v>
      </c>
      <c r="E46" s="12" t="s">
        <v>3688</v>
      </c>
      <c r="F46" s="43" t="s">
        <v>3773</v>
      </c>
    </row>
    <row r="47" ht="15.75" customHeight="1">
      <c r="A47" s="12" t="s">
        <v>38</v>
      </c>
      <c r="B47" s="12" t="s">
        <v>3690</v>
      </c>
      <c r="C47" s="12" t="s">
        <v>3774</v>
      </c>
      <c r="D47" s="12" t="s">
        <v>3775</v>
      </c>
      <c r="E47" s="12" t="s">
        <v>3775</v>
      </c>
      <c r="F47" s="43" t="s">
        <v>3776</v>
      </c>
    </row>
    <row r="48" ht="15.75" customHeight="1">
      <c r="A48" s="12" t="s">
        <v>38</v>
      </c>
      <c r="B48" s="12" t="s">
        <v>3777</v>
      </c>
      <c r="C48" s="12" t="s">
        <v>3778</v>
      </c>
      <c r="D48" s="12" t="s">
        <v>3673</v>
      </c>
      <c r="E48" s="12" t="s">
        <v>3673</v>
      </c>
      <c r="F48" s="43" t="s">
        <v>3779</v>
      </c>
    </row>
    <row r="49" ht="15.75" customHeight="1">
      <c r="A49" s="12" t="s">
        <v>142</v>
      </c>
      <c r="B49" s="12" t="s">
        <v>3780</v>
      </c>
      <c r="C49" s="12" t="s">
        <v>3781</v>
      </c>
      <c r="D49" s="12" t="s">
        <v>3738</v>
      </c>
      <c r="E49" s="12" t="s">
        <v>3738</v>
      </c>
      <c r="F49" s="43" t="s">
        <v>3782</v>
      </c>
    </row>
    <row r="50" ht="15.75" customHeight="1">
      <c r="A50" s="12" t="s">
        <v>38</v>
      </c>
      <c r="B50" s="12" t="s">
        <v>3783</v>
      </c>
      <c r="C50" s="12" t="s">
        <v>3781</v>
      </c>
      <c r="D50" s="12" t="s">
        <v>3761</v>
      </c>
      <c r="E50" s="12" t="s">
        <v>3761</v>
      </c>
      <c r="F50" s="43" t="s">
        <v>3784</v>
      </c>
    </row>
    <row r="51" ht="15.75" customHeight="1">
      <c r="A51" s="12" t="s">
        <v>38</v>
      </c>
      <c r="B51" s="12" t="s">
        <v>3785</v>
      </c>
      <c r="C51" s="12" t="s">
        <v>3786</v>
      </c>
      <c r="D51" s="12" t="s">
        <v>3669</v>
      </c>
      <c r="E51" s="12" t="s">
        <v>3669</v>
      </c>
      <c r="F51" s="43" t="s">
        <v>3787</v>
      </c>
    </row>
    <row r="52" ht="15.75" customHeight="1">
      <c r="A52" s="12" t="s">
        <v>38</v>
      </c>
      <c r="B52" s="12" t="s">
        <v>3788</v>
      </c>
      <c r="C52" s="12" t="s">
        <v>3789</v>
      </c>
      <c r="D52" s="12" t="s">
        <v>3790</v>
      </c>
      <c r="E52" s="12" t="s">
        <v>3790</v>
      </c>
      <c r="F52" s="43" t="s">
        <v>3791</v>
      </c>
    </row>
    <row r="53" ht="15.75" customHeight="1">
      <c r="A53" s="12" t="s">
        <v>38</v>
      </c>
      <c r="B53" s="12" t="s">
        <v>3792</v>
      </c>
      <c r="C53" s="12" t="s">
        <v>3793</v>
      </c>
      <c r="D53" s="12" t="s">
        <v>3738</v>
      </c>
      <c r="E53" s="12" t="s">
        <v>3738</v>
      </c>
      <c r="F53" s="43" t="s">
        <v>3794</v>
      </c>
    </row>
    <row r="54" ht="15.75" customHeight="1">
      <c r="A54" s="12" t="s">
        <v>38</v>
      </c>
      <c r="B54" s="12" t="s">
        <v>3795</v>
      </c>
      <c r="C54" s="12" t="s">
        <v>3796</v>
      </c>
      <c r="D54" s="12" t="s">
        <v>3738</v>
      </c>
      <c r="E54" s="12" t="s">
        <v>3738</v>
      </c>
      <c r="F54" s="43" t="s">
        <v>3797</v>
      </c>
    </row>
    <row r="55" ht="15.75" customHeight="1">
      <c r="A55" s="12" t="s">
        <v>199</v>
      </c>
      <c r="B55" s="12" t="s">
        <v>3798</v>
      </c>
      <c r="C55" s="12" t="s">
        <v>3799</v>
      </c>
      <c r="D55" s="12"/>
      <c r="E55" s="12" t="s">
        <v>3800</v>
      </c>
      <c r="F55" s="43" t="s">
        <v>3801</v>
      </c>
    </row>
    <row r="56" ht="15.75" customHeight="1">
      <c r="A56" s="12" t="s">
        <v>38</v>
      </c>
      <c r="B56" s="12" t="s">
        <v>3802</v>
      </c>
      <c r="C56" s="12" t="s">
        <v>3803</v>
      </c>
      <c r="D56" s="12" t="s">
        <v>3804</v>
      </c>
      <c r="E56" s="12" t="s">
        <v>3804</v>
      </c>
      <c r="F56" s="43" t="s">
        <v>3805</v>
      </c>
    </row>
    <row r="57" ht="15.75" customHeight="1">
      <c r="A57" s="12" t="s">
        <v>38</v>
      </c>
      <c r="B57" s="12" t="s">
        <v>3806</v>
      </c>
      <c r="C57" s="12" t="s">
        <v>3807</v>
      </c>
      <c r="D57" s="12" t="s">
        <v>3761</v>
      </c>
      <c r="E57" s="12" t="s">
        <v>3761</v>
      </c>
      <c r="F57" s="43" t="s">
        <v>3808</v>
      </c>
    </row>
    <row r="58" ht="15.75" customHeight="1">
      <c r="A58" s="12" t="s">
        <v>38</v>
      </c>
      <c r="B58" s="12" t="s">
        <v>3809</v>
      </c>
      <c r="C58" s="12" t="s">
        <v>3810</v>
      </c>
      <c r="D58" s="12" t="s">
        <v>3811</v>
      </c>
      <c r="E58" s="12" t="s">
        <v>3811</v>
      </c>
      <c r="F58" s="43" t="s">
        <v>3812</v>
      </c>
    </row>
    <row r="59" ht="15.75" customHeight="1">
      <c r="A59" s="12" t="s">
        <v>172</v>
      </c>
      <c r="B59" s="12" t="s">
        <v>3813</v>
      </c>
      <c r="C59" s="12" t="s">
        <v>3814</v>
      </c>
      <c r="D59" s="12" t="s">
        <v>3815</v>
      </c>
      <c r="E59" s="12" t="s">
        <v>3815</v>
      </c>
      <c r="F59" s="43" t="s">
        <v>3816</v>
      </c>
    </row>
    <row r="60" ht="15.75" customHeight="1">
      <c r="A60" s="12" t="s">
        <v>38</v>
      </c>
      <c r="B60" s="12" t="s">
        <v>3817</v>
      </c>
      <c r="C60" s="12" t="s">
        <v>3818</v>
      </c>
      <c r="D60" s="12" t="s">
        <v>3819</v>
      </c>
      <c r="E60" s="12" t="s">
        <v>3819</v>
      </c>
      <c r="F60" s="43" t="s">
        <v>3820</v>
      </c>
    </row>
    <row r="61" ht="15.75" customHeight="1">
      <c r="A61" s="12" t="s">
        <v>38</v>
      </c>
      <c r="B61" s="12" t="s">
        <v>3821</v>
      </c>
      <c r="C61" s="12" t="s">
        <v>3822</v>
      </c>
      <c r="D61" s="12" t="s">
        <v>3823</v>
      </c>
      <c r="E61" s="12" t="s">
        <v>3680</v>
      </c>
      <c r="F61" s="43" t="s">
        <v>3824</v>
      </c>
    </row>
    <row r="62" ht="15.75" customHeight="1">
      <c r="A62" s="12" t="s">
        <v>38</v>
      </c>
      <c r="B62" s="12" t="s">
        <v>3825</v>
      </c>
      <c r="C62" s="12" t="s">
        <v>3826</v>
      </c>
      <c r="D62" s="12" t="s">
        <v>3644</v>
      </c>
      <c r="E62" s="12" t="s">
        <v>3644</v>
      </c>
      <c r="F62" s="43" t="s">
        <v>3827</v>
      </c>
    </row>
    <row r="63" ht="15.75" customHeight="1">
      <c r="A63" s="12" t="s">
        <v>38</v>
      </c>
      <c r="B63" s="12" t="s">
        <v>3828</v>
      </c>
      <c r="C63" s="12" t="s">
        <v>3829</v>
      </c>
      <c r="D63" s="12" t="s">
        <v>3765</v>
      </c>
      <c r="E63" s="12" t="s">
        <v>3765</v>
      </c>
      <c r="F63" s="43" t="s">
        <v>3830</v>
      </c>
    </row>
    <row r="64" ht="15.75" customHeight="1">
      <c r="A64" s="12" t="s">
        <v>97</v>
      </c>
      <c r="B64" s="12" t="s">
        <v>3828</v>
      </c>
      <c r="C64" s="12" t="s">
        <v>3829</v>
      </c>
      <c r="D64" s="12" t="s">
        <v>3823</v>
      </c>
      <c r="E64" s="12" t="s">
        <v>3823</v>
      </c>
      <c r="F64" s="43" t="s">
        <v>3831</v>
      </c>
    </row>
    <row r="65" ht="15.75" customHeight="1">
      <c r="A65" s="12" t="s">
        <v>38</v>
      </c>
      <c r="B65" s="12" t="s">
        <v>3832</v>
      </c>
      <c r="C65" s="12" t="s">
        <v>3833</v>
      </c>
      <c r="D65" s="12" t="s">
        <v>3815</v>
      </c>
      <c r="E65" s="12" t="s">
        <v>3815</v>
      </c>
      <c r="F65" s="43" t="s">
        <v>3834</v>
      </c>
    </row>
    <row r="66" ht="15.75" customHeight="1">
      <c r="A66" s="12" t="s">
        <v>38</v>
      </c>
      <c r="B66" s="12" t="s">
        <v>3835</v>
      </c>
      <c r="C66" s="12" t="s">
        <v>3836</v>
      </c>
      <c r="D66" s="12" t="s">
        <v>3804</v>
      </c>
      <c r="E66" s="12" t="s">
        <v>3804</v>
      </c>
      <c r="F66" s="43" t="s">
        <v>3837</v>
      </c>
    </row>
    <row r="67" ht="15.75" customHeight="1">
      <c r="A67" s="12" t="s">
        <v>38</v>
      </c>
      <c r="B67" s="12" t="s">
        <v>3838</v>
      </c>
      <c r="C67" s="12" t="s">
        <v>3839</v>
      </c>
      <c r="D67" s="12" t="s">
        <v>3804</v>
      </c>
      <c r="E67" s="12" t="s">
        <v>3804</v>
      </c>
      <c r="F67" s="43" t="s">
        <v>3840</v>
      </c>
    </row>
    <row r="68" ht="15.75" customHeight="1">
      <c r="A68" s="12" t="s">
        <v>38</v>
      </c>
      <c r="B68" s="12" t="s">
        <v>3841</v>
      </c>
      <c r="C68" s="12" t="s">
        <v>3842</v>
      </c>
      <c r="D68" s="12" t="s">
        <v>3823</v>
      </c>
      <c r="E68" s="12" t="s">
        <v>3823</v>
      </c>
      <c r="F68" s="43" t="s">
        <v>3843</v>
      </c>
    </row>
    <row r="69" ht="15.75" customHeight="1">
      <c r="A69" s="12" t="s">
        <v>38</v>
      </c>
      <c r="B69" s="12" t="s">
        <v>3844</v>
      </c>
      <c r="C69" s="12" t="s">
        <v>3845</v>
      </c>
      <c r="D69" s="12" t="s">
        <v>3804</v>
      </c>
      <c r="E69" s="12" t="s">
        <v>3804</v>
      </c>
      <c r="F69" s="43" t="s">
        <v>3846</v>
      </c>
    </row>
    <row r="70" ht="15.75" customHeight="1">
      <c r="A70" s="12" t="s">
        <v>38</v>
      </c>
      <c r="B70" s="12" t="s">
        <v>3847</v>
      </c>
      <c r="C70" s="12" t="s">
        <v>3848</v>
      </c>
      <c r="D70" s="12" t="s">
        <v>3849</v>
      </c>
      <c r="E70" s="12" t="s">
        <v>3849</v>
      </c>
      <c r="F70" s="43" t="s">
        <v>3850</v>
      </c>
    </row>
    <row r="71" ht="15.75" customHeight="1">
      <c r="A71" s="12" t="s">
        <v>38</v>
      </c>
      <c r="B71" s="12" t="s">
        <v>3851</v>
      </c>
      <c r="C71" s="12" t="s">
        <v>3852</v>
      </c>
      <c r="D71" s="12"/>
      <c r="E71" s="12" t="s">
        <v>3853</v>
      </c>
      <c r="F71" s="43" t="s">
        <v>3854</v>
      </c>
    </row>
    <row r="72" ht="15.75" customHeight="1">
      <c r="A72" s="12" t="s">
        <v>38</v>
      </c>
      <c r="B72" s="12" t="s">
        <v>3855</v>
      </c>
      <c r="C72" s="12" t="s">
        <v>3856</v>
      </c>
      <c r="D72" s="12" t="s">
        <v>3804</v>
      </c>
      <c r="E72" s="12" t="s">
        <v>3804</v>
      </c>
      <c r="F72" s="43" t="s">
        <v>3857</v>
      </c>
    </row>
    <row r="73" ht="15.75" customHeight="1">
      <c r="A73" s="12" t="s">
        <v>38</v>
      </c>
      <c r="B73" s="12" t="s">
        <v>3858</v>
      </c>
      <c r="C73" s="12" t="s">
        <v>3859</v>
      </c>
      <c r="D73" s="12" t="s">
        <v>3804</v>
      </c>
      <c r="E73" s="12" t="s">
        <v>3804</v>
      </c>
      <c r="F73" s="43" t="s">
        <v>3860</v>
      </c>
    </row>
    <row r="74" ht="15.75" customHeight="1">
      <c r="A74" s="12" t="s">
        <v>38</v>
      </c>
      <c r="B74" s="12" t="s">
        <v>3861</v>
      </c>
      <c r="C74" s="12" t="s">
        <v>3862</v>
      </c>
      <c r="D74" s="12" t="s">
        <v>3863</v>
      </c>
      <c r="E74" s="12" t="s">
        <v>3863</v>
      </c>
      <c r="F74" s="43" t="s">
        <v>3864</v>
      </c>
    </row>
    <row r="75" ht="15.75" customHeight="1">
      <c r="A75" s="12" t="s">
        <v>38</v>
      </c>
      <c r="B75" s="12" t="s">
        <v>3865</v>
      </c>
      <c r="C75" s="12" t="s">
        <v>3866</v>
      </c>
      <c r="D75" s="12" t="s">
        <v>3648</v>
      </c>
      <c r="E75" s="12" t="s">
        <v>3648</v>
      </c>
      <c r="F75" s="43" t="s">
        <v>3867</v>
      </c>
    </row>
    <row r="76" ht="15.75" customHeight="1">
      <c r="A76" s="12" t="s">
        <v>172</v>
      </c>
      <c r="B76" s="12" t="s">
        <v>3868</v>
      </c>
      <c r="C76" s="12" t="s">
        <v>3869</v>
      </c>
      <c r="D76" s="12"/>
      <c r="E76" s="12" t="s">
        <v>3870</v>
      </c>
      <c r="F76" s="43" t="s">
        <v>3871</v>
      </c>
    </row>
    <row r="77" ht="15.75" customHeight="1">
      <c r="A77" s="12" t="s">
        <v>38</v>
      </c>
      <c r="B77" s="12" t="s">
        <v>3872</v>
      </c>
      <c r="C77" s="12" t="s">
        <v>3873</v>
      </c>
      <c r="D77" s="12" t="s">
        <v>3811</v>
      </c>
      <c r="E77" s="12" t="s">
        <v>3811</v>
      </c>
      <c r="F77" s="43" t="s">
        <v>3874</v>
      </c>
    </row>
    <row r="78" ht="15.75" customHeight="1">
      <c r="A78" s="12" t="s">
        <v>172</v>
      </c>
      <c r="B78" s="12" t="s">
        <v>3875</v>
      </c>
      <c r="C78" s="12" t="s">
        <v>3873</v>
      </c>
      <c r="D78" s="12" t="s">
        <v>3811</v>
      </c>
      <c r="E78" s="12" t="s">
        <v>3811</v>
      </c>
      <c r="F78" s="43" t="s">
        <v>3874</v>
      </c>
    </row>
    <row r="79" ht="15.75" customHeight="1">
      <c r="A79" s="12" t="s">
        <v>38</v>
      </c>
      <c r="B79" s="12" t="s">
        <v>3876</v>
      </c>
      <c r="C79" s="12" t="s">
        <v>3877</v>
      </c>
      <c r="D79" s="12" t="s">
        <v>3878</v>
      </c>
      <c r="E79" s="12" t="s">
        <v>3878</v>
      </c>
      <c r="F79" s="43" t="s">
        <v>3879</v>
      </c>
    </row>
    <row r="80" ht="15.75" customHeight="1">
      <c r="A80" s="12" t="s">
        <v>38</v>
      </c>
      <c r="B80" s="12" t="s">
        <v>3880</v>
      </c>
      <c r="C80" s="12" t="s">
        <v>3881</v>
      </c>
      <c r="D80" s="12" t="s">
        <v>3882</v>
      </c>
      <c r="E80" s="12" t="s">
        <v>3882</v>
      </c>
      <c r="F80" s="43" t="s">
        <v>3883</v>
      </c>
    </row>
    <row r="81" ht="15.75" customHeight="1">
      <c r="A81" s="12" t="s">
        <v>38</v>
      </c>
      <c r="B81" s="12" t="s">
        <v>3884</v>
      </c>
      <c r="C81" s="12" t="s">
        <v>3885</v>
      </c>
      <c r="D81" s="12" t="s">
        <v>3886</v>
      </c>
      <c r="E81" s="12" t="s">
        <v>3887</v>
      </c>
      <c r="F81" s="43" t="s">
        <v>3888</v>
      </c>
    </row>
    <row r="82" ht="15.75" customHeight="1">
      <c r="A82" s="12" t="s">
        <v>38</v>
      </c>
      <c r="B82" s="12" t="s">
        <v>3890</v>
      </c>
      <c r="C82" s="12" t="s">
        <v>3891</v>
      </c>
      <c r="D82" s="12" t="s">
        <v>3892</v>
      </c>
      <c r="E82" s="12" t="s">
        <v>3892</v>
      </c>
      <c r="F82" s="43" t="s">
        <v>3893</v>
      </c>
    </row>
    <row r="83" ht="15.75" customHeight="1">
      <c r="A83" s="12" t="s">
        <v>38</v>
      </c>
      <c r="B83" s="12" t="s">
        <v>3894</v>
      </c>
      <c r="C83" s="12" t="s">
        <v>3895</v>
      </c>
      <c r="D83" s="12" t="s">
        <v>3896</v>
      </c>
      <c r="E83" s="12" t="s">
        <v>3897</v>
      </c>
      <c r="F83" s="43" t="s">
        <v>3898</v>
      </c>
    </row>
    <row r="84" ht="15.75" customHeight="1">
      <c r="A84" s="12" t="s">
        <v>38</v>
      </c>
      <c r="B84" s="12" t="s">
        <v>3899</v>
      </c>
      <c r="C84" s="12" t="s">
        <v>3900</v>
      </c>
      <c r="D84" s="12" t="s">
        <v>3901</v>
      </c>
      <c r="E84" s="12" t="s">
        <v>3902</v>
      </c>
      <c r="F84" s="43" t="s">
        <v>3903</v>
      </c>
    </row>
    <row r="85" ht="15.75" customHeight="1">
      <c r="A85" s="12" t="s">
        <v>38</v>
      </c>
      <c r="B85" s="12" t="s">
        <v>3904</v>
      </c>
      <c r="C85" s="12" t="s">
        <v>3905</v>
      </c>
      <c r="D85" s="12" t="s">
        <v>3906</v>
      </c>
      <c r="E85" s="12" t="s">
        <v>3906</v>
      </c>
      <c r="F85" s="43" t="s">
        <v>3907</v>
      </c>
    </row>
    <row r="86" ht="15.75" customHeight="1">
      <c r="A86" s="12" t="s">
        <v>97</v>
      </c>
      <c r="B86" s="12" t="s">
        <v>3904</v>
      </c>
      <c r="C86" s="12" t="s">
        <v>3905</v>
      </c>
      <c r="D86" s="12" t="s">
        <v>3906</v>
      </c>
      <c r="E86" s="12" t="s">
        <v>3906</v>
      </c>
      <c r="F86" s="43" t="s">
        <v>3907</v>
      </c>
    </row>
    <row r="87" ht="15.75" customHeight="1">
      <c r="A87" s="12" t="s">
        <v>38</v>
      </c>
      <c r="B87" s="12" t="s">
        <v>3908</v>
      </c>
      <c r="C87" s="12" t="s">
        <v>3909</v>
      </c>
      <c r="D87" s="12" t="s">
        <v>3910</v>
      </c>
      <c r="E87" s="12" t="s">
        <v>3910</v>
      </c>
      <c r="F87" s="43" t="s">
        <v>3911</v>
      </c>
    </row>
    <row r="88" ht="15.75" customHeight="1">
      <c r="A88" s="12" t="s">
        <v>38</v>
      </c>
      <c r="B88" s="12" t="s">
        <v>3912</v>
      </c>
      <c r="C88" s="12" t="s">
        <v>3913</v>
      </c>
      <c r="D88" s="12" t="s">
        <v>3914</v>
      </c>
      <c r="E88" s="12" t="s">
        <v>3914</v>
      </c>
      <c r="F88" s="43" t="s">
        <v>3915</v>
      </c>
    </row>
    <row r="89" ht="15.75" customHeight="1">
      <c r="A89" s="12" t="s">
        <v>38</v>
      </c>
      <c r="B89" s="12" t="s">
        <v>3916</v>
      </c>
      <c r="C89" s="12" t="s">
        <v>3917</v>
      </c>
      <c r="D89" s="12" t="s">
        <v>3804</v>
      </c>
      <c r="E89" s="12" t="s">
        <v>3804</v>
      </c>
      <c r="F89" s="43" t="s">
        <v>3918</v>
      </c>
    </row>
    <row r="90" ht="15.75" customHeight="1">
      <c r="A90" s="12" t="s">
        <v>38</v>
      </c>
      <c r="B90" s="12" t="s">
        <v>3919</v>
      </c>
      <c r="C90" s="12" t="s">
        <v>3920</v>
      </c>
      <c r="D90" s="12" t="s">
        <v>3680</v>
      </c>
      <c r="E90" s="12" t="s">
        <v>3680</v>
      </c>
      <c r="F90" s="43" t="s">
        <v>3921</v>
      </c>
    </row>
    <row r="91" ht="15.75" customHeight="1">
      <c r="A91" s="12" t="s">
        <v>38</v>
      </c>
      <c r="B91" s="12" t="s">
        <v>3922</v>
      </c>
      <c r="C91" s="12" t="s">
        <v>3923</v>
      </c>
      <c r="D91" s="12" t="s">
        <v>3924</v>
      </c>
      <c r="E91" s="12" t="s">
        <v>3924</v>
      </c>
      <c r="F91" s="43" t="s">
        <v>3925</v>
      </c>
    </row>
    <row r="92" ht="15.75" customHeight="1">
      <c r="A92" s="12" t="s">
        <v>38</v>
      </c>
      <c r="B92" s="12" t="s">
        <v>3926</v>
      </c>
      <c r="C92" s="12" t="s">
        <v>3927</v>
      </c>
      <c r="D92" s="12" t="s">
        <v>3849</v>
      </c>
      <c r="E92" s="12" t="s">
        <v>3849</v>
      </c>
      <c r="F92" s="43" t="s">
        <v>3928</v>
      </c>
    </row>
    <row r="93" ht="15.75" customHeight="1">
      <c r="A93" s="12" t="s">
        <v>38</v>
      </c>
      <c r="B93" s="12" t="s">
        <v>3929</v>
      </c>
      <c r="C93" s="12" t="s">
        <v>3930</v>
      </c>
      <c r="D93" s="12" t="s">
        <v>3849</v>
      </c>
      <c r="E93" s="12" t="s">
        <v>3849</v>
      </c>
      <c r="F93" s="43" t="s">
        <v>3931</v>
      </c>
    </row>
    <row r="94" ht="15.75" customHeight="1">
      <c r="A94" s="12" t="s">
        <v>172</v>
      </c>
      <c r="B94" s="12" t="s">
        <v>3932</v>
      </c>
      <c r="C94" s="12" t="s">
        <v>3930</v>
      </c>
      <c r="D94" s="12" t="s">
        <v>3849</v>
      </c>
      <c r="E94" s="12" t="s">
        <v>3849</v>
      </c>
      <c r="F94" s="43" t="s">
        <v>3931</v>
      </c>
    </row>
    <row r="95" ht="15.75" customHeight="1">
      <c r="A95" s="12" t="s">
        <v>97</v>
      </c>
      <c r="B95" s="12" t="s">
        <v>3933</v>
      </c>
      <c r="C95" s="12" t="s">
        <v>3934</v>
      </c>
      <c r="D95" s="12" t="s">
        <v>3935</v>
      </c>
      <c r="E95" s="12" t="s">
        <v>3935</v>
      </c>
      <c r="F95" s="43" t="s">
        <v>3936</v>
      </c>
    </row>
    <row r="96" ht="15.75" customHeight="1">
      <c r="A96" s="12" t="s">
        <v>38</v>
      </c>
      <c r="B96" s="12" t="s">
        <v>3937</v>
      </c>
      <c r="C96" s="12" t="s">
        <v>3938</v>
      </c>
      <c r="D96" s="12" t="s">
        <v>3939</v>
      </c>
      <c r="E96" s="12" t="s">
        <v>3939</v>
      </c>
      <c r="F96" s="43" t="s">
        <v>3940</v>
      </c>
    </row>
    <row r="97" ht="15.75" customHeight="1">
      <c r="A97" s="12" t="s">
        <v>97</v>
      </c>
      <c r="B97" s="12" t="s">
        <v>3937</v>
      </c>
      <c r="C97" s="12" t="s">
        <v>3938</v>
      </c>
      <c r="D97" s="12" t="s">
        <v>3823</v>
      </c>
      <c r="E97" s="12" t="s">
        <v>3823</v>
      </c>
      <c r="F97" s="43" t="s">
        <v>3941</v>
      </c>
    </row>
    <row r="98" ht="15.75" customHeight="1">
      <c r="A98" s="12" t="s">
        <v>38</v>
      </c>
      <c r="B98" s="12" t="s">
        <v>3942</v>
      </c>
      <c r="C98" s="12" t="s">
        <v>3943</v>
      </c>
      <c r="D98" s="12" t="s">
        <v>3811</v>
      </c>
      <c r="E98" s="12" t="s">
        <v>3811</v>
      </c>
      <c r="F98" s="43" t="s">
        <v>3944</v>
      </c>
    </row>
    <row r="99" ht="15.75" customHeight="1">
      <c r="A99" s="12" t="s">
        <v>142</v>
      </c>
      <c r="B99" s="12" t="s">
        <v>3942</v>
      </c>
      <c r="C99" s="12" t="s">
        <v>3943</v>
      </c>
      <c r="D99" s="12" t="s">
        <v>3811</v>
      </c>
      <c r="E99" s="12" t="s">
        <v>3811</v>
      </c>
      <c r="F99" s="43" t="s">
        <v>3944</v>
      </c>
    </row>
    <row r="100" ht="15.75" customHeight="1">
      <c r="A100" s="12" t="s">
        <v>172</v>
      </c>
      <c r="B100" s="12" t="s">
        <v>3945</v>
      </c>
      <c r="C100" s="12" t="s">
        <v>3943</v>
      </c>
      <c r="D100" s="12" t="s">
        <v>3811</v>
      </c>
      <c r="E100" s="12" t="s">
        <v>3811</v>
      </c>
      <c r="F100" s="43" t="s">
        <v>3944</v>
      </c>
    </row>
    <row r="101" ht="15.75" customHeight="1">
      <c r="A101" s="12" t="s">
        <v>38</v>
      </c>
      <c r="B101" s="12" t="s">
        <v>3946</v>
      </c>
      <c r="C101" s="12" t="s">
        <v>3947</v>
      </c>
      <c r="D101" s="12" t="s">
        <v>3811</v>
      </c>
      <c r="E101" s="12" t="s">
        <v>3811</v>
      </c>
      <c r="F101" s="43" t="s">
        <v>3948</v>
      </c>
    </row>
    <row r="102" ht="15.75" customHeight="1">
      <c r="A102" s="12" t="s">
        <v>38</v>
      </c>
      <c r="B102" s="12" t="s">
        <v>3949</v>
      </c>
      <c r="C102" s="12" t="s">
        <v>3950</v>
      </c>
      <c r="D102" s="12" t="s">
        <v>3811</v>
      </c>
      <c r="E102" s="12" t="s">
        <v>3811</v>
      </c>
      <c r="F102" s="43" t="s">
        <v>3951</v>
      </c>
    </row>
    <row r="103" ht="15.75" customHeight="1">
      <c r="A103" s="12" t="s">
        <v>142</v>
      </c>
      <c r="B103" s="12" t="s">
        <v>3952</v>
      </c>
      <c r="C103" s="12" t="s">
        <v>3953</v>
      </c>
      <c r="D103" s="12" t="s">
        <v>3954</v>
      </c>
      <c r="E103" s="12" t="s">
        <v>3954</v>
      </c>
      <c r="F103" s="43" t="s">
        <v>3955</v>
      </c>
    </row>
    <row r="104" ht="15.75" customHeight="1">
      <c r="A104" s="12" t="s">
        <v>38</v>
      </c>
      <c r="B104" s="12" t="s">
        <v>3952</v>
      </c>
      <c r="C104" s="12" t="s">
        <v>3953</v>
      </c>
      <c r="D104" s="12" t="s">
        <v>3956</v>
      </c>
      <c r="E104" s="12" t="s">
        <v>3804</v>
      </c>
      <c r="F104" s="43" t="s">
        <v>3957</v>
      </c>
    </row>
    <row r="105" ht="15.75" customHeight="1">
      <c r="A105" s="12" t="s">
        <v>97</v>
      </c>
      <c r="B105" s="12" t="s">
        <v>3952</v>
      </c>
      <c r="C105" s="12" t="s">
        <v>3953</v>
      </c>
      <c r="D105" s="12" t="s">
        <v>3804</v>
      </c>
      <c r="E105" s="12" t="s">
        <v>3804</v>
      </c>
      <c r="F105" s="43" t="s">
        <v>3957</v>
      </c>
    </row>
    <row r="106" ht="15.75" customHeight="1">
      <c r="A106" s="12" t="s">
        <v>38</v>
      </c>
      <c r="B106" s="12" t="s">
        <v>3958</v>
      </c>
      <c r="C106" s="12" t="s">
        <v>3959</v>
      </c>
      <c r="D106" s="12" t="s">
        <v>3823</v>
      </c>
      <c r="E106" s="12" t="s">
        <v>3823</v>
      </c>
      <c r="F106" s="43" t="s">
        <v>3960</v>
      </c>
    </row>
    <row r="107" ht="15.75" customHeight="1">
      <c r="A107" s="12" t="s">
        <v>38</v>
      </c>
      <c r="B107" s="12" t="s">
        <v>3961</v>
      </c>
      <c r="C107" s="12" t="s">
        <v>3962</v>
      </c>
      <c r="D107" s="12" t="s">
        <v>3963</v>
      </c>
      <c r="E107" s="12" t="s">
        <v>3963</v>
      </c>
      <c r="F107" s="43" t="s">
        <v>3964</v>
      </c>
    </row>
    <row r="108" ht="15.75" customHeight="1">
      <c r="A108" s="12" t="s">
        <v>38</v>
      </c>
      <c r="B108" s="12" t="s">
        <v>3965</v>
      </c>
      <c r="C108" s="12" t="s">
        <v>3966</v>
      </c>
      <c r="D108" s="12" t="s">
        <v>3757</v>
      </c>
      <c r="E108" s="12" t="s">
        <v>3757</v>
      </c>
      <c r="F108" s="43" t="s">
        <v>3967</v>
      </c>
    </row>
    <row r="109" ht="15.75" customHeight="1">
      <c r="A109" s="12" t="s">
        <v>97</v>
      </c>
      <c r="B109" s="12" t="s">
        <v>3968</v>
      </c>
      <c r="C109" s="12" t="s">
        <v>3969</v>
      </c>
      <c r="D109" s="12" t="s">
        <v>3970</v>
      </c>
      <c r="E109" s="12" t="s">
        <v>3970</v>
      </c>
      <c r="F109" s="43" t="s">
        <v>3971</v>
      </c>
    </row>
    <row r="110" ht="15.75" customHeight="1">
      <c r="A110" s="12" t="s">
        <v>97</v>
      </c>
      <c r="B110" s="12" t="s">
        <v>3858</v>
      </c>
      <c r="C110" s="12" t="s">
        <v>3972</v>
      </c>
      <c r="D110" s="12" t="s">
        <v>3970</v>
      </c>
      <c r="E110" s="12" t="s">
        <v>3970</v>
      </c>
      <c r="F110" s="43" t="s">
        <v>3973</v>
      </c>
    </row>
    <row r="111" ht="15.75" customHeight="1">
      <c r="A111" s="12" t="s">
        <v>38</v>
      </c>
      <c r="B111" s="12" t="s">
        <v>3974</v>
      </c>
      <c r="C111" s="12" t="s">
        <v>3975</v>
      </c>
      <c r="D111" s="12" t="s">
        <v>3977</v>
      </c>
      <c r="E111" s="12" t="s">
        <v>3977</v>
      </c>
      <c r="F111" s="43" t="s">
        <v>3978</v>
      </c>
    </row>
    <row r="112" ht="15.75" customHeight="1">
      <c r="A112" s="12" t="s">
        <v>38</v>
      </c>
      <c r="B112" s="12" t="s">
        <v>3979</v>
      </c>
      <c r="C112" s="12" t="s">
        <v>3980</v>
      </c>
      <c r="D112" s="12" t="s">
        <v>3977</v>
      </c>
      <c r="E112" s="12" t="s">
        <v>3977</v>
      </c>
      <c r="F112" s="43" t="s">
        <v>3981</v>
      </c>
    </row>
    <row r="113" ht="15.75" customHeight="1">
      <c r="A113" s="12" t="s">
        <v>142</v>
      </c>
      <c r="B113" s="12" t="s">
        <v>3982</v>
      </c>
      <c r="C113" s="12" t="s">
        <v>3983</v>
      </c>
      <c r="D113" s="12" t="s">
        <v>3984</v>
      </c>
      <c r="E113" s="12" t="s">
        <v>3984</v>
      </c>
      <c r="F113" s="43" t="s">
        <v>3985</v>
      </c>
    </row>
    <row r="114" ht="15.75" customHeight="1">
      <c r="A114" s="12" t="s">
        <v>38</v>
      </c>
      <c r="B114" s="12" t="s">
        <v>3986</v>
      </c>
      <c r="C114" s="12" t="s">
        <v>3987</v>
      </c>
      <c r="D114" s="12" t="s">
        <v>3984</v>
      </c>
      <c r="E114" s="12" t="s">
        <v>3984</v>
      </c>
      <c r="F114" s="43" t="s">
        <v>3988</v>
      </c>
    </row>
    <row r="115" ht="15.75" customHeight="1">
      <c r="A115" s="12" t="s">
        <v>38</v>
      </c>
      <c r="B115" s="12" t="s">
        <v>3989</v>
      </c>
      <c r="C115" s="12" t="s">
        <v>3990</v>
      </c>
      <c r="D115" s="12" t="s">
        <v>3977</v>
      </c>
      <c r="E115" s="12" t="s">
        <v>3977</v>
      </c>
      <c r="F115" s="43" t="s">
        <v>3991</v>
      </c>
    </row>
    <row r="116" ht="15.75" customHeight="1">
      <c r="A116" s="12" t="s">
        <v>38</v>
      </c>
      <c r="B116" s="12" t="s">
        <v>3992</v>
      </c>
      <c r="C116" s="12" t="s">
        <v>3993</v>
      </c>
      <c r="D116" s="12" t="s">
        <v>3994</v>
      </c>
      <c r="E116" s="12" t="s">
        <v>3994</v>
      </c>
      <c r="F116" s="43" t="s">
        <v>3995</v>
      </c>
    </row>
    <row r="117" ht="15.75" customHeight="1">
      <c r="A117" s="12" t="s">
        <v>38</v>
      </c>
      <c r="B117" s="12" t="s">
        <v>3996</v>
      </c>
      <c r="C117" s="12" t="s">
        <v>3997</v>
      </c>
      <c r="D117" s="12" t="s">
        <v>3998</v>
      </c>
      <c r="E117" s="12" t="s">
        <v>3998</v>
      </c>
      <c r="F117" s="43" t="s">
        <v>4000</v>
      </c>
    </row>
    <row r="118" ht="15.75" customHeight="1">
      <c r="A118" s="12" t="s">
        <v>38</v>
      </c>
      <c r="B118" s="12" t="s">
        <v>4001</v>
      </c>
      <c r="C118" s="12" t="s">
        <v>4002</v>
      </c>
      <c r="D118" s="12" t="s">
        <v>3994</v>
      </c>
      <c r="E118" s="12" t="s">
        <v>3994</v>
      </c>
      <c r="F118" s="43" t="s">
        <v>4003</v>
      </c>
    </row>
    <row r="119" ht="15.75" customHeight="1">
      <c r="A119" s="12" t="s">
        <v>38</v>
      </c>
      <c r="B119" s="12" t="s">
        <v>4004</v>
      </c>
      <c r="C119" s="12" t="s">
        <v>4005</v>
      </c>
      <c r="D119" s="12" t="s">
        <v>3956</v>
      </c>
      <c r="E119" s="12" t="s">
        <v>3956</v>
      </c>
      <c r="F119" s="43" t="s">
        <v>4006</v>
      </c>
    </row>
    <row r="120" ht="15.75" customHeight="1">
      <c r="A120" s="12" t="s">
        <v>38</v>
      </c>
      <c r="B120" s="12" t="s">
        <v>4007</v>
      </c>
      <c r="C120" s="12" t="s">
        <v>4008</v>
      </c>
      <c r="D120" s="12" t="s">
        <v>4009</v>
      </c>
      <c r="E120" s="12" t="s">
        <v>4009</v>
      </c>
      <c r="F120" s="43" t="s">
        <v>4010</v>
      </c>
    </row>
    <row r="121" ht="15.75" customHeight="1">
      <c r="A121" s="12" t="s">
        <v>38</v>
      </c>
      <c r="B121" s="12" t="s">
        <v>4011</v>
      </c>
      <c r="C121" s="12" t="s">
        <v>4012</v>
      </c>
      <c r="D121" s="12" t="s">
        <v>3994</v>
      </c>
      <c r="E121" s="12" t="s">
        <v>3994</v>
      </c>
      <c r="F121" s="43" t="s">
        <v>4013</v>
      </c>
    </row>
    <row r="122" ht="15.75" customHeight="1">
      <c r="A122" s="12" t="s">
        <v>97</v>
      </c>
      <c r="B122" s="12" t="s">
        <v>4014</v>
      </c>
      <c r="C122" s="12" t="s">
        <v>4015</v>
      </c>
      <c r="D122" s="12" t="s">
        <v>4016</v>
      </c>
      <c r="E122" s="12" t="s">
        <v>4016</v>
      </c>
      <c r="F122" s="43" t="s">
        <v>4017</v>
      </c>
    </row>
    <row r="123" ht="15.75" customHeight="1">
      <c r="A123" s="12" t="s">
        <v>38</v>
      </c>
      <c r="B123" s="12" t="s">
        <v>4014</v>
      </c>
      <c r="C123" s="12" t="s">
        <v>4015</v>
      </c>
      <c r="D123" s="12" t="s">
        <v>4019</v>
      </c>
      <c r="E123" s="12" t="s">
        <v>4019</v>
      </c>
      <c r="F123" s="43" t="s">
        <v>4020</v>
      </c>
    </row>
    <row r="124" ht="15.75" customHeight="1">
      <c r="A124" s="12" t="s">
        <v>38</v>
      </c>
      <c r="B124" s="12" t="s">
        <v>4021</v>
      </c>
      <c r="C124" s="12" t="s">
        <v>4022</v>
      </c>
      <c r="D124" s="12" t="s">
        <v>4023</v>
      </c>
      <c r="E124" s="12" t="s">
        <v>4023</v>
      </c>
      <c r="F124" s="43" t="s">
        <v>4024</v>
      </c>
    </row>
    <row r="125" ht="15.75" customHeight="1">
      <c r="A125" s="12" t="s">
        <v>38</v>
      </c>
      <c r="B125" s="12" t="s">
        <v>4025</v>
      </c>
      <c r="C125" s="12" t="s">
        <v>4026</v>
      </c>
      <c r="D125" s="12" t="s">
        <v>3823</v>
      </c>
      <c r="E125" s="12" t="s">
        <v>3823</v>
      </c>
      <c r="F125" s="43" t="s">
        <v>4027</v>
      </c>
    </row>
    <row r="126" ht="15.75" customHeight="1">
      <c r="A126" s="12" t="s">
        <v>38</v>
      </c>
      <c r="B126" s="12" t="s">
        <v>4028</v>
      </c>
      <c r="C126" s="12" t="s">
        <v>4029</v>
      </c>
      <c r="D126" s="12" t="s">
        <v>4030</v>
      </c>
      <c r="E126" s="12" t="s">
        <v>4030</v>
      </c>
      <c r="F126" s="43" t="s">
        <v>4031</v>
      </c>
    </row>
    <row r="127" ht="15.75" customHeight="1">
      <c r="A127" s="12" t="s">
        <v>38</v>
      </c>
      <c r="B127" s="12" t="s">
        <v>4032</v>
      </c>
      <c r="C127" s="12" t="s">
        <v>4033</v>
      </c>
      <c r="D127" s="12" t="s">
        <v>3815</v>
      </c>
      <c r="E127" s="12" t="s">
        <v>3815</v>
      </c>
      <c r="F127" s="43" t="s">
        <v>4034</v>
      </c>
    </row>
    <row r="128" ht="15.75" customHeight="1">
      <c r="A128" s="12" t="s">
        <v>38</v>
      </c>
      <c r="B128" s="12" t="s">
        <v>4035</v>
      </c>
      <c r="C128" s="12" t="s">
        <v>4036</v>
      </c>
      <c r="D128" s="12" t="s">
        <v>3815</v>
      </c>
      <c r="E128" s="12" t="s">
        <v>3815</v>
      </c>
      <c r="F128" s="43" t="s">
        <v>4037</v>
      </c>
    </row>
    <row r="129" ht="15.75" customHeight="1">
      <c r="A129" s="12" t="s">
        <v>38</v>
      </c>
      <c r="B129" s="12" t="s">
        <v>4038</v>
      </c>
      <c r="C129" s="12" t="s">
        <v>4039</v>
      </c>
      <c r="D129" s="12" t="s">
        <v>3804</v>
      </c>
      <c r="E129" s="12" t="s">
        <v>3804</v>
      </c>
      <c r="F129" s="43" t="s">
        <v>4040</v>
      </c>
    </row>
    <row r="130" ht="15.75" customHeight="1">
      <c r="A130" s="12" t="s">
        <v>38</v>
      </c>
      <c r="B130" s="12" t="s">
        <v>4041</v>
      </c>
      <c r="C130" s="12" t="s">
        <v>4042</v>
      </c>
      <c r="D130" s="12" t="s">
        <v>4009</v>
      </c>
      <c r="E130" s="12" t="s">
        <v>4009</v>
      </c>
      <c r="F130" s="43" t="s">
        <v>4044</v>
      </c>
    </row>
    <row r="131" ht="15.75" customHeight="1">
      <c r="A131" s="12" t="s">
        <v>38</v>
      </c>
      <c r="B131" s="12" t="s">
        <v>4045</v>
      </c>
      <c r="C131" s="12" t="s">
        <v>4046</v>
      </c>
      <c r="D131" s="12" t="s">
        <v>4047</v>
      </c>
      <c r="E131" s="12" t="s">
        <v>4047</v>
      </c>
      <c r="F131" s="43" t="s">
        <v>4048</v>
      </c>
    </row>
    <row r="132" ht="15.75" customHeight="1">
      <c r="A132" s="12" t="s">
        <v>38</v>
      </c>
      <c r="B132" s="12" t="s">
        <v>4049</v>
      </c>
      <c r="C132" s="12" t="s">
        <v>4050</v>
      </c>
      <c r="D132" s="12" t="s">
        <v>4051</v>
      </c>
      <c r="E132" s="12" t="s">
        <v>4051</v>
      </c>
      <c r="F132" s="43" t="s">
        <v>4052</v>
      </c>
    </row>
    <row r="133" ht="15.75" customHeight="1">
      <c r="A133" s="12" t="s">
        <v>38</v>
      </c>
      <c r="B133" s="12" t="s">
        <v>4053</v>
      </c>
      <c r="C133" s="12" t="s">
        <v>4054</v>
      </c>
      <c r="D133" s="12" t="s">
        <v>4051</v>
      </c>
      <c r="E133" s="12" t="s">
        <v>4051</v>
      </c>
      <c r="F133" s="43" t="s">
        <v>4055</v>
      </c>
    </row>
    <row r="134" ht="15.75" customHeight="1">
      <c r="A134" s="12" t="s">
        <v>38</v>
      </c>
      <c r="B134" s="12" t="s">
        <v>4056</v>
      </c>
      <c r="C134" s="12" t="s">
        <v>4057</v>
      </c>
      <c r="D134" s="12" t="s">
        <v>4051</v>
      </c>
      <c r="E134" s="12" t="s">
        <v>4051</v>
      </c>
      <c r="F134" s="43" t="s">
        <v>4058</v>
      </c>
    </row>
    <row r="135" ht="15.75" customHeight="1">
      <c r="A135" s="12" t="s">
        <v>142</v>
      </c>
      <c r="B135" s="12" t="s">
        <v>4056</v>
      </c>
      <c r="C135" s="12" t="s">
        <v>4057</v>
      </c>
      <c r="D135" s="12" t="s">
        <v>4051</v>
      </c>
      <c r="E135" s="12" t="s">
        <v>4051</v>
      </c>
      <c r="F135" s="43" t="s">
        <v>4058</v>
      </c>
    </row>
    <row r="136" ht="15.75" customHeight="1">
      <c r="A136" s="12" t="s">
        <v>38</v>
      </c>
      <c r="B136" s="12" t="s">
        <v>4060</v>
      </c>
      <c r="C136" s="12" t="s">
        <v>4061</v>
      </c>
      <c r="D136" s="12" t="s">
        <v>4062</v>
      </c>
      <c r="E136" s="12" t="s">
        <v>4062</v>
      </c>
      <c r="F136" s="43" t="s">
        <v>4063</v>
      </c>
    </row>
    <row r="137" ht="15.75" customHeight="1">
      <c r="A137" s="12" t="s">
        <v>38</v>
      </c>
      <c r="B137" s="12" t="s">
        <v>4064</v>
      </c>
      <c r="C137" s="12" t="s">
        <v>4065</v>
      </c>
      <c r="D137" s="12" t="s">
        <v>4066</v>
      </c>
      <c r="E137" s="12" t="s">
        <v>4066</v>
      </c>
      <c r="F137" s="43" t="s">
        <v>4067</v>
      </c>
    </row>
    <row r="138" ht="15.75" customHeight="1">
      <c r="A138" s="12" t="s">
        <v>38</v>
      </c>
      <c r="B138" s="12" t="s">
        <v>4068</v>
      </c>
      <c r="C138" s="12" t="s">
        <v>4069</v>
      </c>
      <c r="D138" s="12" t="s">
        <v>4051</v>
      </c>
      <c r="E138" s="12" t="s">
        <v>4051</v>
      </c>
      <c r="F138" s="43" t="s">
        <v>4070</v>
      </c>
    </row>
    <row r="139" ht="15.75" customHeight="1">
      <c r="A139" s="12" t="s">
        <v>38</v>
      </c>
      <c r="B139" s="12" t="s">
        <v>4071</v>
      </c>
      <c r="C139" s="12" t="s">
        <v>4072</v>
      </c>
      <c r="D139" s="12" t="s">
        <v>4073</v>
      </c>
      <c r="E139" s="12" t="s">
        <v>4073</v>
      </c>
      <c r="F139" s="43" t="s">
        <v>4074</v>
      </c>
    </row>
    <row r="140" ht="15.75" customHeight="1">
      <c r="A140" s="12" t="s">
        <v>38</v>
      </c>
      <c r="B140" s="12" t="s">
        <v>4075</v>
      </c>
      <c r="C140" s="12" t="s">
        <v>4076</v>
      </c>
      <c r="D140" s="12" t="s">
        <v>4051</v>
      </c>
      <c r="E140" s="12" t="s">
        <v>4051</v>
      </c>
      <c r="F140" s="43" t="s">
        <v>4077</v>
      </c>
    </row>
    <row r="141" ht="15.75" customHeight="1">
      <c r="A141" s="12" t="s">
        <v>38</v>
      </c>
      <c r="B141" s="12" t="s">
        <v>4078</v>
      </c>
      <c r="C141" s="12" t="s">
        <v>4079</v>
      </c>
      <c r="D141" s="12" t="s">
        <v>4051</v>
      </c>
      <c r="E141" s="12" t="s">
        <v>4051</v>
      </c>
      <c r="F141" s="43" t="s">
        <v>4080</v>
      </c>
    </row>
    <row r="142" ht="15.75" customHeight="1">
      <c r="A142" s="12" t="s">
        <v>38</v>
      </c>
      <c r="B142" s="12" t="s">
        <v>4081</v>
      </c>
      <c r="C142" s="12" t="s">
        <v>4082</v>
      </c>
      <c r="D142" s="12" t="s">
        <v>4083</v>
      </c>
      <c r="E142" s="12" t="s">
        <v>4083</v>
      </c>
      <c r="F142" s="43" t="s">
        <v>4084</v>
      </c>
    </row>
    <row r="143" ht="15.75" customHeight="1">
      <c r="A143" s="12" t="s">
        <v>38</v>
      </c>
      <c r="B143" s="12" t="s">
        <v>4085</v>
      </c>
      <c r="C143" s="12" t="s">
        <v>4087</v>
      </c>
      <c r="D143" s="12" t="s">
        <v>3914</v>
      </c>
      <c r="E143" s="12" t="s">
        <v>3914</v>
      </c>
      <c r="F143" s="43" t="s">
        <v>4088</v>
      </c>
    </row>
    <row r="144" ht="15.75" customHeight="1">
      <c r="A144" s="12" t="s">
        <v>38</v>
      </c>
      <c r="B144" s="12" t="s">
        <v>4089</v>
      </c>
      <c r="C144" s="12" t="s">
        <v>4090</v>
      </c>
      <c r="D144" s="12" t="s">
        <v>4091</v>
      </c>
      <c r="E144" s="12" t="s">
        <v>4091</v>
      </c>
      <c r="F144" s="43" t="s">
        <v>4092</v>
      </c>
    </row>
    <row r="145" ht="15.75" customHeight="1">
      <c r="A145" s="12" t="s">
        <v>38</v>
      </c>
      <c r="B145" s="12" t="s">
        <v>4093</v>
      </c>
      <c r="C145" s="12" t="s">
        <v>4094</v>
      </c>
      <c r="D145" s="12" t="s">
        <v>4095</v>
      </c>
      <c r="E145" s="12" t="s">
        <v>4095</v>
      </c>
      <c r="F145" s="43" t="s">
        <v>4096</v>
      </c>
    </row>
    <row r="146" ht="15.75" customHeight="1">
      <c r="A146" s="12" t="s">
        <v>38</v>
      </c>
      <c r="B146" s="12" t="s">
        <v>4097</v>
      </c>
      <c r="C146" s="12" t="s">
        <v>4098</v>
      </c>
      <c r="D146" s="12" t="s">
        <v>4099</v>
      </c>
      <c r="E146" s="12" t="s">
        <v>4099</v>
      </c>
      <c r="F146" s="43" t="s">
        <v>4100</v>
      </c>
    </row>
    <row r="147" ht="15.75" customHeight="1">
      <c r="A147" s="12" t="s">
        <v>38</v>
      </c>
      <c r="B147" s="12" t="s">
        <v>4101</v>
      </c>
      <c r="C147" s="12" t="s">
        <v>4102</v>
      </c>
      <c r="D147" s="12" t="s">
        <v>4103</v>
      </c>
      <c r="E147" s="12" t="s">
        <v>4103</v>
      </c>
      <c r="F147" s="43" t="s">
        <v>4104</v>
      </c>
    </row>
    <row r="148" ht="15.75" customHeight="1">
      <c r="A148" s="12" t="s">
        <v>38</v>
      </c>
      <c r="B148" s="12" t="s">
        <v>4105</v>
      </c>
      <c r="C148" s="12" t="s">
        <v>4106</v>
      </c>
      <c r="D148" s="12" t="s">
        <v>4107</v>
      </c>
      <c r="E148" s="12" t="s">
        <v>4107</v>
      </c>
      <c r="F148" s="43" t="s">
        <v>4108</v>
      </c>
    </row>
    <row r="149" ht="15.75" customHeight="1">
      <c r="A149" s="12" t="s">
        <v>38</v>
      </c>
      <c r="B149" s="12" t="s">
        <v>4109</v>
      </c>
      <c r="C149" s="12" t="s">
        <v>4110</v>
      </c>
      <c r="D149" s="12" t="s">
        <v>4107</v>
      </c>
      <c r="E149" s="12" t="s">
        <v>4107</v>
      </c>
      <c r="F149" s="43" t="s">
        <v>4111</v>
      </c>
    </row>
    <row r="150" ht="15.75" customHeight="1">
      <c r="A150" s="12" t="s">
        <v>38</v>
      </c>
      <c r="B150" s="12" t="s">
        <v>4112</v>
      </c>
      <c r="C150" s="12" t="s">
        <v>4113</v>
      </c>
      <c r="D150" s="12" t="s">
        <v>4115</v>
      </c>
      <c r="E150" s="12" t="s">
        <v>4115</v>
      </c>
      <c r="F150" s="43" t="s">
        <v>4116</v>
      </c>
    </row>
    <row r="151" ht="15.75" customHeight="1">
      <c r="A151" s="12" t="s">
        <v>38</v>
      </c>
      <c r="B151" s="12" t="s">
        <v>4117</v>
      </c>
      <c r="C151" s="12" t="s">
        <v>4118</v>
      </c>
      <c r="D151" s="12"/>
      <c r="E151" s="12" t="s">
        <v>3738</v>
      </c>
      <c r="F151" s="43" t="s">
        <v>4119</v>
      </c>
    </row>
    <row r="152" ht="15.75" customHeight="1">
      <c r="A152" s="12" t="s">
        <v>97</v>
      </c>
      <c r="B152" s="12" t="s">
        <v>4117</v>
      </c>
      <c r="C152" s="12" t="s">
        <v>4118</v>
      </c>
      <c r="D152" s="12" t="s">
        <v>3738</v>
      </c>
      <c r="E152" s="12" t="s">
        <v>3738</v>
      </c>
      <c r="F152" s="43" t="s">
        <v>4119</v>
      </c>
    </row>
    <row r="153" ht="15.75" customHeight="1">
      <c r="A153" s="12" t="s">
        <v>97</v>
      </c>
      <c r="B153" s="12" t="s">
        <v>3767</v>
      </c>
      <c r="C153" s="12" t="s">
        <v>4120</v>
      </c>
      <c r="D153" s="12" t="s">
        <v>3738</v>
      </c>
      <c r="E153" s="12" t="s">
        <v>3738</v>
      </c>
      <c r="F153" s="43" t="s">
        <v>4121</v>
      </c>
    </row>
    <row r="154" ht="15.75" customHeight="1">
      <c r="A154" s="12" t="s">
        <v>38</v>
      </c>
      <c r="B154" s="12" t="s">
        <v>4122</v>
      </c>
      <c r="C154" s="12" t="s">
        <v>4123</v>
      </c>
      <c r="D154" s="12" t="s">
        <v>4103</v>
      </c>
      <c r="E154" s="12" t="s">
        <v>4103</v>
      </c>
      <c r="F154" s="43" t="s">
        <v>4124</v>
      </c>
    </row>
    <row r="155" ht="15.75" customHeight="1">
      <c r="A155" s="12" t="s">
        <v>38</v>
      </c>
      <c r="B155" s="12" t="s">
        <v>4125</v>
      </c>
      <c r="C155" s="12" t="s">
        <v>4126</v>
      </c>
      <c r="D155" s="12" t="s">
        <v>3882</v>
      </c>
      <c r="E155" s="12" t="s">
        <v>3882</v>
      </c>
      <c r="F155" s="43" t="s">
        <v>4127</v>
      </c>
    </row>
    <row r="156" ht="15.75" customHeight="1">
      <c r="A156" s="12" t="s">
        <v>172</v>
      </c>
      <c r="B156" s="12" t="s">
        <v>4128</v>
      </c>
      <c r="C156" s="12" t="s">
        <v>4126</v>
      </c>
      <c r="D156" s="12" t="s">
        <v>3882</v>
      </c>
      <c r="E156" s="12" t="s">
        <v>3882</v>
      </c>
      <c r="F156" s="43" t="s">
        <v>4127</v>
      </c>
    </row>
    <row r="157" ht="15.75" customHeight="1">
      <c r="A157" s="12" t="s">
        <v>38</v>
      </c>
      <c r="B157" s="12" t="s">
        <v>4129</v>
      </c>
      <c r="C157" s="12" t="s">
        <v>4130</v>
      </c>
      <c r="D157" s="12" t="s">
        <v>3734</v>
      </c>
      <c r="E157" s="12" t="s">
        <v>3882</v>
      </c>
      <c r="F157" s="43" t="s">
        <v>4131</v>
      </c>
    </row>
    <row r="158" ht="15.75" customHeight="1">
      <c r="A158" s="12" t="s">
        <v>38</v>
      </c>
      <c r="B158" s="12" t="s">
        <v>4132</v>
      </c>
      <c r="C158" s="12" t="s">
        <v>4133</v>
      </c>
      <c r="D158" s="12" t="s">
        <v>3882</v>
      </c>
      <c r="E158" s="12" t="s">
        <v>3882</v>
      </c>
      <c r="F158" s="43" t="s">
        <v>4134</v>
      </c>
    </row>
    <row r="159" ht="15.75" customHeight="1">
      <c r="A159" s="12" t="s">
        <v>97</v>
      </c>
      <c r="B159" s="12" t="s">
        <v>4135</v>
      </c>
      <c r="C159" s="12" t="s">
        <v>4136</v>
      </c>
      <c r="D159" s="12" t="s">
        <v>4137</v>
      </c>
      <c r="E159" s="12" t="s">
        <v>4137</v>
      </c>
      <c r="F159" s="43" t="s">
        <v>4138</v>
      </c>
    </row>
    <row r="160" ht="15.75" customHeight="1">
      <c r="A160" s="12" t="s">
        <v>38</v>
      </c>
      <c r="B160" s="12" t="s">
        <v>4139</v>
      </c>
      <c r="C160" s="12" t="s">
        <v>4140</v>
      </c>
      <c r="D160" s="12" t="s">
        <v>3823</v>
      </c>
      <c r="E160" s="12" t="s">
        <v>3823</v>
      </c>
      <c r="F160" s="43" t="s">
        <v>4141</v>
      </c>
    </row>
    <row r="161" ht="15.75" customHeight="1">
      <c r="A161" s="12" t="s">
        <v>38</v>
      </c>
      <c r="B161" s="12" t="s">
        <v>4135</v>
      </c>
      <c r="C161" s="12" t="s">
        <v>4142</v>
      </c>
      <c r="D161" s="12" t="s">
        <v>4137</v>
      </c>
      <c r="E161" s="12" t="s">
        <v>4137</v>
      </c>
      <c r="F161" s="43" t="s">
        <v>4143</v>
      </c>
    </row>
    <row r="162" ht="15.75" customHeight="1">
      <c r="A162" s="12" t="s">
        <v>38</v>
      </c>
      <c r="B162" s="12" t="s">
        <v>4144</v>
      </c>
      <c r="C162" s="12" t="s">
        <v>4145</v>
      </c>
      <c r="D162" s="12" t="s">
        <v>4137</v>
      </c>
      <c r="E162" s="12" t="s">
        <v>4137</v>
      </c>
      <c r="F162" s="43" t="s">
        <v>4146</v>
      </c>
    </row>
    <row r="163" ht="15.75" customHeight="1">
      <c r="A163" s="12" t="s">
        <v>38</v>
      </c>
      <c r="B163" s="12" t="s">
        <v>4147</v>
      </c>
      <c r="C163" s="12" t="s">
        <v>4148</v>
      </c>
      <c r="D163" s="12" t="s">
        <v>4137</v>
      </c>
      <c r="E163" s="12" t="s">
        <v>4137</v>
      </c>
      <c r="F163" s="43" t="s">
        <v>4149</v>
      </c>
    </row>
    <row r="164" ht="15.75" customHeight="1">
      <c r="A164" s="12" t="s">
        <v>38</v>
      </c>
      <c r="B164" s="12" t="s">
        <v>4150</v>
      </c>
      <c r="C164" s="12" t="s">
        <v>4151</v>
      </c>
      <c r="D164" s="12" t="s">
        <v>4137</v>
      </c>
      <c r="E164" s="12" t="s">
        <v>4137</v>
      </c>
      <c r="F164" s="43" t="s">
        <v>4152</v>
      </c>
    </row>
    <row r="165" ht="15.75" customHeight="1">
      <c r="A165" s="12" t="s">
        <v>38</v>
      </c>
      <c r="B165" s="12" t="s">
        <v>4153</v>
      </c>
      <c r="C165" s="12" t="s">
        <v>4154</v>
      </c>
      <c r="D165" s="12" t="s">
        <v>4155</v>
      </c>
      <c r="E165" s="12" t="s">
        <v>4155</v>
      </c>
      <c r="F165" s="43" t="s">
        <v>4156</v>
      </c>
    </row>
    <row r="166" ht="15.75" customHeight="1">
      <c r="A166" s="12" t="s">
        <v>38</v>
      </c>
      <c r="B166" s="12" t="s">
        <v>4157</v>
      </c>
      <c r="C166" s="12" t="s">
        <v>4158</v>
      </c>
      <c r="D166" s="12" t="s">
        <v>4155</v>
      </c>
      <c r="E166" s="12" t="s">
        <v>4155</v>
      </c>
      <c r="F166" s="43" t="s">
        <v>4159</v>
      </c>
    </row>
    <row r="167" ht="15.75" customHeight="1">
      <c r="A167" s="12" t="s">
        <v>97</v>
      </c>
      <c r="B167" s="12" t="s">
        <v>4160</v>
      </c>
      <c r="C167" s="12" t="s">
        <v>4161</v>
      </c>
      <c r="D167" s="12" t="s">
        <v>3640</v>
      </c>
      <c r="E167" s="12" t="s">
        <v>3640</v>
      </c>
      <c r="F167" s="43" t="s">
        <v>4162</v>
      </c>
    </row>
    <row r="168" ht="15.75" customHeight="1">
      <c r="A168" s="12" t="s">
        <v>38</v>
      </c>
      <c r="B168" s="12" t="s">
        <v>4160</v>
      </c>
      <c r="C168" s="12" t="s">
        <v>4163</v>
      </c>
      <c r="D168" s="12" t="s">
        <v>3640</v>
      </c>
      <c r="E168" s="12" t="s">
        <v>3640</v>
      </c>
      <c r="F168" s="43" t="s">
        <v>4164</v>
      </c>
    </row>
    <row r="169" ht="15.75" customHeight="1">
      <c r="A169" s="12" t="s">
        <v>38</v>
      </c>
      <c r="B169" s="12" t="s">
        <v>4165</v>
      </c>
      <c r="C169" s="12" t="s">
        <v>4166</v>
      </c>
      <c r="D169" s="12" t="s">
        <v>3640</v>
      </c>
      <c r="E169" s="12" t="s">
        <v>3640</v>
      </c>
      <c r="F169" s="43" t="s">
        <v>4167</v>
      </c>
    </row>
    <row r="170" ht="15.75" customHeight="1">
      <c r="A170" s="12" t="s">
        <v>38</v>
      </c>
      <c r="B170" s="12" t="s">
        <v>3968</v>
      </c>
      <c r="C170" s="12" t="s">
        <v>4168</v>
      </c>
      <c r="D170" s="12" t="s">
        <v>3640</v>
      </c>
      <c r="E170" s="12" t="s">
        <v>3640</v>
      </c>
      <c r="F170" s="43" t="s">
        <v>4169</v>
      </c>
    </row>
    <row r="171" ht="15.75" customHeight="1">
      <c r="A171" s="12" t="s">
        <v>38</v>
      </c>
      <c r="B171" s="12" t="s">
        <v>4170</v>
      </c>
      <c r="C171" s="12" t="s">
        <v>4171</v>
      </c>
      <c r="D171" s="12" t="s">
        <v>4172</v>
      </c>
      <c r="E171" s="12" t="s">
        <v>4172</v>
      </c>
      <c r="F171" s="43" t="s">
        <v>4173</v>
      </c>
    </row>
    <row r="172" ht="15.75" customHeight="1">
      <c r="A172" s="12" t="s">
        <v>38</v>
      </c>
      <c r="B172" s="12" t="s">
        <v>4174</v>
      </c>
      <c r="C172" s="12" t="s">
        <v>4175</v>
      </c>
      <c r="D172" s="12" t="s">
        <v>4172</v>
      </c>
      <c r="E172" s="12" t="s">
        <v>4172</v>
      </c>
      <c r="F172" s="43" t="s">
        <v>4176</v>
      </c>
    </row>
    <row r="173" ht="15.75" customHeight="1">
      <c r="A173" s="12" t="s">
        <v>97</v>
      </c>
      <c r="B173" s="12" t="s">
        <v>4174</v>
      </c>
      <c r="C173" s="12" t="s">
        <v>4175</v>
      </c>
      <c r="D173" s="12" t="s">
        <v>4172</v>
      </c>
      <c r="E173" s="12" t="s">
        <v>4172</v>
      </c>
      <c r="F173" s="43" t="s">
        <v>4176</v>
      </c>
    </row>
    <row r="174" ht="15.75" customHeight="1">
      <c r="A174" s="12" t="s">
        <v>38</v>
      </c>
      <c r="B174" s="12" t="s">
        <v>4177</v>
      </c>
      <c r="C174" s="12" t="s">
        <v>4178</v>
      </c>
      <c r="D174" s="12" t="s">
        <v>4179</v>
      </c>
      <c r="E174" s="12" t="s">
        <v>4179</v>
      </c>
      <c r="F174" s="43" t="s">
        <v>4180</v>
      </c>
    </row>
    <row r="175" ht="15.75" customHeight="1">
      <c r="A175" s="12" t="s">
        <v>97</v>
      </c>
      <c r="B175" s="12" t="s">
        <v>4177</v>
      </c>
      <c r="C175" s="12" t="s">
        <v>4178</v>
      </c>
      <c r="D175" s="12" t="s">
        <v>4179</v>
      </c>
      <c r="E175" s="12" t="s">
        <v>4179</v>
      </c>
      <c r="F175" s="43" t="s">
        <v>4180</v>
      </c>
    </row>
    <row r="176" ht="15.75" customHeight="1">
      <c r="A176" s="12" t="s">
        <v>38</v>
      </c>
      <c r="B176" s="12" t="s">
        <v>4181</v>
      </c>
      <c r="C176" s="12" t="s">
        <v>4182</v>
      </c>
      <c r="D176" s="12" t="s">
        <v>3669</v>
      </c>
      <c r="E176" s="12" t="s">
        <v>3669</v>
      </c>
      <c r="F176" s="43" t="s">
        <v>4183</v>
      </c>
    </row>
    <row r="177" ht="15.75" customHeight="1">
      <c r="A177" s="12" t="s">
        <v>38</v>
      </c>
      <c r="B177" s="12" t="s">
        <v>4184</v>
      </c>
      <c r="C177" s="12" t="s">
        <v>4185</v>
      </c>
      <c r="D177" s="12" t="s">
        <v>4186</v>
      </c>
      <c r="E177" s="12" t="s">
        <v>4186</v>
      </c>
      <c r="F177" s="43" t="s">
        <v>4187</v>
      </c>
    </row>
    <row r="178" ht="15.75" customHeight="1">
      <c r="A178" s="12" t="s">
        <v>97</v>
      </c>
      <c r="B178" s="12" t="s">
        <v>4188</v>
      </c>
      <c r="C178" s="12" t="s">
        <v>4189</v>
      </c>
      <c r="D178" s="12" t="s">
        <v>4190</v>
      </c>
      <c r="E178" s="12" t="s">
        <v>4190</v>
      </c>
      <c r="F178" s="43" t="s">
        <v>4191</v>
      </c>
    </row>
    <row r="179" ht="15.75" customHeight="1">
      <c r="A179" s="12" t="s">
        <v>97</v>
      </c>
      <c r="B179" s="12" t="s">
        <v>4192</v>
      </c>
      <c r="C179" s="12" t="s">
        <v>4193</v>
      </c>
      <c r="D179" s="12" t="s">
        <v>4190</v>
      </c>
      <c r="E179" s="12" t="s">
        <v>4190</v>
      </c>
      <c r="F179" s="43" t="s">
        <v>4191</v>
      </c>
    </row>
    <row r="180" ht="15.75" customHeight="1">
      <c r="A180" s="12" t="s">
        <v>38</v>
      </c>
      <c r="B180" s="12" t="s">
        <v>3868</v>
      </c>
      <c r="C180" s="12" t="s">
        <v>4194</v>
      </c>
      <c r="D180" s="12" t="s">
        <v>3998</v>
      </c>
      <c r="E180" s="12" t="s">
        <v>3998</v>
      </c>
      <c r="F180" s="43" t="s">
        <v>4195</v>
      </c>
    </row>
    <row r="181" ht="15.75" customHeight="1">
      <c r="A181" s="12" t="s">
        <v>38</v>
      </c>
      <c r="B181" s="12" t="s">
        <v>4196</v>
      </c>
      <c r="C181" s="12" t="s">
        <v>4197</v>
      </c>
      <c r="D181" s="12" t="s">
        <v>4198</v>
      </c>
      <c r="E181" s="12" t="s">
        <v>4198</v>
      </c>
      <c r="F181" s="43" t="s">
        <v>4199</v>
      </c>
    </row>
    <row r="182" ht="15.75" customHeight="1">
      <c r="A182" s="12" t="s">
        <v>38</v>
      </c>
      <c r="B182" s="12" t="s">
        <v>4200</v>
      </c>
      <c r="C182" s="12" t="s">
        <v>4201</v>
      </c>
      <c r="D182" s="12" t="s">
        <v>3994</v>
      </c>
      <c r="E182" s="12" t="s">
        <v>3994</v>
      </c>
      <c r="F182" s="43" t="s">
        <v>4202</v>
      </c>
    </row>
    <row r="183" ht="15.75" customHeight="1">
      <c r="A183" s="12" t="s">
        <v>38</v>
      </c>
      <c r="B183" s="12" t="s">
        <v>4203</v>
      </c>
      <c r="C183" s="12" t="s">
        <v>4204</v>
      </c>
      <c r="D183" s="12" t="s">
        <v>4172</v>
      </c>
      <c r="E183" s="12" t="s">
        <v>4172</v>
      </c>
      <c r="F183" s="43" t="s">
        <v>4205</v>
      </c>
    </row>
    <row r="184" ht="15.75" customHeight="1">
      <c r="A184" s="12" t="s">
        <v>97</v>
      </c>
      <c r="B184" s="12" t="s">
        <v>4203</v>
      </c>
      <c r="C184" s="12" t="s">
        <v>4204</v>
      </c>
      <c r="D184" s="12" t="s">
        <v>4172</v>
      </c>
      <c r="E184" s="12" t="s">
        <v>4172</v>
      </c>
      <c r="F184" s="43" t="s">
        <v>4205</v>
      </c>
    </row>
    <row r="185" ht="15.75" customHeight="1">
      <c r="A185" s="12" t="s">
        <v>38</v>
      </c>
      <c r="B185" s="12" t="s">
        <v>4206</v>
      </c>
      <c r="C185" s="12" t="s">
        <v>4207</v>
      </c>
      <c r="D185" s="12" t="s">
        <v>3963</v>
      </c>
      <c r="E185" s="12" t="s">
        <v>3963</v>
      </c>
      <c r="F185" s="43" t="s">
        <v>4208</v>
      </c>
    </row>
    <row r="186" ht="15.75" customHeight="1">
      <c r="A186" s="12" t="s">
        <v>97</v>
      </c>
      <c r="B186" s="12" t="s">
        <v>4209</v>
      </c>
      <c r="C186" s="12" t="s">
        <v>4207</v>
      </c>
      <c r="D186" s="12" t="s">
        <v>3963</v>
      </c>
      <c r="E186" s="12" t="s">
        <v>3963</v>
      </c>
      <c r="F186" s="43" t="s">
        <v>4208</v>
      </c>
    </row>
    <row r="187" ht="15.75" customHeight="1">
      <c r="A187" s="12" t="s">
        <v>38</v>
      </c>
      <c r="B187" s="12" t="s">
        <v>4210</v>
      </c>
      <c r="C187" s="12" t="s">
        <v>4211</v>
      </c>
      <c r="D187" s="12" t="s">
        <v>4212</v>
      </c>
      <c r="E187" s="12" t="s">
        <v>4212</v>
      </c>
      <c r="F187" s="43" t="s">
        <v>4213</v>
      </c>
    </row>
    <row r="188" ht="15.75" customHeight="1">
      <c r="A188" s="12" t="s">
        <v>38</v>
      </c>
      <c r="B188" s="12" t="s">
        <v>4214</v>
      </c>
      <c r="C188" s="12" t="s">
        <v>4215</v>
      </c>
      <c r="D188" s="12" t="s">
        <v>4212</v>
      </c>
      <c r="E188" s="12" t="s">
        <v>4212</v>
      </c>
      <c r="F188" s="43" t="s">
        <v>4216</v>
      </c>
    </row>
    <row r="189" ht="15.75" customHeight="1">
      <c r="A189" s="12" t="s">
        <v>38</v>
      </c>
      <c r="B189" s="12" t="s">
        <v>4217</v>
      </c>
      <c r="C189" s="12" t="s">
        <v>4218</v>
      </c>
      <c r="D189" s="12" t="s">
        <v>3914</v>
      </c>
      <c r="E189" s="12" t="s">
        <v>3914</v>
      </c>
      <c r="F189" s="43" t="s">
        <v>4219</v>
      </c>
    </row>
    <row r="190" ht="15.75" customHeight="1">
      <c r="A190" s="12" t="s">
        <v>38</v>
      </c>
      <c r="B190" s="12" t="s">
        <v>4220</v>
      </c>
      <c r="C190" s="12" t="s">
        <v>4221</v>
      </c>
      <c r="D190" s="12" t="s">
        <v>3914</v>
      </c>
      <c r="E190" s="12" t="s">
        <v>3914</v>
      </c>
      <c r="F190" s="43" t="s">
        <v>4222</v>
      </c>
    </row>
    <row r="191" ht="15.75" customHeight="1">
      <c r="A191" s="12" t="s">
        <v>38</v>
      </c>
      <c r="B191" s="12" t="s">
        <v>4223</v>
      </c>
      <c r="C191" s="12" t="s">
        <v>4224</v>
      </c>
      <c r="D191" s="12" t="s">
        <v>3914</v>
      </c>
      <c r="E191" s="12" t="s">
        <v>3914</v>
      </c>
      <c r="F191" s="43" t="s">
        <v>4225</v>
      </c>
    </row>
    <row r="192" ht="15.75" customHeight="1">
      <c r="A192" s="12" t="s">
        <v>38</v>
      </c>
      <c r="B192" s="12" t="s">
        <v>4226</v>
      </c>
      <c r="C192" s="12" t="s">
        <v>4227</v>
      </c>
      <c r="D192" s="12" t="s">
        <v>3914</v>
      </c>
      <c r="E192" s="12" t="s">
        <v>3914</v>
      </c>
      <c r="F192" s="43" t="s">
        <v>4228</v>
      </c>
    </row>
    <row r="193" ht="15.75" customHeight="1">
      <c r="A193" s="12" t="s">
        <v>97</v>
      </c>
      <c r="B193" s="12" t="s">
        <v>3890</v>
      </c>
      <c r="C193" s="12" t="s">
        <v>4229</v>
      </c>
      <c r="D193" s="12" t="s">
        <v>4230</v>
      </c>
      <c r="E193" s="12" t="s">
        <v>4230</v>
      </c>
      <c r="F193" s="43" t="s">
        <v>4232</v>
      </c>
    </row>
    <row r="194" ht="15.75" customHeight="1">
      <c r="A194" s="12" t="s">
        <v>142</v>
      </c>
      <c r="B194" s="12" t="s">
        <v>4233</v>
      </c>
      <c r="C194" s="12" t="s">
        <v>4229</v>
      </c>
      <c r="D194" s="12" t="s">
        <v>4230</v>
      </c>
      <c r="E194" s="12" t="s">
        <v>4230</v>
      </c>
      <c r="F194" s="43" t="s">
        <v>4232</v>
      </c>
    </row>
    <row r="195" ht="15.75" customHeight="1">
      <c r="A195" s="12" t="s">
        <v>38</v>
      </c>
      <c r="B195" s="12" t="s">
        <v>4234</v>
      </c>
      <c r="C195" s="12" t="s">
        <v>4235</v>
      </c>
      <c r="D195" s="12" t="s">
        <v>3823</v>
      </c>
      <c r="E195" s="12" t="s">
        <v>3823</v>
      </c>
      <c r="F195" s="43" t="s">
        <v>4236</v>
      </c>
    </row>
    <row r="196" ht="15.75" customHeight="1">
      <c r="A196" s="12" t="s">
        <v>199</v>
      </c>
      <c r="B196" s="12" t="s">
        <v>3654</v>
      </c>
      <c r="C196" s="12" t="s">
        <v>4237</v>
      </c>
      <c r="D196" s="12" t="s">
        <v>4238</v>
      </c>
      <c r="E196" s="12" t="s">
        <v>4238</v>
      </c>
      <c r="F196" s="43" t="s">
        <v>4239</v>
      </c>
    </row>
    <row r="197" ht="15.75" customHeight="1">
      <c r="A197" s="12" t="s">
        <v>38</v>
      </c>
      <c r="B197" s="12" t="s">
        <v>4240</v>
      </c>
      <c r="C197" s="12" t="s">
        <v>4241</v>
      </c>
      <c r="D197" s="12" t="s">
        <v>4242</v>
      </c>
      <c r="E197" s="12" t="s">
        <v>4242</v>
      </c>
      <c r="F197" s="43" t="s">
        <v>4243</v>
      </c>
    </row>
    <row r="198" ht="15.75" customHeight="1">
      <c r="A198" s="12" t="s">
        <v>38</v>
      </c>
      <c r="B198" s="12" t="s">
        <v>4244</v>
      </c>
      <c r="C198" s="12" t="s">
        <v>4245</v>
      </c>
      <c r="D198" s="12" t="s">
        <v>4242</v>
      </c>
      <c r="E198" s="12" t="s">
        <v>4242</v>
      </c>
      <c r="F198" s="43" t="s">
        <v>4246</v>
      </c>
    </row>
    <row r="199" ht="15.75" customHeight="1">
      <c r="A199" s="12" t="s">
        <v>97</v>
      </c>
      <c r="B199" s="12" t="s">
        <v>4247</v>
      </c>
      <c r="C199" s="12" t="s">
        <v>4248</v>
      </c>
      <c r="D199" s="12" t="s">
        <v>4249</v>
      </c>
      <c r="E199" s="12" t="s">
        <v>4249</v>
      </c>
      <c r="F199" s="43" t="s">
        <v>4250</v>
      </c>
    </row>
    <row r="200" ht="15.75" customHeight="1">
      <c r="A200" s="12" t="s">
        <v>38</v>
      </c>
      <c r="B200" s="12" t="s">
        <v>4247</v>
      </c>
      <c r="C200" s="12" t="s">
        <v>4248</v>
      </c>
      <c r="D200" s="12" t="s">
        <v>4251</v>
      </c>
      <c r="E200" s="12" t="s">
        <v>4252</v>
      </c>
      <c r="F200" s="43" t="s">
        <v>4253</v>
      </c>
    </row>
    <row r="201" ht="15.75" customHeight="1">
      <c r="A201" s="12" t="s">
        <v>38</v>
      </c>
      <c r="B201" s="12" t="s">
        <v>4254</v>
      </c>
      <c r="C201" s="12" t="s">
        <v>4255</v>
      </c>
      <c r="D201" s="12" t="s">
        <v>4256</v>
      </c>
      <c r="E201" s="12" t="s">
        <v>4257</v>
      </c>
      <c r="F201" s="43" t="s">
        <v>4258</v>
      </c>
    </row>
    <row r="202" ht="15.75" customHeight="1">
      <c r="A202" s="12" t="s">
        <v>38</v>
      </c>
      <c r="B202" s="12" t="s">
        <v>4259</v>
      </c>
      <c r="C202" s="12" t="s">
        <v>4260</v>
      </c>
      <c r="D202" s="12" t="s">
        <v>4261</v>
      </c>
      <c r="E202" s="12" t="s">
        <v>4261</v>
      </c>
      <c r="F202" s="43" t="s">
        <v>4262</v>
      </c>
    </row>
    <row r="203" ht="15.75" customHeight="1">
      <c r="A203" s="12" t="s">
        <v>38</v>
      </c>
      <c r="B203" s="12" t="s">
        <v>4263</v>
      </c>
      <c r="C203" s="12" t="s">
        <v>4264</v>
      </c>
      <c r="D203" s="12" t="s">
        <v>4265</v>
      </c>
      <c r="E203" s="12" t="s">
        <v>4265</v>
      </c>
      <c r="F203" s="43" t="s">
        <v>4266</v>
      </c>
    </row>
    <row r="204" ht="15.75" customHeight="1">
      <c r="A204" s="12" t="s">
        <v>172</v>
      </c>
      <c r="B204" s="12" t="s">
        <v>3974</v>
      </c>
      <c r="C204" s="12" t="s">
        <v>4267</v>
      </c>
      <c r="D204" s="12" t="s">
        <v>4268</v>
      </c>
      <c r="E204" s="12" t="s">
        <v>4268</v>
      </c>
      <c r="F204" s="43" t="s">
        <v>4269</v>
      </c>
    </row>
    <row r="205" ht="15.75" customHeight="1">
      <c r="A205" s="12" t="s">
        <v>38</v>
      </c>
      <c r="B205" s="12" t="s">
        <v>4270</v>
      </c>
      <c r="C205" s="12" t="s">
        <v>4267</v>
      </c>
      <c r="D205" s="12" t="s">
        <v>4265</v>
      </c>
      <c r="E205" s="12" t="s">
        <v>4265</v>
      </c>
      <c r="F205" s="43" t="s">
        <v>4271</v>
      </c>
    </row>
    <row r="206" ht="15.75" customHeight="1">
      <c r="A206" s="12" t="s">
        <v>38</v>
      </c>
      <c r="B206" s="12" t="s">
        <v>4272</v>
      </c>
      <c r="C206" s="12" t="s">
        <v>4273</v>
      </c>
      <c r="D206" s="12" t="s">
        <v>4274</v>
      </c>
      <c r="E206" s="12" t="s">
        <v>4274</v>
      </c>
      <c r="F206" s="43" t="s">
        <v>4275</v>
      </c>
    </row>
    <row r="207" ht="15.75" customHeight="1">
      <c r="A207" s="12" t="s">
        <v>38</v>
      </c>
      <c r="B207" s="12" t="s">
        <v>4276</v>
      </c>
      <c r="C207" s="12" t="s">
        <v>4277</v>
      </c>
      <c r="D207" s="12" t="s">
        <v>4051</v>
      </c>
      <c r="E207" s="12" t="s">
        <v>4051</v>
      </c>
      <c r="F207" s="43" t="s">
        <v>4278</v>
      </c>
    </row>
    <row r="208" ht="15.75" customHeight="1">
      <c r="A208" s="12" t="s">
        <v>172</v>
      </c>
      <c r="B208" s="12" t="s">
        <v>4279</v>
      </c>
      <c r="C208" s="12" t="s">
        <v>4277</v>
      </c>
      <c r="D208" s="12" t="s">
        <v>4051</v>
      </c>
      <c r="E208" s="12" t="s">
        <v>4051</v>
      </c>
      <c r="F208" s="43" t="s">
        <v>4278</v>
      </c>
    </row>
    <row r="209" ht="15.75" customHeight="1">
      <c r="A209" s="12" t="s">
        <v>38</v>
      </c>
      <c r="B209" s="12" t="s">
        <v>4281</v>
      </c>
      <c r="C209" s="12" t="s">
        <v>4282</v>
      </c>
      <c r="D209" s="12" t="s">
        <v>4051</v>
      </c>
      <c r="E209" s="12" t="s">
        <v>4051</v>
      </c>
      <c r="F209" s="43" t="s">
        <v>4283</v>
      </c>
    </row>
    <row r="210" ht="15.75" customHeight="1">
      <c r="A210" s="12" t="s">
        <v>38</v>
      </c>
      <c r="B210" s="12" t="s">
        <v>4284</v>
      </c>
      <c r="C210" s="12" t="s">
        <v>4285</v>
      </c>
      <c r="D210" s="12" t="s">
        <v>4051</v>
      </c>
      <c r="E210" s="12" t="s">
        <v>4051</v>
      </c>
      <c r="F210" s="43" t="s">
        <v>4286</v>
      </c>
    </row>
    <row r="211" ht="15.75" customHeight="1">
      <c r="A211" s="12" t="s">
        <v>38</v>
      </c>
      <c r="B211" s="12" t="s">
        <v>4287</v>
      </c>
      <c r="C211" s="12" t="s">
        <v>4288</v>
      </c>
      <c r="D211" s="12" t="s">
        <v>4051</v>
      </c>
      <c r="E211" s="12" t="s">
        <v>4051</v>
      </c>
      <c r="F211" s="43" t="s">
        <v>4289</v>
      </c>
    </row>
    <row r="212" ht="15.75" customHeight="1">
      <c r="A212" s="12" t="s">
        <v>38</v>
      </c>
      <c r="B212" s="12" t="s">
        <v>4290</v>
      </c>
      <c r="C212" s="12" t="s">
        <v>4291</v>
      </c>
      <c r="D212" s="12" t="s">
        <v>4292</v>
      </c>
      <c r="E212" s="12" t="s">
        <v>4292</v>
      </c>
      <c r="F212" s="43" t="s">
        <v>4293</v>
      </c>
    </row>
    <row r="213" ht="15.75" customHeight="1">
      <c r="A213" s="12" t="s">
        <v>38</v>
      </c>
      <c r="B213" s="12" t="s">
        <v>4294</v>
      </c>
      <c r="C213" s="12" t="s">
        <v>4295</v>
      </c>
      <c r="D213" s="12" t="s">
        <v>4296</v>
      </c>
      <c r="E213" s="12" t="s">
        <v>4296</v>
      </c>
      <c r="F213" s="43" t="s">
        <v>4297</v>
      </c>
    </row>
    <row r="214" ht="15.75" customHeight="1">
      <c r="A214" s="12" t="s">
        <v>142</v>
      </c>
      <c r="B214" s="12" t="s">
        <v>4298</v>
      </c>
      <c r="C214" s="12" t="s">
        <v>4299</v>
      </c>
      <c r="D214" s="12" t="s">
        <v>4300</v>
      </c>
      <c r="E214" s="12" t="s">
        <v>4300</v>
      </c>
      <c r="F214" s="43" t="s">
        <v>4301</v>
      </c>
    </row>
    <row r="215" ht="15.75" customHeight="1">
      <c r="A215" s="12" t="s">
        <v>38</v>
      </c>
      <c r="B215" s="12" t="s">
        <v>4298</v>
      </c>
      <c r="C215" s="12" t="s">
        <v>4299</v>
      </c>
      <c r="D215" s="12" t="s">
        <v>4302</v>
      </c>
      <c r="E215" s="12" t="s">
        <v>4302</v>
      </c>
      <c r="F215" s="43" t="s">
        <v>4303</v>
      </c>
    </row>
    <row r="216" ht="15.75" customHeight="1">
      <c r="A216" s="12" t="s">
        <v>97</v>
      </c>
      <c r="B216" s="12" t="s">
        <v>4298</v>
      </c>
      <c r="C216" s="12" t="s">
        <v>4299</v>
      </c>
      <c r="D216" s="12" t="s">
        <v>4302</v>
      </c>
      <c r="E216" s="12" t="s">
        <v>4302</v>
      </c>
      <c r="F216" s="43" t="s">
        <v>4303</v>
      </c>
    </row>
    <row r="217" ht="15.75" customHeight="1">
      <c r="A217" s="12" t="s">
        <v>97</v>
      </c>
      <c r="B217" s="12" t="s">
        <v>4279</v>
      </c>
      <c r="C217" s="12" t="s">
        <v>4304</v>
      </c>
      <c r="D217" s="12" t="s">
        <v>4302</v>
      </c>
      <c r="E217" s="12" t="s">
        <v>4302</v>
      </c>
      <c r="F217" s="43" t="s">
        <v>4305</v>
      </c>
    </row>
    <row r="218" ht="15.75" customHeight="1">
      <c r="A218" s="12" t="s">
        <v>38</v>
      </c>
      <c r="B218" s="12" t="s">
        <v>4306</v>
      </c>
      <c r="C218" s="12" t="s">
        <v>4307</v>
      </c>
      <c r="D218" s="12" t="s">
        <v>4308</v>
      </c>
      <c r="E218" s="12" t="s">
        <v>4309</v>
      </c>
      <c r="F218" s="43" t="s">
        <v>4310</v>
      </c>
    </row>
    <row r="219" ht="15.75" customHeight="1">
      <c r="A219" s="12" t="s">
        <v>38</v>
      </c>
      <c r="B219" s="12" t="s">
        <v>3798</v>
      </c>
      <c r="C219" s="12" t="s">
        <v>4311</v>
      </c>
      <c r="D219" s="12" t="s">
        <v>4312</v>
      </c>
      <c r="E219" s="12" t="s">
        <v>4312</v>
      </c>
      <c r="F219" s="43" t="s">
        <v>4313</v>
      </c>
    </row>
    <row r="220" ht="15.75" customHeight="1">
      <c r="A220" s="12" t="s">
        <v>38</v>
      </c>
      <c r="B220" s="12" t="s">
        <v>4279</v>
      </c>
      <c r="C220" s="12" t="s">
        <v>4314</v>
      </c>
      <c r="D220" s="12" t="s">
        <v>4315</v>
      </c>
      <c r="E220" s="12" t="s">
        <v>4315</v>
      </c>
      <c r="F220" s="43" t="s">
        <v>4316</v>
      </c>
    </row>
    <row r="221" ht="15.75" customHeight="1">
      <c r="A221" s="12" t="s">
        <v>38</v>
      </c>
      <c r="B221" s="12" t="s">
        <v>4317</v>
      </c>
      <c r="C221" s="12" t="s">
        <v>4318</v>
      </c>
      <c r="D221" s="12" t="s">
        <v>4302</v>
      </c>
      <c r="E221" s="12" t="s">
        <v>4302</v>
      </c>
      <c r="F221" s="43" t="s">
        <v>4319</v>
      </c>
    </row>
    <row r="222" ht="15.75" customHeight="1">
      <c r="A222" s="12" t="s">
        <v>38</v>
      </c>
      <c r="B222" s="12" t="s">
        <v>4209</v>
      </c>
      <c r="C222" s="12" t="s">
        <v>4320</v>
      </c>
      <c r="D222" s="12" t="s">
        <v>4302</v>
      </c>
      <c r="E222" s="12" t="s">
        <v>4302</v>
      </c>
      <c r="F222" s="43" t="s">
        <v>4321</v>
      </c>
    </row>
    <row r="223" ht="15.75" customHeight="1">
      <c r="A223" s="12" t="s">
        <v>38</v>
      </c>
      <c r="B223" s="12" t="s">
        <v>4322</v>
      </c>
      <c r="C223" s="12" t="s">
        <v>4323</v>
      </c>
      <c r="D223" s="12" t="s">
        <v>4312</v>
      </c>
      <c r="E223" s="12" t="s">
        <v>4312</v>
      </c>
      <c r="F223" s="43" t="s">
        <v>4324</v>
      </c>
    </row>
    <row r="224" ht="15.75" customHeight="1">
      <c r="A224" s="12" t="s">
        <v>115</v>
      </c>
      <c r="B224" s="12" t="s">
        <v>4325</v>
      </c>
      <c r="C224" s="12" t="s">
        <v>4326</v>
      </c>
      <c r="D224" s="12" t="s">
        <v>3901</v>
      </c>
      <c r="E224" s="12" t="s">
        <v>3902</v>
      </c>
      <c r="F224" s="43" t="s">
        <v>4327</v>
      </c>
    </row>
    <row r="225" ht="15.75" customHeight="1">
      <c r="A225" s="12" t="s">
        <v>172</v>
      </c>
      <c r="B225" s="12" t="s">
        <v>4328</v>
      </c>
      <c r="C225" s="12" t="s">
        <v>4326</v>
      </c>
      <c r="D225" s="12"/>
      <c r="E225" s="12" t="s">
        <v>3902</v>
      </c>
      <c r="F225" s="43" t="s">
        <v>4327</v>
      </c>
    </row>
    <row r="226" ht="15.75" customHeight="1">
      <c r="A226" s="12" t="s">
        <v>38</v>
      </c>
      <c r="B226" s="12" t="s">
        <v>4329</v>
      </c>
      <c r="C226" s="12" t="s">
        <v>4330</v>
      </c>
      <c r="D226" s="12" t="s">
        <v>3644</v>
      </c>
      <c r="E226" s="12" t="s">
        <v>3644</v>
      </c>
      <c r="F226" s="43" t="s">
        <v>4331</v>
      </c>
    </row>
    <row r="227" ht="15.75" customHeight="1">
      <c r="A227" s="12" t="s">
        <v>38</v>
      </c>
      <c r="B227" s="12" t="s">
        <v>4332</v>
      </c>
      <c r="C227" s="12" t="s">
        <v>4333</v>
      </c>
      <c r="D227" s="12" t="s">
        <v>3924</v>
      </c>
      <c r="E227" s="12" t="s">
        <v>3924</v>
      </c>
      <c r="F227" s="43" t="s">
        <v>4334</v>
      </c>
    </row>
    <row r="228" ht="15.75" customHeight="1">
      <c r="A228" s="12" t="s">
        <v>172</v>
      </c>
      <c r="B228" s="12" t="s">
        <v>4335</v>
      </c>
      <c r="C228" s="12" t="s">
        <v>4333</v>
      </c>
      <c r="D228" s="12" t="s">
        <v>3924</v>
      </c>
      <c r="E228" s="12" t="s">
        <v>3924</v>
      </c>
      <c r="F228" s="43" t="s">
        <v>4334</v>
      </c>
    </row>
    <row r="229" ht="15.75" customHeight="1">
      <c r="A229" s="12" t="s">
        <v>38</v>
      </c>
      <c r="B229" s="12" t="s">
        <v>4336</v>
      </c>
      <c r="C229" s="12" t="s">
        <v>4337</v>
      </c>
      <c r="D229" s="12" t="s">
        <v>4338</v>
      </c>
      <c r="E229" s="12" t="s">
        <v>4338</v>
      </c>
      <c r="F229" s="43" t="s">
        <v>4339</v>
      </c>
    </row>
    <row r="230" ht="15.75" customHeight="1">
      <c r="A230" s="12" t="s">
        <v>38</v>
      </c>
      <c r="B230" s="12" t="s">
        <v>4340</v>
      </c>
      <c r="C230" s="12" t="s">
        <v>4341</v>
      </c>
      <c r="D230" s="12" t="s">
        <v>4342</v>
      </c>
      <c r="E230" s="12" t="s">
        <v>4342</v>
      </c>
      <c r="F230" s="43" t="s">
        <v>4343</v>
      </c>
    </row>
    <row r="231" ht="15.75" customHeight="1">
      <c r="A231" s="12" t="s">
        <v>38</v>
      </c>
      <c r="B231" s="12" t="s">
        <v>4344</v>
      </c>
      <c r="C231" s="12" t="s">
        <v>4345</v>
      </c>
      <c r="D231" s="12" t="s">
        <v>4342</v>
      </c>
      <c r="E231" s="12" t="s">
        <v>4342</v>
      </c>
      <c r="F231" s="43" t="s">
        <v>4346</v>
      </c>
    </row>
    <row r="232" ht="15.75" customHeight="1">
      <c r="A232" s="12" t="s">
        <v>38</v>
      </c>
      <c r="B232" s="12" t="s">
        <v>4347</v>
      </c>
      <c r="C232" s="12" t="s">
        <v>4348</v>
      </c>
      <c r="D232" s="12" t="s">
        <v>3924</v>
      </c>
      <c r="E232" s="12" t="s">
        <v>3924</v>
      </c>
      <c r="F232" s="43" t="s">
        <v>4349</v>
      </c>
    </row>
    <row r="233" ht="15.75" customHeight="1">
      <c r="A233" s="12" t="s">
        <v>97</v>
      </c>
      <c r="B233" s="12" t="s">
        <v>4350</v>
      </c>
      <c r="C233" s="12" t="s">
        <v>4351</v>
      </c>
      <c r="D233" s="12" t="s">
        <v>3823</v>
      </c>
      <c r="E233" s="12" t="s">
        <v>3823</v>
      </c>
      <c r="F233" s="43" t="s">
        <v>4352</v>
      </c>
    </row>
    <row r="234" ht="15.75" customHeight="1">
      <c r="A234" s="12" t="s">
        <v>97</v>
      </c>
      <c r="B234" s="12" t="s">
        <v>4144</v>
      </c>
      <c r="C234" s="12" t="s">
        <v>4353</v>
      </c>
      <c r="D234" s="12" t="s">
        <v>4354</v>
      </c>
      <c r="E234" s="12" t="s">
        <v>4354</v>
      </c>
      <c r="F234" s="43" t="s">
        <v>4355</v>
      </c>
    </row>
    <row r="235" ht="15.75" customHeight="1">
      <c r="A235" s="12" t="s">
        <v>38</v>
      </c>
      <c r="B235" s="12" t="s">
        <v>4356</v>
      </c>
      <c r="C235" s="12" t="s">
        <v>4357</v>
      </c>
      <c r="D235" s="12" t="s">
        <v>4338</v>
      </c>
      <c r="E235" s="12" t="s">
        <v>4338</v>
      </c>
      <c r="F235" s="43" t="s">
        <v>4358</v>
      </c>
    </row>
    <row r="236" ht="15.75" customHeight="1">
      <c r="A236" s="12" t="s">
        <v>97</v>
      </c>
      <c r="B236" s="12" t="s">
        <v>4356</v>
      </c>
      <c r="C236" s="12" t="s">
        <v>4357</v>
      </c>
      <c r="D236" s="12" t="s">
        <v>4338</v>
      </c>
      <c r="E236" s="12" t="s">
        <v>4338</v>
      </c>
      <c r="F236" s="43" t="s">
        <v>4358</v>
      </c>
    </row>
    <row r="237" ht="15.75" customHeight="1">
      <c r="A237" s="12" t="s">
        <v>38</v>
      </c>
      <c r="B237" s="12" t="s">
        <v>4359</v>
      </c>
      <c r="C237" s="12" t="s">
        <v>4360</v>
      </c>
      <c r="D237" s="12" t="s">
        <v>4361</v>
      </c>
      <c r="E237" s="12" t="s">
        <v>4361</v>
      </c>
      <c r="F237" s="43" t="s">
        <v>4362</v>
      </c>
    </row>
    <row r="238" ht="15.75" customHeight="1">
      <c r="A238" s="12" t="s">
        <v>38</v>
      </c>
      <c r="B238" s="12" t="s">
        <v>4363</v>
      </c>
      <c r="C238" s="12" t="s">
        <v>4364</v>
      </c>
      <c r="D238" s="12" t="s">
        <v>4342</v>
      </c>
      <c r="E238" s="12" t="s">
        <v>4342</v>
      </c>
      <c r="F238" s="43" t="s">
        <v>4365</v>
      </c>
    </row>
    <row r="239" ht="15.75" customHeight="1">
      <c r="A239" s="12" t="s">
        <v>142</v>
      </c>
      <c r="B239" s="12" t="s">
        <v>4366</v>
      </c>
      <c r="C239" s="12" t="s">
        <v>4364</v>
      </c>
      <c r="D239" s="12" t="s">
        <v>4342</v>
      </c>
      <c r="E239" s="12" t="s">
        <v>4342</v>
      </c>
      <c r="F239" s="43" t="s">
        <v>4365</v>
      </c>
    </row>
    <row r="240" ht="15.75" customHeight="1">
      <c r="A240" s="12" t="s">
        <v>97</v>
      </c>
      <c r="B240" s="12" t="s">
        <v>4368</v>
      </c>
      <c r="C240" s="12" t="s">
        <v>4369</v>
      </c>
      <c r="D240" s="12" t="s">
        <v>4370</v>
      </c>
      <c r="E240" s="12" t="s">
        <v>4370</v>
      </c>
      <c r="F240" s="43" t="s">
        <v>4371</v>
      </c>
    </row>
    <row r="241" ht="15.75" customHeight="1">
      <c r="A241" s="12" t="s">
        <v>38</v>
      </c>
      <c r="B241" s="12" t="s">
        <v>4372</v>
      </c>
      <c r="C241" s="12" t="s">
        <v>4373</v>
      </c>
      <c r="D241" s="12" t="s">
        <v>3823</v>
      </c>
      <c r="E241" s="12" t="s">
        <v>3823</v>
      </c>
      <c r="F241" s="43" t="s">
        <v>4374</v>
      </c>
    </row>
    <row r="242" ht="15.75" customHeight="1">
      <c r="A242" s="12" t="s">
        <v>38</v>
      </c>
      <c r="B242" s="12" t="s">
        <v>4375</v>
      </c>
      <c r="C242" s="12" t="s">
        <v>4376</v>
      </c>
      <c r="D242" s="12" t="s">
        <v>4292</v>
      </c>
      <c r="E242" s="12" t="s">
        <v>4292</v>
      </c>
      <c r="F242" s="43" t="s">
        <v>4377</v>
      </c>
    </row>
    <row r="243" ht="15.75" customHeight="1">
      <c r="A243" s="12" t="s">
        <v>97</v>
      </c>
      <c r="B243" s="12" t="s">
        <v>4375</v>
      </c>
      <c r="C243" s="12" t="s">
        <v>4376</v>
      </c>
      <c r="D243" s="12" t="s">
        <v>4292</v>
      </c>
      <c r="E243" s="12" t="s">
        <v>4292</v>
      </c>
      <c r="F243" s="43" t="s">
        <v>4377</v>
      </c>
    </row>
    <row r="244" ht="15.75" customHeight="1">
      <c r="A244" s="12" t="s">
        <v>142</v>
      </c>
      <c r="B244" s="12" t="s">
        <v>4375</v>
      </c>
      <c r="C244" s="12" t="s">
        <v>4376</v>
      </c>
      <c r="D244" s="12" t="s">
        <v>4292</v>
      </c>
      <c r="E244" s="12" t="s">
        <v>4292</v>
      </c>
      <c r="F244" s="43" t="s">
        <v>4377</v>
      </c>
    </row>
    <row r="245" ht="15.75" customHeight="1">
      <c r="A245" s="12" t="s">
        <v>172</v>
      </c>
      <c r="B245" s="12" t="s">
        <v>4378</v>
      </c>
      <c r="C245" s="12" t="s">
        <v>4376</v>
      </c>
      <c r="D245" s="12" t="s">
        <v>4292</v>
      </c>
      <c r="E245" s="12" t="s">
        <v>4292</v>
      </c>
      <c r="F245" s="43" t="s">
        <v>4377</v>
      </c>
    </row>
    <row r="246" ht="15.75" customHeight="1">
      <c r="A246" s="12" t="s">
        <v>38</v>
      </c>
      <c r="B246" s="12" t="s">
        <v>4379</v>
      </c>
      <c r="C246" s="12" t="s">
        <v>4380</v>
      </c>
      <c r="D246" s="12" t="s">
        <v>4292</v>
      </c>
      <c r="E246" s="12" t="s">
        <v>4292</v>
      </c>
      <c r="F246" s="43" t="s">
        <v>4381</v>
      </c>
    </row>
    <row r="247" ht="15.75" customHeight="1">
      <c r="A247" s="12" t="s">
        <v>38</v>
      </c>
      <c r="B247" s="12" t="s">
        <v>4382</v>
      </c>
      <c r="C247" s="12" t="s">
        <v>4383</v>
      </c>
      <c r="D247" s="12" t="s">
        <v>4292</v>
      </c>
      <c r="E247" s="12" t="s">
        <v>4292</v>
      </c>
      <c r="F247" s="43" t="s">
        <v>4384</v>
      </c>
    </row>
    <row r="248" ht="15.75" customHeight="1">
      <c r="A248" s="12" t="s">
        <v>38</v>
      </c>
      <c r="B248" s="12" t="s">
        <v>4385</v>
      </c>
      <c r="C248" s="12" t="s">
        <v>4386</v>
      </c>
      <c r="D248" s="12" t="s">
        <v>4292</v>
      </c>
      <c r="E248" s="12" t="s">
        <v>4292</v>
      </c>
      <c r="F248" s="43" t="s">
        <v>4387</v>
      </c>
    </row>
    <row r="249" ht="15.75" customHeight="1">
      <c r="A249" s="12" t="s">
        <v>38</v>
      </c>
      <c r="B249" s="12" t="s">
        <v>3932</v>
      </c>
      <c r="C249" s="12" t="s">
        <v>4388</v>
      </c>
      <c r="D249" s="12" t="s">
        <v>4389</v>
      </c>
      <c r="E249" s="12" t="s">
        <v>4389</v>
      </c>
      <c r="F249" s="43" t="s">
        <v>4390</v>
      </c>
    </row>
    <row r="250" ht="15.75" customHeight="1">
      <c r="A250" s="12" t="s">
        <v>38</v>
      </c>
      <c r="B250" s="12" t="s">
        <v>4391</v>
      </c>
      <c r="C250" s="12" t="s">
        <v>4392</v>
      </c>
      <c r="D250" s="12" t="s">
        <v>4393</v>
      </c>
      <c r="E250" s="12" t="s">
        <v>4393</v>
      </c>
      <c r="F250" s="43" t="s">
        <v>4394</v>
      </c>
    </row>
    <row r="251" ht="15.75" customHeight="1">
      <c r="A251" s="12" t="s">
        <v>97</v>
      </c>
      <c r="B251" s="12" t="s">
        <v>4391</v>
      </c>
      <c r="C251" s="12" t="s">
        <v>4392</v>
      </c>
      <c r="D251" s="12" t="s">
        <v>4393</v>
      </c>
      <c r="E251" s="12" t="s">
        <v>4393</v>
      </c>
      <c r="F251" s="43" t="s">
        <v>4394</v>
      </c>
    </row>
    <row r="252" ht="15.75" customHeight="1">
      <c r="A252" s="12" t="s">
        <v>172</v>
      </c>
      <c r="B252" s="12" t="s">
        <v>4395</v>
      </c>
      <c r="C252" s="12" t="s">
        <v>4392</v>
      </c>
      <c r="D252" s="12" t="s">
        <v>4393</v>
      </c>
      <c r="E252" s="12" t="s">
        <v>4393</v>
      </c>
      <c r="F252" s="43" t="s">
        <v>4394</v>
      </c>
    </row>
    <row r="253" ht="15.75" customHeight="1">
      <c r="A253" s="12" t="s">
        <v>38</v>
      </c>
      <c r="B253" s="12" t="s">
        <v>4396</v>
      </c>
      <c r="C253" s="12" t="s">
        <v>4397</v>
      </c>
      <c r="D253" s="12" t="s">
        <v>4398</v>
      </c>
      <c r="E253" s="12" t="s">
        <v>4398</v>
      </c>
      <c r="F253" s="43" t="s">
        <v>4399</v>
      </c>
    </row>
    <row r="254" ht="15.75" customHeight="1">
      <c r="A254" s="12" t="s">
        <v>38</v>
      </c>
      <c r="B254" s="12" t="s">
        <v>4400</v>
      </c>
      <c r="C254" s="12" t="s">
        <v>4401</v>
      </c>
      <c r="D254" s="12" t="s">
        <v>4402</v>
      </c>
      <c r="E254" s="12" t="s">
        <v>4402</v>
      </c>
      <c r="F254" s="43" t="s">
        <v>4403</v>
      </c>
    </row>
    <row r="255" ht="15.75" customHeight="1">
      <c r="A255" s="12" t="s">
        <v>38</v>
      </c>
      <c r="B255" s="12" t="s">
        <v>4404</v>
      </c>
      <c r="C255" s="12" t="s">
        <v>4405</v>
      </c>
      <c r="D255" s="12" t="s">
        <v>4402</v>
      </c>
      <c r="E255" s="12" t="s">
        <v>4402</v>
      </c>
      <c r="F255" s="43" t="s">
        <v>4406</v>
      </c>
    </row>
    <row r="256" ht="15.75" customHeight="1">
      <c r="A256" s="12" t="s">
        <v>97</v>
      </c>
      <c r="B256" s="12" t="s">
        <v>4407</v>
      </c>
      <c r="C256" s="12" t="s">
        <v>4408</v>
      </c>
      <c r="D256" s="12" t="s">
        <v>4402</v>
      </c>
      <c r="E256" s="12" t="s">
        <v>4402</v>
      </c>
      <c r="F256" s="43" t="s">
        <v>4410</v>
      </c>
    </row>
    <row r="257" ht="15.75" customHeight="1">
      <c r="A257" s="12" t="s">
        <v>142</v>
      </c>
      <c r="B257" s="12" t="s">
        <v>4411</v>
      </c>
      <c r="C257" s="12" t="s">
        <v>4412</v>
      </c>
      <c r="D257" s="12" t="s">
        <v>3910</v>
      </c>
      <c r="E257" s="12" t="s">
        <v>3804</v>
      </c>
      <c r="F257" s="43" t="s">
        <v>4413</v>
      </c>
    </row>
    <row r="258" ht="15.75" customHeight="1">
      <c r="A258" s="12" t="s">
        <v>38</v>
      </c>
      <c r="B258" s="12" t="s">
        <v>4411</v>
      </c>
      <c r="C258" s="12" t="s">
        <v>4412</v>
      </c>
      <c r="D258" s="12" t="s">
        <v>3910</v>
      </c>
      <c r="E258" s="12" t="s">
        <v>3910</v>
      </c>
      <c r="F258" s="43" t="s">
        <v>4414</v>
      </c>
    </row>
    <row r="259" ht="15.75" customHeight="1">
      <c r="A259" s="12" t="s">
        <v>97</v>
      </c>
      <c r="B259" s="12" t="s">
        <v>4411</v>
      </c>
      <c r="C259" s="12" t="s">
        <v>4412</v>
      </c>
      <c r="D259" s="12" t="s">
        <v>3910</v>
      </c>
      <c r="E259" s="12" t="s">
        <v>3910</v>
      </c>
      <c r="F259" s="43" t="s">
        <v>4414</v>
      </c>
    </row>
    <row r="260" ht="15.75" customHeight="1">
      <c r="A260" s="12" t="s">
        <v>38</v>
      </c>
      <c r="B260" s="12" t="s">
        <v>4415</v>
      </c>
      <c r="C260" s="12" t="s">
        <v>4416</v>
      </c>
      <c r="D260" s="12" t="s">
        <v>3910</v>
      </c>
      <c r="E260" s="12" t="s">
        <v>3910</v>
      </c>
      <c r="F260" s="43" t="s">
        <v>4417</v>
      </c>
    </row>
    <row r="261" ht="15.75" customHeight="1">
      <c r="A261" s="12" t="s">
        <v>142</v>
      </c>
      <c r="B261" s="12" t="s">
        <v>4415</v>
      </c>
      <c r="C261" s="12" t="s">
        <v>4416</v>
      </c>
      <c r="D261" s="12" t="s">
        <v>3910</v>
      </c>
      <c r="E261" s="12" t="s">
        <v>3910</v>
      </c>
      <c r="F261" s="43" t="s">
        <v>4417</v>
      </c>
    </row>
    <row r="262" ht="15.75" customHeight="1">
      <c r="A262" s="12" t="s">
        <v>38</v>
      </c>
      <c r="B262" s="12" t="s">
        <v>4418</v>
      </c>
      <c r="C262" s="12" t="s">
        <v>4419</v>
      </c>
      <c r="D262" s="12" t="s">
        <v>3910</v>
      </c>
      <c r="E262" s="12" t="s">
        <v>3910</v>
      </c>
      <c r="F262" s="43" t="s">
        <v>4420</v>
      </c>
    </row>
    <row r="263" ht="15.75" customHeight="1">
      <c r="A263" s="12" t="s">
        <v>38</v>
      </c>
      <c r="B263" s="12" t="s">
        <v>4421</v>
      </c>
      <c r="C263" s="12" t="s">
        <v>4422</v>
      </c>
      <c r="D263" s="12" t="s">
        <v>3910</v>
      </c>
      <c r="E263" s="12" t="s">
        <v>3910</v>
      </c>
      <c r="F263" s="43" t="s">
        <v>4423</v>
      </c>
    </row>
    <row r="264" ht="15.75" customHeight="1">
      <c r="A264" s="12" t="s">
        <v>172</v>
      </c>
      <c r="B264" s="12" t="s">
        <v>4424</v>
      </c>
      <c r="C264" s="12" t="s">
        <v>4422</v>
      </c>
      <c r="D264" s="12" t="s">
        <v>3910</v>
      </c>
      <c r="E264" s="12" t="s">
        <v>3910</v>
      </c>
      <c r="F264" s="43" t="s">
        <v>4423</v>
      </c>
    </row>
    <row r="265" ht="15.75" customHeight="1">
      <c r="A265" s="12" t="s">
        <v>38</v>
      </c>
      <c r="B265" s="12" t="s">
        <v>4425</v>
      </c>
      <c r="C265" s="12" t="s">
        <v>4426</v>
      </c>
      <c r="D265" s="12" t="s">
        <v>3910</v>
      </c>
      <c r="E265" s="12" t="s">
        <v>3910</v>
      </c>
      <c r="F265" s="43" t="s">
        <v>4427</v>
      </c>
    </row>
    <row r="266" ht="15.75" customHeight="1">
      <c r="A266" s="12" t="s">
        <v>38</v>
      </c>
      <c r="B266" s="12" t="s">
        <v>4335</v>
      </c>
      <c r="C266" s="12" t="s">
        <v>4428</v>
      </c>
      <c r="D266" s="12" t="s">
        <v>4429</v>
      </c>
      <c r="E266" s="12" t="s">
        <v>4429</v>
      </c>
      <c r="F266" s="43" t="s">
        <v>4430</v>
      </c>
    </row>
    <row r="267" ht="15.75" customHeight="1">
      <c r="A267" s="12" t="s">
        <v>142</v>
      </c>
      <c r="B267" s="12" t="s">
        <v>4335</v>
      </c>
      <c r="C267" s="12" t="s">
        <v>4428</v>
      </c>
      <c r="D267" s="12" t="s">
        <v>4429</v>
      </c>
      <c r="E267" s="12" t="s">
        <v>4429</v>
      </c>
      <c r="F267" s="43" t="s">
        <v>4430</v>
      </c>
    </row>
    <row r="268" ht="15.75" customHeight="1">
      <c r="A268" s="12" t="s">
        <v>97</v>
      </c>
      <c r="B268" s="12" t="s">
        <v>4335</v>
      </c>
      <c r="C268" s="12" t="s">
        <v>4428</v>
      </c>
      <c r="D268" s="12" t="s">
        <v>3804</v>
      </c>
      <c r="E268" s="12" t="s">
        <v>3897</v>
      </c>
      <c r="F268" s="43" t="s">
        <v>4431</v>
      </c>
    </row>
    <row r="269" ht="15.75" customHeight="1">
      <c r="A269" s="12" t="s">
        <v>38</v>
      </c>
      <c r="B269" s="12" t="s">
        <v>4432</v>
      </c>
      <c r="C269" s="12" t="s">
        <v>4433</v>
      </c>
      <c r="D269" s="12" t="s">
        <v>4434</v>
      </c>
      <c r="E269" s="12" t="s">
        <v>4434</v>
      </c>
      <c r="F269" s="43" t="s">
        <v>4435</v>
      </c>
    </row>
    <row r="270" ht="15.75" customHeight="1">
      <c r="A270" s="12" t="s">
        <v>38</v>
      </c>
      <c r="B270" s="12" t="s">
        <v>4436</v>
      </c>
      <c r="C270" s="12" t="s">
        <v>4437</v>
      </c>
      <c r="D270" s="12" t="s">
        <v>3823</v>
      </c>
      <c r="E270" s="12" t="s">
        <v>3823</v>
      </c>
      <c r="F270" s="43" t="s">
        <v>4438</v>
      </c>
    </row>
    <row r="271" ht="15.75" customHeight="1">
      <c r="A271" s="12" t="s">
        <v>38</v>
      </c>
      <c r="B271" s="12" t="s">
        <v>4439</v>
      </c>
      <c r="C271" s="12" t="s">
        <v>4440</v>
      </c>
      <c r="D271" s="12" t="s">
        <v>4051</v>
      </c>
      <c r="E271" s="12" t="s">
        <v>4051</v>
      </c>
      <c r="F271" s="43" t="s">
        <v>4441</v>
      </c>
    </row>
    <row r="272" ht="15.75" customHeight="1">
      <c r="A272" s="12" t="s">
        <v>38</v>
      </c>
      <c r="B272" s="12" t="s">
        <v>4442</v>
      </c>
      <c r="C272" s="12" t="s">
        <v>4443</v>
      </c>
      <c r="D272" s="12" t="s">
        <v>3648</v>
      </c>
      <c r="E272" s="12" t="s">
        <v>3648</v>
      </c>
      <c r="F272" s="43" t="s">
        <v>4444</v>
      </c>
    </row>
    <row r="273" ht="15.75" customHeight="1">
      <c r="A273" s="12" t="s">
        <v>38</v>
      </c>
      <c r="B273" s="12" t="s">
        <v>4445</v>
      </c>
      <c r="C273" s="12" t="s">
        <v>4446</v>
      </c>
      <c r="D273" s="12" t="s">
        <v>4447</v>
      </c>
      <c r="E273" s="12" t="s">
        <v>4447</v>
      </c>
      <c r="F273" s="43" t="s">
        <v>4448</v>
      </c>
    </row>
    <row r="274" ht="15.75" customHeight="1">
      <c r="A274" s="12" t="s">
        <v>97</v>
      </c>
      <c r="B274" s="12" t="s">
        <v>4206</v>
      </c>
      <c r="C274" s="12" t="s">
        <v>4449</v>
      </c>
      <c r="D274" s="12" t="s">
        <v>4450</v>
      </c>
      <c r="E274" s="12" t="s">
        <v>4450</v>
      </c>
      <c r="F274" s="43" t="s">
        <v>4451</v>
      </c>
    </row>
    <row r="275" ht="15.75" customHeight="1">
      <c r="A275" s="12" t="s">
        <v>38</v>
      </c>
      <c r="B275" s="12" t="s">
        <v>4452</v>
      </c>
      <c r="C275" s="12" t="s">
        <v>4453</v>
      </c>
      <c r="D275" s="12" t="s">
        <v>3684</v>
      </c>
      <c r="E275" s="12" t="s">
        <v>3684</v>
      </c>
      <c r="F275" s="43" t="s">
        <v>4454</v>
      </c>
    </row>
    <row r="276" ht="15.75" customHeight="1">
      <c r="A276" s="12" t="s">
        <v>38</v>
      </c>
      <c r="B276" s="12" t="s">
        <v>4328</v>
      </c>
      <c r="C276" s="12" t="s">
        <v>4455</v>
      </c>
      <c r="D276" s="12" t="s">
        <v>4009</v>
      </c>
      <c r="E276" s="12" t="s">
        <v>4009</v>
      </c>
      <c r="F276" s="43" t="s">
        <v>4456</v>
      </c>
    </row>
    <row r="277" ht="15.75" customHeight="1">
      <c r="A277" s="12" t="s">
        <v>97</v>
      </c>
      <c r="B277" s="12" t="s">
        <v>4457</v>
      </c>
      <c r="C277" s="12" t="s">
        <v>4458</v>
      </c>
      <c r="D277" s="12" t="s">
        <v>3823</v>
      </c>
      <c r="E277" s="12" t="s">
        <v>3823</v>
      </c>
      <c r="F277" s="43" t="s">
        <v>4459</v>
      </c>
    </row>
    <row r="278" ht="15.75" customHeight="1">
      <c r="A278" s="12" t="s">
        <v>38</v>
      </c>
      <c r="B278" s="12" t="s">
        <v>4460</v>
      </c>
      <c r="C278" s="12" t="s">
        <v>4461</v>
      </c>
      <c r="D278" s="12" t="s">
        <v>3680</v>
      </c>
      <c r="E278" s="12" t="s">
        <v>3680</v>
      </c>
      <c r="F278" s="43" t="s">
        <v>4462</v>
      </c>
    </row>
    <row r="279" ht="15.75" customHeight="1">
      <c r="A279" s="12" t="s">
        <v>115</v>
      </c>
      <c r="B279" s="12" t="s">
        <v>4460</v>
      </c>
      <c r="C279" s="12" t="s">
        <v>4461</v>
      </c>
      <c r="D279" s="12" t="s">
        <v>3680</v>
      </c>
      <c r="E279" s="12" t="s">
        <v>3680</v>
      </c>
      <c r="F279" s="43" t="s">
        <v>4462</v>
      </c>
    </row>
    <row r="280" ht="15.75" customHeight="1">
      <c r="A280" s="12" t="s">
        <v>38</v>
      </c>
      <c r="B280" s="12" t="s">
        <v>4463</v>
      </c>
      <c r="C280" s="12" t="s">
        <v>4464</v>
      </c>
      <c r="D280" s="12" t="s">
        <v>3680</v>
      </c>
      <c r="E280" s="12" t="s">
        <v>3680</v>
      </c>
      <c r="F280" s="43" t="s">
        <v>4465</v>
      </c>
    </row>
    <row r="281" ht="15.75" customHeight="1">
      <c r="A281" s="12" t="s">
        <v>38</v>
      </c>
      <c r="B281" s="12" t="s">
        <v>4466</v>
      </c>
      <c r="C281" s="12" t="s">
        <v>4467</v>
      </c>
      <c r="D281" s="12" t="s">
        <v>4468</v>
      </c>
      <c r="E281" s="12" t="s">
        <v>4468</v>
      </c>
      <c r="F281" s="43" t="s">
        <v>4469</v>
      </c>
    </row>
    <row r="282" ht="15.75" customHeight="1">
      <c r="A282" s="12" t="s">
        <v>172</v>
      </c>
      <c r="B282" s="12" t="s">
        <v>3798</v>
      </c>
      <c r="C282" s="12" t="s">
        <v>4467</v>
      </c>
      <c r="D282" s="12" t="s">
        <v>4468</v>
      </c>
      <c r="E282" s="12" t="s">
        <v>4468</v>
      </c>
      <c r="F282" s="43" t="s">
        <v>4469</v>
      </c>
    </row>
    <row r="283" ht="15.75" customHeight="1">
      <c r="A283" s="12" t="s">
        <v>38</v>
      </c>
      <c r="B283" s="12" t="s">
        <v>4470</v>
      </c>
      <c r="C283" s="12" t="s">
        <v>4471</v>
      </c>
      <c r="D283" s="12" t="s">
        <v>3823</v>
      </c>
      <c r="E283" s="12" t="s">
        <v>3823</v>
      </c>
      <c r="F283" s="43" t="s">
        <v>4472</v>
      </c>
    </row>
    <row r="284" ht="15.75" customHeight="1">
      <c r="A284" s="12" t="s">
        <v>38</v>
      </c>
      <c r="B284" s="12" t="s">
        <v>4473</v>
      </c>
      <c r="C284" s="12" t="s">
        <v>4474</v>
      </c>
      <c r="D284" s="12" t="s">
        <v>3644</v>
      </c>
      <c r="E284" s="12" t="s">
        <v>3644</v>
      </c>
      <c r="F284" s="43" t="s">
        <v>4476</v>
      </c>
    </row>
    <row r="285" ht="15.75" customHeight="1">
      <c r="A285" s="12" t="s">
        <v>38</v>
      </c>
      <c r="B285" s="12" t="s">
        <v>4477</v>
      </c>
      <c r="C285" s="12" t="s">
        <v>4478</v>
      </c>
      <c r="D285" s="12" t="s">
        <v>4479</v>
      </c>
      <c r="E285" s="12" t="s">
        <v>4479</v>
      </c>
      <c r="F285" s="43" t="s">
        <v>4480</v>
      </c>
    </row>
    <row r="286" ht="15.75" customHeight="1">
      <c r="A286" s="12" t="s">
        <v>38</v>
      </c>
      <c r="B286" s="12" t="s">
        <v>4481</v>
      </c>
      <c r="C286" s="12" t="s">
        <v>4482</v>
      </c>
      <c r="D286" s="12" t="s">
        <v>4479</v>
      </c>
      <c r="E286" s="12" t="s">
        <v>4479</v>
      </c>
      <c r="F286" s="43" t="s">
        <v>4483</v>
      </c>
    </row>
    <row r="287" ht="15.75" customHeight="1">
      <c r="A287" s="12" t="s">
        <v>38</v>
      </c>
      <c r="B287" s="12" t="s">
        <v>4484</v>
      </c>
      <c r="C287" s="12" t="s">
        <v>4485</v>
      </c>
      <c r="D287" s="12" t="s">
        <v>4486</v>
      </c>
      <c r="E287" s="12" t="s">
        <v>4486</v>
      </c>
      <c r="F287" s="43" t="s">
        <v>4487</v>
      </c>
    </row>
    <row r="288" ht="15.75" customHeight="1">
      <c r="A288" s="12" t="s">
        <v>38</v>
      </c>
      <c r="B288" s="12" t="s">
        <v>4488</v>
      </c>
      <c r="C288" s="12" t="s">
        <v>4489</v>
      </c>
      <c r="D288" s="12" t="s">
        <v>4468</v>
      </c>
      <c r="E288" s="12" t="s">
        <v>4468</v>
      </c>
      <c r="F288" s="43" t="s">
        <v>4490</v>
      </c>
    </row>
    <row r="289" ht="15.75" customHeight="1">
      <c r="A289" s="12" t="s">
        <v>38</v>
      </c>
      <c r="B289" s="12" t="s">
        <v>4491</v>
      </c>
      <c r="C289" s="12" t="s">
        <v>4492</v>
      </c>
      <c r="D289" s="12" t="s">
        <v>3680</v>
      </c>
      <c r="E289" s="12" t="s">
        <v>4493</v>
      </c>
      <c r="F289" s="43" t="s">
        <v>4494</v>
      </c>
    </row>
    <row r="290" ht="15.75" customHeight="1">
      <c r="A290" s="12" t="s">
        <v>38</v>
      </c>
      <c r="B290" s="12" t="s">
        <v>4495</v>
      </c>
      <c r="C290" s="12" t="s">
        <v>4496</v>
      </c>
      <c r="D290" s="12" t="s">
        <v>3914</v>
      </c>
      <c r="E290" s="12" t="s">
        <v>3914</v>
      </c>
      <c r="F290" s="43" t="s">
        <v>4497</v>
      </c>
    </row>
    <row r="291" ht="15.75" customHeight="1">
      <c r="A291" s="12" t="s">
        <v>38</v>
      </c>
      <c r="B291" s="12" t="s">
        <v>4498</v>
      </c>
      <c r="C291" s="12" t="s">
        <v>4499</v>
      </c>
      <c r="D291" s="12" t="s">
        <v>3914</v>
      </c>
      <c r="E291" s="12" t="s">
        <v>3914</v>
      </c>
      <c r="F291" s="43" t="s">
        <v>4500</v>
      </c>
    </row>
    <row r="292" ht="15.75" customHeight="1">
      <c r="A292" s="12" t="s">
        <v>97</v>
      </c>
      <c r="B292" s="12" t="s">
        <v>3749</v>
      </c>
      <c r="C292" s="12" t="s">
        <v>4501</v>
      </c>
      <c r="D292" s="12" t="s">
        <v>3970</v>
      </c>
      <c r="E292" s="12" t="s">
        <v>3970</v>
      </c>
      <c r="F292" s="43" t="s">
        <v>4502</v>
      </c>
    </row>
    <row r="293" ht="15.75" customHeight="1">
      <c r="A293" s="12" t="s">
        <v>38</v>
      </c>
      <c r="B293" s="12" t="s">
        <v>4503</v>
      </c>
      <c r="C293" s="12" t="s">
        <v>4504</v>
      </c>
      <c r="D293" s="12" t="s">
        <v>4505</v>
      </c>
      <c r="E293" s="12" t="s">
        <v>4505</v>
      </c>
      <c r="F293" s="43" t="s">
        <v>4506</v>
      </c>
    </row>
    <row r="294" ht="15.75" customHeight="1">
      <c r="A294" s="12" t="s">
        <v>97</v>
      </c>
      <c r="B294" s="12" t="s">
        <v>4503</v>
      </c>
      <c r="C294" s="12" t="s">
        <v>4504</v>
      </c>
      <c r="D294" s="12" t="s">
        <v>4505</v>
      </c>
      <c r="E294" s="12" t="s">
        <v>4505</v>
      </c>
      <c r="F294" s="43" t="s">
        <v>4506</v>
      </c>
    </row>
    <row r="295" ht="15.75" customHeight="1">
      <c r="A295" s="12" t="s">
        <v>142</v>
      </c>
      <c r="B295" s="12" t="s">
        <v>4503</v>
      </c>
      <c r="C295" s="12" t="s">
        <v>4504</v>
      </c>
      <c r="D295" s="12" t="s">
        <v>4505</v>
      </c>
      <c r="E295" s="12" t="s">
        <v>4505</v>
      </c>
      <c r="F295" s="43" t="s">
        <v>4506</v>
      </c>
    </row>
    <row r="296" ht="15.75" customHeight="1">
      <c r="A296" s="12" t="s">
        <v>38</v>
      </c>
      <c r="B296" s="12" t="s">
        <v>4507</v>
      </c>
      <c r="C296" s="12" t="s">
        <v>4508</v>
      </c>
      <c r="D296" s="12" t="s">
        <v>4505</v>
      </c>
      <c r="E296" s="12" t="s">
        <v>4505</v>
      </c>
      <c r="F296" s="43" t="s">
        <v>4509</v>
      </c>
    </row>
    <row r="297" ht="15.75" customHeight="1">
      <c r="A297" s="12" t="s">
        <v>38</v>
      </c>
      <c r="B297" s="12" t="s">
        <v>4510</v>
      </c>
      <c r="C297" s="12" t="s">
        <v>4511</v>
      </c>
      <c r="D297" s="12" t="s">
        <v>4505</v>
      </c>
      <c r="E297" s="12" t="s">
        <v>4505</v>
      </c>
      <c r="F297" s="43" t="s">
        <v>4512</v>
      </c>
    </row>
    <row r="298" ht="15.75" customHeight="1">
      <c r="A298" s="12" t="s">
        <v>38</v>
      </c>
      <c r="B298" s="12" t="s">
        <v>4513</v>
      </c>
      <c r="C298" s="12" t="s">
        <v>4514</v>
      </c>
      <c r="D298" s="12" t="s">
        <v>4505</v>
      </c>
      <c r="E298" s="12" t="s">
        <v>4505</v>
      </c>
      <c r="F298" s="43" t="s">
        <v>4515</v>
      </c>
    </row>
    <row r="299" ht="15.75" customHeight="1">
      <c r="A299" s="12" t="s">
        <v>142</v>
      </c>
      <c r="B299" s="12" t="s">
        <v>4516</v>
      </c>
      <c r="C299" s="12" t="s">
        <v>4517</v>
      </c>
      <c r="D299" s="12" t="s">
        <v>4429</v>
      </c>
      <c r="E299" s="12" t="s">
        <v>4429</v>
      </c>
      <c r="F299" s="43" t="s">
        <v>4518</v>
      </c>
    </row>
    <row r="300" ht="15.75" customHeight="1">
      <c r="A300" s="41"/>
      <c r="B300" s="41"/>
      <c r="C300" s="41"/>
      <c r="D300" s="41"/>
      <c r="E300" s="41"/>
      <c r="F300" s="44"/>
    </row>
    <row r="301" ht="15.75" customHeight="1">
      <c r="A301" s="41"/>
      <c r="B301" s="41"/>
      <c r="C301" s="41"/>
      <c r="D301" s="41"/>
      <c r="E301" s="41"/>
      <c r="F301" s="44"/>
    </row>
    <row r="302" ht="15.75" customHeight="1">
      <c r="A302" s="41"/>
      <c r="B302" s="41"/>
      <c r="C302" s="41"/>
      <c r="D302" s="41"/>
      <c r="E302" s="41"/>
      <c r="F302" s="44"/>
    </row>
    <row r="303" ht="15.75" customHeight="1">
      <c r="A303" s="41"/>
      <c r="B303" s="41"/>
      <c r="C303" s="41"/>
      <c r="D303" s="41"/>
      <c r="E303" s="41"/>
      <c r="F303" s="44"/>
    </row>
    <row r="304" ht="15.75" customHeight="1">
      <c r="A304" s="41"/>
      <c r="B304" s="41"/>
      <c r="C304" s="41"/>
      <c r="D304" s="41"/>
      <c r="E304" s="41"/>
      <c r="F304" s="44"/>
    </row>
    <row r="305" ht="15.75" customHeight="1">
      <c r="A305" s="41"/>
      <c r="B305" s="41"/>
      <c r="C305" s="41"/>
      <c r="D305" s="41"/>
      <c r="E305" s="41"/>
      <c r="F305" s="44"/>
    </row>
    <row r="306" ht="15.75" customHeight="1">
      <c r="A306" s="41"/>
      <c r="B306" s="41"/>
      <c r="C306" s="41"/>
      <c r="D306" s="41"/>
      <c r="E306" s="41"/>
      <c r="F306" s="44"/>
    </row>
    <row r="307" ht="15.75" customHeight="1">
      <c r="A307" s="41"/>
      <c r="B307" s="41"/>
      <c r="C307" s="41"/>
      <c r="D307" s="41"/>
      <c r="E307" s="41"/>
      <c r="F307" s="44"/>
    </row>
    <row r="308" ht="15.75" customHeight="1">
      <c r="A308" s="41"/>
      <c r="B308" s="41"/>
      <c r="C308" s="41"/>
      <c r="D308" s="41"/>
      <c r="E308" s="41"/>
      <c r="F308" s="44"/>
    </row>
    <row r="309" ht="15.75" customHeight="1">
      <c r="A309" s="41"/>
      <c r="B309" s="41"/>
      <c r="C309" s="41"/>
      <c r="D309" s="41"/>
      <c r="E309" s="41"/>
      <c r="F309" s="44"/>
    </row>
    <row r="310" ht="15.75" customHeight="1">
      <c r="A310" s="41"/>
      <c r="B310" s="41"/>
      <c r="C310" s="41"/>
      <c r="D310" s="41"/>
      <c r="E310" s="41"/>
      <c r="F310" s="44"/>
    </row>
    <row r="311" ht="15.75" customHeight="1">
      <c r="A311" s="41"/>
      <c r="B311" s="41"/>
      <c r="C311" s="41"/>
      <c r="D311" s="41"/>
      <c r="E311" s="41"/>
      <c r="F311" s="44"/>
    </row>
    <row r="312" ht="15.75" customHeight="1">
      <c r="A312" s="41"/>
      <c r="B312" s="41"/>
      <c r="C312" s="41"/>
      <c r="D312" s="41"/>
      <c r="E312" s="41"/>
      <c r="F312" s="44"/>
    </row>
    <row r="313" ht="15.75" customHeight="1">
      <c r="A313" s="41"/>
      <c r="B313" s="41"/>
      <c r="C313" s="41"/>
      <c r="D313" s="41"/>
      <c r="E313" s="41"/>
      <c r="F313" s="44"/>
    </row>
    <row r="314" ht="15.75" customHeight="1">
      <c r="A314" s="41"/>
      <c r="B314" s="41"/>
      <c r="C314" s="41"/>
      <c r="D314" s="41"/>
      <c r="E314" s="41"/>
      <c r="F314" s="44"/>
    </row>
    <row r="315" ht="15.75" customHeight="1">
      <c r="A315" s="41"/>
      <c r="B315" s="41"/>
      <c r="C315" s="41"/>
      <c r="D315" s="41"/>
      <c r="E315" s="41"/>
      <c r="F315" s="44"/>
    </row>
    <row r="316" ht="15.75" customHeight="1">
      <c r="A316" s="41"/>
      <c r="B316" s="41"/>
      <c r="C316" s="41"/>
      <c r="D316" s="41"/>
      <c r="E316" s="41"/>
      <c r="F316" s="44"/>
    </row>
    <row r="317" ht="15.75" customHeight="1">
      <c r="A317" s="41"/>
      <c r="B317" s="41"/>
      <c r="C317" s="41"/>
      <c r="D317" s="41"/>
      <c r="E317" s="41"/>
      <c r="F317" s="44"/>
    </row>
    <row r="318" ht="15.75" customHeight="1">
      <c r="A318" s="41"/>
      <c r="B318" s="41"/>
      <c r="C318" s="41"/>
      <c r="D318" s="41"/>
      <c r="E318" s="41"/>
      <c r="F318" s="44"/>
    </row>
    <row r="319" ht="15.75" customHeight="1">
      <c r="A319" s="41"/>
      <c r="B319" s="41"/>
      <c r="C319" s="41"/>
      <c r="D319" s="41"/>
      <c r="E319" s="41"/>
      <c r="F319" s="44"/>
    </row>
    <row r="320" ht="15.75" customHeight="1">
      <c r="A320" s="41"/>
      <c r="B320" s="41"/>
      <c r="C320" s="41"/>
      <c r="D320" s="41"/>
      <c r="E320" s="41"/>
      <c r="F320" s="44"/>
    </row>
    <row r="321" ht="15.75" customHeight="1">
      <c r="A321" s="41"/>
      <c r="B321" s="41"/>
      <c r="C321" s="41"/>
      <c r="D321" s="41"/>
      <c r="E321" s="41"/>
      <c r="F321" s="44"/>
    </row>
    <row r="322" ht="15.75" customHeight="1">
      <c r="A322" s="41"/>
      <c r="B322" s="41"/>
      <c r="C322" s="41"/>
      <c r="D322" s="41"/>
      <c r="E322" s="41"/>
      <c r="F322" s="44"/>
    </row>
    <row r="323" ht="15.75" customHeight="1">
      <c r="A323" s="41"/>
      <c r="B323" s="41"/>
      <c r="C323" s="41"/>
      <c r="D323" s="41"/>
      <c r="E323" s="41"/>
      <c r="F323" s="44"/>
    </row>
    <row r="324" ht="15.75" customHeight="1">
      <c r="A324" s="41"/>
      <c r="B324" s="41"/>
      <c r="C324" s="41"/>
      <c r="D324" s="41"/>
      <c r="E324" s="41"/>
      <c r="F324" s="44"/>
    </row>
    <row r="325" ht="15.75" customHeight="1">
      <c r="A325" s="41"/>
      <c r="B325" s="41"/>
      <c r="C325" s="41"/>
      <c r="D325" s="41"/>
      <c r="E325" s="41"/>
      <c r="F325" s="44"/>
    </row>
    <row r="326" ht="15.75" customHeight="1">
      <c r="A326" s="41"/>
      <c r="B326" s="41"/>
      <c r="C326" s="41"/>
      <c r="D326" s="41"/>
      <c r="E326" s="41"/>
      <c r="F326" s="44"/>
    </row>
    <row r="327" ht="15.75" customHeight="1">
      <c r="A327" s="41"/>
      <c r="B327" s="41"/>
      <c r="C327" s="41"/>
      <c r="D327" s="41"/>
      <c r="E327" s="41"/>
      <c r="F327" s="44"/>
    </row>
    <row r="328" ht="15.75" customHeight="1">
      <c r="A328" s="41"/>
      <c r="B328" s="41"/>
      <c r="C328" s="41"/>
      <c r="D328" s="41"/>
      <c r="E328" s="41"/>
      <c r="F328" s="44"/>
    </row>
    <row r="329" ht="15.75" customHeight="1">
      <c r="A329" s="41"/>
      <c r="B329" s="41"/>
      <c r="C329" s="41"/>
      <c r="D329" s="41"/>
      <c r="E329" s="41"/>
      <c r="F329" s="44"/>
    </row>
    <row r="330" ht="15.75" customHeight="1">
      <c r="A330" s="41"/>
      <c r="B330" s="41"/>
      <c r="C330" s="41"/>
      <c r="D330" s="41"/>
      <c r="E330" s="41"/>
      <c r="F330" s="44"/>
    </row>
    <row r="331" ht="15.75" customHeight="1">
      <c r="A331" s="41"/>
      <c r="B331" s="41"/>
      <c r="C331" s="41"/>
      <c r="D331" s="41"/>
      <c r="E331" s="41"/>
      <c r="F331" s="44"/>
    </row>
    <row r="332" ht="15.75" customHeight="1">
      <c r="A332" s="41"/>
      <c r="B332" s="41"/>
      <c r="C332" s="41"/>
      <c r="D332" s="41"/>
      <c r="E332" s="41"/>
      <c r="F332" s="44"/>
    </row>
    <row r="333" ht="15.75" customHeight="1">
      <c r="A333" s="41"/>
      <c r="B333" s="41"/>
      <c r="C333" s="41"/>
      <c r="D333" s="41"/>
      <c r="E333" s="41"/>
      <c r="F333" s="44"/>
    </row>
    <row r="334" ht="15.75" customHeight="1">
      <c r="A334" s="41"/>
      <c r="B334" s="41"/>
      <c r="C334" s="41"/>
      <c r="D334" s="41"/>
      <c r="E334" s="41"/>
      <c r="F334" s="44"/>
    </row>
    <row r="335" ht="15.75" customHeight="1">
      <c r="A335" s="41"/>
      <c r="B335" s="41"/>
      <c r="C335" s="41"/>
      <c r="D335" s="41"/>
      <c r="E335" s="41"/>
      <c r="F335" s="44"/>
    </row>
    <row r="336" ht="15.75" customHeight="1">
      <c r="A336" s="41"/>
      <c r="B336" s="41"/>
      <c r="C336" s="41"/>
      <c r="D336" s="41"/>
      <c r="E336" s="41"/>
      <c r="F336" s="44"/>
    </row>
    <row r="337" ht="15.75" customHeight="1">
      <c r="A337" s="41"/>
      <c r="B337" s="41"/>
      <c r="C337" s="41"/>
      <c r="D337" s="41"/>
      <c r="E337" s="41"/>
      <c r="F337" s="44"/>
    </row>
    <row r="338" ht="15.75" customHeight="1">
      <c r="A338" s="41"/>
      <c r="B338" s="41"/>
      <c r="C338" s="41"/>
      <c r="D338" s="41"/>
      <c r="E338" s="41"/>
      <c r="F338" s="44"/>
    </row>
    <row r="339" ht="15.75" customHeight="1">
      <c r="A339" s="41"/>
      <c r="B339" s="41"/>
      <c r="C339" s="41"/>
      <c r="D339" s="41"/>
      <c r="E339" s="41"/>
      <c r="F339" s="44"/>
    </row>
    <row r="340" ht="15.75" customHeight="1">
      <c r="A340" s="41"/>
      <c r="B340" s="41"/>
      <c r="C340" s="41"/>
      <c r="D340" s="41"/>
      <c r="E340" s="41"/>
      <c r="F340" s="44"/>
    </row>
    <row r="341" ht="15.75" customHeight="1">
      <c r="A341" s="41"/>
      <c r="B341" s="41"/>
      <c r="C341" s="41"/>
      <c r="D341" s="41"/>
      <c r="E341" s="41"/>
      <c r="F341" s="44"/>
    </row>
    <row r="342" ht="15.75" customHeight="1">
      <c r="A342" s="41"/>
      <c r="B342" s="41"/>
      <c r="C342" s="41"/>
      <c r="D342" s="41"/>
      <c r="E342" s="41"/>
      <c r="F342" s="44"/>
    </row>
    <row r="343" ht="15.75" customHeight="1">
      <c r="A343" s="41"/>
      <c r="B343" s="41"/>
      <c r="C343" s="41"/>
      <c r="D343" s="41"/>
      <c r="E343" s="41"/>
      <c r="F343" s="44"/>
    </row>
    <row r="344" ht="15.75" customHeight="1">
      <c r="A344" s="41"/>
      <c r="B344" s="41"/>
      <c r="C344" s="41"/>
      <c r="D344" s="41"/>
      <c r="E344" s="41"/>
      <c r="F344" s="44"/>
    </row>
    <row r="345" ht="15.75" customHeight="1">
      <c r="A345" s="41"/>
      <c r="B345" s="41"/>
      <c r="C345" s="41"/>
      <c r="D345" s="41"/>
      <c r="E345" s="41"/>
      <c r="F345" s="44"/>
    </row>
    <row r="346" ht="15.75" customHeight="1">
      <c r="A346" s="41"/>
      <c r="B346" s="41"/>
      <c r="C346" s="41"/>
      <c r="D346" s="41"/>
      <c r="E346" s="41"/>
      <c r="F346" s="44"/>
    </row>
    <row r="347" ht="15.75" customHeight="1">
      <c r="A347" s="41"/>
      <c r="B347" s="41"/>
      <c r="C347" s="41"/>
      <c r="D347" s="41"/>
      <c r="E347" s="41"/>
      <c r="F347" s="44"/>
    </row>
    <row r="348" ht="15.75" customHeight="1">
      <c r="A348" s="41"/>
      <c r="B348" s="41"/>
      <c r="C348" s="41"/>
      <c r="D348" s="41"/>
      <c r="E348" s="41"/>
      <c r="F348" s="44"/>
    </row>
    <row r="349" ht="15.75" customHeight="1">
      <c r="A349" s="41"/>
      <c r="B349" s="41"/>
      <c r="C349" s="41"/>
      <c r="D349" s="41"/>
      <c r="E349" s="41"/>
      <c r="F349" s="44"/>
    </row>
    <row r="350" ht="15.75" customHeight="1">
      <c r="A350" s="41"/>
      <c r="B350" s="41"/>
      <c r="C350" s="41"/>
      <c r="D350" s="41"/>
      <c r="E350" s="41"/>
      <c r="F350" s="44"/>
    </row>
    <row r="351" ht="15.75" customHeight="1">
      <c r="A351" s="41"/>
      <c r="B351" s="41"/>
      <c r="C351" s="41"/>
      <c r="D351" s="41"/>
      <c r="E351" s="41"/>
      <c r="F351" s="44"/>
    </row>
    <row r="352" ht="15.75" customHeight="1">
      <c r="A352" s="41"/>
      <c r="B352" s="41"/>
      <c r="C352" s="41"/>
      <c r="D352" s="41"/>
      <c r="E352" s="41"/>
      <c r="F352" s="44"/>
    </row>
    <row r="353" ht="15.75" customHeight="1">
      <c r="A353" s="41"/>
      <c r="B353" s="41"/>
      <c r="C353" s="41"/>
      <c r="D353" s="41"/>
      <c r="E353" s="41"/>
      <c r="F353" s="44"/>
    </row>
    <row r="354" ht="15.75" customHeight="1">
      <c r="A354" s="41"/>
      <c r="B354" s="41"/>
      <c r="C354" s="41"/>
      <c r="D354" s="41"/>
      <c r="E354" s="41"/>
      <c r="F354" s="44"/>
    </row>
    <row r="355" ht="15.75" customHeight="1">
      <c r="A355" s="41"/>
      <c r="B355" s="41"/>
      <c r="C355" s="41"/>
      <c r="D355" s="41"/>
      <c r="E355" s="41"/>
      <c r="F355" s="44"/>
    </row>
    <row r="356" ht="15.75" customHeight="1">
      <c r="A356" s="41"/>
      <c r="B356" s="41"/>
      <c r="C356" s="41"/>
      <c r="D356" s="41"/>
      <c r="E356" s="41"/>
      <c r="F356" s="44"/>
    </row>
    <row r="357" ht="15.75" customHeight="1">
      <c r="A357" s="41"/>
      <c r="B357" s="41"/>
      <c r="C357" s="41"/>
      <c r="D357" s="41"/>
      <c r="E357" s="41"/>
      <c r="F357" s="44"/>
    </row>
    <row r="358" ht="15.75" customHeight="1">
      <c r="A358" s="41"/>
      <c r="B358" s="41"/>
      <c r="C358" s="41"/>
      <c r="D358" s="41"/>
      <c r="E358" s="41"/>
      <c r="F358" s="44"/>
    </row>
    <row r="359" ht="15.75" customHeight="1">
      <c r="A359" s="41"/>
      <c r="B359" s="41"/>
      <c r="C359" s="41"/>
      <c r="D359" s="41"/>
      <c r="E359" s="41"/>
      <c r="F359" s="44"/>
    </row>
    <row r="360" ht="15.75" customHeight="1">
      <c r="A360" s="41"/>
      <c r="B360" s="41"/>
      <c r="C360" s="41"/>
      <c r="D360" s="41"/>
      <c r="E360" s="41"/>
      <c r="F360" s="44"/>
    </row>
    <row r="361" ht="15.75" customHeight="1">
      <c r="A361" s="41"/>
      <c r="B361" s="41"/>
      <c r="C361" s="41"/>
      <c r="D361" s="41"/>
      <c r="E361" s="41"/>
      <c r="F361" s="44"/>
    </row>
    <row r="362" ht="15.75" customHeight="1">
      <c r="A362" s="41"/>
      <c r="B362" s="41"/>
      <c r="C362" s="41"/>
      <c r="D362" s="41"/>
      <c r="E362" s="41"/>
      <c r="F362" s="44"/>
    </row>
    <row r="363" ht="15.75" customHeight="1">
      <c r="A363" s="41"/>
      <c r="B363" s="41"/>
      <c r="C363" s="41"/>
      <c r="D363" s="41"/>
      <c r="E363" s="41"/>
      <c r="F363" s="44"/>
    </row>
    <row r="364" ht="15.75" customHeight="1">
      <c r="A364" s="41"/>
      <c r="B364" s="41"/>
      <c r="C364" s="41"/>
      <c r="D364" s="41"/>
      <c r="E364" s="41"/>
      <c r="F364" s="44"/>
    </row>
    <row r="365" ht="15.75" customHeight="1">
      <c r="A365" s="41"/>
      <c r="B365" s="41"/>
      <c r="C365" s="41"/>
      <c r="D365" s="41"/>
      <c r="E365" s="41"/>
      <c r="F365" s="44"/>
    </row>
    <row r="366" ht="15.75" customHeight="1">
      <c r="A366" s="41"/>
      <c r="B366" s="41"/>
      <c r="C366" s="41"/>
      <c r="D366" s="41"/>
      <c r="E366" s="41"/>
      <c r="F366" s="44"/>
    </row>
    <row r="367" ht="15.75" customHeight="1">
      <c r="A367" s="41"/>
      <c r="B367" s="41"/>
      <c r="C367" s="41"/>
      <c r="D367" s="41"/>
      <c r="E367" s="41"/>
      <c r="F367" s="44"/>
    </row>
    <row r="368" ht="15.75" customHeight="1">
      <c r="A368" s="41"/>
      <c r="B368" s="41"/>
      <c r="C368" s="41"/>
      <c r="D368" s="41"/>
      <c r="E368" s="41"/>
      <c r="F368" s="44"/>
    </row>
    <row r="369" ht="15.75" customHeight="1">
      <c r="A369" s="41"/>
      <c r="B369" s="41"/>
      <c r="C369" s="41"/>
      <c r="D369" s="41"/>
      <c r="E369" s="41"/>
      <c r="F369" s="44"/>
    </row>
    <row r="370" ht="15.75" customHeight="1">
      <c r="A370" s="41"/>
      <c r="B370" s="41"/>
      <c r="C370" s="41"/>
      <c r="D370" s="41"/>
      <c r="E370" s="41"/>
      <c r="F370" s="44"/>
    </row>
    <row r="371" ht="15.75" customHeight="1">
      <c r="A371" s="41"/>
      <c r="B371" s="41"/>
      <c r="C371" s="41"/>
      <c r="D371" s="41"/>
      <c r="E371" s="41"/>
      <c r="F371" s="44"/>
    </row>
    <row r="372" ht="15.75" customHeight="1">
      <c r="A372" s="41"/>
      <c r="B372" s="41"/>
      <c r="C372" s="41"/>
      <c r="D372" s="41"/>
      <c r="E372" s="41"/>
      <c r="F372" s="44"/>
    </row>
    <row r="373" ht="15.75" customHeight="1">
      <c r="A373" s="41"/>
      <c r="B373" s="41"/>
      <c r="C373" s="41"/>
      <c r="D373" s="41"/>
      <c r="E373" s="41"/>
      <c r="F373" s="44"/>
    </row>
    <row r="374" ht="15.75" customHeight="1">
      <c r="A374" s="41"/>
      <c r="B374" s="41"/>
      <c r="C374" s="41"/>
      <c r="D374" s="41"/>
      <c r="E374" s="41"/>
      <c r="F374" s="44"/>
    </row>
    <row r="375" ht="15.75" customHeight="1">
      <c r="A375" s="41"/>
      <c r="B375" s="41"/>
      <c r="C375" s="41"/>
      <c r="D375" s="41"/>
      <c r="E375" s="41"/>
      <c r="F375" s="44"/>
    </row>
    <row r="376" ht="15.75" customHeight="1">
      <c r="A376" s="41"/>
      <c r="B376" s="41"/>
      <c r="C376" s="41"/>
      <c r="D376" s="41"/>
      <c r="E376" s="41"/>
      <c r="F376" s="44"/>
    </row>
    <row r="377" ht="15.75" customHeight="1">
      <c r="A377" s="41"/>
      <c r="B377" s="41"/>
      <c r="C377" s="41"/>
      <c r="D377" s="41"/>
      <c r="E377" s="41"/>
      <c r="F377" s="44"/>
    </row>
    <row r="378" ht="15.75" customHeight="1">
      <c r="A378" s="41"/>
      <c r="B378" s="41"/>
      <c r="C378" s="41"/>
      <c r="D378" s="41"/>
      <c r="E378" s="41"/>
      <c r="F378" s="44"/>
    </row>
    <row r="379" ht="15.75" customHeight="1">
      <c r="A379" s="41"/>
      <c r="B379" s="41"/>
      <c r="C379" s="41"/>
      <c r="D379" s="41"/>
      <c r="E379" s="41"/>
      <c r="F379" s="44"/>
    </row>
    <row r="380" ht="15.75" customHeight="1">
      <c r="A380" s="41"/>
      <c r="B380" s="41"/>
      <c r="C380" s="41"/>
      <c r="D380" s="41"/>
      <c r="E380" s="41"/>
      <c r="F380" s="44"/>
    </row>
    <row r="381" ht="15.75" customHeight="1">
      <c r="A381" s="41"/>
      <c r="B381" s="41"/>
      <c r="C381" s="41"/>
      <c r="D381" s="41"/>
      <c r="E381" s="41"/>
      <c r="F381" s="44"/>
    </row>
    <row r="382" ht="15.75" customHeight="1">
      <c r="A382" s="41"/>
      <c r="B382" s="41"/>
      <c r="C382" s="41"/>
      <c r="D382" s="41"/>
      <c r="E382" s="41"/>
      <c r="F382" s="44"/>
    </row>
    <row r="383" ht="15.75" customHeight="1">
      <c r="A383" s="41"/>
      <c r="B383" s="41"/>
      <c r="C383" s="41"/>
      <c r="D383" s="41"/>
      <c r="E383" s="41"/>
      <c r="F383" s="44"/>
    </row>
    <row r="384" ht="15.75" customHeight="1">
      <c r="A384" s="41"/>
      <c r="B384" s="41"/>
      <c r="C384" s="41"/>
      <c r="D384" s="41"/>
      <c r="E384" s="41"/>
      <c r="F384" s="44"/>
    </row>
    <row r="385" ht="15.75" customHeight="1">
      <c r="A385" s="41"/>
      <c r="B385" s="41"/>
      <c r="C385" s="41"/>
      <c r="D385" s="41"/>
      <c r="E385" s="41"/>
      <c r="F385" s="44"/>
    </row>
    <row r="386" ht="15.75" customHeight="1">
      <c r="A386" s="41"/>
      <c r="B386" s="41"/>
      <c r="C386" s="41"/>
      <c r="D386" s="41"/>
      <c r="E386" s="41"/>
      <c r="F386" s="44"/>
    </row>
    <row r="387" ht="15.75" customHeight="1">
      <c r="A387" s="41"/>
      <c r="B387" s="41"/>
      <c r="C387" s="41"/>
      <c r="D387" s="41"/>
      <c r="E387" s="41"/>
      <c r="F387" s="44"/>
    </row>
    <row r="388" ht="15.75" customHeight="1">
      <c r="A388" s="41"/>
      <c r="B388" s="41"/>
      <c r="C388" s="41"/>
      <c r="D388" s="41"/>
      <c r="E388" s="41"/>
      <c r="F388" s="44"/>
    </row>
    <row r="389" ht="15.75" customHeight="1">
      <c r="A389" s="41"/>
      <c r="B389" s="41"/>
      <c r="C389" s="41"/>
      <c r="D389" s="41"/>
      <c r="E389" s="41"/>
      <c r="F389" s="44"/>
    </row>
    <row r="390" ht="15.75" customHeight="1">
      <c r="A390" s="41"/>
      <c r="B390" s="41"/>
      <c r="C390" s="41"/>
      <c r="D390" s="41"/>
      <c r="E390" s="41"/>
      <c r="F390" s="44"/>
    </row>
    <row r="391" ht="15.75" customHeight="1">
      <c r="A391" s="41"/>
      <c r="B391" s="41"/>
      <c r="C391" s="41"/>
      <c r="D391" s="41"/>
      <c r="E391" s="41"/>
      <c r="F391" s="44"/>
    </row>
    <row r="392" ht="15.75" customHeight="1">
      <c r="A392" s="41"/>
      <c r="B392" s="41"/>
      <c r="C392" s="41"/>
      <c r="D392" s="41"/>
      <c r="E392" s="41"/>
      <c r="F392" s="44"/>
    </row>
    <row r="393" ht="15.75" customHeight="1">
      <c r="A393" s="41"/>
      <c r="B393" s="41"/>
      <c r="C393" s="41"/>
      <c r="D393" s="41"/>
      <c r="E393" s="41"/>
      <c r="F393" s="44"/>
    </row>
    <row r="394" ht="15.75" customHeight="1">
      <c r="A394" s="41"/>
      <c r="B394" s="41"/>
      <c r="C394" s="41"/>
      <c r="D394" s="41"/>
      <c r="E394" s="41"/>
      <c r="F394" s="44"/>
    </row>
    <row r="395" ht="15.75" customHeight="1">
      <c r="A395" s="41"/>
      <c r="B395" s="41"/>
      <c r="C395" s="41"/>
      <c r="D395" s="41"/>
      <c r="E395" s="41"/>
      <c r="F395" s="44"/>
    </row>
    <row r="396" ht="15.75" customHeight="1">
      <c r="A396" s="41"/>
      <c r="B396" s="41"/>
      <c r="C396" s="41"/>
      <c r="D396" s="41"/>
      <c r="E396" s="41"/>
      <c r="F396" s="44"/>
    </row>
    <row r="397" ht="15.75" customHeight="1">
      <c r="A397" s="41"/>
      <c r="B397" s="41"/>
      <c r="C397" s="41"/>
      <c r="D397" s="41"/>
      <c r="E397" s="41"/>
      <c r="F397" s="44"/>
    </row>
    <row r="398" ht="15.75" customHeight="1">
      <c r="A398" s="41"/>
      <c r="B398" s="41"/>
      <c r="C398" s="41"/>
      <c r="D398" s="41"/>
      <c r="E398" s="41"/>
      <c r="F398" s="44"/>
    </row>
    <row r="399" ht="15.75" customHeight="1">
      <c r="A399" s="41"/>
      <c r="B399" s="41"/>
      <c r="C399" s="41"/>
      <c r="D399" s="41"/>
      <c r="E399" s="41"/>
      <c r="F399" s="44"/>
    </row>
    <row r="400" ht="15.75" customHeight="1">
      <c r="A400" s="41"/>
      <c r="B400" s="41"/>
      <c r="C400" s="41"/>
      <c r="D400" s="41"/>
      <c r="E400" s="41"/>
      <c r="F400" s="44"/>
    </row>
    <row r="401" ht="15.75" customHeight="1">
      <c r="A401" s="41"/>
      <c r="B401" s="41"/>
      <c r="C401" s="41"/>
      <c r="D401" s="41"/>
      <c r="E401" s="41"/>
      <c r="F401" s="44"/>
    </row>
    <row r="402" ht="15.75" customHeight="1">
      <c r="A402" s="41"/>
      <c r="B402" s="41"/>
      <c r="C402" s="41"/>
      <c r="D402" s="41"/>
      <c r="E402" s="41"/>
      <c r="F402" s="44"/>
    </row>
    <row r="403" ht="15.75" customHeight="1">
      <c r="A403" s="41"/>
      <c r="B403" s="41"/>
      <c r="C403" s="41"/>
      <c r="D403" s="41"/>
      <c r="E403" s="41"/>
      <c r="F403" s="44"/>
    </row>
    <row r="404" ht="15.75" customHeight="1">
      <c r="A404" s="41"/>
      <c r="B404" s="41"/>
      <c r="C404" s="41"/>
      <c r="D404" s="41"/>
      <c r="E404" s="41"/>
      <c r="F404" s="44"/>
    </row>
    <row r="405" ht="15.75" customHeight="1">
      <c r="A405" s="41"/>
      <c r="B405" s="41"/>
      <c r="C405" s="41"/>
      <c r="D405" s="41"/>
      <c r="E405" s="41"/>
      <c r="F405" s="44"/>
    </row>
    <row r="406" ht="15.75" customHeight="1">
      <c r="A406" s="41"/>
      <c r="B406" s="41"/>
      <c r="C406" s="41"/>
      <c r="D406" s="41"/>
      <c r="E406" s="41"/>
      <c r="F406" s="44"/>
    </row>
    <row r="407" ht="15.75" customHeight="1">
      <c r="A407" s="41"/>
      <c r="B407" s="41"/>
      <c r="C407" s="41"/>
      <c r="D407" s="41"/>
      <c r="E407" s="41"/>
      <c r="F407" s="44"/>
    </row>
    <row r="408" ht="15.75" customHeight="1">
      <c r="A408" s="41"/>
      <c r="B408" s="41"/>
      <c r="C408" s="41"/>
      <c r="D408" s="41"/>
      <c r="E408" s="41"/>
      <c r="F408" s="44"/>
    </row>
    <row r="409" ht="15.75" customHeight="1">
      <c r="A409" s="41"/>
      <c r="B409" s="41"/>
      <c r="C409" s="41"/>
      <c r="D409" s="41"/>
      <c r="E409" s="41"/>
      <c r="F409" s="44"/>
    </row>
    <row r="410" ht="15.75" customHeight="1">
      <c r="A410" s="41"/>
      <c r="B410" s="41"/>
      <c r="C410" s="41"/>
      <c r="D410" s="41"/>
      <c r="E410" s="41"/>
      <c r="F410" s="44"/>
    </row>
    <row r="411" ht="15.75" customHeight="1">
      <c r="A411" s="41"/>
      <c r="B411" s="41"/>
      <c r="C411" s="41"/>
      <c r="D411" s="41"/>
      <c r="E411" s="41"/>
      <c r="F411" s="44"/>
    </row>
    <row r="412" ht="15.75" customHeight="1">
      <c r="A412" s="41"/>
      <c r="B412" s="41"/>
      <c r="C412" s="41"/>
      <c r="D412" s="41"/>
      <c r="E412" s="41"/>
      <c r="F412" s="44"/>
    </row>
    <row r="413" ht="15.75" customHeight="1">
      <c r="A413" s="41"/>
      <c r="B413" s="41"/>
      <c r="C413" s="41"/>
      <c r="D413" s="41"/>
      <c r="E413" s="41"/>
      <c r="F413" s="44"/>
    </row>
    <row r="414" ht="15.75" customHeight="1">
      <c r="A414" s="41"/>
      <c r="B414" s="41"/>
      <c r="C414" s="41"/>
      <c r="D414" s="41"/>
      <c r="E414" s="41"/>
      <c r="F414" s="44"/>
    </row>
    <row r="415" ht="15.75" customHeight="1">
      <c r="A415" s="41"/>
      <c r="B415" s="41"/>
      <c r="C415" s="41"/>
      <c r="D415" s="41"/>
      <c r="E415" s="41"/>
      <c r="F415" s="44"/>
    </row>
    <row r="416" ht="15.75" customHeight="1">
      <c r="A416" s="41"/>
      <c r="B416" s="41"/>
      <c r="C416" s="41"/>
      <c r="D416" s="41"/>
      <c r="E416" s="41"/>
      <c r="F416" s="44"/>
    </row>
    <row r="417" ht="15.75" customHeight="1">
      <c r="A417" s="41"/>
      <c r="B417" s="41"/>
      <c r="C417" s="41"/>
      <c r="D417" s="41"/>
      <c r="E417" s="41"/>
      <c r="F417" s="44"/>
    </row>
    <row r="418" ht="15.75" customHeight="1">
      <c r="A418" s="41"/>
      <c r="B418" s="41"/>
      <c r="C418" s="41"/>
      <c r="D418" s="41"/>
      <c r="E418" s="41"/>
      <c r="F418" s="44"/>
    </row>
    <row r="419" ht="15.75" customHeight="1">
      <c r="A419" s="41"/>
      <c r="B419" s="41"/>
      <c r="C419" s="41"/>
      <c r="D419" s="41"/>
      <c r="E419" s="41"/>
      <c r="F419" s="44"/>
    </row>
    <row r="420" ht="15.75" customHeight="1">
      <c r="A420" s="41"/>
      <c r="B420" s="41"/>
      <c r="C420" s="41"/>
      <c r="D420" s="41"/>
      <c r="E420" s="41"/>
      <c r="F420" s="44"/>
    </row>
    <row r="421" ht="15.75" customHeight="1">
      <c r="A421" s="41"/>
      <c r="B421" s="41"/>
      <c r="C421" s="41"/>
      <c r="D421" s="41"/>
      <c r="E421" s="41"/>
      <c r="F421" s="44"/>
    </row>
    <row r="422" ht="15.75" customHeight="1">
      <c r="A422" s="41"/>
      <c r="B422" s="41"/>
      <c r="C422" s="41"/>
      <c r="D422" s="41"/>
      <c r="E422" s="41"/>
      <c r="F422" s="44"/>
    </row>
    <row r="423" ht="15.75" customHeight="1">
      <c r="A423" s="41"/>
      <c r="B423" s="41"/>
      <c r="C423" s="41"/>
      <c r="D423" s="41"/>
      <c r="E423" s="41"/>
      <c r="F423" s="44"/>
    </row>
    <row r="424" ht="15.75" customHeight="1">
      <c r="A424" s="41"/>
      <c r="B424" s="41"/>
      <c r="C424" s="41"/>
      <c r="D424" s="41"/>
      <c r="E424" s="41"/>
      <c r="F424" s="44"/>
    </row>
    <row r="425" ht="15.75" customHeight="1">
      <c r="A425" s="41"/>
      <c r="B425" s="41"/>
      <c r="C425" s="41"/>
      <c r="D425" s="41"/>
      <c r="E425" s="41"/>
      <c r="F425" s="44"/>
    </row>
    <row r="426" ht="15.75" customHeight="1">
      <c r="A426" s="41"/>
      <c r="B426" s="41"/>
      <c r="C426" s="41"/>
      <c r="D426" s="41"/>
      <c r="E426" s="41"/>
      <c r="F426" s="44"/>
    </row>
    <row r="427" ht="15.75" customHeight="1">
      <c r="A427" s="41"/>
      <c r="B427" s="41"/>
      <c r="C427" s="41"/>
      <c r="D427" s="41"/>
      <c r="E427" s="41"/>
      <c r="F427" s="44"/>
    </row>
    <row r="428" ht="15.75" customHeight="1">
      <c r="A428" s="41"/>
      <c r="B428" s="41"/>
      <c r="C428" s="41"/>
      <c r="D428" s="41"/>
      <c r="E428" s="41"/>
      <c r="F428" s="44"/>
    </row>
    <row r="429" ht="15.75" customHeight="1">
      <c r="A429" s="41"/>
      <c r="B429" s="41"/>
      <c r="C429" s="41"/>
      <c r="D429" s="41"/>
      <c r="E429" s="41"/>
      <c r="F429" s="44"/>
    </row>
    <row r="430" ht="15.75" customHeight="1">
      <c r="A430" s="41"/>
      <c r="B430" s="41"/>
      <c r="C430" s="41"/>
      <c r="D430" s="41"/>
      <c r="E430" s="41"/>
      <c r="F430" s="44"/>
    </row>
    <row r="431" ht="15.75" customHeight="1">
      <c r="A431" s="41"/>
      <c r="B431" s="41"/>
      <c r="C431" s="41"/>
      <c r="D431" s="41"/>
      <c r="E431" s="41"/>
      <c r="F431" s="44"/>
    </row>
    <row r="432" ht="15.75" customHeight="1">
      <c r="A432" s="41"/>
      <c r="B432" s="41"/>
      <c r="C432" s="41"/>
      <c r="D432" s="41"/>
      <c r="E432" s="41"/>
      <c r="F432" s="44"/>
    </row>
    <row r="433" ht="15.75" customHeight="1">
      <c r="A433" s="41"/>
      <c r="B433" s="41"/>
      <c r="C433" s="41"/>
      <c r="D433" s="41"/>
      <c r="E433" s="41"/>
      <c r="F433" s="44"/>
    </row>
    <row r="434" ht="15.75" customHeight="1">
      <c r="A434" s="41"/>
      <c r="B434" s="41"/>
      <c r="C434" s="41"/>
      <c r="D434" s="41"/>
      <c r="E434" s="41"/>
      <c r="F434" s="44"/>
    </row>
    <row r="435" ht="15.75" customHeight="1">
      <c r="A435" s="41"/>
      <c r="B435" s="41"/>
      <c r="C435" s="41"/>
      <c r="D435" s="41"/>
      <c r="E435" s="41"/>
      <c r="F435" s="44"/>
    </row>
    <row r="436" ht="15.75" customHeight="1">
      <c r="A436" s="41"/>
      <c r="B436" s="41"/>
      <c r="C436" s="41"/>
      <c r="D436" s="41"/>
      <c r="E436" s="41"/>
      <c r="F436" s="44"/>
    </row>
    <row r="437" ht="15.75" customHeight="1">
      <c r="A437" s="41"/>
      <c r="B437" s="41"/>
      <c r="C437" s="41"/>
      <c r="D437" s="41"/>
      <c r="E437" s="41"/>
      <c r="F437" s="44"/>
    </row>
    <row r="438" ht="15.75" customHeight="1">
      <c r="A438" s="41"/>
      <c r="B438" s="41"/>
      <c r="C438" s="41"/>
      <c r="D438" s="41"/>
      <c r="E438" s="41"/>
      <c r="F438" s="44"/>
    </row>
    <row r="439" ht="15.75" customHeight="1">
      <c r="A439" s="41"/>
      <c r="B439" s="41"/>
      <c r="C439" s="41"/>
      <c r="D439" s="41"/>
      <c r="E439" s="41"/>
      <c r="F439" s="44"/>
    </row>
    <row r="440" ht="15.75" customHeight="1">
      <c r="A440" s="41"/>
      <c r="B440" s="41"/>
      <c r="C440" s="41"/>
      <c r="D440" s="41"/>
      <c r="E440" s="41"/>
      <c r="F440" s="44"/>
    </row>
    <row r="441" ht="15.75" customHeight="1">
      <c r="A441" s="41"/>
      <c r="B441" s="41"/>
      <c r="C441" s="41"/>
      <c r="D441" s="41"/>
      <c r="E441" s="41"/>
      <c r="F441" s="44"/>
    </row>
    <row r="442" ht="15.75" customHeight="1">
      <c r="A442" s="41"/>
      <c r="B442" s="41"/>
      <c r="C442" s="41"/>
      <c r="D442" s="41"/>
      <c r="E442" s="41"/>
      <c r="F442" s="44"/>
    </row>
    <row r="443" ht="15.75" customHeight="1">
      <c r="A443" s="41"/>
      <c r="B443" s="41"/>
      <c r="C443" s="41"/>
      <c r="D443" s="41"/>
      <c r="E443" s="41"/>
      <c r="F443" s="44"/>
    </row>
    <row r="444" ht="15.75" customHeight="1">
      <c r="A444" s="41"/>
      <c r="B444" s="41"/>
      <c r="C444" s="41"/>
      <c r="D444" s="41"/>
      <c r="E444" s="41"/>
      <c r="F444" s="44"/>
    </row>
    <row r="445" ht="15.75" customHeight="1">
      <c r="A445" s="41"/>
      <c r="B445" s="41"/>
      <c r="C445" s="41"/>
      <c r="D445" s="41"/>
      <c r="E445" s="41"/>
      <c r="F445" s="44"/>
    </row>
    <row r="446" ht="15.75" customHeight="1">
      <c r="A446" s="41"/>
      <c r="B446" s="41"/>
      <c r="C446" s="41"/>
      <c r="D446" s="41"/>
      <c r="E446" s="41"/>
      <c r="F446" s="44"/>
    </row>
    <row r="447" ht="15.75" customHeight="1">
      <c r="A447" s="41"/>
      <c r="B447" s="41"/>
      <c r="C447" s="41"/>
      <c r="D447" s="41"/>
      <c r="E447" s="41"/>
      <c r="F447" s="44"/>
    </row>
    <row r="448" ht="15.75" customHeight="1">
      <c r="A448" s="41"/>
      <c r="B448" s="41"/>
      <c r="C448" s="41"/>
      <c r="D448" s="41"/>
      <c r="E448" s="41"/>
      <c r="F448" s="44"/>
    </row>
    <row r="449" ht="15.75" customHeight="1">
      <c r="A449" s="41"/>
      <c r="B449" s="41"/>
      <c r="C449" s="41"/>
      <c r="D449" s="41"/>
      <c r="E449" s="41"/>
      <c r="F449" s="44"/>
    </row>
    <row r="450" ht="15.75" customHeight="1">
      <c r="A450" s="41"/>
      <c r="B450" s="41"/>
      <c r="C450" s="41"/>
      <c r="D450" s="41"/>
      <c r="E450" s="41"/>
      <c r="F450" s="44"/>
    </row>
    <row r="451" ht="15.75" customHeight="1">
      <c r="A451" s="41"/>
      <c r="B451" s="41"/>
      <c r="C451" s="41"/>
      <c r="D451" s="41"/>
      <c r="E451" s="41"/>
      <c r="F451" s="44"/>
    </row>
    <row r="452" ht="15.75" customHeight="1">
      <c r="A452" s="41"/>
      <c r="B452" s="41"/>
      <c r="C452" s="41"/>
      <c r="D452" s="41"/>
      <c r="E452" s="41"/>
      <c r="F452" s="44"/>
    </row>
    <row r="453" ht="15.75" customHeight="1">
      <c r="A453" s="41"/>
      <c r="B453" s="41"/>
      <c r="C453" s="41"/>
      <c r="D453" s="41"/>
      <c r="E453" s="41"/>
      <c r="F453" s="44"/>
    </row>
    <row r="454" ht="15.75" customHeight="1">
      <c r="A454" s="41"/>
      <c r="B454" s="41"/>
      <c r="C454" s="41"/>
      <c r="D454" s="41"/>
      <c r="E454" s="41"/>
      <c r="F454" s="44"/>
    </row>
    <row r="455" ht="15.75" customHeight="1">
      <c r="A455" s="41"/>
      <c r="B455" s="41"/>
      <c r="C455" s="41"/>
      <c r="D455" s="41"/>
      <c r="E455" s="41"/>
      <c r="F455" s="44"/>
    </row>
    <row r="456" ht="15.75" customHeight="1">
      <c r="A456" s="41"/>
      <c r="B456" s="41"/>
      <c r="C456" s="41"/>
      <c r="D456" s="41"/>
      <c r="E456" s="41"/>
      <c r="F456" s="44"/>
    </row>
    <row r="457" ht="15.75" customHeight="1">
      <c r="A457" s="41"/>
      <c r="B457" s="41"/>
      <c r="C457" s="41"/>
      <c r="D457" s="41"/>
      <c r="E457" s="41"/>
      <c r="F457" s="44"/>
    </row>
    <row r="458" ht="15.75" customHeight="1">
      <c r="A458" s="41"/>
      <c r="B458" s="41"/>
      <c r="C458" s="41"/>
      <c r="D458" s="41"/>
      <c r="E458" s="41"/>
      <c r="F458" s="44"/>
    </row>
    <row r="459" ht="15.75" customHeight="1">
      <c r="A459" s="41"/>
      <c r="B459" s="41"/>
      <c r="C459" s="41"/>
      <c r="D459" s="41"/>
      <c r="E459" s="41"/>
      <c r="F459" s="44"/>
    </row>
    <row r="460" ht="15.75" customHeight="1">
      <c r="A460" s="41"/>
      <c r="B460" s="41"/>
      <c r="C460" s="41"/>
      <c r="D460" s="41"/>
      <c r="E460" s="41"/>
      <c r="F460" s="44"/>
    </row>
    <row r="461" ht="15.75" customHeight="1">
      <c r="A461" s="41"/>
      <c r="B461" s="41"/>
      <c r="C461" s="41"/>
      <c r="D461" s="41"/>
      <c r="E461" s="41"/>
      <c r="F461" s="44"/>
    </row>
    <row r="462" ht="15.75" customHeight="1">
      <c r="A462" s="41"/>
      <c r="B462" s="41"/>
      <c r="C462" s="41"/>
      <c r="D462" s="41"/>
      <c r="E462" s="41"/>
      <c r="F462" s="44"/>
    </row>
    <row r="463" ht="15.75" customHeight="1">
      <c r="A463" s="41"/>
      <c r="B463" s="41"/>
      <c r="C463" s="41"/>
      <c r="D463" s="41"/>
      <c r="E463" s="41"/>
      <c r="F463" s="44"/>
    </row>
    <row r="464" ht="15.75" customHeight="1">
      <c r="A464" s="41"/>
      <c r="B464" s="41"/>
      <c r="C464" s="41"/>
      <c r="D464" s="41"/>
      <c r="E464" s="41"/>
      <c r="F464" s="44"/>
    </row>
    <row r="465" ht="15.75" customHeight="1">
      <c r="A465" s="41"/>
      <c r="B465" s="41"/>
      <c r="C465" s="41"/>
      <c r="D465" s="41"/>
      <c r="E465" s="41"/>
      <c r="F465" s="44"/>
    </row>
    <row r="466" ht="15.75" customHeight="1">
      <c r="A466" s="41"/>
      <c r="B466" s="41"/>
      <c r="C466" s="41"/>
      <c r="D466" s="41"/>
      <c r="E466" s="41"/>
      <c r="F466" s="44"/>
    </row>
    <row r="467" ht="15.75" customHeight="1">
      <c r="A467" s="41"/>
      <c r="B467" s="41"/>
      <c r="C467" s="41"/>
      <c r="D467" s="41"/>
      <c r="E467" s="41"/>
      <c r="F467" s="44"/>
    </row>
    <row r="468" ht="15.75" customHeight="1">
      <c r="A468" s="41"/>
      <c r="B468" s="41"/>
      <c r="C468" s="41"/>
      <c r="D468" s="41"/>
      <c r="E468" s="41"/>
      <c r="F468" s="44"/>
    </row>
    <row r="469" ht="15.75" customHeight="1">
      <c r="A469" s="41"/>
      <c r="B469" s="41"/>
      <c r="C469" s="41"/>
      <c r="D469" s="41"/>
      <c r="E469" s="41"/>
      <c r="F469" s="44"/>
    </row>
    <row r="470" ht="15.75" customHeight="1">
      <c r="A470" s="41"/>
      <c r="B470" s="41"/>
      <c r="C470" s="41"/>
      <c r="D470" s="41"/>
      <c r="E470" s="41"/>
      <c r="F470" s="44"/>
    </row>
    <row r="471" ht="15.75" customHeight="1">
      <c r="A471" s="41"/>
      <c r="B471" s="41"/>
      <c r="C471" s="41"/>
      <c r="D471" s="41"/>
      <c r="E471" s="41"/>
      <c r="F471" s="44"/>
    </row>
    <row r="472" ht="15.75" customHeight="1">
      <c r="A472" s="41"/>
      <c r="B472" s="41"/>
      <c r="C472" s="41"/>
      <c r="D472" s="41"/>
      <c r="E472" s="41"/>
      <c r="F472" s="44"/>
    </row>
    <row r="473" ht="15.75" customHeight="1">
      <c r="A473" s="41"/>
      <c r="B473" s="41"/>
      <c r="C473" s="41"/>
      <c r="D473" s="41"/>
      <c r="E473" s="41"/>
      <c r="F473" s="44"/>
    </row>
    <row r="474" ht="15.75" customHeight="1">
      <c r="A474" s="41"/>
      <c r="B474" s="41"/>
      <c r="C474" s="41"/>
      <c r="D474" s="41"/>
      <c r="E474" s="41"/>
      <c r="F474" s="44"/>
    </row>
    <row r="475" ht="15.75" customHeight="1">
      <c r="A475" s="41"/>
      <c r="B475" s="41"/>
      <c r="C475" s="41"/>
      <c r="D475" s="41"/>
      <c r="E475" s="41"/>
      <c r="F475" s="44"/>
    </row>
    <row r="476" ht="15.75" customHeight="1">
      <c r="A476" s="41"/>
      <c r="B476" s="41"/>
      <c r="C476" s="41"/>
      <c r="D476" s="41"/>
      <c r="E476" s="41"/>
      <c r="F476" s="44"/>
    </row>
    <row r="477" ht="15.75" customHeight="1">
      <c r="A477" s="41"/>
      <c r="B477" s="41"/>
      <c r="C477" s="41"/>
      <c r="D477" s="41"/>
      <c r="E477" s="41"/>
      <c r="F477" s="44"/>
    </row>
    <row r="478" ht="15.75" customHeight="1">
      <c r="A478" s="41"/>
      <c r="B478" s="41"/>
      <c r="C478" s="41"/>
      <c r="D478" s="41"/>
      <c r="E478" s="41"/>
      <c r="F478" s="44"/>
    </row>
    <row r="479" ht="15.75" customHeight="1">
      <c r="A479" s="41"/>
      <c r="B479" s="41"/>
      <c r="C479" s="41"/>
      <c r="D479" s="41"/>
      <c r="E479" s="41"/>
      <c r="F479" s="44"/>
    </row>
    <row r="480" ht="15.75" customHeight="1">
      <c r="A480" s="41"/>
      <c r="B480" s="41"/>
      <c r="C480" s="41"/>
      <c r="D480" s="41"/>
      <c r="E480" s="41"/>
      <c r="F480" s="44"/>
    </row>
    <row r="481" ht="15.75" customHeight="1">
      <c r="A481" s="41"/>
      <c r="B481" s="41"/>
      <c r="C481" s="41"/>
      <c r="D481" s="41"/>
      <c r="E481" s="41"/>
      <c r="F481" s="44"/>
    </row>
    <row r="482" ht="15.75" customHeight="1">
      <c r="A482" s="41"/>
      <c r="B482" s="41"/>
      <c r="C482" s="41"/>
      <c r="D482" s="41"/>
      <c r="E482" s="41"/>
      <c r="F482" s="44"/>
    </row>
    <row r="483" ht="15.75" customHeight="1">
      <c r="A483" s="41"/>
      <c r="B483" s="41"/>
      <c r="C483" s="41"/>
      <c r="D483" s="41"/>
      <c r="E483" s="41"/>
      <c r="F483" s="44"/>
    </row>
    <row r="484" ht="15.75" customHeight="1">
      <c r="A484" s="41"/>
      <c r="B484" s="41"/>
      <c r="C484" s="41"/>
      <c r="D484" s="41"/>
      <c r="E484" s="41"/>
      <c r="F484" s="44"/>
    </row>
    <row r="485" ht="15.75" customHeight="1">
      <c r="A485" s="41"/>
      <c r="B485" s="41"/>
      <c r="C485" s="41"/>
      <c r="D485" s="41"/>
      <c r="E485" s="41"/>
      <c r="F485" s="44"/>
    </row>
    <row r="486" ht="15.75" customHeight="1">
      <c r="A486" s="41"/>
      <c r="B486" s="41"/>
      <c r="C486" s="41"/>
      <c r="D486" s="41"/>
      <c r="E486" s="41"/>
      <c r="F486" s="44"/>
    </row>
    <row r="487" ht="15.75" customHeight="1">
      <c r="A487" s="41"/>
      <c r="B487" s="41"/>
      <c r="C487" s="41"/>
      <c r="D487" s="41"/>
      <c r="E487" s="41"/>
      <c r="F487" s="44"/>
    </row>
    <row r="488" ht="15.75" customHeight="1">
      <c r="A488" s="41"/>
      <c r="B488" s="41"/>
      <c r="C488" s="41"/>
      <c r="D488" s="41"/>
      <c r="E488" s="41"/>
      <c r="F488" s="44"/>
    </row>
    <row r="489" ht="15.75" customHeight="1">
      <c r="A489" s="41"/>
      <c r="B489" s="41"/>
      <c r="C489" s="41"/>
      <c r="D489" s="41"/>
      <c r="E489" s="41"/>
      <c r="F489" s="44"/>
    </row>
    <row r="490" ht="15.75" customHeight="1">
      <c r="A490" s="41"/>
      <c r="B490" s="41"/>
      <c r="C490" s="41"/>
      <c r="D490" s="41"/>
      <c r="E490" s="41"/>
      <c r="F490" s="44"/>
    </row>
    <row r="491" ht="15.75" customHeight="1">
      <c r="A491" s="41"/>
      <c r="B491" s="41"/>
      <c r="C491" s="41"/>
      <c r="D491" s="41"/>
      <c r="E491" s="41"/>
      <c r="F491" s="44"/>
    </row>
    <row r="492" ht="15.75" customHeight="1">
      <c r="A492" s="41"/>
      <c r="B492" s="41"/>
      <c r="C492" s="41"/>
      <c r="D492" s="41"/>
      <c r="E492" s="41"/>
      <c r="F492" s="44"/>
    </row>
    <row r="493" ht="15.75" customHeight="1">
      <c r="A493" s="41"/>
      <c r="B493" s="41"/>
      <c r="C493" s="41"/>
      <c r="D493" s="41"/>
      <c r="E493" s="41"/>
      <c r="F493" s="44"/>
    </row>
    <row r="494" ht="15.75" customHeight="1">
      <c r="A494" s="41"/>
      <c r="B494" s="41"/>
      <c r="C494" s="41"/>
      <c r="D494" s="41"/>
      <c r="E494" s="41"/>
      <c r="F494" s="44"/>
    </row>
    <row r="495" ht="15.75" customHeight="1">
      <c r="A495" s="41"/>
      <c r="B495" s="41"/>
      <c r="C495" s="41"/>
      <c r="D495" s="41"/>
      <c r="E495" s="41"/>
      <c r="F495" s="44"/>
    </row>
    <row r="496" ht="15.75" customHeight="1">
      <c r="A496" s="41"/>
      <c r="B496" s="41"/>
      <c r="C496" s="41"/>
      <c r="D496" s="41"/>
      <c r="E496" s="41"/>
      <c r="F496" s="44"/>
    </row>
    <row r="497" ht="15.75" customHeight="1">
      <c r="A497" s="41"/>
      <c r="B497" s="41"/>
      <c r="C497" s="41"/>
      <c r="D497" s="41"/>
      <c r="E497" s="41"/>
      <c r="F497" s="44"/>
    </row>
    <row r="498" ht="15.75" customHeight="1">
      <c r="A498" s="41"/>
      <c r="B498" s="41"/>
      <c r="C498" s="41"/>
      <c r="D498" s="41"/>
      <c r="E498" s="41"/>
      <c r="F498" s="44"/>
    </row>
    <row r="499" ht="15.75" customHeight="1">
      <c r="A499" s="41"/>
      <c r="B499" s="41"/>
      <c r="C499" s="41"/>
      <c r="D499" s="41"/>
      <c r="E499" s="41"/>
      <c r="F499" s="44"/>
    </row>
    <row r="500" ht="15.75" customHeight="1">
      <c r="A500" s="41"/>
      <c r="B500" s="41"/>
      <c r="C500" s="41"/>
      <c r="D500" s="41"/>
      <c r="E500" s="41"/>
      <c r="F500" s="44"/>
    </row>
    <row r="501" ht="15.75" customHeight="1">
      <c r="A501" s="41"/>
      <c r="B501" s="41"/>
      <c r="C501" s="41"/>
      <c r="D501" s="41"/>
      <c r="E501" s="41"/>
      <c r="F501" s="44"/>
    </row>
    <row r="502" ht="15.75" customHeight="1">
      <c r="A502" s="41"/>
      <c r="B502" s="41"/>
      <c r="C502" s="41"/>
      <c r="D502" s="41"/>
      <c r="E502" s="41"/>
      <c r="F502" s="44"/>
    </row>
    <row r="503" ht="15.75" customHeight="1">
      <c r="A503" s="41"/>
      <c r="B503" s="41"/>
      <c r="C503" s="41"/>
      <c r="D503" s="41"/>
      <c r="E503" s="41"/>
      <c r="F503" s="44"/>
    </row>
    <row r="504" ht="15.75" customHeight="1">
      <c r="A504" s="41"/>
      <c r="B504" s="41"/>
      <c r="C504" s="41"/>
      <c r="D504" s="41"/>
      <c r="E504" s="41"/>
      <c r="F504" s="44"/>
    </row>
    <row r="505" ht="15.75" customHeight="1">
      <c r="A505" s="41"/>
      <c r="B505" s="41"/>
      <c r="C505" s="41"/>
      <c r="D505" s="41"/>
      <c r="E505" s="41"/>
      <c r="F505" s="44"/>
    </row>
    <row r="506" ht="15.75" customHeight="1">
      <c r="A506" s="41"/>
      <c r="B506" s="41"/>
      <c r="C506" s="41"/>
      <c r="D506" s="41"/>
      <c r="E506" s="41"/>
      <c r="F506" s="44"/>
    </row>
    <row r="507" ht="15.75" customHeight="1">
      <c r="A507" s="41"/>
      <c r="B507" s="41"/>
      <c r="C507" s="41"/>
      <c r="D507" s="41"/>
      <c r="E507" s="41"/>
      <c r="F507" s="44"/>
    </row>
    <row r="508" ht="15.75" customHeight="1">
      <c r="A508" s="41"/>
      <c r="B508" s="41"/>
      <c r="C508" s="41"/>
      <c r="D508" s="41"/>
      <c r="E508" s="41"/>
      <c r="F508" s="44"/>
    </row>
    <row r="509" ht="15.75" customHeight="1">
      <c r="A509" s="41"/>
      <c r="B509" s="41"/>
      <c r="C509" s="41"/>
      <c r="D509" s="41"/>
      <c r="E509" s="41"/>
      <c r="F509" s="44"/>
    </row>
    <row r="510" ht="15.75" customHeight="1">
      <c r="A510" s="41"/>
      <c r="B510" s="41"/>
      <c r="C510" s="41"/>
      <c r="D510" s="41"/>
      <c r="E510" s="41"/>
      <c r="F510" s="44"/>
    </row>
    <row r="511" ht="15.75" customHeight="1">
      <c r="A511" s="41"/>
      <c r="B511" s="41"/>
      <c r="C511" s="41"/>
      <c r="D511" s="41"/>
      <c r="E511" s="41"/>
      <c r="F511" s="44"/>
    </row>
    <row r="512" ht="15.75" customHeight="1">
      <c r="A512" s="41"/>
      <c r="B512" s="41"/>
      <c r="C512" s="41"/>
      <c r="D512" s="41"/>
      <c r="E512" s="41"/>
      <c r="F512" s="44"/>
    </row>
    <row r="513" ht="15.75" customHeight="1">
      <c r="A513" s="41"/>
      <c r="B513" s="41"/>
      <c r="C513" s="41"/>
      <c r="D513" s="41"/>
      <c r="E513" s="41"/>
      <c r="F513" s="44"/>
    </row>
    <row r="514" ht="15.75" customHeight="1">
      <c r="A514" s="41"/>
      <c r="B514" s="41"/>
      <c r="C514" s="41"/>
      <c r="D514" s="41"/>
      <c r="E514" s="41"/>
      <c r="F514" s="44"/>
    </row>
    <row r="515" ht="15.75" customHeight="1">
      <c r="A515" s="41"/>
      <c r="B515" s="41"/>
      <c r="C515" s="41"/>
      <c r="D515" s="41"/>
      <c r="E515" s="41"/>
      <c r="F515" s="44"/>
    </row>
    <row r="516" ht="15.75" customHeight="1">
      <c r="A516" s="41"/>
      <c r="B516" s="41"/>
      <c r="C516" s="41"/>
      <c r="D516" s="41"/>
      <c r="E516" s="41"/>
      <c r="F516" s="44"/>
    </row>
    <row r="517" ht="15.75" customHeight="1">
      <c r="A517" s="41"/>
      <c r="B517" s="41"/>
      <c r="C517" s="41"/>
      <c r="D517" s="41"/>
      <c r="E517" s="41"/>
      <c r="F517" s="44"/>
    </row>
    <row r="518" ht="15.75" customHeight="1">
      <c r="A518" s="41"/>
      <c r="B518" s="41"/>
      <c r="C518" s="41"/>
      <c r="D518" s="41"/>
      <c r="E518" s="41"/>
      <c r="F518" s="44"/>
    </row>
    <row r="519" ht="15.75" customHeight="1">
      <c r="A519" s="41"/>
      <c r="B519" s="41"/>
      <c r="C519" s="41"/>
      <c r="D519" s="41"/>
      <c r="E519" s="41"/>
      <c r="F519" s="44"/>
    </row>
    <row r="520" ht="15.75" customHeight="1">
      <c r="A520" s="41"/>
      <c r="B520" s="41"/>
      <c r="C520" s="41"/>
      <c r="D520" s="41"/>
      <c r="E520" s="41"/>
      <c r="F520" s="44"/>
    </row>
    <row r="521" ht="15.75" customHeight="1">
      <c r="A521" s="41"/>
      <c r="B521" s="41"/>
      <c r="C521" s="41"/>
      <c r="D521" s="41"/>
      <c r="E521" s="41"/>
      <c r="F521" s="44"/>
    </row>
    <row r="522" ht="15.75" customHeight="1">
      <c r="A522" s="41"/>
      <c r="B522" s="41"/>
      <c r="C522" s="41"/>
      <c r="D522" s="41"/>
      <c r="E522" s="41"/>
      <c r="F522" s="44"/>
    </row>
    <row r="523" ht="15.75" customHeight="1">
      <c r="A523" s="41"/>
      <c r="B523" s="41"/>
      <c r="C523" s="41"/>
      <c r="D523" s="41"/>
      <c r="E523" s="41"/>
      <c r="F523" s="44"/>
    </row>
    <row r="524" ht="15.75" customHeight="1">
      <c r="A524" s="41"/>
      <c r="B524" s="41"/>
      <c r="C524" s="41"/>
      <c r="D524" s="41"/>
      <c r="E524" s="41"/>
      <c r="F524" s="44"/>
    </row>
    <row r="525" ht="15.75" customHeight="1">
      <c r="A525" s="41"/>
      <c r="B525" s="41"/>
      <c r="C525" s="41"/>
      <c r="D525" s="41"/>
      <c r="E525" s="41"/>
      <c r="F525" s="44"/>
    </row>
    <row r="526" ht="15.75" customHeight="1">
      <c r="A526" s="41"/>
      <c r="B526" s="41"/>
      <c r="C526" s="41"/>
      <c r="D526" s="41"/>
      <c r="E526" s="41"/>
      <c r="F526" s="44"/>
    </row>
    <row r="527" ht="15.75" customHeight="1">
      <c r="A527" s="41"/>
      <c r="B527" s="41"/>
      <c r="C527" s="41"/>
      <c r="D527" s="41"/>
      <c r="E527" s="41"/>
      <c r="F527" s="44"/>
    </row>
    <row r="528" ht="15.75" customHeight="1">
      <c r="A528" s="41"/>
      <c r="B528" s="41"/>
      <c r="C528" s="41"/>
      <c r="D528" s="41"/>
      <c r="E528" s="41"/>
      <c r="F528" s="44"/>
    </row>
    <row r="529" ht="15.75" customHeight="1">
      <c r="A529" s="41"/>
      <c r="B529" s="41"/>
      <c r="C529" s="41"/>
      <c r="D529" s="41"/>
      <c r="E529" s="41"/>
      <c r="F529" s="44"/>
    </row>
    <row r="530" ht="15.75" customHeight="1">
      <c r="A530" s="41"/>
      <c r="B530" s="41"/>
      <c r="C530" s="41"/>
      <c r="D530" s="41"/>
      <c r="E530" s="41"/>
      <c r="F530" s="44"/>
    </row>
    <row r="531" ht="15.75" customHeight="1">
      <c r="A531" s="41"/>
      <c r="B531" s="41"/>
      <c r="C531" s="41"/>
      <c r="D531" s="41"/>
      <c r="E531" s="41"/>
      <c r="F531" s="44"/>
    </row>
    <row r="532" ht="15.75" customHeight="1">
      <c r="A532" s="41"/>
      <c r="B532" s="41"/>
      <c r="C532" s="41"/>
      <c r="D532" s="41"/>
      <c r="E532" s="41"/>
      <c r="F532" s="44"/>
    </row>
    <row r="533" ht="15.75" customHeight="1">
      <c r="A533" s="41"/>
      <c r="B533" s="41"/>
      <c r="C533" s="41"/>
      <c r="D533" s="41"/>
      <c r="E533" s="41"/>
      <c r="F533" s="44"/>
    </row>
    <row r="534" ht="15.75" customHeight="1">
      <c r="A534" s="41"/>
      <c r="B534" s="41"/>
      <c r="C534" s="41"/>
      <c r="D534" s="41"/>
      <c r="E534" s="41"/>
      <c r="F534" s="44"/>
    </row>
    <row r="535" ht="15.75" customHeight="1">
      <c r="A535" s="41"/>
      <c r="B535" s="41"/>
      <c r="C535" s="41"/>
      <c r="D535" s="41"/>
      <c r="E535" s="41"/>
      <c r="F535" s="44"/>
    </row>
    <row r="536" ht="15.75" customHeight="1">
      <c r="A536" s="41"/>
      <c r="B536" s="41"/>
      <c r="C536" s="41"/>
      <c r="D536" s="41"/>
      <c r="E536" s="41"/>
      <c r="F536" s="44"/>
    </row>
    <row r="537" ht="15.75" customHeight="1">
      <c r="A537" s="41"/>
      <c r="B537" s="41"/>
      <c r="C537" s="41"/>
      <c r="D537" s="41"/>
      <c r="E537" s="41"/>
      <c r="F537" s="44"/>
    </row>
    <row r="538" ht="15.75" customHeight="1">
      <c r="A538" s="41"/>
      <c r="B538" s="41"/>
      <c r="C538" s="41"/>
      <c r="D538" s="41"/>
      <c r="E538" s="41"/>
      <c r="F538" s="44"/>
    </row>
    <row r="539" ht="15.75" customHeight="1">
      <c r="A539" s="41"/>
      <c r="B539" s="41"/>
      <c r="C539" s="41"/>
      <c r="D539" s="41"/>
      <c r="E539" s="41"/>
      <c r="F539" s="44"/>
    </row>
    <row r="540" ht="15.75" customHeight="1">
      <c r="A540" s="41"/>
      <c r="B540" s="41"/>
      <c r="C540" s="41"/>
      <c r="D540" s="41"/>
      <c r="E540" s="41"/>
      <c r="F540" s="44"/>
    </row>
    <row r="541" ht="15.75" customHeight="1">
      <c r="A541" s="41"/>
      <c r="B541" s="41"/>
      <c r="C541" s="41"/>
      <c r="D541" s="41"/>
      <c r="E541" s="41"/>
      <c r="F541" s="44"/>
    </row>
    <row r="542" ht="15.75" customHeight="1">
      <c r="A542" s="41"/>
      <c r="B542" s="41"/>
      <c r="C542" s="41"/>
      <c r="D542" s="41"/>
      <c r="E542" s="41"/>
      <c r="F542" s="44"/>
    </row>
    <row r="543" ht="15.75" customHeight="1">
      <c r="A543" s="41"/>
      <c r="B543" s="41"/>
      <c r="C543" s="41"/>
      <c r="D543" s="41"/>
      <c r="E543" s="41"/>
      <c r="F543" s="44"/>
    </row>
    <row r="544" ht="15.75" customHeight="1">
      <c r="A544" s="41"/>
      <c r="B544" s="41"/>
      <c r="C544" s="41"/>
      <c r="D544" s="41"/>
      <c r="E544" s="41"/>
      <c r="F544" s="44"/>
    </row>
    <row r="545" ht="15.75" customHeight="1">
      <c r="A545" s="41"/>
      <c r="B545" s="41"/>
      <c r="C545" s="41"/>
      <c r="D545" s="41"/>
      <c r="E545" s="41"/>
      <c r="F545" s="44"/>
    </row>
    <row r="546" ht="15.75" customHeight="1">
      <c r="A546" s="41"/>
      <c r="B546" s="41"/>
      <c r="C546" s="41"/>
      <c r="D546" s="41"/>
      <c r="E546" s="41"/>
      <c r="F546" s="44"/>
    </row>
    <row r="547" ht="15.75" customHeight="1">
      <c r="A547" s="41"/>
      <c r="B547" s="41"/>
      <c r="C547" s="41"/>
      <c r="D547" s="41"/>
      <c r="E547" s="41"/>
      <c r="F547" s="44"/>
    </row>
    <row r="548" ht="15.75" customHeight="1">
      <c r="A548" s="41"/>
      <c r="B548" s="41"/>
      <c r="C548" s="41"/>
      <c r="D548" s="41"/>
      <c r="E548" s="41"/>
      <c r="F548" s="44"/>
    </row>
    <row r="549" ht="15.75" customHeight="1">
      <c r="A549" s="41"/>
      <c r="B549" s="41"/>
      <c r="C549" s="41"/>
      <c r="D549" s="41"/>
      <c r="E549" s="41"/>
      <c r="F549" s="44"/>
    </row>
    <row r="550" ht="15.75" customHeight="1">
      <c r="A550" s="41"/>
      <c r="B550" s="41"/>
      <c r="C550" s="41"/>
      <c r="D550" s="41"/>
      <c r="E550" s="41"/>
      <c r="F550" s="44"/>
    </row>
    <row r="551" ht="15.75" customHeight="1">
      <c r="A551" s="41"/>
      <c r="B551" s="41"/>
      <c r="C551" s="41"/>
      <c r="D551" s="41"/>
      <c r="E551" s="41"/>
      <c r="F551" s="44"/>
    </row>
    <row r="552" ht="15.75" customHeight="1">
      <c r="A552" s="41"/>
      <c r="B552" s="41"/>
      <c r="C552" s="41"/>
      <c r="D552" s="41"/>
      <c r="E552" s="41"/>
      <c r="F552" s="44"/>
    </row>
    <row r="553" ht="15.75" customHeight="1">
      <c r="A553" s="41"/>
      <c r="B553" s="41"/>
      <c r="C553" s="41"/>
      <c r="D553" s="41"/>
      <c r="E553" s="41"/>
      <c r="F553" s="44"/>
    </row>
    <row r="554" ht="15.75" customHeight="1">
      <c r="A554" s="41"/>
      <c r="B554" s="41"/>
      <c r="C554" s="41"/>
      <c r="D554" s="41"/>
      <c r="E554" s="41"/>
      <c r="F554" s="44"/>
    </row>
    <row r="555" ht="15.75" customHeight="1">
      <c r="A555" s="41"/>
      <c r="B555" s="41"/>
      <c r="C555" s="41"/>
      <c r="D555" s="41"/>
      <c r="E555" s="41"/>
      <c r="F555" s="44"/>
    </row>
    <row r="556" ht="15.75" customHeight="1">
      <c r="A556" s="41"/>
      <c r="B556" s="41"/>
      <c r="C556" s="41"/>
      <c r="D556" s="41"/>
      <c r="E556" s="41"/>
      <c r="F556" s="44"/>
    </row>
    <row r="557" ht="15.75" customHeight="1">
      <c r="A557" s="41"/>
      <c r="B557" s="41"/>
      <c r="C557" s="41"/>
      <c r="D557" s="41"/>
      <c r="E557" s="41"/>
      <c r="F557" s="44"/>
    </row>
    <row r="558" ht="15.75" customHeight="1">
      <c r="A558" s="41"/>
      <c r="B558" s="41"/>
      <c r="C558" s="41"/>
      <c r="D558" s="41"/>
      <c r="E558" s="41"/>
      <c r="F558" s="44"/>
    </row>
    <row r="559" ht="15.75" customHeight="1">
      <c r="A559" s="41"/>
      <c r="B559" s="41"/>
      <c r="C559" s="41"/>
      <c r="D559" s="41"/>
      <c r="E559" s="41"/>
      <c r="F559" s="44"/>
    </row>
    <row r="560" ht="15.75" customHeight="1">
      <c r="A560" s="41"/>
      <c r="B560" s="41"/>
      <c r="C560" s="41"/>
      <c r="D560" s="41"/>
      <c r="E560" s="41"/>
      <c r="F560" s="44"/>
    </row>
    <row r="561" ht="15.75" customHeight="1">
      <c r="A561" s="41"/>
      <c r="B561" s="41"/>
      <c r="C561" s="41"/>
      <c r="D561" s="41"/>
      <c r="E561" s="41"/>
      <c r="F561" s="44"/>
    </row>
    <row r="562" ht="15.75" customHeight="1">
      <c r="A562" s="41"/>
      <c r="B562" s="41"/>
      <c r="C562" s="41"/>
      <c r="D562" s="41"/>
      <c r="E562" s="41"/>
      <c r="F562" s="44"/>
    </row>
    <row r="563" ht="15.75" customHeight="1">
      <c r="A563" s="41"/>
      <c r="B563" s="41"/>
      <c r="C563" s="41"/>
      <c r="D563" s="41"/>
      <c r="E563" s="41"/>
      <c r="F563" s="44"/>
    </row>
    <row r="564" ht="15.75" customHeight="1">
      <c r="A564" s="41"/>
      <c r="B564" s="41"/>
      <c r="C564" s="41"/>
      <c r="D564" s="41"/>
      <c r="E564" s="41"/>
      <c r="F564" s="44"/>
    </row>
    <row r="565" ht="15.75" customHeight="1">
      <c r="A565" s="41"/>
      <c r="B565" s="41"/>
      <c r="C565" s="41"/>
      <c r="D565" s="41"/>
      <c r="E565" s="41"/>
      <c r="F565" s="44"/>
    </row>
    <row r="566" ht="15.75" customHeight="1">
      <c r="A566" s="41"/>
      <c r="B566" s="41"/>
      <c r="C566" s="41"/>
      <c r="D566" s="41"/>
      <c r="E566" s="41"/>
      <c r="F566" s="44"/>
    </row>
    <row r="567" ht="15.75" customHeight="1">
      <c r="A567" s="41"/>
      <c r="B567" s="41"/>
      <c r="C567" s="41"/>
      <c r="D567" s="41"/>
      <c r="E567" s="41"/>
      <c r="F567" s="44"/>
    </row>
    <row r="568" ht="15.75" customHeight="1">
      <c r="A568" s="41"/>
      <c r="B568" s="41"/>
      <c r="C568" s="41"/>
      <c r="D568" s="41"/>
      <c r="E568" s="41"/>
      <c r="F568" s="44"/>
    </row>
    <row r="569" ht="15.75" customHeight="1">
      <c r="A569" s="41"/>
      <c r="B569" s="41"/>
      <c r="C569" s="41"/>
      <c r="D569" s="41"/>
      <c r="E569" s="41"/>
      <c r="F569" s="44"/>
    </row>
    <row r="570" ht="15.75" customHeight="1">
      <c r="A570" s="41"/>
      <c r="B570" s="41"/>
      <c r="C570" s="41"/>
      <c r="D570" s="41"/>
      <c r="E570" s="41"/>
      <c r="F570" s="44"/>
    </row>
    <row r="571" ht="15.75" customHeight="1">
      <c r="A571" s="41"/>
      <c r="B571" s="41"/>
      <c r="C571" s="41"/>
      <c r="D571" s="41"/>
      <c r="E571" s="41"/>
      <c r="F571" s="44"/>
    </row>
    <row r="572" ht="15.75" customHeight="1">
      <c r="A572" s="41"/>
      <c r="B572" s="41"/>
      <c r="C572" s="41"/>
      <c r="D572" s="41"/>
      <c r="E572" s="41"/>
      <c r="F572" s="44"/>
    </row>
    <row r="573" ht="15.75" customHeight="1">
      <c r="A573" s="41"/>
      <c r="B573" s="41"/>
      <c r="C573" s="41"/>
      <c r="D573" s="41"/>
      <c r="E573" s="41"/>
      <c r="F573" s="44"/>
    </row>
    <row r="574" ht="15.75" customHeight="1">
      <c r="A574" s="41"/>
      <c r="B574" s="41"/>
      <c r="C574" s="41"/>
      <c r="D574" s="41"/>
      <c r="E574" s="41"/>
      <c r="F574" s="44"/>
    </row>
    <row r="575" ht="15.75" customHeight="1">
      <c r="A575" s="41"/>
      <c r="B575" s="41"/>
      <c r="C575" s="41"/>
      <c r="D575" s="41"/>
      <c r="E575" s="41"/>
      <c r="F575" s="44"/>
    </row>
    <row r="576" ht="15.75" customHeight="1">
      <c r="A576" s="41"/>
      <c r="B576" s="41"/>
      <c r="C576" s="41"/>
      <c r="D576" s="41"/>
      <c r="E576" s="41"/>
      <c r="F576" s="44"/>
    </row>
    <row r="577" ht="15.75" customHeight="1">
      <c r="A577" s="41"/>
      <c r="B577" s="41"/>
      <c r="C577" s="41"/>
      <c r="D577" s="41"/>
      <c r="E577" s="41"/>
      <c r="F577" s="44"/>
    </row>
    <row r="578" ht="15.75" customHeight="1">
      <c r="A578" s="41"/>
      <c r="B578" s="41"/>
      <c r="C578" s="41"/>
      <c r="D578" s="41"/>
      <c r="E578" s="41"/>
      <c r="F578" s="44"/>
    </row>
    <row r="579" ht="15.75" customHeight="1">
      <c r="A579" s="41"/>
      <c r="B579" s="41"/>
      <c r="C579" s="41"/>
      <c r="D579" s="41"/>
      <c r="E579" s="41"/>
      <c r="F579" s="44"/>
    </row>
    <row r="580" ht="15.75" customHeight="1">
      <c r="A580" s="41"/>
      <c r="B580" s="41"/>
      <c r="C580" s="41"/>
      <c r="D580" s="41"/>
      <c r="E580" s="41"/>
      <c r="F580" s="44"/>
    </row>
    <row r="581" ht="15.75" customHeight="1">
      <c r="A581" s="41"/>
      <c r="B581" s="41"/>
      <c r="C581" s="41"/>
      <c r="D581" s="41"/>
      <c r="E581" s="41"/>
      <c r="F581" s="44"/>
    </row>
    <row r="582" ht="15.75" customHeight="1">
      <c r="A582" s="41"/>
      <c r="B582" s="41"/>
      <c r="C582" s="41"/>
      <c r="D582" s="41"/>
      <c r="E582" s="41"/>
      <c r="F582" s="44"/>
    </row>
    <row r="583" ht="15.75" customHeight="1">
      <c r="A583" s="41"/>
      <c r="B583" s="41"/>
      <c r="C583" s="41"/>
      <c r="D583" s="41"/>
      <c r="E583" s="41"/>
      <c r="F583" s="44"/>
    </row>
    <row r="584" ht="15.75" customHeight="1">
      <c r="A584" s="41"/>
      <c r="B584" s="41"/>
      <c r="C584" s="41"/>
      <c r="D584" s="41"/>
      <c r="E584" s="41"/>
      <c r="F584" s="44"/>
    </row>
    <row r="585" ht="15.75" customHeight="1">
      <c r="A585" s="41"/>
      <c r="B585" s="41"/>
      <c r="C585" s="41"/>
      <c r="D585" s="41"/>
      <c r="E585" s="41"/>
      <c r="F585" s="44"/>
    </row>
    <row r="586" ht="15.75" customHeight="1">
      <c r="A586" s="41"/>
      <c r="B586" s="41"/>
      <c r="C586" s="41"/>
      <c r="D586" s="41"/>
      <c r="E586" s="41"/>
      <c r="F586" s="44"/>
    </row>
    <row r="587" ht="15.75" customHeight="1">
      <c r="A587" s="41"/>
      <c r="B587" s="41"/>
      <c r="C587" s="41"/>
      <c r="D587" s="41"/>
      <c r="E587" s="41"/>
      <c r="F587" s="44"/>
    </row>
    <row r="588" ht="15.75" customHeight="1">
      <c r="A588" s="41"/>
      <c r="B588" s="41"/>
      <c r="C588" s="41"/>
      <c r="D588" s="41"/>
      <c r="E588" s="41"/>
      <c r="F588" s="44"/>
    </row>
    <row r="589" ht="15.75" customHeight="1">
      <c r="A589" s="41"/>
      <c r="B589" s="41"/>
      <c r="C589" s="41"/>
      <c r="D589" s="41"/>
      <c r="E589" s="41"/>
      <c r="F589" s="44"/>
    </row>
    <row r="590" ht="15.75" customHeight="1">
      <c r="A590" s="41"/>
      <c r="B590" s="41"/>
      <c r="C590" s="41"/>
      <c r="D590" s="41"/>
      <c r="E590" s="41"/>
      <c r="F590" s="44"/>
    </row>
    <row r="591" ht="15.75" customHeight="1">
      <c r="A591" s="41"/>
      <c r="B591" s="41"/>
      <c r="C591" s="41"/>
      <c r="D591" s="41"/>
      <c r="E591" s="41"/>
      <c r="F591" s="44"/>
    </row>
    <row r="592" ht="15.75" customHeight="1">
      <c r="A592" s="41"/>
      <c r="B592" s="41"/>
      <c r="C592" s="41"/>
      <c r="D592" s="41"/>
      <c r="E592" s="41"/>
      <c r="F592" s="44"/>
    </row>
    <row r="593" ht="15.75" customHeight="1">
      <c r="A593" s="41"/>
      <c r="B593" s="41"/>
      <c r="C593" s="41"/>
      <c r="D593" s="41"/>
      <c r="E593" s="41"/>
      <c r="F593" s="44"/>
    </row>
    <row r="594" ht="15.75" customHeight="1">
      <c r="A594" s="41"/>
      <c r="B594" s="41"/>
      <c r="C594" s="41"/>
      <c r="D594" s="41"/>
      <c r="E594" s="41"/>
      <c r="F594" s="44"/>
    </row>
    <row r="595" ht="15.75" customHeight="1">
      <c r="A595" s="41"/>
      <c r="B595" s="41"/>
      <c r="C595" s="41"/>
      <c r="D595" s="41"/>
      <c r="E595" s="41"/>
      <c r="F595" s="44"/>
    </row>
    <row r="596" ht="15.75" customHeight="1">
      <c r="A596" s="41"/>
      <c r="B596" s="41"/>
      <c r="C596" s="41"/>
      <c r="D596" s="41"/>
      <c r="E596" s="41"/>
      <c r="F596" s="44"/>
    </row>
    <row r="597" ht="15.75" customHeight="1">
      <c r="A597" s="41"/>
      <c r="B597" s="41"/>
      <c r="C597" s="41"/>
      <c r="D597" s="41"/>
      <c r="E597" s="41"/>
      <c r="F597" s="44"/>
    </row>
    <row r="598" ht="15.75" customHeight="1">
      <c r="A598" s="41"/>
      <c r="B598" s="41"/>
      <c r="C598" s="41"/>
      <c r="D598" s="41"/>
      <c r="E598" s="41"/>
      <c r="F598" s="44"/>
    </row>
    <row r="599" ht="15.75" customHeight="1">
      <c r="A599" s="41"/>
      <c r="B599" s="41"/>
      <c r="C599" s="41"/>
      <c r="D599" s="41"/>
      <c r="E599" s="41"/>
      <c r="F599" s="44"/>
    </row>
    <row r="600" ht="15.75" customHeight="1">
      <c r="A600" s="41"/>
      <c r="B600" s="41"/>
      <c r="C600" s="41"/>
      <c r="D600" s="41"/>
      <c r="E600" s="41"/>
      <c r="F600" s="44"/>
    </row>
    <row r="601" ht="15.75" customHeight="1">
      <c r="A601" s="41"/>
      <c r="B601" s="41"/>
      <c r="C601" s="41"/>
      <c r="D601" s="41"/>
      <c r="E601" s="41"/>
      <c r="F601" s="44"/>
    </row>
    <row r="602" ht="15.75" customHeight="1">
      <c r="A602" s="41"/>
      <c r="B602" s="41"/>
      <c r="C602" s="41"/>
      <c r="D602" s="41"/>
      <c r="E602" s="41"/>
      <c r="F602" s="44"/>
    </row>
    <row r="603" ht="15.75" customHeight="1">
      <c r="A603" s="41"/>
      <c r="B603" s="41"/>
      <c r="C603" s="41"/>
      <c r="D603" s="41"/>
      <c r="E603" s="41"/>
      <c r="F603" s="44"/>
    </row>
    <row r="604" ht="15.75" customHeight="1">
      <c r="A604" s="41"/>
      <c r="B604" s="41"/>
      <c r="C604" s="41"/>
      <c r="D604" s="41"/>
      <c r="E604" s="41"/>
      <c r="F604" s="44"/>
    </row>
    <row r="605" ht="15.75" customHeight="1">
      <c r="A605" s="41"/>
      <c r="B605" s="41"/>
      <c r="C605" s="41"/>
      <c r="D605" s="41"/>
      <c r="E605" s="41"/>
      <c r="F605" s="44"/>
    </row>
    <row r="606" ht="15.75" customHeight="1">
      <c r="A606" s="41"/>
      <c r="B606" s="41"/>
      <c r="C606" s="41"/>
      <c r="D606" s="41"/>
      <c r="E606" s="41"/>
      <c r="F606" s="44"/>
    </row>
    <row r="607" ht="15.75" customHeight="1">
      <c r="A607" s="41"/>
      <c r="B607" s="41"/>
      <c r="C607" s="41"/>
      <c r="D607" s="41"/>
      <c r="E607" s="41"/>
      <c r="F607" s="44"/>
    </row>
    <row r="608" ht="15.75" customHeight="1">
      <c r="A608" s="41"/>
      <c r="B608" s="41"/>
      <c r="C608" s="41"/>
      <c r="D608" s="41"/>
      <c r="E608" s="41"/>
      <c r="F608" s="44"/>
    </row>
    <row r="609" ht="15.75" customHeight="1">
      <c r="A609" s="41"/>
      <c r="B609" s="41"/>
      <c r="C609" s="41"/>
      <c r="D609" s="41"/>
      <c r="E609" s="41"/>
      <c r="F609" s="44"/>
    </row>
    <row r="610" ht="15.75" customHeight="1">
      <c r="A610" s="41"/>
      <c r="B610" s="41"/>
      <c r="C610" s="41"/>
      <c r="D610" s="41"/>
      <c r="E610" s="41"/>
      <c r="F610" s="44"/>
    </row>
    <row r="611" ht="15.75" customHeight="1">
      <c r="A611" s="41"/>
      <c r="B611" s="41"/>
      <c r="C611" s="41"/>
      <c r="D611" s="41"/>
      <c r="E611" s="41"/>
      <c r="F611" s="44"/>
    </row>
    <row r="612" ht="15.75" customHeight="1">
      <c r="A612" s="41"/>
      <c r="B612" s="41"/>
      <c r="C612" s="41"/>
      <c r="D612" s="41"/>
      <c r="E612" s="41"/>
      <c r="F612" s="44"/>
    </row>
    <row r="613" ht="15.75" customHeight="1">
      <c r="A613" s="41"/>
      <c r="B613" s="41"/>
      <c r="C613" s="41"/>
      <c r="D613" s="41"/>
      <c r="E613" s="41"/>
      <c r="F613" s="44"/>
    </row>
    <row r="614" ht="15.75" customHeight="1">
      <c r="A614" s="41"/>
      <c r="B614" s="41"/>
      <c r="C614" s="41"/>
      <c r="D614" s="41"/>
      <c r="E614" s="41"/>
      <c r="F614" s="44"/>
    </row>
    <row r="615" ht="15.75" customHeight="1">
      <c r="A615" s="41"/>
      <c r="B615" s="41"/>
      <c r="C615" s="41"/>
      <c r="D615" s="41"/>
      <c r="E615" s="41"/>
      <c r="F615" s="44"/>
    </row>
    <row r="616" ht="15.75" customHeight="1">
      <c r="A616" s="41"/>
      <c r="B616" s="41"/>
      <c r="C616" s="41"/>
      <c r="D616" s="41"/>
      <c r="E616" s="41"/>
      <c r="F616" s="44"/>
    </row>
    <row r="617" ht="15.75" customHeight="1">
      <c r="A617" s="41"/>
      <c r="B617" s="41"/>
      <c r="C617" s="41"/>
      <c r="D617" s="41"/>
      <c r="E617" s="41"/>
      <c r="F617" s="44"/>
    </row>
    <row r="618" ht="15.75" customHeight="1">
      <c r="A618" s="41"/>
      <c r="B618" s="41"/>
      <c r="C618" s="41"/>
      <c r="D618" s="41"/>
      <c r="E618" s="41"/>
      <c r="F618" s="44"/>
    </row>
    <row r="619" ht="15.75" customHeight="1">
      <c r="A619" s="41"/>
      <c r="B619" s="41"/>
      <c r="C619" s="41"/>
      <c r="D619" s="41"/>
      <c r="E619" s="41"/>
      <c r="F619" s="44"/>
    </row>
    <row r="620" ht="15.75" customHeight="1">
      <c r="A620" s="41"/>
      <c r="B620" s="41"/>
      <c r="C620" s="41"/>
      <c r="D620" s="41"/>
      <c r="E620" s="41"/>
      <c r="F620" s="44"/>
    </row>
    <row r="621" ht="15.75" customHeight="1">
      <c r="A621" s="41"/>
      <c r="B621" s="41"/>
      <c r="C621" s="41"/>
      <c r="D621" s="41"/>
      <c r="E621" s="41"/>
      <c r="F621" s="44"/>
    </row>
    <row r="622" ht="15.75" customHeight="1">
      <c r="A622" s="41"/>
      <c r="B622" s="41"/>
      <c r="C622" s="41"/>
      <c r="D622" s="41"/>
      <c r="E622" s="41"/>
      <c r="F622" s="44"/>
    </row>
    <row r="623" ht="15.75" customHeight="1">
      <c r="A623" s="41"/>
      <c r="B623" s="41"/>
      <c r="C623" s="41"/>
      <c r="D623" s="41"/>
      <c r="E623" s="41"/>
      <c r="F623" s="44"/>
    </row>
    <row r="624" ht="15.75" customHeight="1">
      <c r="A624" s="41"/>
      <c r="B624" s="41"/>
      <c r="C624" s="41"/>
      <c r="D624" s="41"/>
      <c r="E624" s="41"/>
      <c r="F624" s="44"/>
    </row>
    <row r="625" ht="15.75" customHeight="1">
      <c r="A625" s="41"/>
      <c r="B625" s="41"/>
      <c r="C625" s="41"/>
      <c r="D625" s="41"/>
      <c r="E625" s="41"/>
      <c r="F625" s="44"/>
    </row>
    <row r="626" ht="15.75" customHeight="1">
      <c r="A626" s="41"/>
      <c r="B626" s="41"/>
      <c r="C626" s="41"/>
      <c r="D626" s="41"/>
      <c r="E626" s="41"/>
      <c r="F626" s="44"/>
    </row>
    <row r="627" ht="15.75" customHeight="1">
      <c r="A627" s="41"/>
      <c r="B627" s="41"/>
      <c r="C627" s="41"/>
      <c r="D627" s="41"/>
      <c r="E627" s="41"/>
      <c r="F627" s="44"/>
    </row>
    <row r="628" ht="15.75" customHeight="1">
      <c r="A628" s="41"/>
      <c r="B628" s="41"/>
      <c r="C628" s="41"/>
      <c r="D628" s="41"/>
      <c r="E628" s="41"/>
      <c r="F628" s="44"/>
    </row>
    <row r="629" ht="15.75" customHeight="1">
      <c r="A629" s="41"/>
      <c r="B629" s="41"/>
      <c r="C629" s="41"/>
      <c r="D629" s="41"/>
      <c r="E629" s="41"/>
      <c r="F629" s="44"/>
    </row>
    <row r="630" ht="15.75" customHeight="1">
      <c r="A630" s="41"/>
      <c r="B630" s="41"/>
      <c r="C630" s="41"/>
      <c r="D630" s="41"/>
      <c r="E630" s="41"/>
      <c r="F630" s="44"/>
    </row>
    <row r="631" ht="15.75" customHeight="1">
      <c r="A631" s="41"/>
      <c r="B631" s="41"/>
      <c r="C631" s="41"/>
      <c r="D631" s="41"/>
      <c r="E631" s="41"/>
      <c r="F631" s="44"/>
    </row>
    <row r="632" ht="15.75" customHeight="1">
      <c r="A632" s="41"/>
      <c r="B632" s="41"/>
      <c r="C632" s="41"/>
      <c r="D632" s="41"/>
      <c r="E632" s="41"/>
      <c r="F632" s="44"/>
    </row>
    <row r="633" ht="15.75" customHeight="1">
      <c r="A633" s="41"/>
      <c r="B633" s="41"/>
      <c r="C633" s="41"/>
      <c r="D633" s="41"/>
      <c r="E633" s="41"/>
      <c r="F633" s="44"/>
    </row>
    <row r="634" ht="15.75" customHeight="1">
      <c r="A634" s="41"/>
      <c r="B634" s="41"/>
      <c r="C634" s="41"/>
      <c r="D634" s="41"/>
      <c r="E634" s="41"/>
      <c r="F634" s="44"/>
    </row>
    <row r="635" ht="15.75" customHeight="1">
      <c r="A635" s="41"/>
      <c r="B635" s="41"/>
      <c r="C635" s="41"/>
      <c r="D635" s="41"/>
      <c r="E635" s="41"/>
      <c r="F635" s="44"/>
    </row>
    <row r="636" ht="15.75" customHeight="1">
      <c r="A636" s="41"/>
      <c r="B636" s="41"/>
      <c r="C636" s="41"/>
      <c r="D636" s="41"/>
      <c r="E636" s="41"/>
      <c r="F636" s="44"/>
    </row>
    <row r="637" ht="15.75" customHeight="1">
      <c r="A637" s="41"/>
      <c r="B637" s="41"/>
      <c r="C637" s="41"/>
      <c r="D637" s="41"/>
      <c r="E637" s="41"/>
      <c r="F637" s="44"/>
    </row>
    <row r="638" ht="15.75" customHeight="1">
      <c r="A638" s="41"/>
      <c r="B638" s="41"/>
      <c r="C638" s="41"/>
      <c r="D638" s="41"/>
      <c r="E638" s="41"/>
      <c r="F638" s="44"/>
    </row>
    <row r="639" ht="15.75" customHeight="1">
      <c r="A639" s="41"/>
      <c r="B639" s="41"/>
      <c r="C639" s="41"/>
      <c r="D639" s="41"/>
      <c r="E639" s="41"/>
      <c r="F639" s="44"/>
    </row>
    <row r="640" ht="15.75" customHeight="1">
      <c r="A640" s="41"/>
      <c r="B640" s="41"/>
      <c r="C640" s="41"/>
      <c r="D640" s="41"/>
      <c r="E640" s="41"/>
      <c r="F640" s="44"/>
    </row>
    <row r="641" ht="15.75" customHeight="1">
      <c r="A641" s="41"/>
      <c r="B641" s="41"/>
      <c r="C641" s="41"/>
      <c r="D641" s="41"/>
      <c r="E641" s="41"/>
      <c r="F641" s="44"/>
    </row>
    <row r="642" ht="15.75" customHeight="1">
      <c r="A642" s="41"/>
      <c r="B642" s="41"/>
      <c r="C642" s="41"/>
      <c r="D642" s="41"/>
      <c r="E642" s="41"/>
      <c r="F642" s="44"/>
    </row>
    <row r="643" ht="15.75" customHeight="1">
      <c r="A643" s="41"/>
      <c r="B643" s="41"/>
      <c r="C643" s="41"/>
      <c r="D643" s="41"/>
      <c r="E643" s="41"/>
      <c r="F643" s="44"/>
    </row>
    <row r="644" ht="15.75" customHeight="1">
      <c r="A644" s="41"/>
      <c r="B644" s="41"/>
      <c r="C644" s="41"/>
      <c r="D644" s="41"/>
      <c r="E644" s="41"/>
      <c r="F644" s="44"/>
    </row>
    <row r="645" ht="15.75" customHeight="1">
      <c r="A645" s="41"/>
      <c r="B645" s="41"/>
      <c r="C645" s="41"/>
      <c r="D645" s="41"/>
      <c r="E645" s="41"/>
      <c r="F645" s="44"/>
    </row>
    <row r="646" ht="15.75" customHeight="1">
      <c r="A646" s="41"/>
      <c r="B646" s="41"/>
      <c r="C646" s="41"/>
      <c r="D646" s="41"/>
      <c r="E646" s="41"/>
      <c r="F646" s="44"/>
    </row>
    <row r="647" ht="15.75" customHeight="1">
      <c r="A647" s="41"/>
      <c r="B647" s="41"/>
      <c r="C647" s="41"/>
      <c r="D647" s="41"/>
      <c r="E647" s="41"/>
      <c r="F647" s="44"/>
    </row>
    <row r="648" ht="15.75" customHeight="1">
      <c r="A648" s="41"/>
      <c r="B648" s="41"/>
      <c r="C648" s="41"/>
      <c r="D648" s="41"/>
      <c r="E648" s="41"/>
      <c r="F648" s="44"/>
    </row>
    <row r="649" ht="15.75" customHeight="1">
      <c r="A649" s="41"/>
      <c r="B649" s="41"/>
      <c r="C649" s="41"/>
      <c r="D649" s="41"/>
      <c r="E649" s="41"/>
      <c r="F649" s="44"/>
    </row>
    <row r="650" ht="15.75" customHeight="1">
      <c r="A650" s="41"/>
      <c r="B650" s="41"/>
      <c r="C650" s="41"/>
      <c r="D650" s="41"/>
      <c r="E650" s="41"/>
      <c r="F650" s="44"/>
    </row>
    <row r="651" ht="15.75" customHeight="1">
      <c r="A651" s="41"/>
      <c r="B651" s="41"/>
      <c r="C651" s="41"/>
      <c r="D651" s="41"/>
      <c r="E651" s="41"/>
      <c r="F651" s="44"/>
    </row>
    <row r="652" ht="15.75" customHeight="1">
      <c r="A652" s="41"/>
      <c r="B652" s="41"/>
      <c r="C652" s="41"/>
      <c r="D652" s="41"/>
      <c r="E652" s="41"/>
      <c r="F652" s="44"/>
    </row>
    <row r="653" ht="15.75" customHeight="1">
      <c r="A653" s="41"/>
      <c r="B653" s="41"/>
      <c r="C653" s="41"/>
      <c r="D653" s="41"/>
      <c r="E653" s="41"/>
      <c r="F653" s="44"/>
    </row>
    <row r="654" ht="15.75" customHeight="1">
      <c r="A654" s="41"/>
      <c r="B654" s="41"/>
      <c r="C654" s="41"/>
      <c r="D654" s="41"/>
      <c r="E654" s="41"/>
      <c r="F654" s="44"/>
    </row>
    <row r="655" ht="15.75" customHeight="1">
      <c r="A655" s="41"/>
      <c r="B655" s="41"/>
      <c r="C655" s="41"/>
      <c r="D655" s="41"/>
      <c r="E655" s="41"/>
      <c r="F655" s="44"/>
    </row>
    <row r="656" ht="15.75" customHeight="1">
      <c r="A656" s="41"/>
      <c r="B656" s="41"/>
      <c r="C656" s="41"/>
      <c r="D656" s="41"/>
      <c r="E656" s="41"/>
      <c r="F656" s="44"/>
    </row>
    <row r="657" ht="15.75" customHeight="1">
      <c r="A657" s="41"/>
      <c r="B657" s="41"/>
      <c r="C657" s="41"/>
      <c r="D657" s="41"/>
      <c r="E657" s="41"/>
      <c r="F657" s="44"/>
    </row>
    <row r="658" ht="15.75" customHeight="1">
      <c r="A658" s="41"/>
      <c r="B658" s="41"/>
      <c r="C658" s="41"/>
      <c r="D658" s="41"/>
      <c r="E658" s="41"/>
      <c r="F658" s="44"/>
    </row>
    <row r="659" ht="15.75" customHeight="1">
      <c r="A659" s="41"/>
      <c r="B659" s="41"/>
      <c r="C659" s="41"/>
      <c r="D659" s="41"/>
      <c r="E659" s="41"/>
      <c r="F659" s="44"/>
    </row>
    <row r="660" ht="15.75" customHeight="1">
      <c r="A660" s="41"/>
      <c r="B660" s="41"/>
      <c r="C660" s="41"/>
      <c r="D660" s="41"/>
      <c r="E660" s="41"/>
      <c r="F660" s="44"/>
    </row>
    <row r="661" ht="15.75" customHeight="1">
      <c r="A661" s="41"/>
      <c r="B661" s="41"/>
      <c r="C661" s="41"/>
      <c r="D661" s="41"/>
      <c r="E661" s="41"/>
      <c r="F661" s="44"/>
    </row>
    <row r="662" ht="15.75" customHeight="1">
      <c r="A662" s="41"/>
      <c r="B662" s="41"/>
      <c r="C662" s="41"/>
      <c r="D662" s="41"/>
      <c r="E662" s="41"/>
      <c r="F662" s="44"/>
    </row>
    <row r="663" ht="15.75" customHeight="1">
      <c r="A663" s="41"/>
      <c r="B663" s="41"/>
      <c r="C663" s="41"/>
      <c r="D663" s="41"/>
      <c r="E663" s="41"/>
      <c r="F663" s="44"/>
    </row>
    <row r="664" ht="15.75" customHeight="1">
      <c r="A664" s="41"/>
      <c r="B664" s="41"/>
      <c r="C664" s="41"/>
      <c r="D664" s="41"/>
      <c r="E664" s="41"/>
      <c r="F664" s="44"/>
    </row>
    <row r="665" ht="15.75" customHeight="1">
      <c r="A665" s="41"/>
      <c r="B665" s="41"/>
      <c r="C665" s="41"/>
      <c r="D665" s="41"/>
      <c r="E665" s="41"/>
      <c r="F665" s="44"/>
    </row>
    <row r="666" ht="15.75" customHeight="1">
      <c r="A666" s="41"/>
      <c r="B666" s="41"/>
      <c r="C666" s="41"/>
      <c r="D666" s="41"/>
      <c r="E666" s="41"/>
      <c r="F666" s="44"/>
    </row>
    <row r="667" ht="15.75" customHeight="1">
      <c r="A667" s="41"/>
      <c r="B667" s="41"/>
      <c r="C667" s="41"/>
      <c r="D667" s="41"/>
      <c r="E667" s="41"/>
      <c r="F667" s="44"/>
    </row>
    <row r="668" ht="15.75" customHeight="1">
      <c r="A668" s="41"/>
      <c r="B668" s="41"/>
      <c r="C668" s="41"/>
      <c r="D668" s="41"/>
      <c r="E668" s="41"/>
      <c r="F668" s="44"/>
    </row>
    <row r="669" ht="15.75" customHeight="1">
      <c r="A669" s="41"/>
      <c r="B669" s="41"/>
      <c r="C669" s="41"/>
      <c r="D669" s="41"/>
      <c r="E669" s="41"/>
      <c r="F669" s="44"/>
    </row>
    <row r="670" ht="15.75" customHeight="1">
      <c r="A670" s="41"/>
      <c r="B670" s="41"/>
      <c r="C670" s="41"/>
      <c r="D670" s="41"/>
      <c r="E670" s="41"/>
      <c r="F670" s="44"/>
    </row>
    <row r="671" ht="15.75" customHeight="1">
      <c r="A671" s="41"/>
      <c r="B671" s="41"/>
      <c r="C671" s="41"/>
      <c r="D671" s="41"/>
      <c r="E671" s="41"/>
      <c r="F671" s="44"/>
    </row>
    <row r="672" ht="15.75" customHeight="1">
      <c r="A672" s="41"/>
      <c r="B672" s="41"/>
      <c r="C672" s="41"/>
      <c r="D672" s="41"/>
      <c r="E672" s="41"/>
      <c r="F672" s="44"/>
    </row>
    <row r="673" ht="15.75" customHeight="1">
      <c r="A673" s="41"/>
      <c r="B673" s="41"/>
      <c r="C673" s="41"/>
      <c r="D673" s="41"/>
      <c r="E673" s="41"/>
      <c r="F673" s="44"/>
    </row>
    <row r="674" ht="15.75" customHeight="1">
      <c r="A674" s="41"/>
      <c r="B674" s="41"/>
      <c r="C674" s="41"/>
      <c r="D674" s="41"/>
      <c r="E674" s="41"/>
      <c r="F674" s="44"/>
    </row>
    <row r="675" ht="15.75" customHeight="1">
      <c r="A675" s="41"/>
      <c r="B675" s="41"/>
      <c r="C675" s="41"/>
      <c r="D675" s="41"/>
      <c r="E675" s="41"/>
      <c r="F675" s="44"/>
    </row>
    <row r="676" ht="15.75" customHeight="1">
      <c r="A676" s="41"/>
      <c r="B676" s="41"/>
      <c r="C676" s="41"/>
      <c r="D676" s="41"/>
      <c r="E676" s="41"/>
      <c r="F676" s="44"/>
    </row>
    <row r="677" ht="15.75" customHeight="1">
      <c r="A677" s="41"/>
      <c r="B677" s="41"/>
      <c r="C677" s="41"/>
      <c r="D677" s="41"/>
      <c r="E677" s="41"/>
      <c r="F677" s="44"/>
    </row>
    <row r="678" ht="15.75" customHeight="1">
      <c r="A678" s="41"/>
      <c r="B678" s="41"/>
      <c r="C678" s="41"/>
      <c r="D678" s="41"/>
      <c r="E678" s="41"/>
      <c r="F678" s="44"/>
    </row>
    <row r="679" ht="15.75" customHeight="1">
      <c r="A679" s="41"/>
      <c r="B679" s="41"/>
      <c r="C679" s="41"/>
      <c r="D679" s="41"/>
      <c r="E679" s="41"/>
      <c r="F679" s="44"/>
    </row>
    <row r="680" ht="15.75" customHeight="1">
      <c r="A680" s="41"/>
      <c r="B680" s="41"/>
      <c r="C680" s="41"/>
      <c r="D680" s="41"/>
      <c r="E680" s="41"/>
      <c r="F680" s="44"/>
    </row>
    <row r="681" ht="15.75" customHeight="1">
      <c r="A681" s="41"/>
      <c r="B681" s="41"/>
      <c r="C681" s="41"/>
      <c r="D681" s="41"/>
      <c r="E681" s="41"/>
      <c r="F681" s="44"/>
    </row>
    <row r="682" ht="15.75" customHeight="1">
      <c r="A682" s="41"/>
      <c r="B682" s="41"/>
      <c r="C682" s="41"/>
      <c r="D682" s="41"/>
      <c r="E682" s="41"/>
      <c r="F682" s="44"/>
    </row>
    <row r="683" ht="15.75" customHeight="1">
      <c r="A683" s="41"/>
      <c r="B683" s="41"/>
      <c r="C683" s="41"/>
      <c r="D683" s="41"/>
      <c r="E683" s="41"/>
      <c r="F683" s="44"/>
    </row>
    <row r="684" ht="15.75" customHeight="1">
      <c r="A684" s="41"/>
      <c r="B684" s="41"/>
      <c r="C684" s="41"/>
      <c r="D684" s="41"/>
      <c r="E684" s="41"/>
      <c r="F684" s="44"/>
    </row>
    <row r="685" ht="15.75" customHeight="1">
      <c r="A685" s="41"/>
      <c r="B685" s="41"/>
      <c r="C685" s="41"/>
      <c r="D685" s="41"/>
      <c r="E685" s="41"/>
      <c r="F685" s="44"/>
    </row>
    <row r="686" ht="15.75" customHeight="1">
      <c r="A686" s="41"/>
      <c r="B686" s="41"/>
      <c r="C686" s="41"/>
      <c r="D686" s="41"/>
      <c r="E686" s="41"/>
      <c r="F686" s="44"/>
    </row>
    <row r="687" ht="15.75" customHeight="1">
      <c r="A687" s="41"/>
      <c r="B687" s="41"/>
      <c r="C687" s="41"/>
      <c r="D687" s="41"/>
      <c r="E687" s="41"/>
      <c r="F687" s="44"/>
    </row>
    <row r="688" ht="15.75" customHeight="1">
      <c r="A688" s="41"/>
      <c r="B688" s="41"/>
      <c r="C688" s="41"/>
      <c r="D688" s="41"/>
      <c r="E688" s="41"/>
      <c r="F688" s="44"/>
    </row>
    <row r="689" ht="15.75" customHeight="1">
      <c r="A689" s="41"/>
      <c r="B689" s="41"/>
      <c r="C689" s="41"/>
      <c r="D689" s="41"/>
      <c r="E689" s="41"/>
      <c r="F689" s="44"/>
    </row>
    <row r="690" ht="15.75" customHeight="1">
      <c r="A690" s="41"/>
      <c r="B690" s="41"/>
      <c r="C690" s="41"/>
      <c r="D690" s="41"/>
      <c r="E690" s="41"/>
      <c r="F690" s="44"/>
    </row>
    <row r="691" ht="15.75" customHeight="1">
      <c r="A691" s="41"/>
      <c r="B691" s="41"/>
      <c r="C691" s="41"/>
      <c r="D691" s="41"/>
      <c r="E691" s="41"/>
      <c r="F691" s="44"/>
    </row>
    <row r="692" ht="15.75" customHeight="1">
      <c r="A692" s="41"/>
      <c r="B692" s="41"/>
      <c r="C692" s="41"/>
      <c r="D692" s="41"/>
      <c r="E692" s="41"/>
      <c r="F692" s="44"/>
    </row>
    <row r="693" ht="15.75" customHeight="1">
      <c r="A693" s="41"/>
      <c r="B693" s="41"/>
      <c r="C693" s="41"/>
      <c r="D693" s="41"/>
      <c r="E693" s="41"/>
      <c r="F693" s="44"/>
    </row>
    <row r="694" ht="15.75" customHeight="1">
      <c r="A694" s="41"/>
      <c r="B694" s="41"/>
      <c r="C694" s="41"/>
      <c r="D694" s="41"/>
      <c r="E694" s="41"/>
      <c r="F694" s="44"/>
    </row>
    <row r="695" ht="15.75" customHeight="1">
      <c r="A695" s="41"/>
      <c r="B695" s="41"/>
      <c r="C695" s="41"/>
      <c r="D695" s="41"/>
      <c r="E695" s="41"/>
      <c r="F695" s="44"/>
    </row>
    <row r="696" ht="15.75" customHeight="1">
      <c r="A696" s="41"/>
      <c r="B696" s="41"/>
      <c r="C696" s="41"/>
      <c r="D696" s="41"/>
      <c r="E696" s="41"/>
      <c r="F696" s="44"/>
    </row>
    <row r="697" ht="15.75" customHeight="1">
      <c r="A697" s="41"/>
      <c r="B697" s="41"/>
      <c r="C697" s="41"/>
      <c r="D697" s="41"/>
      <c r="E697" s="41"/>
      <c r="F697" s="44"/>
    </row>
    <row r="698" ht="15.75" customHeight="1">
      <c r="A698" s="41"/>
      <c r="B698" s="41"/>
      <c r="C698" s="41"/>
      <c r="D698" s="41"/>
      <c r="E698" s="41"/>
      <c r="F698" s="44"/>
    </row>
    <row r="699" ht="15.75" customHeight="1">
      <c r="A699" s="41"/>
      <c r="B699" s="41"/>
      <c r="C699" s="41"/>
      <c r="D699" s="41"/>
      <c r="E699" s="41"/>
      <c r="F699" s="44"/>
    </row>
    <row r="700" ht="15.75" customHeight="1">
      <c r="A700" s="41"/>
      <c r="B700" s="41"/>
      <c r="C700" s="41"/>
      <c r="D700" s="41"/>
      <c r="E700" s="41"/>
      <c r="F700" s="44"/>
    </row>
    <row r="701" ht="15.75" customHeight="1">
      <c r="A701" s="41"/>
      <c r="B701" s="41"/>
      <c r="C701" s="41"/>
      <c r="D701" s="41"/>
      <c r="E701" s="41"/>
      <c r="F701" s="44"/>
    </row>
    <row r="702" ht="15.75" customHeight="1">
      <c r="A702" s="41"/>
      <c r="B702" s="41"/>
      <c r="C702" s="41"/>
      <c r="D702" s="41"/>
      <c r="E702" s="41"/>
      <c r="F702" s="44"/>
    </row>
    <row r="703" ht="15.75" customHeight="1">
      <c r="A703" s="41"/>
      <c r="B703" s="41"/>
      <c r="C703" s="41"/>
      <c r="D703" s="41"/>
      <c r="E703" s="41"/>
      <c r="F703" s="44"/>
    </row>
    <row r="704" ht="15.75" customHeight="1">
      <c r="A704" s="41"/>
      <c r="B704" s="41"/>
      <c r="C704" s="41"/>
      <c r="D704" s="41"/>
      <c r="E704" s="41"/>
      <c r="F704" s="44"/>
    </row>
    <row r="705" ht="15.75" customHeight="1">
      <c r="A705" s="41"/>
      <c r="B705" s="41"/>
      <c r="C705" s="41"/>
      <c r="D705" s="41"/>
      <c r="E705" s="41"/>
      <c r="F705" s="44"/>
    </row>
    <row r="706" ht="15.75" customHeight="1">
      <c r="A706" s="41"/>
      <c r="B706" s="41"/>
      <c r="C706" s="41"/>
      <c r="D706" s="41"/>
      <c r="E706" s="41"/>
      <c r="F706" s="44"/>
    </row>
    <row r="707" ht="15.75" customHeight="1">
      <c r="A707" s="41"/>
      <c r="B707" s="41"/>
      <c r="C707" s="41"/>
      <c r="D707" s="41"/>
      <c r="E707" s="41"/>
      <c r="F707" s="44"/>
    </row>
    <row r="708" ht="15.75" customHeight="1">
      <c r="A708" s="41"/>
      <c r="B708" s="41"/>
      <c r="C708" s="41"/>
      <c r="D708" s="41"/>
      <c r="E708" s="41"/>
      <c r="F708" s="44"/>
    </row>
    <row r="709" ht="15.75" customHeight="1">
      <c r="A709" s="41"/>
      <c r="B709" s="41"/>
      <c r="C709" s="41"/>
      <c r="D709" s="41"/>
      <c r="E709" s="41"/>
      <c r="F709" s="44"/>
    </row>
    <row r="710" ht="15.75" customHeight="1">
      <c r="A710" s="41"/>
      <c r="B710" s="41"/>
      <c r="C710" s="41"/>
      <c r="D710" s="41"/>
      <c r="E710" s="41"/>
      <c r="F710" s="44"/>
    </row>
    <row r="711" ht="15.75" customHeight="1">
      <c r="A711" s="41"/>
      <c r="B711" s="41"/>
      <c r="C711" s="41"/>
      <c r="D711" s="41"/>
      <c r="E711" s="41"/>
      <c r="F711" s="44"/>
    </row>
    <row r="712" ht="15.75" customHeight="1">
      <c r="A712" s="41"/>
      <c r="B712" s="41"/>
      <c r="C712" s="41"/>
      <c r="D712" s="41"/>
      <c r="E712" s="41"/>
      <c r="F712" s="44"/>
    </row>
    <row r="713" ht="15.75" customHeight="1">
      <c r="A713" s="41"/>
      <c r="B713" s="41"/>
      <c r="C713" s="41"/>
      <c r="D713" s="41"/>
      <c r="E713" s="41"/>
      <c r="F713" s="44"/>
    </row>
    <row r="714" ht="15.75" customHeight="1">
      <c r="A714" s="41"/>
      <c r="B714" s="41"/>
      <c r="C714" s="41"/>
      <c r="D714" s="41"/>
      <c r="E714" s="41"/>
      <c r="F714" s="44"/>
    </row>
    <row r="715" ht="15.75" customHeight="1">
      <c r="A715" s="41"/>
      <c r="B715" s="41"/>
      <c r="C715" s="41"/>
      <c r="D715" s="41"/>
      <c r="E715" s="41"/>
      <c r="F715" s="44"/>
    </row>
    <row r="716" ht="15.75" customHeight="1">
      <c r="A716" s="41"/>
      <c r="B716" s="41"/>
      <c r="C716" s="41"/>
      <c r="D716" s="41"/>
      <c r="E716" s="41"/>
      <c r="F716" s="44"/>
    </row>
    <row r="717" ht="15.75" customHeight="1">
      <c r="A717" s="41"/>
      <c r="B717" s="41"/>
      <c r="C717" s="41"/>
      <c r="D717" s="41"/>
      <c r="E717" s="41"/>
      <c r="F717" s="44"/>
    </row>
    <row r="718" ht="15.75" customHeight="1">
      <c r="A718" s="41"/>
      <c r="B718" s="41"/>
      <c r="C718" s="41"/>
      <c r="D718" s="41"/>
      <c r="E718" s="41"/>
      <c r="F718" s="44"/>
    </row>
    <row r="719" ht="15.75" customHeight="1">
      <c r="A719" s="41"/>
      <c r="B719" s="41"/>
      <c r="C719" s="41"/>
      <c r="D719" s="41"/>
      <c r="E719" s="41"/>
      <c r="F719" s="44"/>
    </row>
    <row r="720" ht="15.75" customHeight="1">
      <c r="A720" s="41"/>
      <c r="B720" s="41"/>
      <c r="C720" s="41"/>
      <c r="D720" s="41"/>
      <c r="E720" s="41"/>
      <c r="F720" s="44"/>
    </row>
    <row r="721" ht="15.75" customHeight="1">
      <c r="A721" s="41"/>
      <c r="B721" s="41"/>
      <c r="C721" s="41"/>
      <c r="D721" s="41"/>
      <c r="E721" s="41"/>
      <c r="F721" s="44"/>
    </row>
    <row r="722" ht="15.75" customHeight="1">
      <c r="A722" s="41"/>
      <c r="B722" s="41"/>
      <c r="C722" s="41"/>
      <c r="D722" s="41"/>
      <c r="E722" s="41"/>
      <c r="F722" s="44"/>
    </row>
    <row r="723" ht="15.75" customHeight="1">
      <c r="A723" s="41"/>
      <c r="B723" s="41"/>
      <c r="C723" s="41"/>
      <c r="D723" s="41"/>
      <c r="E723" s="41"/>
      <c r="F723" s="44"/>
    </row>
    <row r="724" ht="15.75" customHeight="1">
      <c r="A724" s="41"/>
      <c r="B724" s="41"/>
      <c r="C724" s="41"/>
      <c r="D724" s="41"/>
      <c r="E724" s="41"/>
      <c r="F724" s="44"/>
    </row>
    <row r="725" ht="15.75" customHeight="1">
      <c r="A725" s="41"/>
      <c r="B725" s="41"/>
      <c r="C725" s="41"/>
      <c r="D725" s="41"/>
      <c r="E725" s="41"/>
      <c r="F725" s="44"/>
    </row>
    <row r="726" ht="15.75" customHeight="1">
      <c r="A726" s="41"/>
      <c r="B726" s="41"/>
      <c r="C726" s="41"/>
      <c r="D726" s="41"/>
      <c r="E726" s="41"/>
      <c r="F726" s="44"/>
    </row>
    <row r="727" ht="15.75" customHeight="1">
      <c r="A727" s="41"/>
      <c r="B727" s="41"/>
      <c r="C727" s="41"/>
      <c r="D727" s="41"/>
      <c r="E727" s="41"/>
      <c r="F727" s="44"/>
    </row>
    <row r="728" ht="15.75" customHeight="1">
      <c r="A728" s="41"/>
      <c r="B728" s="41"/>
      <c r="C728" s="41"/>
      <c r="D728" s="41"/>
      <c r="E728" s="41"/>
      <c r="F728" s="44"/>
    </row>
    <row r="729" ht="15.75" customHeight="1">
      <c r="A729" s="41"/>
      <c r="B729" s="41"/>
      <c r="C729" s="41"/>
      <c r="D729" s="41"/>
      <c r="E729" s="41"/>
      <c r="F729" s="44"/>
    </row>
    <row r="730" ht="15.75" customHeight="1">
      <c r="A730" s="41"/>
      <c r="B730" s="41"/>
      <c r="C730" s="41"/>
      <c r="D730" s="41"/>
      <c r="E730" s="41"/>
      <c r="F730" s="44"/>
    </row>
    <row r="731" ht="15.75" customHeight="1">
      <c r="A731" s="41"/>
      <c r="B731" s="41"/>
      <c r="C731" s="41"/>
      <c r="D731" s="41"/>
      <c r="E731" s="41"/>
      <c r="F731" s="44"/>
    </row>
    <row r="732" ht="15.75" customHeight="1">
      <c r="A732" s="41"/>
      <c r="B732" s="41"/>
      <c r="C732" s="41"/>
      <c r="D732" s="41"/>
      <c r="E732" s="41"/>
      <c r="F732" s="44"/>
    </row>
    <row r="733" ht="15.75" customHeight="1">
      <c r="A733" s="41"/>
      <c r="B733" s="41"/>
      <c r="C733" s="41"/>
      <c r="D733" s="41"/>
      <c r="E733" s="41"/>
      <c r="F733" s="44"/>
    </row>
    <row r="734" ht="15.75" customHeight="1">
      <c r="A734" s="41"/>
      <c r="B734" s="41"/>
      <c r="C734" s="41"/>
      <c r="D734" s="41"/>
      <c r="E734" s="41"/>
      <c r="F734" s="44"/>
    </row>
    <row r="735" ht="15.75" customHeight="1">
      <c r="A735" s="41"/>
      <c r="B735" s="41"/>
      <c r="C735" s="41"/>
      <c r="D735" s="41"/>
      <c r="E735" s="41"/>
      <c r="F735" s="44"/>
    </row>
    <row r="736" ht="15.75" customHeight="1">
      <c r="A736" s="41"/>
      <c r="B736" s="41"/>
      <c r="C736" s="41"/>
      <c r="D736" s="41"/>
      <c r="E736" s="41"/>
      <c r="F736" s="44"/>
    </row>
    <row r="737" ht="15.75" customHeight="1">
      <c r="A737" s="41"/>
      <c r="B737" s="41"/>
      <c r="C737" s="41"/>
      <c r="D737" s="41"/>
      <c r="E737" s="41"/>
      <c r="F737" s="44"/>
    </row>
    <row r="738" ht="15.75" customHeight="1">
      <c r="A738" s="41"/>
      <c r="B738" s="41"/>
      <c r="C738" s="41"/>
      <c r="D738" s="41"/>
      <c r="E738" s="41"/>
      <c r="F738" s="44"/>
    </row>
    <row r="739" ht="15.75" customHeight="1">
      <c r="A739" s="41"/>
      <c r="B739" s="41"/>
      <c r="C739" s="41"/>
      <c r="D739" s="41"/>
      <c r="E739" s="41"/>
      <c r="F739" s="44"/>
    </row>
    <row r="740" ht="15.75" customHeight="1">
      <c r="A740" s="41"/>
      <c r="B740" s="41"/>
      <c r="C740" s="41"/>
      <c r="D740" s="41"/>
      <c r="E740" s="41"/>
      <c r="F740" s="44"/>
    </row>
    <row r="741" ht="15.75" customHeight="1">
      <c r="A741" s="41"/>
      <c r="B741" s="41"/>
      <c r="C741" s="41"/>
      <c r="D741" s="41"/>
      <c r="E741" s="41"/>
      <c r="F741" s="44"/>
    </row>
    <row r="742" ht="15.75" customHeight="1">
      <c r="A742" s="41"/>
      <c r="B742" s="41"/>
      <c r="C742" s="41"/>
      <c r="D742" s="41"/>
      <c r="E742" s="41"/>
      <c r="F742" s="44"/>
    </row>
    <row r="743" ht="15.75" customHeight="1">
      <c r="A743" s="41"/>
      <c r="B743" s="41"/>
      <c r="C743" s="41"/>
      <c r="D743" s="41"/>
      <c r="E743" s="41"/>
      <c r="F743" s="44"/>
    </row>
    <row r="744" ht="15.75" customHeight="1">
      <c r="A744" s="41"/>
      <c r="B744" s="41"/>
      <c r="C744" s="41"/>
      <c r="D744" s="41"/>
      <c r="E744" s="41"/>
      <c r="F744" s="44"/>
    </row>
    <row r="745" ht="15.75" customHeight="1">
      <c r="A745" s="41"/>
      <c r="B745" s="41"/>
      <c r="C745" s="41"/>
      <c r="D745" s="41"/>
      <c r="E745" s="41"/>
      <c r="F745" s="44"/>
    </row>
    <row r="746" ht="15.75" customHeight="1">
      <c r="A746" s="41"/>
      <c r="B746" s="41"/>
      <c r="C746" s="41"/>
      <c r="D746" s="41"/>
      <c r="E746" s="41"/>
      <c r="F746" s="44"/>
    </row>
    <row r="747" ht="15.75" customHeight="1">
      <c r="A747" s="41"/>
      <c r="B747" s="41"/>
      <c r="C747" s="41"/>
      <c r="D747" s="41"/>
      <c r="E747" s="41"/>
      <c r="F747" s="44"/>
    </row>
    <row r="748" ht="15.75" customHeight="1">
      <c r="A748" s="41"/>
      <c r="B748" s="41"/>
      <c r="C748" s="41"/>
      <c r="D748" s="41"/>
      <c r="E748" s="41"/>
      <c r="F748" s="44"/>
    </row>
    <row r="749" ht="15.75" customHeight="1">
      <c r="A749" s="41"/>
      <c r="B749" s="41"/>
      <c r="C749" s="41"/>
      <c r="D749" s="41"/>
      <c r="E749" s="41"/>
      <c r="F749" s="44"/>
    </row>
    <row r="750" ht="15.75" customHeight="1">
      <c r="A750" s="41"/>
      <c r="B750" s="41"/>
      <c r="C750" s="41"/>
      <c r="D750" s="41"/>
      <c r="E750" s="41"/>
      <c r="F750" s="44"/>
    </row>
    <row r="751" ht="15.75" customHeight="1">
      <c r="A751" s="41"/>
      <c r="B751" s="41"/>
      <c r="C751" s="41"/>
      <c r="D751" s="41"/>
      <c r="E751" s="41"/>
      <c r="F751" s="44"/>
    </row>
    <row r="752" ht="15.75" customHeight="1">
      <c r="A752" s="41"/>
      <c r="B752" s="41"/>
      <c r="C752" s="41"/>
      <c r="D752" s="41"/>
      <c r="E752" s="41"/>
      <c r="F752" s="44"/>
    </row>
    <row r="753" ht="15.75" customHeight="1">
      <c r="A753" s="41"/>
      <c r="B753" s="41"/>
      <c r="C753" s="41"/>
      <c r="D753" s="41"/>
      <c r="E753" s="41"/>
      <c r="F753" s="44"/>
    </row>
    <row r="754" ht="15.75" customHeight="1">
      <c r="A754" s="41"/>
      <c r="B754" s="41"/>
      <c r="C754" s="41"/>
      <c r="D754" s="41"/>
      <c r="E754" s="41"/>
      <c r="F754" s="44"/>
    </row>
    <row r="755" ht="15.75" customHeight="1">
      <c r="A755" s="41"/>
      <c r="B755" s="41"/>
      <c r="C755" s="41"/>
      <c r="D755" s="41"/>
      <c r="E755" s="41"/>
      <c r="F755" s="44"/>
    </row>
    <row r="756" ht="15.75" customHeight="1">
      <c r="A756" s="41"/>
      <c r="B756" s="41"/>
      <c r="C756" s="41"/>
      <c r="D756" s="41"/>
      <c r="E756" s="41"/>
      <c r="F756" s="44"/>
    </row>
    <row r="757" ht="15.75" customHeight="1">
      <c r="A757" s="41"/>
      <c r="B757" s="41"/>
      <c r="C757" s="41"/>
      <c r="D757" s="41"/>
      <c r="E757" s="41"/>
      <c r="F757" s="44"/>
    </row>
    <row r="758" ht="15.75" customHeight="1">
      <c r="A758" s="41"/>
      <c r="B758" s="41"/>
      <c r="C758" s="41"/>
      <c r="D758" s="41"/>
      <c r="E758" s="41"/>
      <c r="F758" s="44"/>
    </row>
    <row r="759" ht="15.75" customHeight="1">
      <c r="A759" s="41"/>
      <c r="B759" s="41"/>
      <c r="C759" s="41"/>
      <c r="D759" s="41"/>
      <c r="E759" s="41"/>
      <c r="F759" s="44"/>
    </row>
    <row r="760" ht="15.75" customHeight="1">
      <c r="A760" s="41"/>
      <c r="B760" s="41"/>
      <c r="C760" s="41"/>
      <c r="D760" s="41"/>
      <c r="E760" s="41"/>
      <c r="F760" s="44"/>
    </row>
    <row r="761" ht="15.75" customHeight="1">
      <c r="A761" s="41"/>
      <c r="B761" s="41"/>
      <c r="C761" s="41"/>
      <c r="D761" s="41"/>
      <c r="E761" s="41"/>
      <c r="F761" s="44"/>
    </row>
    <row r="762" ht="15.75" customHeight="1">
      <c r="A762" s="41"/>
      <c r="B762" s="41"/>
      <c r="C762" s="41"/>
      <c r="D762" s="41"/>
      <c r="E762" s="41"/>
      <c r="F762" s="44"/>
    </row>
    <row r="763" ht="15.75" customHeight="1">
      <c r="A763" s="41"/>
      <c r="B763" s="41"/>
      <c r="C763" s="41"/>
      <c r="D763" s="41"/>
      <c r="E763" s="41"/>
      <c r="F763" s="44"/>
    </row>
    <row r="764" ht="15.75" customHeight="1">
      <c r="A764" s="41"/>
      <c r="B764" s="41"/>
      <c r="C764" s="41"/>
      <c r="D764" s="41"/>
      <c r="E764" s="41"/>
      <c r="F764" s="44"/>
    </row>
    <row r="765" ht="15.75" customHeight="1">
      <c r="A765" s="41"/>
      <c r="B765" s="41"/>
      <c r="C765" s="41"/>
      <c r="D765" s="41"/>
      <c r="E765" s="41"/>
      <c r="F765" s="44"/>
    </row>
    <row r="766" ht="15.75" customHeight="1">
      <c r="A766" s="41"/>
      <c r="B766" s="41"/>
      <c r="C766" s="41"/>
      <c r="D766" s="41"/>
      <c r="E766" s="41"/>
      <c r="F766" s="44"/>
    </row>
    <row r="767" ht="15.75" customHeight="1">
      <c r="A767" s="41"/>
      <c r="B767" s="41"/>
      <c r="C767" s="41"/>
      <c r="D767" s="41"/>
      <c r="E767" s="41"/>
      <c r="F767" s="44"/>
    </row>
    <row r="768" ht="15.75" customHeight="1">
      <c r="A768" s="41"/>
      <c r="B768" s="41"/>
      <c r="C768" s="41"/>
      <c r="D768" s="41"/>
      <c r="E768" s="41"/>
      <c r="F768" s="44"/>
    </row>
    <row r="769" ht="15.75" customHeight="1">
      <c r="A769" s="41"/>
      <c r="B769" s="41"/>
      <c r="C769" s="41"/>
      <c r="D769" s="41"/>
      <c r="E769" s="41"/>
      <c r="F769" s="44"/>
    </row>
    <row r="770" ht="15.75" customHeight="1">
      <c r="A770" s="41"/>
      <c r="B770" s="41"/>
      <c r="C770" s="41"/>
      <c r="D770" s="41"/>
      <c r="E770" s="41"/>
      <c r="F770" s="44"/>
    </row>
    <row r="771" ht="15.75" customHeight="1">
      <c r="A771" s="41"/>
      <c r="B771" s="41"/>
      <c r="C771" s="41"/>
      <c r="D771" s="41"/>
      <c r="E771" s="41"/>
      <c r="F771" s="44"/>
    </row>
    <row r="772" ht="15.75" customHeight="1">
      <c r="A772" s="41"/>
      <c r="B772" s="41"/>
      <c r="C772" s="41"/>
      <c r="D772" s="41"/>
      <c r="E772" s="41"/>
      <c r="F772" s="44"/>
    </row>
    <row r="773" ht="15.75" customHeight="1">
      <c r="A773" s="41"/>
      <c r="B773" s="41"/>
      <c r="C773" s="41"/>
      <c r="D773" s="41"/>
      <c r="E773" s="41"/>
      <c r="F773" s="44"/>
    </row>
    <row r="774" ht="15.75" customHeight="1">
      <c r="A774" s="41"/>
      <c r="B774" s="41"/>
      <c r="C774" s="41"/>
      <c r="D774" s="41"/>
      <c r="E774" s="41"/>
      <c r="F774" s="44"/>
    </row>
    <row r="775" ht="15.75" customHeight="1">
      <c r="A775" s="41"/>
      <c r="B775" s="41"/>
      <c r="C775" s="41"/>
      <c r="D775" s="41"/>
      <c r="E775" s="41"/>
      <c r="F775" s="44"/>
    </row>
    <row r="776" ht="15.75" customHeight="1">
      <c r="A776" s="41"/>
      <c r="B776" s="41"/>
      <c r="C776" s="41"/>
      <c r="D776" s="41"/>
      <c r="E776" s="41"/>
      <c r="F776" s="44"/>
    </row>
    <row r="777" ht="15.75" customHeight="1">
      <c r="A777" s="41"/>
      <c r="B777" s="41"/>
      <c r="C777" s="41"/>
      <c r="D777" s="41"/>
      <c r="E777" s="41"/>
      <c r="F777" s="44"/>
    </row>
    <row r="778" ht="15.75" customHeight="1">
      <c r="A778" s="41"/>
      <c r="B778" s="41"/>
      <c r="C778" s="41"/>
      <c r="D778" s="41"/>
      <c r="E778" s="41"/>
      <c r="F778" s="44"/>
    </row>
    <row r="779" ht="15.75" customHeight="1">
      <c r="A779" s="41"/>
      <c r="B779" s="41"/>
      <c r="C779" s="41"/>
      <c r="D779" s="41"/>
      <c r="E779" s="41"/>
      <c r="F779" s="44"/>
    </row>
    <row r="780" ht="15.75" customHeight="1">
      <c r="A780" s="41"/>
      <c r="B780" s="41"/>
      <c r="C780" s="41"/>
      <c r="D780" s="41"/>
      <c r="E780" s="41"/>
      <c r="F780" s="44"/>
    </row>
    <row r="781" ht="15.75" customHeight="1">
      <c r="A781" s="41"/>
      <c r="B781" s="41"/>
      <c r="C781" s="41"/>
      <c r="D781" s="41"/>
      <c r="E781" s="41"/>
      <c r="F781" s="44"/>
    </row>
    <row r="782" ht="15.75" customHeight="1">
      <c r="A782" s="41"/>
      <c r="B782" s="41"/>
      <c r="C782" s="41"/>
      <c r="D782" s="41"/>
      <c r="E782" s="41"/>
      <c r="F782" s="44"/>
    </row>
    <row r="783" ht="15.75" customHeight="1">
      <c r="A783" s="41"/>
      <c r="B783" s="41"/>
      <c r="C783" s="41"/>
      <c r="D783" s="41"/>
      <c r="E783" s="41"/>
      <c r="F783" s="44"/>
    </row>
    <row r="784" ht="15.75" customHeight="1">
      <c r="A784" s="41"/>
      <c r="B784" s="41"/>
      <c r="C784" s="41"/>
      <c r="D784" s="41"/>
      <c r="E784" s="41"/>
      <c r="F784" s="44"/>
    </row>
    <row r="785" ht="15.75" customHeight="1">
      <c r="A785" s="41"/>
      <c r="B785" s="41"/>
      <c r="C785" s="41"/>
      <c r="D785" s="41"/>
      <c r="E785" s="41"/>
      <c r="F785" s="44"/>
    </row>
    <row r="786" ht="15.75" customHeight="1">
      <c r="A786" s="41"/>
      <c r="B786" s="41"/>
      <c r="C786" s="41"/>
      <c r="D786" s="41"/>
      <c r="E786" s="41"/>
      <c r="F786" s="44"/>
    </row>
    <row r="787" ht="15.75" customHeight="1">
      <c r="A787" s="41"/>
      <c r="B787" s="41"/>
      <c r="C787" s="41"/>
      <c r="D787" s="41"/>
      <c r="E787" s="41"/>
      <c r="F787" s="44"/>
    </row>
    <row r="788" ht="15.75" customHeight="1">
      <c r="A788" s="41"/>
      <c r="B788" s="41"/>
      <c r="C788" s="41"/>
      <c r="D788" s="41"/>
      <c r="E788" s="41"/>
      <c r="F788" s="44"/>
    </row>
    <row r="789" ht="15.75" customHeight="1">
      <c r="A789" s="41"/>
      <c r="B789" s="41"/>
      <c r="C789" s="41"/>
      <c r="D789" s="41"/>
      <c r="E789" s="41"/>
      <c r="F789" s="44"/>
    </row>
    <row r="790" ht="15.75" customHeight="1">
      <c r="A790" s="41"/>
      <c r="B790" s="41"/>
      <c r="C790" s="41"/>
      <c r="D790" s="41"/>
      <c r="E790" s="41"/>
      <c r="F790" s="44"/>
    </row>
    <row r="791" ht="15.75" customHeight="1">
      <c r="A791" s="41"/>
      <c r="B791" s="41"/>
      <c r="C791" s="41"/>
      <c r="D791" s="41"/>
      <c r="E791" s="41"/>
      <c r="F791" s="44"/>
    </row>
    <row r="792" ht="15.75" customHeight="1">
      <c r="A792" s="41"/>
      <c r="B792" s="41"/>
      <c r="C792" s="41"/>
      <c r="D792" s="41"/>
      <c r="E792" s="41"/>
      <c r="F792" s="44"/>
    </row>
    <row r="793" ht="15.75" customHeight="1">
      <c r="A793" s="41"/>
      <c r="B793" s="41"/>
      <c r="C793" s="41"/>
      <c r="D793" s="41"/>
      <c r="E793" s="41"/>
      <c r="F793" s="44"/>
    </row>
    <row r="794" ht="15.75" customHeight="1">
      <c r="A794" s="41"/>
      <c r="B794" s="41"/>
      <c r="C794" s="41"/>
      <c r="D794" s="41"/>
      <c r="E794" s="41"/>
      <c r="F794" s="44"/>
    </row>
    <row r="795" ht="15.75" customHeight="1">
      <c r="A795" s="41"/>
      <c r="B795" s="41"/>
      <c r="C795" s="41"/>
      <c r="D795" s="41"/>
      <c r="E795" s="41"/>
      <c r="F795" s="44"/>
    </row>
    <row r="796" ht="15.75" customHeight="1">
      <c r="A796" s="41"/>
      <c r="B796" s="41"/>
      <c r="C796" s="41"/>
      <c r="D796" s="41"/>
      <c r="E796" s="41"/>
      <c r="F796" s="44"/>
    </row>
    <row r="797" ht="15.75" customHeight="1">
      <c r="A797" s="41"/>
      <c r="B797" s="41"/>
      <c r="C797" s="41"/>
      <c r="D797" s="41"/>
      <c r="E797" s="41"/>
      <c r="F797" s="44"/>
    </row>
    <row r="798" ht="15.75" customHeight="1">
      <c r="A798" s="41"/>
      <c r="B798" s="41"/>
      <c r="C798" s="41"/>
      <c r="D798" s="41"/>
      <c r="E798" s="41"/>
      <c r="F798" s="44"/>
    </row>
    <row r="799" ht="15.75" customHeight="1">
      <c r="A799" s="41"/>
      <c r="B799" s="41"/>
      <c r="C799" s="41"/>
      <c r="D799" s="41"/>
      <c r="E799" s="41"/>
      <c r="F799" s="44"/>
    </row>
    <row r="800" ht="15.75" customHeight="1">
      <c r="A800" s="41"/>
      <c r="B800" s="41"/>
      <c r="C800" s="41"/>
      <c r="D800" s="41"/>
      <c r="E800" s="41"/>
      <c r="F800" s="44"/>
    </row>
    <row r="801" ht="15.75" customHeight="1">
      <c r="A801" s="41"/>
      <c r="B801" s="41"/>
      <c r="C801" s="41"/>
      <c r="D801" s="41"/>
      <c r="E801" s="41"/>
      <c r="F801" s="44"/>
    </row>
    <row r="802" ht="15.75" customHeight="1">
      <c r="A802" s="41"/>
      <c r="B802" s="41"/>
      <c r="C802" s="41"/>
      <c r="D802" s="41"/>
      <c r="E802" s="41"/>
      <c r="F802" s="44"/>
    </row>
    <row r="803" ht="15.75" customHeight="1">
      <c r="A803" s="41"/>
      <c r="B803" s="41"/>
      <c r="C803" s="41"/>
      <c r="D803" s="41"/>
      <c r="E803" s="41"/>
      <c r="F803" s="44"/>
    </row>
    <row r="804" ht="15.75" customHeight="1">
      <c r="A804" s="41"/>
      <c r="B804" s="41"/>
      <c r="C804" s="41"/>
      <c r="D804" s="41"/>
      <c r="E804" s="41"/>
      <c r="F804" s="44"/>
    </row>
    <row r="805" ht="15.75" customHeight="1">
      <c r="A805" s="41"/>
      <c r="B805" s="41"/>
      <c r="C805" s="41"/>
      <c r="D805" s="41"/>
      <c r="E805" s="41"/>
      <c r="F805" s="44"/>
    </row>
    <row r="806" ht="15.75" customHeight="1">
      <c r="A806" s="41"/>
      <c r="B806" s="41"/>
      <c r="C806" s="41"/>
      <c r="D806" s="41"/>
      <c r="E806" s="41"/>
      <c r="F806" s="44"/>
    </row>
    <row r="807" ht="15.75" customHeight="1">
      <c r="A807" s="41"/>
      <c r="B807" s="41"/>
      <c r="C807" s="41"/>
      <c r="D807" s="41"/>
      <c r="E807" s="41"/>
      <c r="F807" s="44"/>
    </row>
    <row r="808" ht="15.75" customHeight="1">
      <c r="A808" s="41"/>
      <c r="B808" s="41"/>
      <c r="C808" s="41"/>
      <c r="D808" s="41"/>
      <c r="E808" s="41"/>
      <c r="F808" s="44"/>
    </row>
    <row r="809" ht="15.75" customHeight="1">
      <c r="A809" s="41"/>
      <c r="B809" s="41"/>
      <c r="C809" s="41"/>
      <c r="D809" s="41"/>
      <c r="E809" s="41"/>
      <c r="F809" s="44"/>
    </row>
    <row r="810" ht="15.75" customHeight="1">
      <c r="A810" s="41"/>
      <c r="B810" s="41"/>
      <c r="C810" s="41"/>
      <c r="D810" s="41"/>
      <c r="E810" s="41"/>
      <c r="F810" s="44"/>
    </row>
    <row r="811" ht="15.75" customHeight="1">
      <c r="A811" s="41"/>
      <c r="B811" s="41"/>
      <c r="C811" s="41"/>
      <c r="D811" s="41"/>
      <c r="E811" s="41"/>
      <c r="F811" s="44"/>
    </row>
    <row r="812" ht="15.75" customHeight="1">
      <c r="A812" s="41"/>
      <c r="B812" s="41"/>
      <c r="C812" s="41"/>
      <c r="D812" s="41"/>
      <c r="E812" s="41"/>
      <c r="F812" s="44"/>
    </row>
    <row r="813" ht="15.75" customHeight="1">
      <c r="A813" s="41"/>
      <c r="B813" s="41"/>
      <c r="C813" s="41"/>
      <c r="D813" s="41"/>
      <c r="E813" s="41"/>
      <c r="F813" s="44"/>
    </row>
    <row r="814" ht="15.75" customHeight="1">
      <c r="A814" s="41"/>
      <c r="B814" s="41"/>
      <c r="C814" s="41"/>
      <c r="D814" s="41"/>
      <c r="E814" s="41"/>
      <c r="F814" s="44"/>
    </row>
    <row r="815" ht="15.75" customHeight="1">
      <c r="A815" s="41"/>
      <c r="B815" s="41"/>
      <c r="C815" s="41"/>
      <c r="D815" s="41"/>
      <c r="E815" s="41"/>
      <c r="F815" s="44"/>
    </row>
    <row r="816" ht="15.75" customHeight="1">
      <c r="A816" s="41"/>
      <c r="B816" s="41"/>
      <c r="C816" s="41"/>
      <c r="D816" s="41"/>
      <c r="E816" s="41"/>
      <c r="F816" s="44"/>
    </row>
    <row r="817" ht="15.75" customHeight="1">
      <c r="A817" s="41"/>
      <c r="B817" s="41"/>
      <c r="C817" s="41"/>
      <c r="D817" s="41"/>
      <c r="E817" s="41"/>
      <c r="F817" s="44"/>
    </row>
    <row r="818" ht="15.75" customHeight="1">
      <c r="A818" s="41"/>
      <c r="B818" s="41"/>
      <c r="C818" s="41"/>
      <c r="D818" s="41"/>
      <c r="E818" s="41"/>
      <c r="F818" s="44"/>
    </row>
    <row r="819" ht="15.75" customHeight="1">
      <c r="A819" s="41"/>
      <c r="B819" s="41"/>
      <c r="C819" s="41"/>
      <c r="D819" s="41"/>
      <c r="E819" s="41"/>
      <c r="F819" s="44"/>
    </row>
    <row r="820" ht="15.75" customHeight="1">
      <c r="A820" s="41"/>
      <c r="B820" s="41"/>
      <c r="C820" s="41"/>
      <c r="D820" s="41"/>
      <c r="E820" s="41"/>
      <c r="F820" s="44"/>
    </row>
    <row r="821" ht="15.75" customHeight="1">
      <c r="A821" s="41"/>
      <c r="B821" s="41"/>
      <c r="C821" s="41"/>
      <c r="D821" s="41"/>
      <c r="E821" s="41"/>
      <c r="F821" s="44"/>
    </row>
    <row r="822" ht="15.75" customHeight="1">
      <c r="A822" s="41"/>
      <c r="B822" s="41"/>
      <c r="C822" s="41"/>
      <c r="D822" s="41"/>
      <c r="E822" s="41"/>
      <c r="F822" s="44"/>
    </row>
    <row r="823" ht="15.75" customHeight="1">
      <c r="A823" s="41"/>
      <c r="B823" s="41"/>
      <c r="C823" s="41"/>
      <c r="D823" s="41"/>
      <c r="E823" s="41"/>
      <c r="F823" s="44"/>
    </row>
    <row r="824" ht="15.75" customHeight="1">
      <c r="A824" s="41"/>
      <c r="B824" s="41"/>
      <c r="C824" s="41"/>
      <c r="D824" s="41"/>
      <c r="E824" s="41"/>
      <c r="F824" s="44"/>
    </row>
    <row r="825" ht="15.75" customHeight="1">
      <c r="A825" s="41"/>
      <c r="B825" s="41"/>
      <c r="C825" s="41"/>
      <c r="D825" s="41"/>
      <c r="E825" s="41"/>
      <c r="F825" s="44"/>
    </row>
    <row r="826" ht="15.75" customHeight="1">
      <c r="A826" s="41"/>
      <c r="B826" s="41"/>
      <c r="C826" s="41"/>
      <c r="D826" s="41"/>
      <c r="E826" s="41"/>
      <c r="F826" s="44"/>
    </row>
    <row r="827" ht="15.75" customHeight="1">
      <c r="A827" s="41"/>
      <c r="B827" s="41"/>
      <c r="C827" s="41"/>
      <c r="D827" s="41"/>
      <c r="E827" s="41"/>
      <c r="F827" s="44"/>
    </row>
    <row r="828" ht="15.75" customHeight="1">
      <c r="A828" s="41"/>
      <c r="B828" s="41"/>
      <c r="C828" s="41"/>
      <c r="D828" s="41"/>
      <c r="E828" s="41"/>
      <c r="F828" s="44"/>
    </row>
    <row r="829" ht="15.75" customHeight="1">
      <c r="A829" s="41"/>
      <c r="B829" s="41"/>
      <c r="C829" s="41"/>
      <c r="D829" s="41"/>
      <c r="E829" s="41"/>
      <c r="F829" s="44"/>
    </row>
    <row r="830" ht="15.75" customHeight="1">
      <c r="A830" s="41"/>
      <c r="B830" s="41"/>
      <c r="C830" s="41"/>
      <c r="D830" s="41"/>
      <c r="E830" s="41"/>
      <c r="F830" s="44"/>
    </row>
    <row r="831" ht="15.75" customHeight="1">
      <c r="A831" s="41"/>
      <c r="B831" s="41"/>
      <c r="C831" s="41"/>
      <c r="D831" s="41"/>
      <c r="E831" s="41"/>
      <c r="F831" s="44"/>
    </row>
    <row r="832" ht="15.75" customHeight="1">
      <c r="A832" s="41"/>
      <c r="B832" s="41"/>
      <c r="C832" s="41"/>
      <c r="D832" s="41"/>
      <c r="E832" s="41"/>
      <c r="F832" s="44"/>
    </row>
    <row r="833" ht="15.75" customHeight="1">
      <c r="A833" s="41"/>
      <c r="B833" s="41"/>
      <c r="C833" s="41"/>
      <c r="D833" s="41"/>
      <c r="E833" s="41"/>
      <c r="F833" s="44"/>
    </row>
    <row r="834" ht="15.75" customHeight="1">
      <c r="A834" s="41"/>
      <c r="B834" s="41"/>
      <c r="C834" s="41"/>
      <c r="D834" s="41"/>
      <c r="E834" s="41"/>
      <c r="F834" s="44"/>
    </row>
    <row r="835" ht="15.75" customHeight="1">
      <c r="A835" s="41"/>
      <c r="B835" s="41"/>
      <c r="C835" s="41"/>
      <c r="D835" s="41"/>
      <c r="E835" s="41"/>
      <c r="F835" s="44"/>
    </row>
    <row r="836" ht="15.75" customHeight="1">
      <c r="A836" s="41"/>
      <c r="B836" s="41"/>
      <c r="C836" s="41"/>
      <c r="D836" s="41"/>
      <c r="E836" s="41"/>
      <c r="F836" s="44"/>
    </row>
    <row r="837" ht="15.75" customHeight="1">
      <c r="A837" s="41"/>
      <c r="B837" s="41"/>
      <c r="C837" s="41"/>
      <c r="D837" s="41"/>
      <c r="E837" s="41"/>
      <c r="F837" s="44"/>
    </row>
    <row r="838" ht="15.75" customHeight="1">
      <c r="A838" s="41"/>
      <c r="B838" s="41"/>
      <c r="C838" s="41"/>
      <c r="D838" s="41"/>
      <c r="E838" s="41"/>
      <c r="F838" s="44"/>
    </row>
    <row r="839" ht="15.75" customHeight="1">
      <c r="A839" s="41"/>
      <c r="B839" s="41"/>
      <c r="C839" s="41"/>
      <c r="D839" s="41"/>
      <c r="E839" s="41"/>
      <c r="F839" s="44"/>
    </row>
    <row r="840" ht="15.75" customHeight="1">
      <c r="A840" s="41"/>
      <c r="B840" s="41"/>
      <c r="C840" s="41"/>
      <c r="D840" s="41"/>
      <c r="E840" s="41"/>
      <c r="F840" s="44"/>
    </row>
    <row r="841" ht="15.75" customHeight="1">
      <c r="A841" s="41"/>
      <c r="B841" s="41"/>
      <c r="C841" s="41"/>
      <c r="D841" s="41"/>
      <c r="E841" s="41"/>
      <c r="F841" s="44"/>
    </row>
    <row r="842" ht="15.75" customHeight="1">
      <c r="A842" s="41"/>
      <c r="B842" s="41"/>
      <c r="C842" s="41"/>
      <c r="D842" s="41"/>
      <c r="E842" s="41"/>
      <c r="F842" s="44"/>
    </row>
    <row r="843" ht="15.75" customHeight="1">
      <c r="A843" s="41"/>
      <c r="B843" s="41"/>
      <c r="C843" s="41"/>
      <c r="D843" s="41"/>
      <c r="E843" s="41"/>
      <c r="F843" s="44"/>
    </row>
    <row r="844" ht="15.75" customHeight="1">
      <c r="A844" s="41"/>
      <c r="B844" s="41"/>
      <c r="C844" s="41"/>
      <c r="D844" s="41"/>
      <c r="E844" s="41"/>
      <c r="F844" s="44"/>
    </row>
    <row r="845" ht="15.75" customHeight="1">
      <c r="A845" s="41"/>
      <c r="B845" s="41"/>
      <c r="C845" s="41"/>
      <c r="D845" s="41"/>
      <c r="E845" s="41"/>
      <c r="F845" s="44"/>
    </row>
    <row r="846" ht="15.75" customHeight="1">
      <c r="A846" s="41"/>
      <c r="B846" s="41"/>
      <c r="C846" s="41"/>
      <c r="D846" s="41"/>
      <c r="E846" s="41"/>
      <c r="F846" s="44"/>
    </row>
    <row r="847" ht="15.75" customHeight="1">
      <c r="A847" s="41"/>
      <c r="B847" s="41"/>
      <c r="C847" s="41"/>
      <c r="D847" s="41"/>
      <c r="E847" s="41"/>
      <c r="F847" s="44"/>
    </row>
    <row r="848" ht="15.75" customHeight="1">
      <c r="A848" s="41"/>
      <c r="B848" s="41"/>
      <c r="C848" s="41"/>
      <c r="D848" s="41"/>
      <c r="E848" s="41"/>
      <c r="F848" s="44"/>
    </row>
    <row r="849" ht="15.75" customHeight="1">
      <c r="A849" s="41"/>
      <c r="B849" s="41"/>
      <c r="C849" s="41"/>
      <c r="D849" s="41"/>
      <c r="E849" s="41"/>
      <c r="F849" s="44"/>
    </row>
    <row r="850" ht="15.75" customHeight="1">
      <c r="A850" s="41"/>
      <c r="B850" s="41"/>
      <c r="C850" s="41"/>
      <c r="D850" s="41"/>
      <c r="E850" s="41"/>
      <c r="F850" s="44"/>
    </row>
    <row r="851" ht="15.75" customHeight="1">
      <c r="A851" s="41"/>
      <c r="B851" s="41"/>
      <c r="C851" s="41"/>
      <c r="D851" s="41"/>
      <c r="E851" s="41"/>
      <c r="F851" s="44"/>
    </row>
    <row r="852" ht="15.75" customHeight="1">
      <c r="A852" s="41"/>
      <c r="B852" s="41"/>
      <c r="C852" s="41"/>
      <c r="D852" s="41"/>
      <c r="E852" s="41"/>
      <c r="F852" s="44"/>
    </row>
    <row r="853" ht="15.75" customHeight="1">
      <c r="A853" s="41"/>
      <c r="B853" s="41"/>
      <c r="C853" s="41"/>
      <c r="D853" s="41"/>
      <c r="E853" s="41"/>
      <c r="F853" s="44"/>
    </row>
    <row r="854" ht="15.75" customHeight="1">
      <c r="A854" s="41"/>
      <c r="B854" s="41"/>
      <c r="C854" s="41"/>
      <c r="D854" s="41"/>
      <c r="E854" s="41"/>
      <c r="F854" s="44"/>
    </row>
    <row r="855" ht="15.75" customHeight="1">
      <c r="A855" s="41"/>
      <c r="B855" s="41"/>
      <c r="C855" s="41"/>
      <c r="D855" s="41"/>
      <c r="E855" s="41"/>
      <c r="F855" s="44"/>
    </row>
    <row r="856" ht="15.75" customHeight="1">
      <c r="A856" s="41"/>
      <c r="B856" s="41"/>
      <c r="C856" s="41"/>
      <c r="D856" s="41"/>
      <c r="E856" s="41"/>
      <c r="F856" s="44"/>
    </row>
    <row r="857" ht="15.75" customHeight="1">
      <c r="A857" s="41"/>
      <c r="B857" s="41"/>
      <c r="C857" s="41"/>
      <c r="D857" s="41"/>
      <c r="E857" s="41"/>
      <c r="F857" s="44"/>
    </row>
    <row r="858" ht="15.75" customHeight="1">
      <c r="A858" s="41"/>
      <c r="B858" s="41"/>
      <c r="C858" s="41"/>
      <c r="D858" s="41"/>
      <c r="E858" s="41"/>
      <c r="F858" s="44"/>
    </row>
    <row r="859" ht="15.75" customHeight="1">
      <c r="A859" s="41"/>
      <c r="B859" s="41"/>
      <c r="C859" s="41"/>
      <c r="D859" s="41"/>
      <c r="E859" s="41"/>
      <c r="F859" s="44"/>
    </row>
    <row r="860" ht="15.75" customHeight="1">
      <c r="A860" s="41"/>
      <c r="B860" s="41"/>
      <c r="C860" s="41"/>
      <c r="D860" s="41"/>
      <c r="E860" s="41"/>
      <c r="F860" s="44"/>
    </row>
    <row r="861" ht="15.75" customHeight="1">
      <c r="A861" s="41"/>
      <c r="B861" s="41"/>
      <c r="C861" s="41"/>
      <c r="D861" s="41"/>
      <c r="E861" s="41"/>
      <c r="F861" s="44"/>
    </row>
    <row r="862" ht="15.75" customHeight="1">
      <c r="A862" s="41"/>
      <c r="B862" s="41"/>
      <c r="C862" s="41"/>
      <c r="D862" s="41"/>
      <c r="E862" s="41"/>
      <c r="F862" s="44"/>
    </row>
    <row r="863" ht="15.75" customHeight="1">
      <c r="A863" s="41"/>
      <c r="B863" s="41"/>
      <c r="C863" s="41"/>
      <c r="D863" s="41"/>
      <c r="E863" s="41"/>
      <c r="F863" s="44"/>
    </row>
    <row r="864" ht="15.75" customHeight="1">
      <c r="A864" s="41"/>
      <c r="B864" s="41"/>
      <c r="C864" s="41"/>
      <c r="D864" s="41"/>
      <c r="E864" s="41"/>
      <c r="F864" s="44"/>
    </row>
    <row r="865" ht="15.75" customHeight="1">
      <c r="A865" s="41"/>
      <c r="B865" s="41"/>
      <c r="C865" s="41"/>
      <c r="D865" s="41"/>
      <c r="E865" s="41"/>
      <c r="F865" s="44"/>
    </row>
    <row r="866" ht="15.75" customHeight="1">
      <c r="A866" s="41"/>
      <c r="B866" s="41"/>
      <c r="C866" s="41"/>
      <c r="D866" s="41"/>
      <c r="E866" s="41"/>
      <c r="F866" s="44"/>
    </row>
    <row r="867" ht="15.75" customHeight="1">
      <c r="A867" s="41"/>
      <c r="B867" s="41"/>
      <c r="C867" s="41"/>
      <c r="D867" s="41"/>
      <c r="E867" s="41"/>
      <c r="F867" s="44"/>
    </row>
    <row r="868" ht="15.75" customHeight="1">
      <c r="A868" s="41"/>
      <c r="B868" s="41"/>
      <c r="C868" s="41"/>
      <c r="D868" s="41"/>
      <c r="E868" s="41"/>
      <c r="F868" s="44"/>
    </row>
    <row r="869" ht="15.75" customHeight="1">
      <c r="A869" s="41"/>
      <c r="B869" s="41"/>
      <c r="C869" s="41"/>
      <c r="D869" s="41"/>
      <c r="E869" s="41"/>
      <c r="F869" s="44"/>
    </row>
    <row r="870" ht="15.75" customHeight="1">
      <c r="A870" s="41"/>
      <c r="B870" s="41"/>
      <c r="C870" s="41"/>
      <c r="D870" s="41"/>
      <c r="E870" s="41"/>
      <c r="F870" s="44"/>
    </row>
    <row r="871" ht="15.75" customHeight="1">
      <c r="A871" s="41"/>
      <c r="B871" s="41"/>
      <c r="C871" s="41"/>
      <c r="D871" s="41"/>
      <c r="E871" s="41"/>
      <c r="F871" s="44"/>
    </row>
    <row r="872" ht="15.75" customHeight="1">
      <c r="A872" s="41"/>
      <c r="B872" s="41"/>
      <c r="C872" s="41"/>
      <c r="D872" s="41"/>
      <c r="E872" s="41"/>
      <c r="F872" s="44"/>
    </row>
    <row r="873" ht="15.75" customHeight="1">
      <c r="A873" s="41"/>
      <c r="B873" s="41"/>
      <c r="C873" s="41"/>
      <c r="D873" s="41"/>
      <c r="E873" s="41"/>
      <c r="F873" s="44"/>
    </row>
    <row r="874" ht="15.75" customHeight="1">
      <c r="A874" s="41"/>
      <c r="B874" s="41"/>
      <c r="C874" s="41"/>
      <c r="D874" s="41"/>
      <c r="E874" s="41"/>
      <c r="F874" s="44"/>
    </row>
    <row r="875" ht="15.75" customHeight="1">
      <c r="A875" s="41"/>
      <c r="B875" s="41"/>
      <c r="C875" s="41"/>
      <c r="D875" s="41"/>
      <c r="E875" s="41"/>
      <c r="F875" s="44"/>
    </row>
    <row r="876" ht="15.75" customHeight="1">
      <c r="A876" s="41"/>
      <c r="B876" s="41"/>
      <c r="C876" s="41"/>
      <c r="D876" s="41"/>
      <c r="E876" s="41"/>
      <c r="F876" s="44"/>
    </row>
    <row r="877" ht="15.75" customHeight="1">
      <c r="A877" s="41"/>
      <c r="B877" s="41"/>
      <c r="C877" s="41"/>
      <c r="D877" s="41"/>
      <c r="E877" s="41"/>
      <c r="F877" s="44"/>
    </row>
    <row r="878" ht="15.75" customHeight="1">
      <c r="A878" s="41"/>
      <c r="B878" s="41"/>
      <c r="C878" s="41"/>
      <c r="D878" s="41"/>
      <c r="E878" s="41"/>
      <c r="F878" s="44"/>
    </row>
    <row r="879" ht="15.75" customHeight="1">
      <c r="A879" s="41"/>
      <c r="B879" s="41"/>
      <c r="C879" s="41"/>
      <c r="D879" s="41"/>
      <c r="E879" s="41"/>
      <c r="F879" s="44"/>
    </row>
    <row r="880" ht="15.75" customHeight="1">
      <c r="A880" s="41"/>
      <c r="B880" s="41"/>
      <c r="C880" s="41"/>
      <c r="D880" s="41"/>
      <c r="E880" s="41"/>
      <c r="F880" s="44"/>
    </row>
    <row r="881" ht="15.75" customHeight="1">
      <c r="A881" s="41"/>
      <c r="B881" s="41"/>
      <c r="C881" s="41"/>
      <c r="D881" s="41"/>
      <c r="E881" s="41"/>
      <c r="F881" s="44"/>
    </row>
    <row r="882" ht="15.75" customHeight="1">
      <c r="A882" s="41"/>
      <c r="B882" s="41"/>
      <c r="C882" s="41"/>
      <c r="D882" s="41"/>
      <c r="E882" s="41"/>
      <c r="F882" s="44"/>
    </row>
    <row r="883" ht="15.75" customHeight="1">
      <c r="A883" s="41"/>
      <c r="B883" s="41"/>
      <c r="C883" s="41"/>
      <c r="D883" s="41"/>
      <c r="E883" s="41"/>
      <c r="F883" s="44"/>
    </row>
    <row r="884" ht="15.75" customHeight="1">
      <c r="A884" s="41"/>
      <c r="B884" s="41"/>
      <c r="C884" s="41"/>
      <c r="D884" s="41"/>
      <c r="E884" s="41"/>
      <c r="F884" s="44"/>
    </row>
    <row r="885" ht="15.75" customHeight="1">
      <c r="A885" s="41"/>
      <c r="B885" s="41"/>
      <c r="C885" s="41"/>
      <c r="D885" s="41"/>
      <c r="E885" s="41"/>
      <c r="F885" s="44"/>
    </row>
    <row r="886" ht="15.75" customHeight="1">
      <c r="A886" s="41"/>
      <c r="B886" s="41"/>
      <c r="C886" s="41"/>
      <c r="D886" s="41"/>
      <c r="E886" s="41"/>
      <c r="F886" s="44"/>
    </row>
    <row r="887" ht="15.75" customHeight="1">
      <c r="A887" s="41"/>
      <c r="B887" s="41"/>
      <c r="C887" s="41"/>
      <c r="D887" s="41"/>
      <c r="E887" s="41"/>
      <c r="F887" s="44"/>
    </row>
    <row r="888" ht="15.75" customHeight="1">
      <c r="A888" s="41"/>
      <c r="B888" s="41"/>
      <c r="C888" s="41"/>
      <c r="D888" s="41"/>
      <c r="E888" s="41"/>
      <c r="F888" s="44"/>
    </row>
    <row r="889" ht="15.75" customHeight="1">
      <c r="A889" s="41"/>
      <c r="B889" s="41"/>
      <c r="C889" s="41"/>
      <c r="D889" s="41"/>
      <c r="E889" s="41"/>
      <c r="F889" s="44"/>
    </row>
    <row r="890" ht="15.75" customHeight="1">
      <c r="A890" s="41"/>
      <c r="B890" s="41"/>
      <c r="C890" s="41"/>
      <c r="D890" s="41"/>
      <c r="E890" s="41"/>
      <c r="F890" s="44"/>
    </row>
    <row r="891" ht="15.75" customHeight="1">
      <c r="A891" s="41"/>
      <c r="B891" s="41"/>
      <c r="C891" s="41"/>
      <c r="D891" s="41"/>
      <c r="E891" s="41"/>
      <c r="F891" s="44"/>
    </row>
    <row r="892" ht="15.75" customHeight="1">
      <c r="A892" s="41"/>
      <c r="B892" s="41"/>
      <c r="C892" s="41"/>
      <c r="D892" s="41"/>
      <c r="E892" s="41"/>
      <c r="F892" s="44"/>
    </row>
    <row r="893" ht="15.75" customHeight="1">
      <c r="A893" s="41"/>
      <c r="B893" s="41"/>
      <c r="C893" s="41"/>
      <c r="D893" s="41"/>
      <c r="E893" s="41"/>
      <c r="F893" s="44"/>
    </row>
    <row r="894" ht="15.75" customHeight="1">
      <c r="A894" s="41"/>
      <c r="B894" s="41"/>
      <c r="C894" s="41"/>
      <c r="D894" s="41"/>
      <c r="E894" s="41"/>
      <c r="F894" s="44"/>
    </row>
    <row r="895" ht="15.75" customHeight="1">
      <c r="A895" s="41"/>
      <c r="B895" s="41"/>
      <c r="C895" s="41"/>
      <c r="D895" s="41"/>
      <c r="E895" s="41"/>
      <c r="F895" s="44"/>
    </row>
    <row r="896" ht="15.75" customHeight="1">
      <c r="A896" s="41"/>
      <c r="B896" s="41"/>
      <c r="C896" s="41"/>
      <c r="D896" s="41"/>
      <c r="E896" s="41"/>
      <c r="F896" s="44"/>
    </row>
    <row r="897" ht="15.75" customHeight="1">
      <c r="A897" s="41"/>
      <c r="B897" s="41"/>
      <c r="C897" s="41"/>
      <c r="D897" s="41"/>
      <c r="E897" s="41"/>
      <c r="F897" s="44"/>
    </row>
    <row r="898" ht="15.75" customHeight="1">
      <c r="A898" s="41"/>
      <c r="B898" s="41"/>
      <c r="C898" s="41"/>
      <c r="D898" s="41"/>
      <c r="E898" s="41"/>
      <c r="F898" s="44"/>
    </row>
    <row r="899" ht="15.75" customHeight="1">
      <c r="A899" s="41"/>
      <c r="B899" s="41"/>
      <c r="C899" s="41"/>
      <c r="D899" s="41"/>
      <c r="E899" s="41"/>
      <c r="F899" s="44"/>
    </row>
    <row r="900" ht="15.75" customHeight="1">
      <c r="A900" s="41"/>
      <c r="B900" s="41"/>
      <c r="C900" s="41"/>
      <c r="D900" s="41"/>
      <c r="E900" s="41"/>
      <c r="F900" s="44"/>
    </row>
    <row r="901" ht="15.75" customHeight="1">
      <c r="A901" s="41"/>
      <c r="B901" s="41"/>
      <c r="C901" s="41"/>
      <c r="D901" s="41"/>
      <c r="E901" s="41"/>
      <c r="F901" s="44"/>
    </row>
    <row r="902" ht="15.75" customHeight="1">
      <c r="A902" s="41"/>
      <c r="B902" s="41"/>
      <c r="C902" s="41"/>
      <c r="D902" s="41"/>
      <c r="E902" s="41"/>
      <c r="F902" s="44"/>
    </row>
    <row r="903" ht="15.75" customHeight="1">
      <c r="A903" s="41"/>
      <c r="B903" s="41"/>
      <c r="C903" s="41"/>
      <c r="D903" s="41"/>
      <c r="E903" s="41"/>
      <c r="F903" s="44"/>
    </row>
    <row r="904" ht="15.75" customHeight="1">
      <c r="A904" s="41"/>
      <c r="B904" s="41"/>
      <c r="C904" s="41"/>
      <c r="D904" s="41"/>
      <c r="E904" s="41"/>
      <c r="F904" s="44"/>
    </row>
    <row r="905" ht="15.75" customHeight="1">
      <c r="A905" s="41"/>
      <c r="B905" s="41"/>
      <c r="C905" s="41"/>
      <c r="D905" s="41"/>
      <c r="E905" s="41"/>
      <c r="F905" s="44"/>
    </row>
    <row r="906" ht="15.75" customHeight="1">
      <c r="A906" s="41"/>
      <c r="B906" s="41"/>
      <c r="C906" s="41"/>
      <c r="D906" s="41"/>
      <c r="E906" s="41"/>
      <c r="F906" s="44"/>
    </row>
    <row r="907" ht="15.75" customHeight="1">
      <c r="A907" s="41"/>
      <c r="B907" s="41"/>
      <c r="C907" s="41"/>
      <c r="D907" s="41"/>
      <c r="E907" s="41"/>
      <c r="F907" s="44"/>
    </row>
    <row r="908" ht="15.75" customHeight="1">
      <c r="A908" s="41"/>
      <c r="B908" s="41"/>
      <c r="C908" s="41"/>
      <c r="D908" s="41"/>
      <c r="E908" s="41"/>
      <c r="F908" s="44"/>
    </row>
    <row r="909" ht="15.75" customHeight="1">
      <c r="A909" s="41"/>
      <c r="B909" s="41"/>
      <c r="C909" s="41"/>
      <c r="D909" s="41"/>
      <c r="E909" s="41"/>
      <c r="F909" s="44"/>
    </row>
    <row r="910" ht="15.75" customHeight="1">
      <c r="A910" s="41"/>
      <c r="B910" s="41"/>
      <c r="C910" s="41"/>
      <c r="D910" s="41"/>
      <c r="E910" s="41"/>
      <c r="F910" s="44"/>
    </row>
    <row r="911" ht="15.75" customHeight="1">
      <c r="A911" s="41"/>
      <c r="B911" s="41"/>
      <c r="C911" s="41"/>
      <c r="D911" s="41"/>
      <c r="E911" s="41"/>
      <c r="F911" s="44"/>
    </row>
    <row r="912" ht="15.75" customHeight="1">
      <c r="A912" s="41"/>
      <c r="B912" s="41"/>
      <c r="C912" s="41"/>
      <c r="D912" s="41"/>
      <c r="E912" s="41"/>
      <c r="F912" s="44"/>
    </row>
    <row r="913" ht="15.75" customHeight="1">
      <c r="A913" s="41"/>
      <c r="B913" s="41"/>
      <c r="C913" s="41"/>
      <c r="D913" s="41"/>
      <c r="E913" s="41"/>
      <c r="F913" s="44"/>
    </row>
    <row r="914" ht="15.75" customHeight="1">
      <c r="A914" s="41"/>
      <c r="B914" s="41"/>
      <c r="C914" s="41"/>
      <c r="D914" s="41"/>
      <c r="E914" s="41"/>
      <c r="F914" s="44"/>
    </row>
    <row r="915" ht="15.75" customHeight="1">
      <c r="A915" s="41"/>
      <c r="B915" s="41"/>
      <c r="C915" s="41"/>
      <c r="D915" s="41"/>
      <c r="E915" s="41"/>
      <c r="F915" s="44"/>
    </row>
    <row r="916" ht="15.75" customHeight="1">
      <c r="A916" s="41"/>
      <c r="B916" s="41"/>
      <c r="C916" s="41"/>
      <c r="D916" s="41"/>
      <c r="E916" s="41"/>
      <c r="F916" s="44"/>
    </row>
    <row r="917" ht="15.75" customHeight="1">
      <c r="A917" s="41"/>
      <c r="B917" s="41"/>
      <c r="C917" s="41"/>
      <c r="D917" s="41"/>
      <c r="E917" s="41"/>
      <c r="F917" s="44"/>
    </row>
    <row r="918" ht="15.75" customHeight="1">
      <c r="A918" s="41"/>
      <c r="B918" s="41"/>
      <c r="C918" s="41"/>
      <c r="D918" s="41"/>
      <c r="E918" s="41"/>
      <c r="F918" s="44"/>
    </row>
    <row r="919" ht="15.75" customHeight="1">
      <c r="A919" s="41"/>
      <c r="B919" s="41"/>
      <c r="C919" s="41"/>
      <c r="D919" s="41"/>
      <c r="E919" s="41"/>
      <c r="F919" s="44"/>
    </row>
    <row r="920" ht="15.75" customHeight="1">
      <c r="A920" s="41"/>
      <c r="B920" s="41"/>
      <c r="C920" s="41"/>
      <c r="D920" s="41"/>
      <c r="E920" s="41"/>
      <c r="F920" s="44"/>
    </row>
    <row r="921" ht="15.75" customHeight="1">
      <c r="A921" s="41"/>
      <c r="B921" s="41"/>
      <c r="C921" s="41"/>
      <c r="D921" s="41"/>
      <c r="E921" s="41"/>
      <c r="F921" s="44"/>
    </row>
    <row r="922" ht="15.75" customHeight="1">
      <c r="A922" s="41"/>
      <c r="B922" s="41"/>
      <c r="C922" s="41"/>
      <c r="D922" s="41"/>
      <c r="E922" s="41"/>
      <c r="F922" s="44"/>
    </row>
    <row r="923" ht="15.75" customHeight="1">
      <c r="A923" s="41"/>
      <c r="B923" s="41"/>
      <c r="C923" s="41"/>
      <c r="D923" s="41"/>
      <c r="E923" s="41"/>
      <c r="F923" s="44"/>
    </row>
    <row r="924" ht="15.75" customHeight="1">
      <c r="A924" s="41"/>
      <c r="B924" s="41"/>
      <c r="C924" s="41"/>
      <c r="D924" s="41"/>
      <c r="E924" s="41"/>
      <c r="F924" s="44"/>
    </row>
    <row r="925" ht="15.75" customHeight="1">
      <c r="A925" s="41"/>
      <c r="B925" s="41"/>
      <c r="C925" s="41"/>
      <c r="D925" s="41"/>
      <c r="E925" s="41"/>
      <c r="F925" s="44"/>
    </row>
    <row r="926" ht="15.75" customHeight="1">
      <c r="A926" s="41"/>
      <c r="B926" s="41"/>
      <c r="C926" s="41"/>
      <c r="D926" s="41"/>
      <c r="E926" s="41"/>
      <c r="F926" s="44"/>
    </row>
    <row r="927" ht="15.75" customHeight="1">
      <c r="A927" s="41"/>
      <c r="B927" s="41"/>
      <c r="C927" s="41"/>
      <c r="D927" s="41"/>
      <c r="E927" s="41"/>
      <c r="F927" s="44"/>
    </row>
    <row r="928" ht="15.75" customHeight="1">
      <c r="A928" s="41"/>
      <c r="B928" s="41"/>
      <c r="C928" s="41"/>
      <c r="D928" s="41"/>
      <c r="E928" s="41"/>
      <c r="F928" s="44"/>
    </row>
    <row r="929" ht="15.75" customHeight="1">
      <c r="A929" s="41"/>
      <c r="B929" s="41"/>
      <c r="C929" s="41"/>
      <c r="D929" s="41"/>
      <c r="E929" s="41"/>
      <c r="F929" s="44"/>
    </row>
    <row r="930" ht="15.75" customHeight="1">
      <c r="A930" s="41"/>
      <c r="B930" s="41"/>
      <c r="C930" s="41"/>
      <c r="D930" s="41"/>
      <c r="E930" s="41"/>
      <c r="F930" s="44"/>
    </row>
    <row r="931" ht="15.75" customHeight="1">
      <c r="A931" s="41"/>
      <c r="B931" s="41"/>
      <c r="C931" s="41"/>
      <c r="D931" s="41"/>
      <c r="E931" s="41"/>
      <c r="F931" s="44"/>
    </row>
    <row r="932" ht="15.75" customHeight="1">
      <c r="A932" s="41"/>
      <c r="B932" s="41"/>
      <c r="C932" s="41"/>
      <c r="D932" s="41"/>
      <c r="E932" s="41"/>
      <c r="F932" s="44"/>
    </row>
    <row r="933" ht="15.75" customHeight="1">
      <c r="A933" s="41"/>
      <c r="B933" s="41"/>
      <c r="C933" s="41"/>
      <c r="D933" s="41"/>
      <c r="E933" s="41"/>
      <c r="F933" s="44"/>
    </row>
    <row r="934" ht="15.75" customHeight="1">
      <c r="A934" s="41"/>
      <c r="B934" s="41"/>
      <c r="C934" s="41"/>
      <c r="D934" s="41"/>
      <c r="E934" s="41"/>
      <c r="F934" s="44"/>
    </row>
    <row r="935" ht="15.75" customHeight="1">
      <c r="A935" s="41"/>
      <c r="B935" s="41"/>
      <c r="C935" s="41"/>
      <c r="D935" s="41"/>
      <c r="E935" s="41"/>
      <c r="F935" s="44"/>
    </row>
    <row r="936" ht="15.75" customHeight="1">
      <c r="A936" s="41"/>
      <c r="B936" s="41"/>
      <c r="C936" s="41"/>
      <c r="D936" s="41"/>
      <c r="E936" s="41"/>
      <c r="F936" s="44"/>
    </row>
    <row r="937" ht="15.75" customHeight="1">
      <c r="A937" s="41"/>
      <c r="B937" s="41"/>
      <c r="C937" s="41"/>
      <c r="D937" s="41"/>
      <c r="E937" s="41"/>
      <c r="F937" s="44"/>
    </row>
    <row r="938" ht="15.75" customHeight="1">
      <c r="A938" s="41"/>
      <c r="B938" s="41"/>
      <c r="C938" s="41"/>
      <c r="D938" s="41"/>
      <c r="E938" s="41"/>
      <c r="F938" s="44"/>
    </row>
    <row r="939" ht="15.75" customHeight="1">
      <c r="A939" s="41"/>
      <c r="B939" s="41"/>
      <c r="C939" s="41"/>
      <c r="D939" s="41"/>
      <c r="E939" s="41"/>
      <c r="F939" s="44"/>
    </row>
    <row r="940" ht="15.75" customHeight="1">
      <c r="A940" s="41"/>
      <c r="B940" s="41"/>
      <c r="C940" s="41"/>
      <c r="D940" s="41"/>
      <c r="E940" s="41"/>
      <c r="F940" s="44"/>
    </row>
    <row r="941" ht="15.75" customHeight="1">
      <c r="A941" s="41"/>
      <c r="B941" s="41"/>
      <c r="C941" s="41"/>
      <c r="D941" s="41"/>
      <c r="E941" s="41"/>
      <c r="F941" s="44"/>
    </row>
    <row r="942" ht="15.75" customHeight="1">
      <c r="A942" s="41"/>
      <c r="B942" s="41"/>
      <c r="C942" s="41"/>
      <c r="D942" s="41"/>
      <c r="E942" s="41"/>
      <c r="F942" s="44"/>
    </row>
    <row r="943" ht="15.75" customHeight="1">
      <c r="A943" s="41"/>
      <c r="B943" s="41"/>
      <c r="C943" s="41"/>
      <c r="D943" s="41"/>
      <c r="E943" s="41"/>
      <c r="F943" s="44"/>
    </row>
    <row r="944" ht="15.75" customHeight="1">
      <c r="A944" s="41"/>
      <c r="B944" s="41"/>
      <c r="C944" s="41"/>
      <c r="D944" s="41"/>
      <c r="E944" s="41"/>
      <c r="F944" s="44"/>
    </row>
    <row r="945" ht="15.75" customHeight="1">
      <c r="A945" s="41"/>
      <c r="B945" s="41"/>
      <c r="C945" s="41"/>
      <c r="D945" s="41"/>
      <c r="E945" s="41"/>
      <c r="F945" s="44"/>
    </row>
    <row r="946" ht="15.75" customHeight="1">
      <c r="A946" s="41"/>
      <c r="B946" s="41"/>
      <c r="C946" s="41"/>
      <c r="D946" s="41"/>
      <c r="E946" s="41"/>
      <c r="F946" s="44"/>
    </row>
    <row r="947" ht="15.75" customHeight="1">
      <c r="A947" s="41"/>
      <c r="B947" s="41"/>
      <c r="C947" s="41"/>
      <c r="D947" s="41"/>
      <c r="E947" s="41"/>
      <c r="F947" s="44"/>
    </row>
    <row r="948" ht="15.75" customHeight="1">
      <c r="A948" s="41"/>
      <c r="B948" s="41"/>
      <c r="C948" s="41"/>
      <c r="D948" s="41"/>
      <c r="E948" s="41"/>
      <c r="F948" s="44"/>
    </row>
    <row r="949" ht="15.75" customHeight="1">
      <c r="A949" s="41"/>
      <c r="B949" s="41"/>
      <c r="C949" s="41"/>
      <c r="D949" s="41"/>
      <c r="E949" s="41"/>
      <c r="F949" s="44"/>
    </row>
    <row r="950" ht="15.75" customHeight="1">
      <c r="A950" s="41"/>
      <c r="B950" s="41"/>
      <c r="C950" s="41"/>
      <c r="D950" s="41"/>
      <c r="E950" s="41"/>
      <c r="F950" s="44"/>
    </row>
    <row r="951" ht="15.75" customHeight="1">
      <c r="A951" s="41"/>
      <c r="B951" s="41"/>
      <c r="C951" s="41"/>
      <c r="D951" s="41"/>
      <c r="E951" s="41"/>
      <c r="F951" s="44"/>
    </row>
    <row r="952" ht="15.75" customHeight="1">
      <c r="A952" s="41"/>
      <c r="B952" s="41"/>
      <c r="C952" s="41"/>
      <c r="D952" s="41"/>
      <c r="E952" s="41"/>
      <c r="F952" s="44"/>
    </row>
    <row r="953" ht="15.75" customHeight="1">
      <c r="A953" s="41"/>
      <c r="B953" s="41"/>
      <c r="C953" s="41"/>
      <c r="D953" s="41"/>
      <c r="E953" s="41"/>
      <c r="F953" s="44"/>
    </row>
    <row r="954" ht="15.75" customHeight="1">
      <c r="A954" s="41"/>
      <c r="B954" s="41"/>
      <c r="C954" s="41"/>
      <c r="D954" s="41"/>
      <c r="E954" s="41"/>
      <c r="F954" s="44"/>
    </row>
    <row r="955" ht="15.75" customHeight="1">
      <c r="A955" s="41"/>
      <c r="B955" s="41"/>
      <c r="C955" s="41"/>
      <c r="D955" s="41"/>
      <c r="E955" s="41"/>
      <c r="F955" s="44"/>
    </row>
    <row r="956" ht="15.75" customHeight="1">
      <c r="A956" s="41"/>
      <c r="B956" s="41"/>
      <c r="C956" s="41"/>
      <c r="D956" s="41"/>
      <c r="E956" s="41"/>
      <c r="F956" s="44"/>
    </row>
    <row r="957" ht="15.75" customHeight="1">
      <c r="A957" s="41"/>
      <c r="B957" s="41"/>
      <c r="C957" s="41"/>
      <c r="D957" s="41"/>
      <c r="E957" s="41"/>
      <c r="F957" s="44"/>
    </row>
    <row r="958" ht="15.75" customHeight="1">
      <c r="A958" s="41"/>
      <c r="B958" s="41"/>
      <c r="C958" s="41"/>
      <c r="D958" s="41"/>
      <c r="E958" s="41"/>
      <c r="F958" s="44"/>
    </row>
    <row r="959" ht="15.75" customHeight="1">
      <c r="A959" s="41"/>
      <c r="B959" s="41"/>
      <c r="C959" s="41"/>
      <c r="D959" s="41"/>
      <c r="E959" s="41"/>
      <c r="F959" s="44"/>
    </row>
    <row r="960" ht="15.75" customHeight="1">
      <c r="A960" s="41"/>
      <c r="B960" s="41"/>
      <c r="C960" s="41"/>
      <c r="D960" s="41"/>
      <c r="E960" s="41"/>
      <c r="F960" s="44"/>
    </row>
    <row r="961" ht="15.75" customHeight="1">
      <c r="A961" s="41"/>
      <c r="B961" s="41"/>
      <c r="C961" s="41"/>
      <c r="D961" s="41"/>
      <c r="E961" s="41"/>
      <c r="F961" s="44"/>
    </row>
    <row r="962" ht="15.75" customHeight="1">
      <c r="A962" s="41"/>
      <c r="B962" s="41"/>
      <c r="C962" s="41"/>
      <c r="D962" s="41"/>
      <c r="E962" s="41"/>
      <c r="F962" s="44"/>
    </row>
    <row r="963" ht="15.75" customHeight="1">
      <c r="A963" s="41"/>
      <c r="B963" s="41"/>
      <c r="C963" s="41"/>
      <c r="D963" s="41"/>
      <c r="E963" s="41"/>
      <c r="F963" s="44"/>
    </row>
    <row r="964" ht="15.75" customHeight="1">
      <c r="A964" s="41"/>
      <c r="B964" s="41"/>
      <c r="C964" s="41"/>
      <c r="D964" s="41"/>
      <c r="E964" s="41"/>
      <c r="F964" s="44"/>
    </row>
    <row r="965" ht="15.75" customHeight="1">
      <c r="A965" s="41"/>
      <c r="B965" s="41"/>
      <c r="C965" s="41"/>
      <c r="D965" s="41"/>
      <c r="E965" s="41"/>
      <c r="F965" s="44"/>
    </row>
    <row r="966" ht="15.75" customHeight="1">
      <c r="A966" s="41"/>
      <c r="B966" s="41"/>
      <c r="C966" s="41"/>
      <c r="D966" s="41"/>
      <c r="E966" s="41"/>
      <c r="F966" s="44"/>
    </row>
    <row r="967" ht="15.75" customHeight="1">
      <c r="A967" s="41"/>
      <c r="B967" s="41"/>
      <c r="C967" s="41"/>
      <c r="D967" s="41"/>
      <c r="E967" s="41"/>
      <c r="F967" s="44"/>
    </row>
    <row r="968" ht="15.75" customHeight="1">
      <c r="A968" s="41"/>
      <c r="B968" s="41"/>
      <c r="C968" s="41"/>
      <c r="D968" s="41"/>
      <c r="E968" s="41"/>
      <c r="F968" s="44"/>
    </row>
    <row r="969" ht="15.75" customHeight="1">
      <c r="A969" s="41"/>
      <c r="B969" s="41"/>
      <c r="C969" s="41"/>
      <c r="D969" s="41"/>
      <c r="E969" s="41"/>
      <c r="F969" s="44"/>
    </row>
    <row r="970" ht="15.75" customHeight="1">
      <c r="A970" s="41"/>
      <c r="B970" s="41"/>
      <c r="C970" s="41"/>
      <c r="D970" s="41"/>
      <c r="E970" s="41"/>
      <c r="F970" s="44"/>
    </row>
    <row r="971" ht="15.75" customHeight="1">
      <c r="A971" s="41"/>
      <c r="B971" s="41"/>
      <c r="C971" s="41"/>
      <c r="D971" s="41"/>
      <c r="E971" s="41"/>
      <c r="F971" s="44"/>
    </row>
    <row r="972" ht="15.75" customHeight="1">
      <c r="A972" s="41"/>
      <c r="B972" s="41"/>
      <c r="C972" s="41"/>
      <c r="D972" s="41"/>
      <c r="E972" s="41"/>
      <c r="F972" s="44"/>
    </row>
    <row r="973" ht="15.75" customHeight="1">
      <c r="A973" s="41"/>
      <c r="B973" s="41"/>
      <c r="C973" s="41"/>
      <c r="D973" s="41"/>
      <c r="E973" s="41"/>
      <c r="F973" s="44"/>
    </row>
    <row r="974" ht="15.75" customHeight="1">
      <c r="A974" s="41"/>
      <c r="B974" s="41"/>
      <c r="C974" s="41"/>
      <c r="D974" s="41"/>
      <c r="E974" s="41"/>
      <c r="F974" s="44"/>
    </row>
    <row r="975" ht="15.75" customHeight="1">
      <c r="A975" s="41"/>
      <c r="B975" s="41"/>
      <c r="C975" s="41"/>
      <c r="D975" s="41"/>
      <c r="E975" s="41"/>
      <c r="F975" s="44"/>
    </row>
    <row r="976" ht="15.75" customHeight="1">
      <c r="A976" s="41"/>
      <c r="B976" s="41"/>
      <c r="C976" s="41"/>
      <c r="D976" s="41"/>
      <c r="E976" s="41"/>
      <c r="F976" s="44"/>
    </row>
    <row r="977" ht="15.75" customHeight="1">
      <c r="A977" s="41"/>
      <c r="B977" s="41"/>
      <c r="C977" s="41"/>
      <c r="D977" s="41"/>
      <c r="E977" s="41"/>
      <c r="F977" s="44"/>
    </row>
    <row r="978" ht="15.75" customHeight="1">
      <c r="A978" s="41"/>
      <c r="B978" s="41"/>
      <c r="C978" s="41"/>
      <c r="D978" s="41"/>
      <c r="E978" s="41"/>
      <c r="F978" s="44"/>
    </row>
    <row r="979" ht="15.75" customHeight="1">
      <c r="A979" s="41"/>
      <c r="B979" s="41"/>
      <c r="C979" s="41"/>
      <c r="D979" s="41"/>
      <c r="E979" s="41"/>
      <c r="F979" s="44"/>
    </row>
    <row r="980" ht="15.75" customHeight="1">
      <c r="A980" s="41"/>
      <c r="B980" s="41"/>
      <c r="C980" s="41"/>
      <c r="D980" s="41"/>
      <c r="E980" s="41"/>
      <c r="F980" s="44"/>
    </row>
    <row r="981" ht="15.75" customHeight="1">
      <c r="A981" s="41"/>
      <c r="B981" s="41"/>
      <c r="C981" s="41"/>
      <c r="D981" s="41"/>
      <c r="E981" s="41"/>
      <c r="F981" s="44"/>
    </row>
    <row r="982" ht="15.75" customHeight="1">
      <c r="A982" s="41"/>
      <c r="B982" s="41"/>
      <c r="C982" s="41"/>
      <c r="D982" s="41"/>
      <c r="E982" s="41"/>
      <c r="F982" s="44"/>
    </row>
    <row r="983" ht="15.75" customHeight="1">
      <c r="A983" s="41"/>
      <c r="B983" s="41"/>
      <c r="C983" s="41"/>
      <c r="D983" s="41"/>
      <c r="E983" s="41"/>
      <c r="F983" s="44"/>
    </row>
    <row r="984" ht="15.75" customHeight="1">
      <c r="A984" s="41"/>
      <c r="B984" s="41"/>
      <c r="C984" s="41"/>
      <c r="D984" s="41"/>
      <c r="E984" s="41"/>
      <c r="F984" s="44"/>
    </row>
    <row r="985" ht="15.75" customHeight="1">
      <c r="A985" s="41"/>
      <c r="B985" s="41"/>
      <c r="C985" s="41"/>
      <c r="D985" s="41"/>
      <c r="E985" s="41"/>
      <c r="F985" s="44"/>
    </row>
    <row r="986" ht="15.75" customHeight="1">
      <c r="A986" s="41"/>
      <c r="B986" s="41"/>
      <c r="C986" s="41"/>
      <c r="D986" s="41"/>
      <c r="E986" s="41"/>
      <c r="F986" s="44"/>
    </row>
    <row r="987" ht="15.75" customHeight="1">
      <c r="A987" s="41"/>
      <c r="B987" s="41"/>
      <c r="C987" s="41"/>
      <c r="D987" s="41"/>
      <c r="E987" s="41"/>
      <c r="F987" s="44"/>
    </row>
    <row r="988" ht="15.75" customHeight="1">
      <c r="A988" s="41"/>
      <c r="B988" s="41"/>
      <c r="C988" s="41"/>
      <c r="D988" s="41"/>
      <c r="E988" s="41"/>
      <c r="F988" s="44"/>
    </row>
    <row r="989" ht="15.75" customHeight="1">
      <c r="A989" s="41"/>
      <c r="B989" s="41"/>
      <c r="C989" s="41"/>
      <c r="D989" s="41"/>
      <c r="E989" s="41"/>
      <c r="F989" s="44"/>
    </row>
    <row r="990" ht="15.75" customHeight="1">
      <c r="A990" s="41"/>
      <c r="B990" s="41"/>
      <c r="C990" s="41"/>
      <c r="D990" s="41"/>
      <c r="E990" s="41"/>
      <c r="F990" s="44"/>
    </row>
    <row r="991" ht="15.75" customHeight="1">
      <c r="A991" s="41"/>
      <c r="B991" s="41"/>
      <c r="C991" s="41"/>
      <c r="D991" s="41"/>
      <c r="E991" s="41"/>
      <c r="F991" s="44"/>
    </row>
    <row r="992" ht="15.75" customHeight="1">
      <c r="A992" s="41"/>
      <c r="B992" s="41"/>
      <c r="C992" s="41"/>
      <c r="D992" s="41"/>
      <c r="E992" s="41"/>
      <c r="F992" s="44"/>
    </row>
    <row r="993" ht="15.75" customHeight="1">
      <c r="A993" s="41"/>
      <c r="B993" s="41"/>
      <c r="C993" s="41"/>
      <c r="D993" s="41"/>
      <c r="E993" s="41"/>
      <c r="F993" s="44"/>
    </row>
    <row r="994" ht="15.75" customHeight="1">
      <c r="A994" s="41"/>
      <c r="B994" s="41"/>
      <c r="C994" s="41"/>
      <c r="D994" s="41"/>
      <c r="E994" s="41"/>
      <c r="F994" s="44"/>
    </row>
    <row r="995" ht="15.75" customHeight="1">
      <c r="A995" s="41"/>
      <c r="B995" s="41"/>
      <c r="C995" s="41"/>
      <c r="D995" s="41"/>
      <c r="E995" s="41"/>
      <c r="F995" s="44"/>
    </row>
    <row r="996" ht="15.75" customHeight="1">
      <c r="A996" s="41"/>
      <c r="B996" s="41"/>
      <c r="C996" s="41"/>
      <c r="D996" s="41"/>
      <c r="E996" s="41"/>
      <c r="F996" s="44"/>
    </row>
    <row r="997" ht="15.75" customHeight="1">
      <c r="A997" s="41"/>
      <c r="B997" s="41"/>
      <c r="C997" s="41"/>
      <c r="D997" s="41"/>
      <c r="E997" s="41"/>
      <c r="F997" s="44"/>
    </row>
    <row r="998" ht="15.75" customHeight="1">
      <c r="A998" s="41"/>
      <c r="B998" s="41"/>
      <c r="C998" s="41"/>
      <c r="D998" s="41"/>
      <c r="E998" s="41"/>
      <c r="F998" s="44"/>
    </row>
    <row r="999" ht="15.75" customHeight="1">
      <c r="A999" s="41"/>
      <c r="B999" s="41"/>
      <c r="C999" s="41"/>
      <c r="D999" s="41"/>
      <c r="E999" s="41"/>
      <c r="F999" s="44"/>
    </row>
    <row r="1000" ht="15.75" customHeight="1">
      <c r="A1000" s="41"/>
      <c r="B1000" s="41"/>
      <c r="C1000" s="41"/>
      <c r="D1000" s="41"/>
      <c r="E1000" s="41"/>
      <c r="F1000" s="44"/>
    </row>
  </sheetData>
  <autoFilter ref="$A$1:$F$299">
    <sortState ref="A1:F299">
      <sortCondition ref="F1:F299"/>
      <sortCondition ref="C1:C299"/>
    </sortState>
  </autoFilter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66.5"/>
    <col customWidth="1" min="4" max="4" width="15.25"/>
    <col customWidth="1" min="5" max="5" width="16.88"/>
    <col customWidth="1" min="6" max="6" width="14.75"/>
  </cols>
  <sheetData>
    <row r="1">
      <c r="A1" s="40" t="s">
        <v>1</v>
      </c>
      <c r="B1" s="40" t="s">
        <v>5</v>
      </c>
      <c r="C1" s="45" t="s">
        <v>9</v>
      </c>
      <c r="D1" s="40" t="s">
        <v>3431</v>
      </c>
      <c r="E1" s="40" t="s">
        <v>11</v>
      </c>
      <c r="F1" s="6" t="s">
        <v>13</v>
      </c>
    </row>
    <row r="2">
      <c r="A2" s="12" t="s">
        <v>97</v>
      </c>
      <c r="B2" s="12" t="s">
        <v>3809</v>
      </c>
      <c r="C2" s="46" t="s">
        <v>4571</v>
      </c>
      <c r="D2" s="12" t="s">
        <v>4572</v>
      </c>
      <c r="E2" s="12" t="s">
        <v>972</v>
      </c>
      <c r="F2" s="12" t="s">
        <v>3809</v>
      </c>
    </row>
    <row r="3">
      <c r="A3" s="12" t="s">
        <v>97</v>
      </c>
      <c r="B3" s="12" t="s">
        <v>4573</v>
      </c>
      <c r="C3" s="46" t="s">
        <v>4574</v>
      </c>
      <c r="D3" s="12" t="s">
        <v>4575</v>
      </c>
      <c r="E3" s="12" t="s">
        <v>972</v>
      </c>
      <c r="F3" s="12" t="s">
        <v>4573</v>
      </c>
    </row>
    <row r="4">
      <c r="A4" s="12" t="s">
        <v>142</v>
      </c>
      <c r="B4" s="12" t="s">
        <v>3809</v>
      </c>
      <c r="C4" s="46" t="s">
        <v>4571</v>
      </c>
      <c r="D4" s="12" t="s">
        <v>4572</v>
      </c>
      <c r="E4" s="12" t="s">
        <v>985</v>
      </c>
      <c r="F4" s="12" t="s">
        <v>3809</v>
      </c>
    </row>
    <row r="5">
      <c r="A5" s="12" t="s">
        <v>142</v>
      </c>
      <c r="B5" s="12" t="s">
        <v>4573</v>
      </c>
      <c r="C5" s="46" t="s">
        <v>4574</v>
      </c>
      <c r="D5" s="12" t="s">
        <v>4575</v>
      </c>
      <c r="E5" s="12" t="s">
        <v>985</v>
      </c>
      <c r="F5" s="12" t="s">
        <v>4573</v>
      </c>
    </row>
    <row r="6">
      <c r="A6" s="12" t="s">
        <v>38</v>
      </c>
      <c r="B6" s="12" t="s">
        <v>4573</v>
      </c>
      <c r="C6" s="46" t="s">
        <v>4574</v>
      </c>
      <c r="D6" s="12" t="s">
        <v>4575</v>
      </c>
      <c r="E6" s="12" t="s">
        <v>47</v>
      </c>
      <c r="F6" s="12" t="s">
        <v>4573</v>
      </c>
    </row>
    <row r="7">
      <c r="A7" s="12" t="s">
        <v>199</v>
      </c>
      <c r="B7" s="12" t="s">
        <v>4577</v>
      </c>
      <c r="C7" s="46" t="s">
        <v>4578</v>
      </c>
      <c r="D7" s="12" t="s">
        <v>4579</v>
      </c>
      <c r="E7" s="12" t="s">
        <v>1074</v>
      </c>
      <c r="F7" s="12" t="s">
        <v>4577</v>
      </c>
    </row>
    <row r="8">
      <c r="A8" s="12" t="s">
        <v>38</v>
      </c>
      <c r="B8" s="12" t="s">
        <v>4580</v>
      </c>
      <c r="C8" s="46" t="s">
        <v>4581</v>
      </c>
      <c r="D8" s="12" t="s">
        <v>4582</v>
      </c>
      <c r="E8" s="12" t="s">
        <v>47</v>
      </c>
      <c r="F8" s="12" t="s">
        <v>4580</v>
      </c>
    </row>
    <row r="9">
      <c r="A9" s="12" t="s">
        <v>142</v>
      </c>
      <c r="B9" s="12" t="s">
        <v>4583</v>
      </c>
      <c r="C9" s="46" t="s">
        <v>4584</v>
      </c>
      <c r="D9" s="12" t="s">
        <v>4585</v>
      </c>
      <c r="E9" s="12" t="s">
        <v>985</v>
      </c>
      <c r="F9" s="12" t="s">
        <v>4583</v>
      </c>
    </row>
    <row r="10">
      <c r="A10" s="12" t="s">
        <v>38</v>
      </c>
      <c r="B10" s="12" t="s">
        <v>4028</v>
      </c>
      <c r="C10" s="46" t="s">
        <v>4586</v>
      </c>
      <c r="D10" s="12" t="s">
        <v>4587</v>
      </c>
      <c r="E10" s="12" t="s">
        <v>47</v>
      </c>
      <c r="F10" s="12" t="s">
        <v>4028</v>
      </c>
    </row>
    <row r="11">
      <c r="A11" s="12" t="s">
        <v>38</v>
      </c>
      <c r="B11" s="12" t="s">
        <v>4424</v>
      </c>
      <c r="C11" s="46" t="s">
        <v>4588</v>
      </c>
      <c r="D11" s="12" t="s">
        <v>4589</v>
      </c>
      <c r="E11" s="12" t="s">
        <v>47</v>
      </c>
      <c r="F11" s="12" t="s">
        <v>4424</v>
      </c>
    </row>
    <row r="12">
      <c r="A12" s="12" t="s">
        <v>115</v>
      </c>
      <c r="B12" s="12" t="s">
        <v>4573</v>
      </c>
      <c r="C12" s="46" t="s">
        <v>4574</v>
      </c>
      <c r="D12" s="12" t="s">
        <v>4575</v>
      </c>
      <c r="E12" s="12" t="s">
        <v>121</v>
      </c>
      <c r="F12" s="12" t="s">
        <v>4573</v>
      </c>
    </row>
    <row r="13">
      <c r="A13" s="12" t="s">
        <v>38</v>
      </c>
      <c r="B13" s="12" t="s">
        <v>4591</v>
      </c>
      <c r="C13" s="46" t="s">
        <v>4592</v>
      </c>
      <c r="D13" s="12" t="s">
        <v>4593</v>
      </c>
      <c r="E13" s="12" t="s">
        <v>47</v>
      </c>
      <c r="F13" s="12" t="s">
        <v>4591</v>
      </c>
    </row>
    <row r="14">
      <c r="A14" s="12" t="s">
        <v>199</v>
      </c>
      <c r="B14" s="12" t="s">
        <v>4594</v>
      </c>
      <c r="C14" s="46" t="s">
        <v>4595</v>
      </c>
      <c r="D14" s="12" t="s">
        <v>4582</v>
      </c>
      <c r="E14" s="12" t="s">
        <v>1074</v>
      </c>
      <c r="F14" s="12" t="s">
        <v>4594</v>
      </c>
    </row>
    <row r="15">
      <c r="A15" s="12" t="s">
        <v>97</v>
      </c>
      <c r="B15" s="12" t="s">
        <v>4596</v>
      </c>
      <c r="C15" s="46" t="s">
        <v>4597</v>
      </c>
      <c r="D15" s="12" t="s">
        <v>4598</v>
      </c>
      <c r="E15" s="12" t="s">
        <v>972</v>
      </c>
      <c r="F15" s="12" t="s">
        <v>4596</v>
      </c>
    </row>
    <row r="16">
      <c r="A16" s="12" t="s">
        <v>97</v>
      </c>
      <c r="B16" s="12" t="s">
        <v>4599</v>
      </c>
      <c r="C16" s="46" t="s">
        <v>4600</v>
      </c>
      <c r="D16" s="12" t="s">
        <v>4601</v>
      </c>
      <c r="E16" s="12" t="s">
        <v>972</v>
      </c>
      <c r="F16" s="12" t="s">
        <v>4599</v>
      </c>
    </row>
    <row r="17">
      <c r="A17" s="12" t="s">
        <v>38</v>
      </c>
      <c r="B17" s="12" t="s">
        <v>4602</v>
      </c>
      <c r="C17" s="46" t="s">
        <v>4603</v>
      </c>
      <c r="D17" s="12" t="s">
        <v>4604</v>
      </c>
      <c r="E17" s="12" t="s">
        <v>47</v>
      </c>
      <c r="F17" s="12" t="s">
        <v>4602</v>
      </c>
    </row>
    <row r="18">
      <c r="A18" s="12" t="s">
        <v>142</v>
      </c>
      <c r="B18" s="12" t="s">
        <v>4596</v>
      </c>
      <c r="C18" s="46" t="s">
        <v>4597</v>
      </c>
      <c r="D18" s="12" t="s">
        <v>4598</v>
      </c>
      <c r="E18" s="12" t="s">
        <v>985</v>
      </c>
      <c r="F18" s="12" t="s">
        <v>4596</v>
      </c>
    </row>
    <row r="19">
      <c r="A19" s="12" t="s">
        <v>97</v>
      </c>
      <c r="B19" s="12" t="s">
        <v>4583</v>
      </c>
      <c r="C19" s="46" t="s">
        <v>4584</v>
      </c>
      <c r="D19" s="12" t="s">
        <v>4585</v>
      </c>
      <c r="E19" s="12" t="s">
        <v>972</v>
      </c>
      <c r="F19" s="12" t="s">
        <v>4583</v>
      </c>
    </row>
    <row r="20">
      <c r="A20" s="12" t="s">
        <v>38</v>
      </c>
      <c r="B20" s="12" t="s">
        <v>4605</v>
      </c>
      <c r="C20" s="46" t="s">
        <v>4606</v>
      </c>
      <c r="D20" s="12" t="s">
        <v>4582</v>
      </c>
      <c r="E20" s="12" t="s">
        <v>47</v>
      </c>
      <c r="F20" s="12" t="s">
        <v>4605</v>
      </c>
    </row>
    <row r="21" ht="15.75" customHeight="1">
      <c r="A21" s="12" t="s">
        <v>38</v>
      </c>
      <c r="B21" s="12" t="s">
        <v>4583</v>
      </c>
      <c r="C21" s="46" t="s">
        <v>4584</v>
      </c>
      <c r="D21" s="12" t="s">
        <v>4585</v>
      </c>
      <c r="E21" s="12" t="s">
        <v>47</v>
      </c>
      <c r="F21" s="12" t="s">
        <v>4583</v>
      </c>
    </row>
    <row r="22" ht="15.75" customHeight="1">
      <c r="A22" s="12" t="s">
        <v>38</v>
      </c>
      <c r="B22" s="12" t="s">
        <v>4608</v>
      </c>
      <c r="C22" s="46" t="s">
        <v>4609</v>
      </c>
      <c r="D22" s="12" t="s">
        <v>4610</v>
      </c>
      <c r="E22" s="12" t="s">
        <v>47</v>
      </c>
      <c r="F22" s="12" t="s">
        <v>4608</v>
      </c>
    </row>
    <row r="23" ht="15.75" customHeight="1">
      <c r="A23" s="12" t="s">
        <v>115</v>
      </c>
      <c r="B23" s="12" t="s">
        <v>4611</v>
      </c>
      <c r="C23" s="46" t="s">
        <v>4612</v>
      </c>
      <c r="D23" s="12" t="s">
        <v>4613</v>
      </c>
      <c r="E23" s="12" t="s">
        <v>121</v>
      </c>
      <c r="F23" s="12" t="s">
        <v>4611</v>
      </c>
    </row>
    <row r="24" ht="15.75" customHeight="1">
      <c r="A24" s="12" t="s">
        <v>172</v>
      </c>
      <c r="B24" s="12" t="s">
        <v>4583</v>
      </c>
      <c r="C24" s="46" t="s">
        <v>4584</v>
      </c>
      <c r="D24" s="12" t="s">
        <v>4585</v>
      </c>
      <c r="E24" s="12" t="s">
        <v>1029</v>
      </c>
      <c r="F24" s="12" t="s">
        <v>4583</v>
      </c>
    </row>
    <row r="25" ht="15.75" customHeight="1">
      <c r="A25" s="12" t="s">
        <v>142</v>
      </c>
      <c r="B25" s="12" t="s">
        <v>4614</v>
      </c>
      <c r="C25" s="46" t="s">
        <v>4615</v>
      </c>
      <c r="D25" s="12" t="s">
        <v>4616</v>
      </c>
      <c r="E25" s="12" t="s">
        <v>985</v>
      </c>
      <c r="F25" s="12" t="s">
        <v>4614</v>
      </c>
    </row>
    <row r="26" ht="15.75" customHeight="1">
      <c r="A26" s="12" t="s">
        <v>38</v>
      </c>
      <c r="B26" s="12" t="s">
        <v>3974</v>
      </c>
      <c r="C26" s="46" t="s">
        <v>4617</v>
      </c>
      <c r="D26" s="12" t="s">
        <v>4619</v>
      </c>
      <c r="E26" s="12" t="s">
        <v>47</v>
      </c>
      <c r="F26" s="12" t="s">
        <v>3974</v>
      </c>
    </row>
    <row r="27" ht="15.75" customHeight="1">
      <c r="A27" s="12" t="s">
        <v>38</v>
      </c>
      <c r="B27" s="12" t="s">
        <v>4614</v>
      </c>
      <c r="C27" s="46" t="s">
        <v>4615</v>
      </c>
      <c r="D27" s="12" t="s">
        <v>4616</v>
      </c>
      <c r="E27" s="12" t="s">
        <v>47</v>
      </c>
      <c r="F27" s="12" t="s">
        <v>4614</v>
      </c>
    </row>
    <row r="28" ht="15.75" customHeight="1">
      <c r="A28" s="12" t="s">
        <v>38</v>
      </c>
      <c r="B28" s="12" t="s">
        <v>4620</v>
      </c>
      <c r="C28" s="46" t="s">
        <v>4621</v>
      </c>
      <c r="D28" s="12" t="s">
        <v>4622</v>
      </c>
      <c r="E28" s="12" t="s">
        <v>47</v>
      </c>
      <c r="F28" s="12" t="s">
        <v>4620</v>
      </c>
    </row>
    <row r="29" ht="15.75" customHeight="1">
      <c r="A29" s="12" t="s">
        <v>142</v>
      </c>
      <c r="B29" s="12" t="s">
        <v>4594</v>
      </c>
      <c r="C29" s="46" t="s">
        <v>4595</v>
      </c>
      <c r="D29" s="12" t="s">
        <v>4582</v>
      </c>
      <c r="E29" s="12" t="s">
        <v>985</v>
      </c>
      <c r="F29" s="12" t="s">
        <v>4594</v>
      </c>
    </row>
    <row r="30" ht="15.75" customHeight="1">
      <c r="A30" s="41"/>
      <c r="B30" s="41"/>
      <c r="C30" s="46"/>
      <c r="D30" s="41"/>
      <c r="E30" s="41"/>
      <c r="F30" s="41"/>
    </row>
    <row r="31" ht="15.75" customHeight="1">
      <c r="A31" s="41"/>
      <c r="B31" s="41"/>
      <c r="C31" s="46"/>
      <c r="D31" s="41"/>
      <c r="E31" s="41"/>
      <c r="F31" s="41"/>
    </row>
    <row r="32" ht="15.75" customHeight="1">
      <c r="A32" s="41"/>
      <c r="B32" s="41"/>
      <c r="C32" s="46"/>
      <c r="D32" s="41"/>
      <c r="E32" s="41"/>
      <c r="F32" s="41"/>
    </row>
    <row r="33" ht="15.75" customHeight="1">
      <c r="A33" s="41"/>
      <c r="B33" s="41"/>
      <c r="C33" s="46"/>
      <c r="D33" s="41"/>
      <c r="E33" s="41"/>
      <c r="F33" s="41"/>
    </row>
    <row r="34" ht="15.75" customHeight="1">
      <c r="A34" s="41"/>
      <c r="B34" s="41"/>
      <c r="C34" s="46"/>
      <c r="D34" s="41"/>
      <c r="E34" s="41"/>
      <c r="F34" s="41"/>
    </row>
    <row r="35" ht="15.75" customHeight="1">
      <c r="A35" s="41"/>
      <c r="B35" s="41"/>
      <c r="C35" s="46"/>
      <c r="D35" s="41"/>
      <c r="E35" s="41"/>
      <c r="F35" s="41"/>
    </row>
    <row r="36" ht="15.75" customHeight="1">
      <c r="A36" s="41"/>
      <c r="B36" s="41"/>
      <c r="C36" s="46"/>
      <c r="D36" s="41"/>
      <c r="E36" s="41"/>
      <c r="F36" s="41"/>
    </row>
    <row r="37" ht="15.75" customHeight="1">
      <c r="A37" s="41"/>
      <c r="B37" s="41"/>
      <c r="C37" s="46"/>
      <c r="D37" s="41"/>
      <c r="E37" s="41"/>
      <c r="F37" s="41"/>
    </row>
    <row r="38" ht="15.75" customHeight="1">
      <c r="A38" s="41"/>
      <c r="B38" s="41"/>
      <c r="C38" s="46"/>
      <c r="D38" s="41"/>
      <c r="E38" s="41"/>
      <c r="F38" s="41"/>
    </row>
    <row r="39" ht="15.75" customHeight="1">
      <c r="A39" s="41"/>
      <c r="B39" s="41"/>
      <c r="C39" s="46"/>
      <c r="D39" s="41"/>
      <c r="E39" s="41"/>
      <c r="F39" s="41"/>
    </row>
    <row r="40" ht="15.75" customHeight="1">
      <c r="A40" s="41"/>
      <c r="B40" s="41"/>
      <c r="C40" s="46"/>
      <c r="D40" s="41"/>
      <c r="E40" s="41"/>
      <c r="F40" s="41"/>
    </row>
    <row r="41" ht="15.75" customHeight="1">
      <c r="A41" s="41"/>
      <c r="B41" s="41"/>
      <c r="C41" s="46"/>
      <c r="D41" s="41"/>
      <c r="E41" s="41"/>
      <c r="F41" s="41"/>
    </row>
    <row r="42" ht="15.75" customHeight="1">
      <c r="A42" s="41"/>
      <c r="B42" s="41"/>
      <c r="C42" s="46"/>
      <c r="D42" s="41"/>
      <c r="E42" s="41"/>
      <c r="F42" s="41"/>
    </row>
    <row r="43" ht="15.75" customHeight="1">
      <c r="A43" s="41"/>
      <c r="B43" s="41"/>
      <c r="C43" s="46"/>
      <c r="D43" s="41"/>
      <c r="E43" s="41"/>
      <c r="F43" s="41"/>
    </row>
    <row r="44" ht="15.75" customHeight="1">
      <c r="A44" s="41"/>
      <c r="B44" s="41"/>
      <c r="C44" s="46"/>
      <c r="D44" s="41"/>
      <c r="E44" s="41"/>
      <c r="F44" s="41"/>
    </row>
    <row r="45" ht="15.75" customHeight="1">
      <c r="A45" s="41"/>
      <c r="B45" s="41"/>
      <c r="C45" s="46"/>
      <c r="D45" s="41"/>
      <c r="E45" s="41"/>
      <c r="F45" s="41"/>
    </row>
    <row r="46" ht="15.75" customHeight="1">
      <c r="A46" s="41"/>
      <c r="B46" s="41"/>
      <c r="C46" s="46"/>
      <c r="D46" s="41"/>
      <c r="E46" s="41"/>
      <c r="F46" s="41"/>
    </row>
    <row r="47" ht="15.75" customHeight="1">
      <c r="A47" s="41"/>
      <c r="B47" s="41"/>
      <c r="C47" s="46"/>
      <c r="D47" s="41"/>
      <c r="E47" s="41"/>
      <c r="F47" s="41"/>
    </row>
    <row r="48" ht="15.75" customHeight="1">
      <c r="A48" s="41"/>
      <c r="B48" s="41"/>
      <c r="C48" s="46"/>
      <c r="D48" s="41"/>
      <c r="E48" s="41"/>
      <c r="F48" s="41"/>
    </row>
    <row r="49" ht="15.75" customHeight="1">
      <c r="A49" s="41"/>
      <c r="B49" s="41"/>
      <c r="C49" s="46"/>
      <c r="D49" s="41"/>
      <c r="E49" s="41"/>
      <c r="F49" s="41"/>
    </row>
    <row r="50" ht="15.75" customHeight="1">
      <c r="A50" s="41"/>
      <c r="B50" s="41"/>
      <c r="C50" s="46"/>
      <c r="D50" s="41"/>
      <c r="E50" s="41"/>
      <c r="F50" s="41"/>
    </row>
    <row r="51" ht="15.75" customHeight="1">
      <c r="A51" s="41"/>
      <c r="B51" s="41"/>
      <c r="C51" s="46"/>
      <c r="D51" s="41"/>
      <c r="E51" s="41"/>
      <c r="F51" s="41"/>
    </row>
    <row r="52" ht="15.75" customHeight="1">
      <c r="A52" s="41"/>
      <c r="B52" s="41"/>
      <c r="C52" s="46"/>
      <c r="D52" s="41"/>
      <c r="E52" s="41"/>
      <c r="F52" s="41"/>
    </row>
    <row r="53" ht="15.75" customHeight="1">
      <c r="A53" s="41"/>
      <c r="B53" s="41"/>
      <c r="C53" s="46"/>
      <c r="D53" s="41"/>
      <c r="E53" s="41"/>
      <c r="F53" s="41"/>
    </row>
    <row r="54" ht="15.75" customHeight="1">
      <c r="A54" s="41"/>
      <c r="B54" s="41"/>
      <c r="C54" s="46"/>
      <c r="D54" s="41"/>
      <c r="E54" s="41"/>
      <c r="F54" s="41"/>
    </row>
    <row r="55" ht="15.75" customHeight="1">
      <c r="A55" s="41"/>
      <c r="B55" s="41"/>
      <c r="C55" s="46"/>
      <c r="D55" s="41"/>
      <c r="E55" s="41"/>
      <c r="F55" s="41"/>
    </row>
    <row r="56" ht="15.75" customHeight="1">
      <c r="A56" s="41"/>
      <c r="B56" s="41"/>
      <c r="C56" s="46"/>
      <c r="D56" s="41"/>
      <c r="E56" s="41"/>
      <c r="F56" s="41"/>
    </row>
    <row r="57" ht="15.75" customHeight="1">
      <c r="A57" s="41"/>
      <c r="B57" s="41"/>
      <c r="C57" s="46"/>
      <c r="D57" s="41"/>
      <c r="E57" s="41"/>
      <c r="F57" s="41"/>
    </row>
    <row r="58" ht="15.75" customHeight="1">
      <c r="A58" s="41"/>
      <c r="B58" s="41"/>
      <c r="C58" s="46"/>
      <c r="D58" s="41"/>
      <c r="E58" s="41"/>
      <c r="F58" s="41"/>
    </row>
    <row r="59" ht="15.75" customHeight="1">
      <c r="A59" s="41"/>
      <c r="B59" s="41"/>
      <c r="C59" s="46"/>
      <c r="D59" s="41"/>
      <c r="E59" s="41"/>
      <c r="F59" s="41"/>
    </row>
    <row r="60" ht="15.75" customHeight="1">
      <c r="A60" s="41"/>
      <c r="B60" s="41"/>
      <c r="C60" s="46"/>
      <c r="D60" s="41"/>
      <c r="E60" s="41"/>
      <c r="F60" s="41"/>
    </row>
    <row r="61" ht="15.75" customHeight="1">
      <c r="A61" s="41"/>
      <c r="B61" s="41"/>
      <c r="C61" s="46"/>
      <c r="D61" s="41"/>
      <c r="E61" s="41"/>
      <c r="F61" s="41"/>
    </row>
    <row r="62" ht="15.75" customHeight="1">
      <c r="A62" s="41"/>
      <c r="B62" s="41"/>
      <c r="C62" s="46"/>
      <c r="D62" s="41"/>
      <c r="E62" s="41"/>
      <c r="F62" s="41"/>
    </row>
    <row r="63" ht="15.75" customHeight="1">
      <c r="A63" s="41"/>
      <c r="B63" s="41"/>
      <c r="C63" s="46"/>
      <c r="D63" s="41"/>
      <c r="E63" s="41"/>
      <c r="F63" s="41"/>
    </row>
    <row r="64" ht="15.75" customHeight="1">
      <c r="A64" s="41"/>
      <c r="B64" s="41"/>
      <c r="C64" s="46"/>
      <c r="D64" s="41"/>
      <c r="E64" s="41"/>
      <c r="F64" s="41"/>
    </row>
    <row r="65" ht="15.75" customHeight="1">
      <c r="A65" s="41"/>
      <c r="B65" s="41"/>
      <c r="C65" s="46"/>
      <c r="D65" s="41"/>
      <c r="E65" s="41"/>
      <c r="F65" s="41"/>
    </row>
    <row r="66" ht="15.75" customHeight="1">
      <c r="A66" s="41"/>
      <c r="B66" s="41"/>
      <c r="C66" s="46"/>
      <c r="D66" s="41"/>
      <c r="E66" s="41"/>
      <c r="F66" s="41"/>
    </row>
    <row r="67" ht="15.75" customHeight="1">
      <c r="A67" s="41"/>
      <c r="B67" s="41"/>
      <c r="C67" s="46"/>
      <c r="D67" s="41"/>
      <c r="E67" s="41"/>
      <c r="F67" s="41"/>
    </row>
    <row r="68" ht="15.75" customHeight="1">
      <c r="A68" s="41"/>
      <c r="B68" s="41"/>
      <c r="C68" s="46"/>
      <c r="D68" s="41"/>
      <c r="E68" s="41"/>
      <c r="F68" s="41"/>
    </row>
    <row r="69" ht="15.75" customHeight="1">
      <c r="A69" s="41"/>
      <c r="B69" s="41"/>
      <c r="C69" s="46"/>
      <c r="D69" s="41"/>
      <c r="E69" s="41"/>
      <c r="F69" s="41"/>
    </row>
    <row r="70" ht="15.75" customHeight="1">
      <c r="A70" s="41"/>
      <c r="B70" s="41"/>
      <c r="C70" s="46"/>
      <c r="D70" s="41"/>
      <c r="E70" s="41"/>
      <c r="F70" s="41"/>
    </row>
    <row r="71" ht="15.75" customHeight="1">
      <c r="A71" s="41"/>
      <c r="B71" s="41"/>
      <c r="C71" s="46"/>
      <c r="D71" s="41"/>
      <c r="E71" s="41"/>
      <c r="F71" s="41"/>
    </row>
    <row r="72" ht="15.75" customHeight="1">
      <c r="A72" s="41"/>
      <c r="B72" s="41"/>
      <c r="C72" s="46"/>
      <c r="D72" s="41"/>
      <c r="E72" s="41"/>
      <c r="F72" s="41"/>
    </row>
    <row r="73" ht="15.75" customHeight="1">
      <c r="A73" s="41"/>
      <c r="B73" s="41"/>
      <c r="C73" s="46"/>
      <c r="D73" s="41"/>
      <c r="E73" s="41"/>
      <c r="F73" s="41"/>
    </row>
    <row r="74" ht="15.75" customHeight="1">
      <c r="A74" s="41"/>
      <c r="B74" s="41"/>
      <c r="C74" s="46"/>
      <c r="D74" s="41"/>
      <c r="E74" s="41"/>
      <c r="F74" s="41"/>
    </row>
    <row r="75" ht="15.75" customHeight="1">
      <c r="A75" s="41"/>
      <c r="B75" s="41"/>
      <c r="C75" s="46"/>
      <c r="D75" s="41"/>
      <c r="E75" s="41"/>
      <c r="F75" s="41"/>
    </row>
    <row r="76" ht="15.75" customHeight="1">
      <c r="A76" s="41"/>
      <c r="B76" s="41"/>
      <c r="C76" s="46"/>
      <c r="D76" s="41"/>
      <c r="E76" s="41"/>
      <c r="F76" s="41"/>
    </row>
    <row r="77" ht="15.75" customHeight="1">
      <c r="A77" s="41"/>
      <c r="B77" s="41"/>
      <c r="C77" s="46"/>
      <c r="D77" s="41"/>
      <c r="E77" s="41"/>
      <c r="F77" s="41"/>
    </row>
    <row r="78" ht="15.75" customHeight="1">
      <c r="A78" s="41"/>
      <c r="B78" s="41"/>
      <c r="C78" s="46"/>
      <c r="D78" s="41"/>
      <c r="E78" s="41"/>
      <c r="F78" s="41"/>
    </row>
    <row r="79" ht="15.75" customHeight="1">
      <c r="A79" s="41"/>
      <c r="B79" s="41"/>
      <c r="C79" s="46"/>
      <c r="D79" s="41"/>
      <c r="E79" s="41"/>
      <c r="F79" s="41"/>
    </row>
    <row r="80" ht="15.75" customHeight="1">
      <c r="A80" s="41"/>
      <c r="B80" s="41"/>
      <c r="C80" s="46"/>
      <c r="D80" s="41"/>
      <c r="E80" s="41"/>
      <c r="F80" s="41"/>
    </row>
    <row r="81" ht="15.75" customHeight="1">
      <c r="A81" s="41"/>
      <c r="B81" s="41"/>
      <c r="C81" s="46"/>
      <c r="D81" s="41"/>
      <c r="E81" s="41"/>
      <c r="F81" s="41"/>
    </row>
    <row r="82" ht="15.75" customHeight="1">
      <c r="A82" s="41"/>
      <c r="B82" s="41"/>
      <c r="C82" s="46"/>
      <c r="D82" s="41"/>
      <c r="E82" s="41"/>
      <c r="F82" s="41"/>
    </row>
    <row r="83" ht="15.75" customHeight="1">
      <c r="A83" s="41"/>
      <c r="B83" s="41"/>
      <c r="C83" s="46"/>
      <c r="D83" s="41"/>
      <c r="E83" s="41"/>
      <c r="F83" s="41"/>
    </row>
    <row r="84" ht="15.75" customHeight="1">
      <c r="A84" s="41"/>
      <c r="B84" s="41"/>
      <c r="C84" s="46"/>
      <c r="D84" s="41"/>
      <c r="E84" s="41"/>
      <c r="F84" s="41"/>
    </row>
    <row r="85" ht="15.75" customHeight="1">
      <c r="A85" s="41"/>
      <c r="B85" s="41"/>
      <c r="C85" s="46"/>
      <c r="D85" s="41"/>
      <c r="E85" s="41"/>
      <c r="F85" s="41"/>
    </row>
    <row r="86" ht="15.75" customHeight="1">
      <c r="A86" s="41"/>
      <c r="B86" s="41"/>
      <c r="C86" s="46"/>
      <c r="D86" s="41"/>
      <c r="E86" s="41"/>
      <c r="F86" s="41"/>
    </row>
    <row r="87" ht="15.75" customHeight="1">
      <c r="A87" s="41"/>
      <c r="B87" s="41"/>
      <c r="C87" s="46"/>
      <c r="D87" s="41"/>
      <c r="E87" s="41"/>
      <c r="F87" s="41"/>
    </row>
    <row r="88" ht="15.75" customHeight="1">
      <c r="A88" s="41"/>
      <c r="B88" s="41"/>
      <c r="C88" s="46"/>
      <c r="D88" s="41"/>
      <c r="E88" s="41"/>
      <c r="F88" s="41"/>
    </row>
    <row r="89" ht="15.75" customHeight="1">
      <c r="A89" s="41"/>
      <c r="B89" s="41"/>
      <c r="C89" s="46"/>
      <c r="D89" s="41"/>
      <c r="E89" s="41"/>
      <c r="F89" s="41"/>
    </row>
    <row r="90" ht="15.75" customHeight="1">
      <c r="A90" s="41"/>
      <c r="B90" s="41"/>
      <c r="C90" s="46"/>
      <c r="D90" s="41"/>
      <c r="E90" s="41"/>
      <c r="F90" s="41"/>
    </row>
    <row r="91" ht="15.75" customHeight="1">
      <c r="A91" s="41"/>
      <c r="B91" s="41"/>
      <c r="C91" s="46"/>
      <c r="D91" s="41"/>
      <c r="E91" s="41"/>
      <c r="F91" s="41"/>
    </row>
    <row r="92" ht="15.75" customHeight="1">
      <c r="A92" s="41"/>
      <c r="B92" s="41"/>
      <c r="C92" s="46"/>
      <c r="D92" s="41"/>
      <c r="E92" s="41"/>
      <c r="F92" s="41"/>
    </row>
    <row r="93" ht="15.75" customHeight="1">
      <c r="A93" s="41"/>
      <c r="B93" s="41"/>
      <c r="C93" s="46"/>
      <c r="D93" s="41"/>
      <c r="E93" s="41"/>
      <c r="F93" s="41"/>
    </row>
    <row r="94" ht="15.75" customHeight="1">
      <c r="A94" s="41"/>
      <c r="B94" s="41"/>
      <c r="C94" s="46"/>
      <c r="D94" s="41"/>
      <c r="E94" s="41"/>
      <c r="F94" s="41"/>
    </row>
    <row r="95" ht="15.75" customHeight="1">
      <c r="A95" s="41"/>
      <c r="B95" s="41"/>
      <c r="C95" s="46"/>
      <c r="D95" s="41"/>
      <c r="E95" s="41"/>
      <c r="F95" s="41"/>
    </row>
    <row r="96" ht="15.75" customHeight="1">
      <c r="A96" s="41"/>
      <c r="B96" s="41"/>
      <c r="C96" s="46"/>
      <c r="D96" s="41"/>
      <c r="E96" s="41"/>
      <c r="F96" s="41"/>
    </row>
    <row r="97" ht="15.75" customHeight="1">
      <c r="A97" s="41"/>
      <c r="B97" s="41"/>
      <c r="C97" s="46"/>
      <c r="D97" s="41"/>
      <c r="E97" s="41"/>
      <c r="F97" s="41"/>
    </row>
    <row r="98" ht="15.75" customHeight="1">
      <c r="A98" s="41"/>
      <c r="B98" s="41"/>
      <c r="C98" s="46"/>
      <c r="D98" s="41"/>
      <c r="E98" s="41"/>
      <c r="F98" s="41"/>
    </row>
    <row r="99" ht="15.75" customHeight="1">
      <c r="A99" s="41"/>
      <c r="B99" s="41"/>
      <c r="C99" s="46"/>
      <c r="D99" s="41"/>
      <c r="E99" s="41"/>
      <c r="F99" s="41"/>
    </row>
    <row r="100" ht="15.75" customHeight="1">
      <c r="A100" s="41"/>
      <c r="B100" s="41"/>
      <c r="C100" s="46"/>
      <c r="D100" s="41"/>
      <c r="E100" s="41"/>
      <c r="F100" s="41"/>
    </row>
    <row r="101" ht="15.75" customHeight="1">
      <c r="A101" s="41"/>
      <c r="B101" s="41"/>
      <c r="C101" s="46"/>
      <c r="D101" s="41"/>
      <c r="E101" s="41"/>
      <c r="F101" s="41"/>
    </row>
    <row r="102" ht="15.75" customHeight="1">
      <c r="A102" s="41"/>
      <c r="B102" s="41"/>
      <c r="C102" s="46"/>
      <c r="D102" s="41"/>
      <c r="E102" s="41"/>
      <c r="F102" s="41"/>
    </row>
    <row r="103" ht="15.75" customHeight="1">
      <c r="A103" s="41"/>
      <c r="B103" s="41"/>
      <c r="C103" s="46"/>
      <c r="D103" s="41"/>
      <c r="E103" s="41"/>
      <c r="F103" s="41"/>
    </row>
    <row r="104" ht="15.75" customHeight="1">
      <c r="A104" s="41"/>
      <c r="B104" s="41"/>
      <c r="C104" s="46"/>
      <c r="D104" s="41"/>
      <c r="E104" s="41"/>
      <c r="F104" s="41"/>
    </row>
    <row r="105" ht="15.75" customHeight="1">
      <c r="A105" s="41"/>
      <c r="B105" s="41"/>
      <c r="C105" s="46"/>
      <c r="D105" s="41"/>
      <c r="E105" s="41"/>
      <c r="F105" s="41"/>
    </row>
    <row r="106" ht="15.75" customHeight="1">
      <c r="A106" s="41"/>
      <c r="B106" s="41"/>
      <c r="C106" s="46"/>
      <c r="D106" s="41"/>
      <c r="E106" s="41"/>
      <c r="F106" s="41"/>
    </row>
    <row r="107" ht="15.75" customHeight="1">
      <c r="A107" s="41"/>
      <c r="B107" s="41"/>
      <c r="C107" s="46"/>
      <c r="D107" s="41"/>
      <c r="E107" s="41"/>
      <c r="F107" s="41"/>
    </row>
    <row r="108" ht="15.75" customHeight="1">
      <c r="A108" s="41"/>
      <c r="B108" s="41"/>
      <c r="C108" s="46"/>
      <c r="D108" s="41"/>
      <c r="E108" s="41"/>
      <c r="F108" s="41"/>
    </row>
    <row r="109" ht="15.75" customHeight="1">
      <c r="A109" s="41"/>
      <c r="B109" s="41"/>
      <c r="C109" s="46"/>
      <c r="D109" s="41"/>
      <c r="E109" s="41"/>
      <c r="F109" s="41"/>
    </row>
    <row r="110" ht="15.75" customHeight="1">
      <c r="A110" s="41"/>
      <c r="B110" s="41"/>
      <c r="C110" s="46"/>
      <c r="D110" s="41"/>
      <c r="E110" s="41"/>
      <c r="F110" s="41"/>
    </row>
    <row r="111" ht="15.75" customHeight="1">
      <c r="A111" s="41"/>
      <c r="B111" s="41"/>
      <c r="C111" s="46"/>
      <c r="D111" s="41"/>
      <c r="E111" s="41"/>
      <c r="F111" s="41"/>
    </row>
    <row r="112" ht="15.75" customHeight="1">
      <c r="A112" s="41"/>
      <c r="B112" s="41"/>
      <c r="C112" s="46"/>
      <c r="D112" s="41"/>
      <c r="E112" s="41"/>
      <c r="F112" s="41"/>
    </row>
    <row r="113" ht="15.75" customHeight="1">
      <c r="A113" s="41"/>
      <c r="B113" s="41"/>
      <c r="C113" s="46"/>
      <c r="D113" s="41"/>
      <c r="E113" s="41"/>
      <c r="F113" s="41"/>
    </row>
    <row r="114" ht="15.75" customHeight="1">
      <c r="A114" s="41"/>
      <c r="B114" s="41"/>
      <c r="C114" s="46"/>
      <c r="D114" s="41"/>
      <c r="E114" s="41"/>
      <c r="F114" s="41"/>
    </row>
    <row r="115" ht="15.75" customHeight="1">
      <c r="A115" s="41"/>
      <c r="B115" s="41"/>
      <c r="C115" s="46"/>
      <c r="D115" s="41"/>
      <c r="E115" s="41"/>
      <c r="F115" s="41"/>
    </row>
    <row r="116" ht="15.75" customHeight="1">
      <c r="A116" s="41"/>
      <c r="B116" s="41"/>
      <c r="C116" s="46"/>
      <c r="D116" s="41"/>
      <c r="E116" s="41"/>
      <c r="F116" s="41"/>
    </row>
    <row r="117" ht="15.75" customHeight="1">
      <c r="A117" s="41"/>
      <c r="B117" s="41"/>
      <c r="C117" s="46"/>
      <c r="D117" s="41"/>
      <c r="E117" s="41"/>
      <c r="F117" s="41"/>
    </row>
    <row r="118" ht="15.75" customHeight="1">
      <c r="A118" s="41"/>
      <c r="B118" s="41"/>
      <c r="C118" s="46"/>
      <c r="D118" s="41"/>
      <c r="E118" s="41"/>
      <c r="F118" s="41"/>
    </row>
    <row r="119" ht="15.75" customHeight="1">
      <c r="A119" s="41"/>
      <c r="B119" s="41"/>
      <c r="C119" s="46"/>
      <c r="D119" s="41"/>
      <c r="E119" s="41"/>
      <c r="F119" s="41"/>
    </row>
    <row r="120" ht="15.75" customHeight="1">
      <c r="A120" s="41"/>
      <c r="B120" s="41"/>
      <c r="C120" s="46"/>
      <c r="D120" s="41"/>
      <c r="E120" s="41"/>
      <c r="F120" s="41"/>
    </row>
    <row r="121" ht="15.75" customHeight="1">
      <c r="A121" s="41"/>
      <c r="B121" s="41"/>
      <c r="C121" s="46"/>
      <c r="D121" s="41"/>
      <c r="E121" s="41"/>
      <c r="F121" s="41"/>
    </row>
    <row r="122" ht="15.75" customHeight="1">
      <c r="A122" s="41"/>
      <c r="B122" s="41"/>
      <c r="C122" s="46"/>
      <c r="D122" s="41"/>
      <c r="E122" s="41"/>
      <c r="F122" s="41"/>
    </row>
    <row r="123" ht="15.75" customHeight="1">
      <c r="A123" s="41"/>
      <c r="B123" s="41"/>
      <c r="C123" s="46"/>
      <c r="D123" s="41"/>
      <c r="E123" s="41"/>
      <c r="F123" s="41"/>
    </row>
    <row r="124" ht="15.75" customHeight="1">
      <c r="A124" s="41"/>
      <c r="B124" s="41"/>
      <c r="C124" s="46"/>
      <c r="D124" s="41"/>
      <c r="E124" s="41"/>
      <c r="F124" s="41"/>
    </row>
    <row r="125" ht="15.75" customHeight="1">
      <c r="A125" s="41"/>
      <c r="B125" s="41"/>
      <c r="C125" s="46"/>
      <c r="D125" s="41"/>
      <c r="E125" s="41"/>
      <c r="F125" s="41"/>
    </row>
    <row r="126" ht="15.75" customHeight="1">
      <c r="A126" s="41"/>
      <c r="B126" s="41"/>
      <c r="C126" s="46"/>
      <c r="D126" s="41"/>
      <c r="E126" s="41"/>
      <c r="F126" s="41"/>
    </row>
    <row r="127" ht="15.75" customHeight="1">
      <c r="A127" s="41"/>
      <c r="B127" s="41"/>
      <c r="C127" s="46"/>
      <c r="D127" s="41"/>
      <c r="E127" s="41"/>
      <c r="F127" s="41"/>
    </row>
    <row r="128" ht="15.75" customHeight="1">
      <c r="A128" s="41"/>
      <c r="B128" s="41"/>
      <c r="C128" s="46"/>
      <c r="D128" s="41"/>
      <c r="E128" s="41"/>
      <c r="F128" s="41"/>
    </row>
    <row r="129" ht="15.75" customHeight="1">
      <c r="A129" s="41"/>
      <c r="B129" s="41"/>
      <c r="C129" s="46"/>
      <c r="D129" s="41"/>
      <c r="E129" s="41"/>
      <c r="F129" s="41"/>
    </row>
    <row r="130" ht="15.75" customHeight="1">
      <c r="A130" s="41"/>
      <c r="B130" s="41"/>
      <c r="C130" s="46"/>
      <c r="D130" s="41"/>
      <c r="E130" s="41"/>
      <c r="F130" s="41"/>
    </row>
    <row r="131" ht="15.75" customHeight="1">
      <c r="A131" s="41"/>
      <c r="B131" s="41"/>
      <c r="C131" s="46"/>
      <c r="D131" s="41"/>
      <c r="E131" s="41"/>
      <c r="F131" s="41"/>
    </row>
    <row r="132" ht="15.75" customHeight="1">
      <c r="A132" s="41"/>
      <c r="B132" s="41"/>
      <c r="C132" s="46"/>
      <c r="D132" s="41"/>
      <c r="E132" s="41"/>
      <c r="F132" s="41"/>
    </row>
    <row r="133" ht="15.75" customHeight="1">
      <c r="A133" s="41"/>
      <c r="B133" s="41"/>
      <c r="C133" s="46"/>
      <c r="D133" s="41"/>
      <c r="E133" s="41"/>
      <c r="F133" s="41"/>
    </row>
    <row r="134" ht="15.75" customHeight="1">
      <c r="A134" s="41"/>
      <c r="B134" s="41"/>
      <c r="C134" s="46"/>
      <c r="D134" s="41"/>
      <c r="E134" s="41"/>
      <c r="F134" s="41"/>
    </row>
    <row r="135" ht="15.75" customHeight="1">
      <c r="A135" s="41"/>
      <c r="B135" s="41"/>
      <c r="C135" s="46"/>
      <c r="D135" s="41"/>
      <c r="E135" s="41"/>
      <c r="F135" s="41"/>
    </row>
    <row r="136" ht="15.75" customHeight="1">
      <c r="A136" s="41"/>
      <c r="B136" s="41"/>
      <c r="C136" s="46"/>
      <c r="D136" s="41"/>
      <c r="E136" s="41"/>
      <c r="F136" s="41"/>
    </row>
    <row r="137" ht="15.75" customHeight="1">
      <c r="A137" s="41"/>
      <c r="B137" s="41"/>
      <c r="C137" s="46"/>
      <c r="D137" s="41"/>
      <c r="E137" s="41"/>
      <c r="F137" s="41"/>
    </row>
    <row r="138" ht="15.75" customHeight="1">
      <c r="A138" s="41"/>
      <c r="B138" s="41"/>
      <c r="C138" s="46"/>
      <c r="D138" s="41"/>
      <c r="E138" s="41"/>
      <c r="F138" s="41"/>
    </row>
    <row r="139" ht="15.75" customHeight="1">
      <c r="A139" s="41"/>
      <c r="B139" s="41"/>
      <c r="C139" s="46"/>
      <c r="D139" s="41"/>
      <c r="E139" s="41"/>
      <c r="F139" s="41"/>
    </row>
    <row r="140" ht="15.75" customHeight="1">
      <c r="A140" s="41"/>
      <c r="B140" s="41"/>
      <c r="C140" s="46"/>
      <c r="D140" s="41"/>
      <c r="E140" s="41"/>
      <c r="F140" s="41"/>
    </row>
    <row r="141" ht="15.75" customHeight="1">
      <c r="A141" s="41"/>
      <c r="B141" s="41"/>
      <c r="C141" s="46"/>
      <c r="D141" s="41"/>
      <c r="E141" s="41"/>
      <c r="F141" s="41"/>
    </row>
    <row r="142" ht="15.75" customHeight="1">
      <c r="A142" s="41"/>
      <c r="B142" s="41"/>
      <c r="C142" s="46"/>
      <c r="D142" s="41"/>
      <c r="E142" s="41"/>
      <c r="F142" s="41"/>
    </row>
    <row r="143" ht="15.75" customHeight="1">
      <c r="A143" s="41"/>
      <c r="B143" s="41"/>
      <c r="C143" s="46"/>
      <c r="D143" s="41"/>
      <c r="E143" s="41"/>
      <c r="F143" s="41"/>
    </row>
    <row r="144" ht="15.75" customHeight="1">
      <c r="A144" s="41"/>
      <c r="B144" s="41"/>
      <c r="C144" s="46"/>
      <c r="D144" s="41"/>
      <c r="E144" s="41"/>
      <c r="F144" s="41"/>
    </row>
    <row r="145" ht="15.75" customHeight="1">
      <c r="A145" s="41"/>
      <c r="B145" s="41"/>
      <c r="C145" s="46"/>
      <c r="D145" s="41"/>
      <c r="E145" s="41"/>
      <c r="F145" s="41"/>
    </row>
    <row r="146" ht="15.75" customHeight="1">
      <c r="A146" s="41"/>
      <c r="B146" s="41"/>
      <c r="C146" s="46"/>
      <c r="D146" s="41"/>
      <c r="E146" s="41"/>
      <c r="F146" s="41"/>
    </row>
    <row r="147" ht="15.75" customHeight="1">
      <c r="A147" s="41"/>
      <c r="B147" s="41"/>
      <c r="C147" s="46"/>
      <c r="D147" s="41"/>
      <c r="E147" s="41"/>
      <c r="F147" s="41"/>
    </row>
    <row r="148" ht="15.75" customHeight="1">
      <c r="A148" s="41"/>
      <c r="B148" s="41"/>
      <c r="C148" s="46"/>
      <c r="D148" s="41"/>
      <c r="E148" s="41"/>
      <c r="F148" s="41"/>
    </row>
    <row r="149" ht="15.75" customHeight="1">
      <c r="A149" s="41"/>
      <c r="B149" s="41"/>
      <c r="C149" s="46"/>
      <c r="D149" s="41"/>
      <c r="E149" s="41"/>
      <c r="F149" s="41"/>
    </row>
    <row r="150" ht="15.75" customHeight="1">
      <c r="A150" s="41"/>
      <c r="B150" s="41"/>
      <c r="C150" s="46"/>
      <c r="D150" s="41"/>
      <c r="E150" s="41"/>
      <c r="F150" s="41"/>
    </row>
    <row r="151" ht="15.75" customHeight="1">
      <c r="A151" s="41"/>
      <c r="B151" s="41"/>
      <c r="C151" s="46"/>
      <c r="D151" s="41"/>
      <c r="E151" s="41"/>
      <c r="F151" s="41"/>
    </row>
    <row r="152" ht="15.75" customHeight="1">
      <c r="A152" s="41"/>
      <c r="B152" s="41"/>
      <c r="C152" s="46"/>
      <c r="D152" s="41"/>
      <c r="E152" s="41"/>
      <c r="F152" s="41"/>
    </row>
    <row r="153" ht="15.75" customHeight="1">
      <c r="A153" s="41"/>
      <c r="B153" s="41"/>
      <c r="C153" s="46"/>
      <c r="D153" s="41"/>
      <c r="E153" s="41"/>
      <c r="F153" s="41"/>
    </row>
    <row r="154" ht="15.75" customHeight="1">
      <c r="A154" s="41"/>
      <c r="B154" s="41"/>
      <c r="C154" s="46"/>
      <c r="D154" s="41"/>
      <c r="E154" s="41"/>
      <c r="F154" s="41"/>
    </row>
    <row r="155" ht="15.75" customHeight="1">
      <c r="A155" s="41"/>
      <c r="B155" s="41"/>
      <c r="C155" s="46"/>
      <c r="D155" s="41"/>
      <c r="E155" s="41"/>
      <c r="F155" s="41"/>
    </row>
    <row r="156" ht="15.75" customHeight="1">
      <c r="A156" s="41"/>
      <c r="B156" s="41"/>
      <c r="C156" s="46"/>
      <c r="D156" s="41"/>
      <c r="E156" s="41"/>
      <c r="F156" s="41"/>
    </row>
    <row r="157" ht="15.75" customHeight="1">
      <c r="A157" s="41"/>
      <c r="B157" s="41"/>
      <c r="C157" s="46"/>
      <c r="D157" s="41"/>
      <c r="E157" s="41"/>
      <c r="F157" s="41"/>
    </row>
    <row r="158" ht="15.75" customHeight="1">
      <c r="A158" s="41"/>
      <c r="B158" s="41"/>
      <c r="C158" s="46"/>
      <c r="D158" s="41"/>
      <c r="E158" s="41"/>
      <c r="F158" s="41"/>
    </row>
    <row r="159" ht="15.75" customHeight="1">
      <c r="A159" s="41"/>
      <c r="B159" s="41"/>
      <c r="C159" s="46"/>
      <c r="D159" s="41"/>
      <c r="E159" s="41"/>
      <c r="F159" s="41"/>
    </row>
    <row r="160" ht="15.75" customHeight="1">
      <c r="A160" s="41"/>
      <c r="B160" s="41"/>
      <c r="C160" s="46"/>
      <c r="D160" s="41"/>
      <c r="E160" s="41"/>
      <c r="F160" s="41"/>
    </row>
    <row r="161" ht="15.75" customHeight="1">
      <c r="A161" s="41"/>
      <c r="B161" s="41"/>
      <c r="C161" s="46"/>
      <c r="D161" s="41"/>
      <c r="E161" s="41"/>
      <c r="F161" s="41"/>
    </row>
    <row r="162" ht="15.75" customHeight="1">
      <c r="A162" s="41"/>
      <c r="B162" s="41"/>
      <c r="C162" s="46"/>
      <c r="D162" s="41"/>
      <c r="E162" s="41"/>
      <c r="F162" s="41"/>
    </row>
    <row r="163" ht="15.75" customHeight="1">
      <c r="A163" s="41"/>
      <c r="B163" s="41"/>
      <c r="C163" s="46"/>
      <c r="D163" s="41"/>
      <c r="E163" s="41"/>
      <c r="F163" s="41"/>
    </row>
    <row r="164" ht="15.75" customHeight="1">
      <c r="A164" s="41"/>
      <c r="B164" s="41"/>
      <c r="C164" s="46"/>
      <c r="D164" s="41"/>
      <c r="E164" s="41"/>
      <c r="F164" s="41"/>
    </row>
    <row r="165" ht="15.75" customHeight="1">
      <c r="A165" s="41"/>
      <c r="B165" s="41"/>
      <c r="C165" s="46"/>
      <c r="D165" s="41"/>
      <c r="E165" s="41"/>
      <c r="F165" s="41"/>
    </row>
    <row r="166" ht="15.75" customHeight="1">
      <c r="A166" s="41"/>
      <c r="B166" s="41"/>
      <c r="C166" s="46"/>
      <c r="D166" s="41"/>
      <c r="E166" s="41"/>
      <c r="F166" s="41"/>
    </row>
    <row r="167" ht="15.75" customHeight="1">
      <c r="A167" s="41"/>
      <c r="B167" s="41"/>
      <c r="C167" s="46"/>
      <c r="D167" s="41"/>
      <c r="E167" s="41"/>
      <c r="F167" s="41"/>
    </row>
    <row r="168" ht="15.75" customHeight="1">
      <c r="A168" s="41"/>
      <c r="B168" s="41"/>
      <c r="C168" s="46"/>
      <c r="D168" s="41"/>
      <c r="E168" s="41"/>
      <c r="F168" s="41"/>
    </row>
    <row r="169" ht="15.75" customHeight="1">
      <c r="A169" s="41"/>
      <c r="B169" s="41"/>
      <c r="C169" s="46"/>
      <c r="D169" s="41"/>
      <c r="E169" s="41"/>
      <c r="F169" s="41"/>
    </row>
    <row r="170" ht="15.75" customHeight="1">
      <c r="A170" s="41"/>
      <c r="B170" s="41"/>
      <c r="C170" s="46"/>
      <c r="D170" s="41"/>
      <c r="E170" s="41"/>
      <c r="F170" s="41"/>
    </row>
    <row r="171" ht="15.75" customHeight="1">
      <c r="A171" s="41"/>
      <c r="B171" s="41"/>
      <c r="C171" s="46"/>
      <c r="D171" s="41"/>
      <c r="E171" s="41"/>
      <c r="F171" s="41"/>
    </row>
    <row r="172" ht="15.75" customHeight="1">
      <c r="A172" s="41"/>
      <c r="B172" s="41"/>
      <c r="C172" s="46"/>
      <c r="D172" s="41"/>
      <c r="E172" s="41"/>
      <c r="F172" s="41"/>
    </row>
    <row r="173" ht="15.75" customHeight="1">
      <c r="A173" s="41"/>
      <c r="B173" s="41"/>
      <c r="C173" s="46"/>
      <c r="D173" s="41"/>
      <c r="E173" s="41"/>
      <c r="F173" s="41"/>
    </row>
    <row r="174" ht="15.75" customHeight="1">
      <c r="A174" s="41"/>
      <c r="B174" s="41"/>
      <c r="C174" s="46"/>
      <c r="D174" s="41"/>
      <c r="E174" s="41"/>
      <c r="F174" s="41"/>
    </row>
    <row r="175" ht="15.75" customHeight="1">
      <c r="A175" s="41"/>
      <c r="B175" s="41"/>
      <c r="C175" s="46"/>
      <c r="D175" s="41"/>
      <c r="E175" s="41"/>
      <c r="F175" s="41"/>
    </row>
    <row r="176" ht="15.75" customHeight="1">
      <c r="A176" s="41"/>
      <c r="B176" s="41"/>
      <c r="C176" s="46"/>
      <c r="D176" s="41"/>
      <c r="E176" s="41"/>
      <c r="F176" s="41"/>
    </row>
    <row r="177" ht="15.75" customHeight="1">
      <c r="A177" s="41"/>
      <c r="B177" s="41"/>
      <c r="C177" s="46"/>
      <c r="D177" s="41"/>
      <c r="E177" s="41"/>
      <c r="F177" s="41"/>
    </row>
    <row r="178" ht="15.75" customHeight="1">
      <c r="A178" s="41"/>
      <c r="B178" s="41"/>
      <c r="C178" s="46"/>
      <c r="D178" s="41"/>
      <c r="E178" s="41"/>
      <c r="F178" s="41"/>
    </row>
    <row r="179" ht="15.75" customHeight="1">
      <c r="A179" s="41"/>
      <c r="B179" s="41"/>
      <c r="C179" s="46"/>
      <c r="D179" s="41"/>
      <c r="E179" s="41"/>
      <c r="F179" s="41"/>
    </row>
    <row r="180" ht="15.75" customHeight="1">
      <c r="A180" s="41"/>
      <c r="B180" s="41"/>
      <c r="C180" s="46"/>
      <c r="D180" s="41"/>
      <c r="E180" s="41"/>
      <c r="F180" s="41"/>
    </row>
    <row r="181" ht="15.75" customHeight="1">
      <c r="A181" s="41"/>
      <c r="B181" s="41"/>
      <c r="C181" s="46"/>
      <c r="D181" s="41"/>
      <c r="E181" s="41"/>
      <c r="F181" s="41"/>
    </row>
    <row r="182" ht="15.75" customHeight="1">
      <c r="A182" s="41"/>
      <c r="B182" s="41"/>
      <c r="C182" s="46"/>
      <c r="D182" s="41"/>
      <c r="E182" s="41"/>
      <c r="F182" s="41"/>
    </row>
    <row r="183" ht="15.75" customHeight="1">
      <c r="A183" s="41"/>
      <c r="B183" s="41"/>
      <c r="C183" s="46"/>
      <c r="D183" s="41"/>
      <c r="E183" s="41"/>
      <c r="F183" s="41"/>
    </row>
    <row r="184" ht="15.75" customHeight="1">
      <c r="A184" s="41"/>
      <c r="B184" s="41"/>
      <c r="C184" s="46"/>
      <c r="D184" s="41"/>
      <c r="E184" s="41"/>
      <c r="F184" s="41"/>
    </row>
    <row r="185" ht="15.75" customHeight="1">
      <c r="A185" s="41"/>
      <c r="B185" s="41"/>
      <c r="C185" s="46"/>
      <c r="D185" s="41"/>
      <c r="E185" s="41"/>
      <c r="F185" s="41"/>
    </row>
    <row r="186" ht="15.75" customHeight="1">
      <c r="A186" s="41"/>
      <c r="B186" s="41"/>
      <c r="C186" s="46"/>
      <c r="D186" s="41"/>
      <c r="E186" s="41"/>
      <c r="F186" s="41"/>
    </row>
    <row r="187" ht="15.75" customHeight="1">
      <c r="A187" s="41"/>
      <c r="B187" s="41"/>
      <c r="C187" s="46"/>
      <c r="D187" s="41"/>
      <c r="E187" s="41"/>
      <c r="F187" s="41"/>
    </row>
    <row r="188" ht="15.75" customHeight="1">
      <c r="A188" s="41"/>
      <c r="B188" s="41"/>
      <c r="C188" s="46"/>
      <c r="D188" s="41"/>
      <c r="E188" s="41"/>
      <c r="F188" s="41"/>
    </row>
    <row r="189" ht="15.75" customHeight="1">
      <c r="A189" s="41"/>
      <c r="B189" s="41"/>
      <c r="C189" s="46"/>
      <c r="D189" s="41"/>
      <c r="E189" s="41"/>
      <c r="F189" s="41"/>
    </row>
    <row r="190" ht="15.75" customHeight="1">
      <c r="A190" s="41"/>
      <c r="B190" s="41"/>
      <c r="C190" s="46"/>
      <c r="D190" s="41"/>
      <c r="E190" s="41"/>
      <c r="F190" s="41"/>
    </row>
    <row r="191" ht="15.75" customHeight="1">
      <c r="A191" s="41"/>
      <c r="B191" s="41"/>
      <c r="C191" s="46"/>
      <c r="D191" s="41"/>
      <c r="E191" s="41"/>
      <c r="F191" s="41"/>
    </row>
    <row r="192" ht="15.75" customHeight="1">
      <c r="A192" s="41"/>
      <c r="B192" s="41"/>
      <c r="C192" s="46"/>
      <c r="D192" s="41"/>
      <c r="E192" s="41"/>
      <c r="F192" s="41"/>
    </row>
    <row r="193" ht="15.75" customHeight="1">
      <c r="A193" s="41"/>
      <c r="B193" s="41"/>
      <c r="C193" s="46"/>
      <c r="D193" s="41"/>
      <c r="E193" s="41"/>
      <c r="F193" s="41"/>
    </row>
    <row r="194" ht="15.75" customHeight="1">
      <c r="A194" s="41"/>
      <c r="B194" s="41"/>
      <c r="C194" s="46"/>
      <c r="D194" s="41"/>
      <c r="E194" s="41"/>
      <c r="F194" s="41"/>
    </row>
    <row r="195" ht="15.75" customHeight="1">
      <c r="A195" s="41"/>
      <c r="B195" s="41"/>
      <c r="C195" s="46"/>
      <c r="D195" s="41"/>
      <c r="E195" s="41"/>
      <c r="F195" s="41"/>
    </row>
    <row r="196" ht="15.75" customHeight="1">
      <c r="A196" s="41"/>
      <c r="B196" s="41"/>
      <c r="C196" s="46"/>
      <c r="D196" s="41"/>
      <c r="E196" s="41"/>
      <c r="F196" s="41"/>
    </row>
    <row r="197" ht="15.75" customHeight="1">
      <c r="A197" s="41"/>
      <c r="B197" s="41"/>
      <c r="C197" s="46"/>
      <c r="D197" s="41"/>
      <c r="E197" s="41"/>
      <c r="F197" s="41"/>
    </row>
    <row r="198" ht="15.75" customHeight="1">
      <c r="A198" s="41"/>
      <c r="B198" s="41"/>
      <c r="C198" s="46"/>
      <c r="D198" s="41"/>
      <c r="E198" s="41"/>
      <c r="F198" s="41"/>
    </row>
    <row r="199" ht="15.75" customHeight="1">
      <c r="A199" s="41"/>
      <c r="B199" s="41"/>
      <c r="C199" s="46"/>
      <c r="D199" s="41"/>
      <c r="E199" s="41"/>
      <c r="F199" s="41"/>
    </row>
    <row r="200" ht="15.75" customHeight="1">
      <c r="A200" s="41"/>
      <c r="B200" s="41"/>
      <c r="C200" s="46"/>
      <c r="D200" s="41"/>
      <c r="E200" s="41"/>
      <c r="F200" s="41"/>
    </row>
    <row r="201" ht="15.75" customHeight="1">
      <c r="A201" s="41"/>
      <c r="B201" s="41"/>
      <c r="C201" s="46"/>
      <c r="D201" s="41"/>
      <c r="E201" s="41"/>
      <c r="F201" s="41"/>
    </row>
    <row r="202" ht="15.75" customHeight="1">
      <c r="A202" s="41"/>
      <c r="B202" s="41"/>
      <c r="C202" s="46"/>
      <c r="D202" s="41"/>
      <c r="E202" s="41"/>
      <c r="F202" s="41"/>
    </row>
    <row r="203" ht="15.75" customHeight="1">
      <c r="A203" s="41"/>
      <c r="B203" s="41"/>
      <c r="C203" s="46"/>
      <c r="D203" s="41"/>
      <c r="E203" s="41"/>
      <c r="F203" s="41"/>
    </row>
    <row r="204" ht="15.75" customHeight="1">
      <c r="A204" s="41"/>
      <c r="B204" s="41"/>
      <c r="C204" s="46"/>
      <c r="D204" s="41"/>
      <c r="E204" s="41"/>
      <c r="F204" s="41"/>
    </row>
    <row r="205" ht="15.75" customHeight="1">
      <c r="A205" s="41"/>
      <c r="B205" s="41"/>
      <c r="C205" s="46"/>
      <c r="D205" s="41"/>
      <c r="E205" s="41"/>
      <c r="F205" s="41"/>
    </row>
    <row r="206" ht="15.75" customHeight="1">
      <c r="A206" s="41"/>
      <c r="B206" s="41"/>
      <c r="C206" s="46"/>
      <c r="D206" s="41"/>
      <c r="E206" s="41"/>
      <c r="F206" s="41"/>
    </row>
    <row r="207" ht="15.75" customHeight="1">
      <c r="A207" s="41"/>
      <c r="B207" s="41"/>
      <c r="C207" s="46"/>
      <c r="D207" s="41"/>
      <c r="E207" s="41"/>
      <c r="F207" s="41"/>
    </row>
    <row r="208" ht="15.75" customHeight="1">
      <c r="A208" s="41"/>
      <c r="B208" s="41"/>
      <c r="C208" s="46"/>
      <c r="D208" s="41"/>
      <c r="E208" s="41"/>
      <c r="F208" s="41"/>
    </row>
    <row r="209" ht="15.75" customHeight="1">
      <c r="A209" s="41"/>
      <c r="B209" s="41"/>
      <c r="C209" s="46"/>
      <c r="D209" s="41"/>
      <c r="E209" s="41"/>
      <c r="F209" s="41"/>
    </row>
    <row r="210" ht="15.75" customHeight="1">
      <c r="A210" s="41"/>
      <c r="B210" s="41"/>
      <c r="C210" s="46"/>
      <c r="D210" s="41"/>
      <c r="E210" s="41"/>
      <c r="F210" s="41"/>
    </row>
    <row r="211" ht="15.75" customHeight="1">
      <c r="A211" s="41"/>
      <c r="B211" s="41"/>
      <c r="C211" s="46"/>
      <c r="D211" s="41"/>
      <c r="E211" s="41"/>
      <c r="F211" s="41"/>
    </row>
    <row r="212" ht="15.75" customHeight="1">
      <c r="A212" s="41"/>
      <c r="B212" s="41"/>
      <c r="C212" s="46"/>
      <c r="D212" s="41"/>
      <c r="E212" s="41"/>
      <c r="F212" s="41"/>
    </row>
    <row r="213" ht="15.75" customHeight="1">
      <c r="A213" s="41"/>
      <c r="B213" s="41"/>
      <c r="C213" s="46"/>
      <c r="D213" s="41"/>
      <c r="E213" s="41"/>
      <c r="F213" s="41"/>
    </row>
    <row r="214" ht="15.75" customHeight="1">
      <c r="A214" s="41"/>
      <c r="B214" s="41"/>
      <c r="C214" s="46"/>
      <c r="D214" s="41"/>
      <c r="E214" s="41"/>
      <c r="F214" s="41"/>
    </row>
    <row r="215" ht="15.75" customHeight="1">
      <c r="A215" s="41"/>
      <c r="B215" s="41"/>
      <c r="C215" s="46"/>
      <c r="D215" s="41"/>
      <c r="E215" s="41"/>
      <c r="F215" s="41"/>
    </row>
    <row r="216" ht="15.75" customHeight="1">
      <c r="A216" s="41"/>
      <c r="B216" s="41"/>
      <c r="C216" s="46"/>
      <c r="D216" s="41"/>
      <c r="E216" s="41"/>
      <c r="F216" s="41"/>
    </row>
    <row r="217" ht="15.75" customHeight="1">
      <c r="A217" s="41"/>
      <c r="B217" s="41"/>
      <c r="C217" s="46"/>
      <c r="D217" s="41"/>
      <c r="E217" s="41"/>
      <c r="F217" s="41"/>
    </row>
    <row r="218" ht="15.75" customHeight="1">
      <c r="A218" s="41"/>
      <c r="B218" s="41"/>
      <c r="C218" s="46"/>
      <c r="D218" s="41"/>
      <c r="E218" s="41"/>
      <c r="F218" s="41"/>
    </row>
    <row r="219" ht="15.75" customHeight="1">
      <c r="A219" s="41"/>
      <c r="B219" s="41"/>
      <c r="C219" s="46"/>
      <c r="D219" s="41"/>
      <c r="E219" s="41"/>
      <c r="F219" s="41"/>
    </row>
    <row r="220" ht="15.75" customHeight="1">
      <c r="A220" s="41"/>
      <c r="B220" s="41"/>
      <c r="C220" s="46"/>
      <c r="D220" s="41"/>
      <c r="E220" s="41"/>
      <c r="F220" s="41"/>
    </row>
    <row r="221" ht="15.75" customHeight="1">
      <c r="A221" s="41"/>
      <c r="B221" s="41"/>
      <c r="C221" s="46"/>
      <c r="D221" s="41"/>
      <c r="E221" s="41"/>
      <c r="F221" s="41"/>
    </row>
    <row r="222" ht="15.75" customHeight="1">
      <c r="A222" s="41"/>
      <c r="B222" s="41"/>
      <c r="C222" s="46"/>
      <c r="D222" s="41"/>
      <c r="E222" s="41"/>
      <c r="F222" s="41"/>
    </row>
    <row r="223" ht="15.75" customHeight="1">
      <c r="A223" s="41"/>
      <c r="B223" s="41"/>
      <c r="C223" s="46"/>
      <c r="D223" s="41"/>
      <c r="E223" s="41"/>
      <c r="F223" s="41"/>
    </row>
    <row r="224" ht="15.75" customHeight="1">
      <c r="A224" s="41"/>
      <c r="B224" s="41"/>
      <c r="C224" s="46"/>
      <c r="D224" s="41"/>
      <c r="E224" s="41"/>
      <c r="F224" s="41"/>
    </row>
    <row r="225" ht="15.75" customHeight="1">
      <c r="A225" s="41"/>
      <c r="B225" s="41"/>
      <c r="C225" s="46"/>
      <c r="D225" s="41"/>
      <c r="E225" s="41"/>
      <c r="F225" s="41"/>
    </row>
    <row r="226" ht="15.75" customHeight="1">
      <c r="A226" s="41"/>
      <c r="B226" s="41"/>
      <c r="C226" s="46"/>
      <c r="D226" s="41"/>
      <c r="E226" s="41"/>
      <c r="F226" s="41"/>
    </row>
    <row r="227" ht="15.75" customHeight="1">
      <c r="A227" s="41"/>
      <c r="B227" s="41"/>
      <c r="C227" s="46"/>
      <c r="D227" s="41"/>
      <c r="E227" s="41"/>
      <c r="F227" s="41"/>
    </row>
    <row r="228" ht="15.75" customHeight="1">
      <c r="A228" s="41"/>
      <c r="B228" s="41"/>
      <c r="C228" s="46"/>
      <c r="D228" s="41"/>
      <c r="E228" s="41"/>
      <c r="F228" s="41"/>
    </row>
    <row r="229" ht="15.75" customHeight="1">
      <c r="A229" s="41"/>
      <c r="B229" s="41"/>
      <c r="C229" s="46"/>
      <c r="D229" s="41"/>
      <c r="E229" s="41"/>
      <c r="F229" s="41"/>
    </row>
    <row r="230" ht="15.75" customHeight="1">
      <c r="A230" s="41"/>
      <c r="B230" s="41"/>
      <c r="C230" s="46"/>
      <c r="D230" s="41"/>
      <c r="E230" s="41"/>
      <c r="F230" s="41"/>
    </row>
    <row r="231" ht="15.75" customHeight="1">
      <c r="A231" s="41"/>
      <c r="B231" s="41"/>
      <c r="C231" s="46"/>
      <c r="D231" s="41"/>
      <c r="E231" s="41"/>
      <c r="F231" s="41"/>
    </row>
    <row r="232" ht="15.75" customHeight="1">
      <c r="A232" s="41"/>
      <c r="B232" s="41"/>
      <c r="C232" s="46"/>
      <c r="D232" s="41"/>
      <c r="E232" s="41"/>
      <c r="F232" s="41"/>
    </row>
    <row r="233" ht="15.75" customHeight="1">
      <c r="A233" s="41"/>
      <c r="B233" s="41"/>
      <c r="C233" s="46"/>
      <c r="D233" s="41"/>
      <c r="E233" s="41"/>
      <c r="F233" s="41"/>
    </row>
    <row r="234" ht="15.75" customHeight="1">
      <c r="A234" s="41"/>
      <c r="B234" s="41"/>
      <c r="C234" s="46"/>
      <c r="D234" s="41"/>
      <c r="E234" s="41"/>
      <c r="F234" s="41"/>
    </row>
    <row r="235" ht="15.75" customHeight="1">
      <c r="A235" s="41"/>
      <c r="B235" s="41"/>
      <c r="C235" s="46"/>
      <c r="D235" s="41"/>
      <c r="E235" s="41"/>
      <c r="F235" s="41"/>
    </row>
    <row r="236" ht="15.75" customHeight="1">
      <c r="A236" s="41"/>
      <c r="B236" s="41"/>
      <c r="C236" s="46"/>
      <c r="D236" s="41"/>
      <c r="E236" s="41"/>
      <c r="F236" s="41"/>
    </row>
    <row r="237" ht="15.75" customHeight="1">
      <c r="A237" s="41"/>
      <c r="B237" s="41"/>
      <c r="C237" s="46"/>
      <c r="D237" s="41"/>
      <c r="E237" s="41"/>
      <c r="F237" s="41"/>
    </row>
    <row r="238" ht="15.75" customHeight="1">
      <c r="A238" s="41"/>
      <c r="B238" s="41"/>
      <c r="C238" s="46"/>
      <c r="D238" s="41"/>
      <c r="E238" s="41"/>
      <c r="F238" s="41"/>
    </row>
    <row r="239" ht="15.75" customHeight="1">
      <c r="A239" s="41"/>
      <c r="B239" s="41"/>
      <c r="C239" s="46"/>
      <c r="D239" s="41"/>
      <c r="E239" s="41"/>
      <c r="F239" s="41"/>
    </row>
    <row r="240" ht="15.75" customHeight="1">
      <c r="A240" s="41"/>
      <c r="B240" s="41"/>
      <c r="C240" s="46"/>
      <c r="D240" s="41"/>
      <c r="E240" s="41"/>
      <c r="F240" s="41"/>
    </row>
    <row r="241" ht="15.75" customHeight="1">
      <c r="A241" s="41"/>
      <c r="B241" s="41"/>
      <c r="C241" s="46"/>
      <c r="D241" s="41"/>
      <c r="E241" s="41"/>
      <c r="F241" s="41"/>
    </row>
    <row r="242" ht="15.75" customHeight="1">
      <c r="A242" s="41"/>
      <c r="B242" s="41"/>
      <c r="C242" s="46"/>
      <c r="D242" s="41"/>
      <c r="E242" s="41"/>
      <c r="F242" s="41"/>
    </row>
    <row r="243" ht="15.75" customHeight="1">
      <c r="A243" s="41"/>
      <c r="B243" s="41"/>
      <c r="C243" s="46"/>
      <c r="D243" s="41"/>
      <c r="E243" s="41"/>
      <c r="F243" s="41"/>
    </row>
    <row r="244" ht="15.75" customHeight="1">
      <c r="A244" s="41"/>
      <c r="B244" s="41"/>
      <c r="C244" s="46"/>
      <c r="D244" s="41"/>
      <c r="E244" s="41"/>
      <c r="F244" s="41"/>
    </row>
    <row r="245" ht="15.75" customHeight="1">
      <c r="A245" s="41"/>
      <c r="B245" s="41"/>
      <c r="C245" s="46"/>
      <c r="D245" s="41"/>
      <c r="E245" s="41"/>
      <c r="F245" s="41"/>
    </row>
    <row r="246" ht="15.75" customHeight="1">
      <c r="A246" s="41"/>
      <c r="B246" s="41"/>
      <c r="C246" s="46"/>
      <c r="D246" s="41"/>
      <c r="E246" s="41"/>
      <c r="F246" s="41"/>
    </row>
    <row r="247" ht="15.75" customHeight="1">
      <c r="A247" s="41"/>
      <c r="B247" s="41"/>
      <c r="C247" s="46"/>
      <c r="D247" s="41"/>
      <c r="E247" s="41"/>
      <c r="F247" s="41"/>
    </row>
    <row r="248" ht="15.75" customHeight="1">
      <c r="A248" s="41"/>
      <c r="B248" s="41"/>
      <c r="C248" s="46"/>
      <c r="D248" s="41"/>
      <c r="E248" s="41"/>
      <c r="F248" s="41"/>
    </row>
    <row r="249" ht="15.75" customHeight="1">
      <c r="A249" s="41"/>
      <c r="B249" s="41"/>
      <c r="C249" s="46"/>
      <c r="D249" s="41"/>
      <c r="E249" s="41"/>
      <c r="F249" s="41"/>
    </row>
    <row r="250" ht="15.75" customHeight="1">
      <c r="A250" s="41"/>
      <c r="B250" s="41"/>
      <c r="C250" s="46"/>
      <c r="D250" s="41"/>
      <c r="E250" s="41"/>
      <c r="F250" s="41"/>
    </row>
    <row r="251" ht="15.75" customHeight="1">
      <c r="A251" s="41"/>
      <c r="B251" s="41"/>
      <c r="C251" s="46"/>
      <c r="D251" s="41"/>
      <c r="E251" s="41"/>
      <c r="F251" s="41"/>
    </row>
    <row r="252" ht="15.75" customHeight="1">
      <c r="A252" s="41"/>
      <c r="B252" s="41"/>
      <c r="C252" s="46"/>
      <c r="D252" s="41"/>
      <c r="E252" s="41"/>
      <c r="F252" s="41"/>
    </row>
    <row r="253" ht="15.75" customHeight="1">
      <c r="A253" s="41"/>
      <c r="B253" s="41"/>
      <c r="C253" s="46"/>
      <c r="D253" s="41"/>
      <c r="E253" s="41"/>
      <c r="F253" s="41"/>
    </row>
    <row r="254" ht="15.75" customHeight="1">
      <c r="A254" s="41"/>
      <c r="B254" s="41"/>
      <c r="C254" s="46"/>
      <c r="D254" s="41"/>
      <c r="E254" s="41"/>
      <c r="F254" s="41"/>
    </row>
    <row r="255" ht="15.75" customHeight="1">
      <c r="A255" s="41"/>
      <c r="B255" s="41"/>
      <c r="C255" s="46"/>
      <c r="D255" s="41"/>
      <c r="E255" s="41"/>
      <c r="F255" s="41"/>
    </row>
    <row r="256" ht="15.75" customHeight="1">
      <c r="A256" s="41"/>
      <c r="B256" s="41"/>
      <c r="C256" s="46"/>
      <c r="D256" s="41"/>
      <c r="E256" s="41"/>
      <c r="F256" s="41"/>
    </row>
    <row r="257" ht="15.75" customHeight="1">
      <c r="A257" s="41"/>
      <c r="B257" s="41"/>
      <c r="C257" s="46"/>
      <c r="D257" s="41"/>
      <c r="E257" s="41"/>
      <c r="F257" s="41"/>
    </row>
    <row r="258" ht="15.75" customHeight="1">
      <c r="A258" s="41"/>
      <c r="B258" s="41"/>
      <c r="C258" s="46"/>
      <c r="D258" s="41"/>
      <c r="E258" s="41"/>
      <c r="F258" s="41"/>
    </row>
    <row r="259" ht="15.75" customHeight="1">
      <c r="A259" s="41"/>
      <c r="B259" s="41"/>
      <c r="C259" s="46"/>
      <c r="D259" s="41"/>
      <c r="E259" s="41"/>
      <c r="F259" s="41"/>
    </row>
    <row r="260" ht="15.75" customHeight="1">
      <c r="A260" s="41"/>
      <c r="B260" s="41"/>
      <c r="C260" s="46"/>
      <c r="D260" s="41"/>
      <c r="E260" s="41"/>
      <c r="F260" s="41"/>
    </row>
    <row r="261" ht="15.75" customHeight="1">
      <c r="A261" s="41"/>
      <c r="B261" s="41"/>
      <c r="C261" s="46"/>
      <c r="D261" s="41"/>
      <c r="E261" s="41"/>
      <c r="F261" s="41"/>
    </row>
    <row r="262" ht="15.75" customHeight="1">
      <c r="A262" s="41"/>
      <c r="B262" s="41"/>
      <c r="C262" s="46"/>
      <c r="D262" s="41"/>
      <c r="E262" s="41"/>
      <c r="F262" s="41"/>
    </row>
    <row r="263" ht="15.75" customHeight="1">
      <c r="A263" s="41"/>
      <c r="B263" s="41"/>
      <c r="C263" s="46"/>
      <c r="D263" s="41"/>
      <c r="E263" s="41"/>
      <c r="F263" s="41"/>
    </row>
    <row r="264" ht="15.75" customHeight="1">
      <c r="A264" s="41"/>
      <c r="B264" s="41"/>
      <c r="C264" s="46"/>
      <c r="D264" s="41"/>
      <c r="E264" s="41"/>
      <c r="F264" s="41"/>
    </row>
    <row r="265" ht="15.75" customHeight="1">
      <c r="A265" s="41"/>
      <c r="B265" s="41"/>
      <c r="C265" s="46"/>
      <c r="D265" s="41"/>
      <c r="E265" s="41"/>
      <c r="F265" s="41"/>
    </row>
    <row r="266" ht="15.75" customHeight="1">
      <c r="A266" s="41"/>
      <c r="B266" s="41"/>
      <c r="C266" s="46"/>
      <c r="D266" s="41"/>
      <c r="E266" s="41"/>
      <c r="F266" s="41"/>
    </row>
    <row r="267" ht="15.75" customHeight="1">
      <c r="A267" s="41"/>
      <c r="B267" s="41"/>
      <c r="C267" s="46"/>
      <c r="D267" s="41"/>
      <c r="E267" s="41"/>
      <c r="F267" s="41"/>
    </row>
    <row r="268" ht="15.75" customHeight="1">
      <c r="A268" s="41"/>
      <c r="B268" s="41"/>
      <c r="C268" s="46"/>
      <c r="D268" s="41"/>
      <c r="E268" s="41"/>
      <c r="F268" s="41"/>
    </row>
    <row r="269" ht="15.75" customHeight="1">
      <c r="A269" s="41"/>
      <c r="B269" s="41"/>
      <c r="C269" s="46"/>
      <c r="D269" s="41"/>
      <c r="E269" s="41"/>
      <c r="F269" s="41"/>
    </row>
    <row r="270" ht="15.75" customHeight="1">
      <c r="A270" s="41"/>
      <c r="B270" s="41"/>
      <c r="C270" s="46"/>
      <c r="D270" s="41"/>
      <c r="E270" s="41"/>
      <c r="F270" s="41"/>
    </row>
    <row r="271" ht="15.75" customHeight="1">
      <c r="A271" s="41"/>
      <c r="B271" s="41"/>
      <c r="C271" s="46"/>
      <c r="D271" s="41"/>
      <c r="E271" s="41"/>
      <c r="F271" s="41"/>
    </row>
    <row r="272" ht="15.75" customHeight="1">
      <c r="A272" s="41"/>
      <c r="B272" s="41"/>
      <c r="C272" s="46"/>
      <c r="D272" s="41"/>
      <c r="E272" s="41"/>
      <c r="F272" s="41"/>
    </row>
    <row r="273" ht="15.75" customHeight="1">
      <c r="A273" s="41"/>
      <c r="B273" s="41"/>
      <c r="C273" s="46"/>
      <c r="D273" s="41"/>
      <c r="E273" s="41"/>
      <c r="F273" s="41"/>
    </row>
    <row r="274" ht="15.75" customHeight="1">
      <c r="A274" s="41"/>
      <c r="B274" s="41"/>
      <c r="C274" s="46"/>
      <c r="D274" s="41"/>
      <c r="E274" s="41"/>
      <c r="F274" s="41"/>
    </row>
    <row r="275" ht="15.75" customHeight="1">
      <c r="A275" s="41"/>
      <c r="B275" s="41"/>
      <c r="C275" s="46"/>
      <c r="D275" s="41"/>
      <c r="E275" s="41"/>
      <c r="F275" s="41"/>
    </row>
    <row r="276" ht="15.75" customHeight="1">
      <c r="A276" s="41"/>
      <c r="B276" s="41"/>
      <c r="C276" s="46"/>
      <c r="D276" s="41"/>
      <c r="E276" s="41"/>
      <c r="F276" s="41"/>
    </row>
    <row r="277" ht="15.75" customHeight="1">
      <c r="A277" s="41"/>
      <c r="B277" s="41"/>
      <c r="C277" s="46"/>
      <c r="D277" s="41"/>
      <c r="E277" s="41"/>
      <c r="F277" s="41"/>
    </row>
    <row r="278" ht="15.75" customHeight="1">
      <c r="A278" s="41"/>
      <c r="B278" s="41"/>
      <c r="C278" s="46"/>
      <c r="D278" s="41"/>
      <c r="E278" s="41"/>
      <c r="F278" s="41"/>
    </row>
    <row r="279" ht="15.75" customHeight="1">
      <c r="A279" s="41"/>
      <c r="B279" s="41"/>
      <c r="C279" s="46"/>
      <c r="D279" s="41"/>
      <c r="E279" s="41"/>
      <c r="F279" s="41"/>
    </row>
    <row r="280" ht="15.75" customHeight="1">
      <c r="A280" s="41"/>
      <c r="B280" s="41"/>
      <c r="C280" s="46"/>
      <c r="D280" s="41"/>
      <c r="E280" s="41"/>
      <c r="F280" s="41"/>
    </row>
    <row r="281" ht="15.75" customHeight="1">
      <c r="A281" s="41"/>
      <c r="B281" s="41"/>
      <c r="C281" s="46"/>
      <c r="D281" s="41"/>
      <c r="E281" s="41"/>
      <c r="F281" s="41"/>
    </row>
    <row r="282" ht="15.75" customHeight="1">
      <c r="A282" s="41"/>
      <c r="B282" s="41"/>
      <c r="C282" s="46"/>
      <c r="D282" s="41"/>
      <c r="E282" s="41"/>
      <c r="F282" s="41"/>
    </row>
    <row r="283" ht="15.75" customHeight="1">
      <c r="A283" s="41"/>
      <c r="B283" s="41"/>
      <c r="C283" s="46"/>
      <c r="D283" s="41"/>
      <c r="E283" s="41"/>
      <c r="F283" s="41"/>
    </row>
    <row r="284" ht="15.75" customHeight="1">
      <c r="A284" s="41"/>
      <c r="B284" s="41"/>
      <c r="C284" s="46"/>
      <c r="D284" s="41"/>
      <c r="E284" s="41"/>
      <c r="F284" s="41"/>
    </row>
    <row r="285" ht="15.75" customHeight="1">
      <c r="A285" s="41"/>
      <c r="B285" s="41"/>
      <c r="C285" s="46"/>
      <c r="D285" s="41"/>
      <c r="E285" s="41"/>
      <c r="F285" s="41"/>
    </row>
    <row r="286" ht="15.75" customHeight="1">
      <c r="A286" s="41"/>
      <c r="B286" s="41"/>
      <c r="C286" s="46"/>
      <c r="D286" s="41"/>
      <c r="E286" s="41"/>
      <c r="F286" s="41"/>
    </row>
    <row r="287" ht="15.75" customHeight="1">
      <c r="A287" s="41"/>
      <c r="B287" s="41"/>
      <c r="C287" s="46"/>
      <c r="D287" s="41"/>
      <c r="E287" s="41"/>
      <c r="F287" s="41"/>
    </row>
    <row r="288" ht="15.75" customHeight="1">
      <c r="A288" s="41"/>
      <c r="B288" s="41"/>
      <c r="C288" s="46"/>
      <c r="D288" s="41"/>
      <c r="E288" s="41"/>
      <c r="F288" s="41"/>
    </row>
    <row r="289" ht="15.75" customHeight="1">
      <c r="A289" s="41"/>
      <c r="B289" s="41"/>
      <c r="C289" s="46"/>
      <c r="D289" s="41"/>
      <c r="E289" s="41"/>
      <c r="F289" s="41"/>
    </row>
    <row r="290" ht="15.75" customHeight="1">
      <c r="A290" s="41"/>
      <c r="B290" s="41"/>
      <c r="C290" s="46"/>
      <c r="D290" s="41"/>
      <c r="E290" s="41"/>
      <c r="F290" s="41"/>
    </row>
    <row r="291" ht="15.75" customHeight="1">
      <c r="A291" s="41"/>
      <c r="B291" s="41"/>
      <c r="C291" s="46"/>
      <c r="D291" s="41"/>
      <c r="E291" s="41"/>
      <c r="F291" s="41"/>
    </row>
    <row r="292" ht="15.75" customHeight="1">
      <c r="A292" s="41"/>
      <c r="B292" s="41"/>
      <c r="C292" s="46"/>
      <c r="D292" s="41"/>
      <c r="E292" s="41"/>
      <c r="F292" s="41"/>
    </row>
    <row r="293" ht="15.75" customHeight="1">
      <c r="A293" s="41"/>
      <c r="B293" s="41"/>
      <c r="C293" s="46"/>
      <c r="D293" s="41"/>
      <c r="E293" s="41"/>
      <c r="F293" s="41"/>
    </row>
    <row r="294" ht="15.75" customHeight="1">
      <c r="A294" s="41"/>
      <c r="B294" s="41"/>
      <c r="C294" s="46"/>
      <c r="D294" s="41"/>
      <c r="E294" s="41"/>
      <c r="F294" s="41"/>
    </row>
    <row r="295" ht="15.75" customHeight="1">
      <c r="A295" s="41"/>
      <c r="B295" s="41"/>
      <c r="C295" s="46"/>
      <c r="D295" s="41"/>
      <c r="E295" s="41"/>
      <c r="F295" s="41"/>
    </row>
    <row r="296" ht="15.75" customHeight="1">
      <c r="A296" s="41"/>
      <c r="B296" s="41"/>
      <c r="C296" s="46"/>
      <c r="D296" s="41"/>
      <c r="E296" s="41"/>
      <c r="F296" s="41"/>
    </row>
    <row r="297" ht="15.75" customHeight="1">
      <c r="A297" s="41"/>
      <c r="B297" s="41"/>
      <c r="C297" s="46"/>
      <c r="D297" s="41"/>
      <c r="E297" s="41"/>
      <c r="F297" s="41"/>
    </row>
    <row r="298" ht="15.75" customHeight="1">
      <c r="A298" s="41"/>
      <c r="B298" s="41"/>
      <c r="C298" s="46"/>
      <c r="D298" s="41"/>
      <c r="E298" s="41"/>
      <c r="F298" s="41"/>
    </row>
    <row r="299" ht="15.75" customHeight="1">
      <c r="A299" s="41"/>
      <c r="B299" s="41"/>
      <c r="C299" s="46"/>
      <c r="D299" s="41"/>
      <c r="E299" s="41"/>
      <c r="F299" s="41"/>
    </row>
    <row r="300" ht="15.75" customHeight="1">
      <c r="A300" s="41"/>
      <c r="B300" s="41"/>
      <c r="C300" s="46"/>
      <c r="D300" s="41"/>
      <c r="E300" s="41"/>
      <c r="F300" s="41"/>
    </row>
    <row r="301" ht="15.75" customHeight="1">
      <c r="A301" s="41"/>
      <c r="B301" s="41"/>
      <c r="C301" s="46"/>
      <c r="D301" s="41"/>
      <c r="E301" s="41"/>
      <c r="F301" s="41"/>
    </row>
    <row r="302" ht="15.75" customHeight="1">
      <c r="A302" s="41"/>
      <c r="B302" s="41"/>
      <c r="C302" s="46"/>
      <c r="D302" s="41"/>
      <c r="E302" s="41"/>
      <c r="F302" s="41"/>
    </row>
    <row r="303" ht="15.75" customHeight="1">
      <c r="A303" s="41"/>
      <c r="B303" s="41"/>
      <c r="C303" s="46"/>
      <c r="D303" s="41"/>
      <c r="E303" s="41"/>
      <c r="F303" s="41"/>
    </row>
    <row r="304" ht="15.75" customHeight="1">
      <c r="A304" s="41"/>
      <c r="B304" s="41"/>
      <c r="C304" s="46"/>
      <c r="D304" s="41"/>
      <c r="E304" s="41"/>
      <c r="F304" s="41"/>
    </row>
    <row r="305" ht="15.75" customHeight="1">
      <c r="A305" s="41"/>
      <c r="B305" s="41"/>
      <c r="C305" s="46"/>
      <c r="D305" s="41"/>
      <c r="E305" s="41"/>
      <c r="F305" s="41"/>
    </row>
    <row r="306" ht="15.75" customHeight="1">
      <c r="A306" s="41"/>
      <c r="B306" s="41"/>
      <c r="C306" s="46"/>
      <c r="D306" s="41"/>
      <c r="E306" s="41"/>
      <c r="F306" s="41"/>
    </row>
    <row r="307" ht="15.75" customHeight="1">
      <c r="A307" s="41"/>
      <c r="B307" s="41"/>
      <c r="C307" s="46"/>
      <c r="D307" s="41"/>
      <c r="E307" s="41"/>
      <c r="F307" s="41"/>
    </row>
    <row r="308" ht="15.75" customHeight="1">
      <c r="A308" s="41"/>
      <c r="B308" s="41"/>
      <c r="C308" s="46"/>
      <c r="D308" s="41"/>
      <c r="E308" s="41"/>
      <c r="F308" s="41"/>
    </row>
    <row r="309" ht="15.75" customHeight="1">
      <c r="A309" s="41"/>
      <c r="B309" s="41"/>
      <c r="C309" s="46"/>
      <c r="D309" s="41"/>
      <c r="E309" s="41"/>
      <c r="F309" s="41"/>
    </row>
    <row r="310" ht="15.75" customHeight="1">
      <c r="A310" s="41"/>
      <c r="B310" s="41"/>
      <c r="C310" s="46"/>
      <c r="D310" s="41"/>
      <c r="E310" s="41"/>
      <c r="F310" s="41"/>
    </row>
    <row r="311" ht="15.75" customHeight="1">
      <c r="A311" s="41"/>
      <c r="B311" s="41"/>
      <c r="C311" s="46"/>
      <c r="D311" s="41"/>
      <c r="E311" s="41"/>
      <c r="F311" s="41"/>
    </row>
    <row r="312" ht="15.75" customHeight="1">
      <c r="A312" s="41"/>
      <c r="B312" s="41"/>
      <c r="C312" s="46"/>
      <c r="D312" s="41"/>
      <c r="E312" s="41"/>
      <c r="F312" s="41"/>
    </row>
    <row r="313" ht="15.75" customHeight="1">
      <c r="A313" s="41"/>
      <c r="B313" s="41"/>
      <c r="C313" s="46"/>
      <c r="D313" s="41"/>
      <c r="E313" s="41"/>
      <c r="F313" s="41"/>
    </row>
    <row r="314" ht="15.75" customHeight="1">
      <c r="A314" s="41"/>
      <c r="B314" s="41"/>
      <c r="C314" s="46"/>
      <c r="D314" s="41"/>
      <c r="E314" s="41"/>
      <c r="F314" s="41"/>
    </row>
    <row r="315" ht="15.75" customHeight="1">
      <c r="A315" s="41"/>
      <c r="B315" s="41"/>
      <c r="C315" s="46"/>
      <c r="D315" s="41"/>
      <c r="E315" s="41"/>
      <c r="F315" s="41"/>
    </row>
    <row r="316" ht="15.75" customHeight="1">
      <c r="A316" s="41"/>
      <c r="B316" s="41"/>
      <c r="C316" s="46"/>
      <c r="D316" s="41"/>
      <c r="E316" s="41"/>
      <c r="F316" s="41"/>
    </row>
    <row r="317" ht="15.75" customHeight="1">
      <c r="A317" s="41"/>
      <c r="B317" s="41"/>
      <c r="C317" s="46"/>
      <c r="D317" s="41"/>
      <c r="E317" s="41"/>
      <c r="F317" s="41"/>
    </row>
    <row r="318" ht="15.75" customHeight="1">
      <c r="A318" s="41"/>
      <c r="B318" s="41"/>
      <c r="C318" s="46"/>
      <c r="D318" s="41"/>
      <c r="E318" s="41"/>
      <c r="F318" s="41"/>
    </row>
    <row r="319" ht="15.75" customHeight="1">
      <c r="A319" s="41"/>
      <c r="B319" s="41"/>
      <c r="C319" s="46"/>
      <c r="D319" s="41"/>
      <c r="E319" s="41"/>
      <c r="F319" s="41"/>
    </row>
    <row r="320" ht="15.75" customHeight="1">
      <c r="A320" s="41"/>
      <c r="B320" s="41"/>
      <c r="C320" s="46"/>
      <c r="D320" s="41"/>
      <c r="E320" s="41"/>
      <c r="F320" s="41"/>
    </row>
    <row r="321" ht="15.75" customHeight="1">
      <c r="A321" s="41"/>
      <c r="B321" s="41"/>
      <c r="C321" s="46"/>
      <c r="D321" s="41"/>
      <c r="E321" s="41"/>
      <c r="F321" s="41"/>
    </row>
    <row r="322" ht="15.75" customHeight="1">
      <c r="A322" s="41"/>
      <c r="B322" s="41"/>
      <c r="C322" s="46"/>
      <c r="D322" s="41"/>
      <c r="E322" s="41"/>
      <c r="F322" s="41"/>
    </row>
    <row r="323" ht="15.75" customHeight="1">
      <c r="A323" s="41"/>
      <c r="B323" s="41"/>
      <c r="C323" s="46"/>
      <c r="D323" s="41"/>
      <c r="E323" s="41"/>
      <c r="F323" s="41"/>
    </row>
    <row r="324" ht="15.75" customHeight="1">
      <c r="A324" s="41"/>
      <c r="B324" s="41"/>
      <c r="C324" s="46"/>
      <c r="D324" s="41"/>
      <c r="E324" s="41"/>
      <c r="F324" s="41"/>
    </row>
    <row r="325" ht="15.75" customHeight="1">
      <c r="A325" s="41"/>
      <c r="B325" s="41"/>
      <c r="C325" s="46"/>
      <c r="D325" s="41"/>
      <c r="E325" s="41"/>
      <c r="F325" s="41"/>
    </row>
    <row r="326" ht="15.75" customHeight="1">
      <c r="A326" s="41"/>
      <c r="B326" s="41"/>
      <c r="C326" s="46"/>
      <c r="D326" s="41"/>
      <c r="E326" s="41"/>
      <c r="F326" s="41"/>
    </row>
    <row r="327" ht="15.75" customHeight="1">
      <c r="A327" s="41"/>
      <c r="B327" s="41"/>
      <c r="C327" s="46"/>
      <c r="D327" s="41"/>
      <c r="E327" s="41"/>
      <c r="F327" s="41"/>
    </row>
    <row r="328" ht="15.75" customHeight="1">
      <c r="A328" s="41"/>
      <c r="B328" s="41"/>
      <c r="C328" s="46"/>
      <c r="D328" s="41"/>
      <c r="E328" s="41"/>
      <c r="F328" s="41"/>
    </row>
    <row r="329" ht="15.75" customHeight="1">
      <c r="A329" s="41"/>
      <c r="B329" s="41"/>
      <c r="C329" s="46"/>
      <c r="D329" s="41"/>
      <c r="E329" s="41"/>
      <c r="F329" s="41"/>
    </row>
    <row r="330" ht="15.75" customHeight="1">
      <c r="A330" s="41"/>
      <c r="B330" s="41"/>
      <c r="C330" s="46"/>
      <c r="D330" s="41"/>
      <c r="E330" s="41"/>
      <c r="F330" s="41"/>
    </row>
    <row r="331" ht="15.75" customHeight="1">
      <c r="A331" s="41"/>
      <c r="B331" s="41"/>
      <c r="C331" s="46"/>
      <c r="D331" s="41"/>
      <c r="E331" s="41"/>
      <c r="F331" s="41"/>
    </row>
    <row r="332" ht="15.75" customHeight="1">
      <c r="A332" s="41"/>
      <c r="B332" s="41"/>
      <c r="C332" s="46"/>
      <c r="D332" s="41"/>
      <c r="E332" s="41"/>
      <c r="F332" s="41"/>
    </row>
    <row r="333" ht="15.75" customHeight="1">
      <c r="A333" s="41"/>
      <c r="B333" s="41"/>
      <c r="C333" s="46"/>
      <c r="D333" s="41"/>
      <c r="E333" s="41"/>
      <c r="F333" s="41"/>
    </row>
    <row r="334" ht="15.75" customHeight="1">
      <c r="A334" s="41"/>
      <c r="B334" s="41"/>
      <c r="C334" s="46"/>
      <c r="D334" s="41"/>
      <c r="E334" s="41"/>
      <c r="F334" s="41"/>
    </row>
    <row r="335" ht="15.75" customHeight="1">
      <c r="A335" s="41"/>
      <c r="B335" s="41"/>
      <c r="C335" s="46"/>
      <c r="D335" s="41"/>
      <c r="E335" s="41"/>
      <c r="F335" s="41"/>
    </row>
    <row r="336" ht="15.75" customHeight="1">
      <c r="A336" s="41"/>
      <c r="B336" s="41"/>
      <c r="C336" s="46"/>
      <c r="D336" s="41"/>
      <c r="E336" s="41"/>
      <c r="F336" s="41"/>
    </row>
    <row r="337" ht="15.75" customHeight="1">
      <c r="A337" s="41"/>
      <c r="B337" s="41"/>
      <c r="C337" s="46"/>
      <c r="D337" s="41"/>
      <c r="E337" s="41"/>
      <c r="F337" s="41"/>
    </row>
    <row r="338" ht="15.75" customHeight="1">
      <c r="A338" s="41"/>
      <c r="B338" s="41"/>
      <c r="C338" s="46"/>
      <c r="D338" s="41"/>
      <c r="E338" s="41"/>
      <c r="F338" s="41"/>
    </row>
    <row r="339" ht="15.75" customHeight="1">
      <c r="A339" s="41"/>
      <c r="B339" s="41"/>
      <c r="C339" s="46"/>
      <c r="D339" s="41"/>
      <c r="E339" s="41"/>
      <c r="F339" s="41"/>
    </row>
    <row r="340" ht="15.75" customHeight="1">
      <c r="A340" s="41"/>
      <c r="B340" s="41"/>
      <c r="C340" s="46"/>
      <c r="D340" s="41"/>
      <c r="E340" s="41"/>
      <c r="F340" s="41"/>
    </row>
    <row r="341" ht="15.75" customHeight="1">
      <c r="A341" s="41"/>
      <c r="B341" s="41"/>
      <c r="C341" s="46"/>
      <c r="D341" s="41"/>
      <c r="E341" s="41"/>
      <c r="F341" s="41"/>
    </row>
    <row r="342" ht="15.75" customHeight="1">
      <c r="A342" s="41"/>
      <c r="B342" s="41"/>
      <c r="C342" s="46"/>
      <c r="D342" s="41"/>
      <c r="E342" s="41"/>
      <c r="F342" s="41"/>
    </row>
    <row r="343" ht="15.75" customHeight="1">
      <c r="A343" s="41"/>
      <c r="B343" s="41"/>
      <c r="C343" s="46"/>
      <c r="D343" s="41"/>
      <c r="E343" s="41"/>
      <c r="F343" s="41"/>
    </row>
    <row r="344" ht="15.75" customHeight="1">
      <c r="A344" s="41"/>
      <c r="B344" s="41"/>
      <c r="C344" s="46"/>
      <c r="D344" s="41"/>
      <c r="E344" s="41"/>
      <c r="F344" s="41"/>
    </row>
    <row r="345" ht="15.75" customHeight="1">
      <c r="A345" s="41"/>
      <c r="B345" s="41"/>
      <c r="C345" s="46"/>
      <c r="D345" s="41"/>
      <c r="E345" s="41"/>
      <c r="F345" s="41"/>
    </row>
    <row r="346" ht="15.75" customHeight="1">
      <c r="A346" s="41"/>
      <c r="B346" s="41"/>
      <c r="C346" s="46"/>
      <c r="D346" s="41"/>
      <c r="E346" s="41"/>
      <c r="F346" s="41"/>
    </row>
    <row r="347" ht="15.75" customHeight="1">
      <c r="A347" s="41"/>
      <c r="B347" s="41"/>
      <c r="C347" s="46"/>
      <c r="D347" s="41"/>
      <c r="E347" s="41"/>
      <c r="F347" s="41"/>
    </row>
    <row r="348" ht="15.75" customHeight="1">
      <c r="A348" s="41"/>
      <c r="B348" s="41"/>
      <c r="C348" s="46"/>
      <c r="D348" s="41"/>
      <c r="E348" s="41"/>
      <c r="F348" s="41"/>
    </row>
    <row r="349" ht="15.75" customHeight="1">
      <c r="A349" s="41"/>
      <c r="B349" s="41"/>
      <c r="C349" s="46"/>
      <c r="D349" s="41"/>
      <c r="E349" s="41"/>
      <c r="F349" s="41"/>
    </row>
    <row r="350" ht="15.75" customHeight="1">
      <c r="A350" s="41"/>
      <c r="B350" s="41"/>
      <c r="C350" s="46"/>
      <c r="D350" s="41"/>
      <c r="E350" s="41"/>
      <c r="F350" s="41"/>
    </row>
    <row r="351" ht="15.75" customHeight="1">
      <c r="A351" s="41"/>
      <c r="B351" s="41"/>
      <c r="C351" s="46"/>
      <c r="D351" s="41"/>
      <c r="E351" s="41"/>
      <c r="F351" s="41"/>
    </row>
    <row r="352" ht="15.75" customHeight="1">
      <c r="A352" s="41"/>
      <c r="B352" s="41"/>
      <c r="C352" s="46"/>
      <c r="D352" s="41"/>
      <c r="E352" s="41"/>
      <c r="F352" s="41"/>
    </row>
    <row r="353" ht="15.75" customHeight="1">
      <c r="A353" s="41"/>
      <c r="B353" s="41"/>
      <c r="C353" s="46"/>
      <c r="D353" s="41"/>
      <c r="E353" s="41"/>
      <c r="F353" s="41"/>
    </row>
    <row r="354" ht="15.75" customHeight="1">
      <c r="A354" s="41"/>
      <c r="B354" s="41"/>
      <c r="C354" s="46"/>
      <c r="D354" s="41"/>
      <c r="E354" s="41"/>
      <c r="F354" s="41"/>
    </row>
    <row r="355" ht="15.75" customHeight="1">
      <c r="A355" s="41"/>
      <c r="B355" s="41"/>
      <c r="C355" s="46"/>
      <c r="D355" s="41"/>
      <c r="E355" s="41"/>
      <c r="F355" s="41"/>
    </row>
    <row r="356" ht="15.75" customHeight="1">
      <c r="A356" s="41"/>
      <c r="B356" s="41"/>
      <c r="C356" s="46"/>
      <c r="D356" s="41"/>
      <c r="E356" s="41"/>
      <c r="F356" s="41"/>
    </row>
    <row r="357" ht="15.75" customHeight="1">
      <c r="A357" s="41"/>
      <c r="B357" s="41"/>
      <c r="C357" s="46"/>
      <c r="D357" s="41"/>
      <c r="E357" s="41"/>
      <c r="F357" s="41"/>
    </row>
    <row r="358" ht="15.75" customHeight="1">
      <c r="A358" s="41"/>
      <c r="B358" s="41"/>
      <c r="C358" s="46"/>
      <c r="D358" s="41"/>
      <c r="E358" s="41"/>
      <c r="F358" s="41"/>
    </row>
    <row r="359" ht="15.75" customHeight="1">
      <c r="A359" s="41"/>
      <c r="B359" s="41"/>
      <c r="C359" s="46"/>
      <c r="D359" s="41"/>
      <c r="E359" s="41"/>
      <c r="F359" s="41"/>
    </row>
    <row r="360" ht="15.75" customHeight="1">
      <c r="A360" s="41"/>
      <c r="B360" s="41"/>
      <c r="C360" s="46"/>
      <c r="D360" s="41"/>
      <c r="E360" s="41"/>
      <c r="F360" s="41"/>
    </row>
    <row r="361" ht="15.75" customHeight="1">
      <c r="A361" s="41"/>
      <c r="B361" s="41"/>
      <c r="C361" s="46"/>
      <c r="D361" s="41"/>
      <c r="E361" s="41"/>
      <c r="F361" s="41"/>
    </row>
    <row r="362" ht="15.75" customHeight="1">
      <c r="A362" s="41"/>
      <c r="B362" s="41"/>
      <c r="C362" s="46"/>
      <c r="D362" s="41"/>
      <c r="E362" s="41"/>
      <c r="F362" s="41"/>
    </row>
    <row r="363" ht="15.75" customHeight="1">
      <c r="A363" s="41"/>
      <c r="B363" s="41"/>
      <c r="C363" s="46"/>
      <c r="D363" s="41"/>
      <c r="E363" s="41"/>
      <c r="F363" s="41"/>
    </row>
    <row r="364" ht="15.75" customHeight="1">
      <c r="A364" s="41"/>
      <c r="B364" s="41"/>
      <c r="C364" s="46"/>
      <c r="D364" s="41"/>
      <c r="E364" s="41"/>
      <c r="F364" s="41"/>
    </row>
    <row r="365" ht="15.75" customHeight="1">
      <c r="A365" s="41"/>
      <c r="B365" s="41"/>
      <c r="C365" s="46"/>
      <c r="D365" s="41"/>
      <c r="E365" s="41"/>
      <c r="F365" s="41"/>
    </row>
    <row r="366" ht="15.75" customHeight="1">
      <c r="A366" s="41"/>
      <c r="B366" s="41"/>
      <c r="C366" s="46"/>
      <c r="D366" s="41"/>
      <c r="E366" s="41"/>
      <c r="F366" s="41"/>
    </row>
    <row r="367" ht="15.75" customHeight="1">
      <c r="A367" s="41"/>
      <c r="B367" s="41"/>
      <c r="C367" s="46"/>
      <c r="D367" s="41"/>
      <c r="E367" s="41"/>
      <c r="F367" s="41"/>
    </row>
    <row r="368" ht="15.75" customHeight="1">
      <c r="A368" s="41"/>
      <c r="B368" s="41"/>
      <c r="C368" s="46"/>
      <c r="D368" s="41"/>
      <c r="E368" s="41"/>
      <c r="F368" s="41"/>
    </row>
    <row r="369" ht="15.75" customHeight="1">
      <c r="A369" s="41"/>
      <c r="B369" s="41"/>
      <c r="C369" s="46"/>
      <c r="D369" s="41"/>
      <c r="E369" s="41"/>
      <c r="F369" s="41"/>
    </row>
    <row r="370" ht="15.75" customHeight="1">
      <c r="A370" s="41"/>
      <c r="B370" s="41"/>
      <c r="C370" s="46"/>
      <c r="D370" s="41"/>
      <c r="E370" s="41"/>
      <c r="F370" s="41"/>
    </row>
    <row r="371" ht="15.75" customHeight="1">
      <c r="A371" s="41"/>
      <c r="B371" s="41"/>
      <c r="C371" s="46"/>
      <c r="D371" s="41"/>
      <c r="E371" s="41"/>
      <c r="F371" s="41"/>
    </row>
    <row r="372" ht="15.75" customHeight="1">
      <c r="A372" s="41"/>
      <c r="B372" s="41"/>
      <c r="C372" s="46"/>
      <c r="D372" s="41"/>
      <c r="E372" s="41"/>
      <c r="F372" s="41"/>
    </row>
    <row r="373" ht="15.75" customHeight="1">
      <c r="A373" s="41"/>
      <c r="B373" s="41"/>
      <c r="C373" s="46"/>
      <c r="D373" s="41"/>
      <c r="E373" s="41"/>
      <c r="F373" s="41"/>
    </row>
    <row r="374" ht="15.75" customHeight="1">
      <c r="A374" s="41"/>
      <c r="B374" s="41"/>
      <c r="C374" s="46"/>
      <c r="D374" s="41"/>
      <c r="E374" s="41"/>
      <c r="F374" s="41"/>
    </row>
    <row r="375" ht="15.75" customHeight="1">
      <c r="A375" s="41"/>
      <c r="B375" s="41"/>
      <c r="C375" s="46"/>
      <c r="D375" s="41"/>
      <c r="E375" s="41"/>
      <c r="F375" s="41"/>
    </row>
    <row r="376" ht="15.75" customHeight="1">
      <c r="A376" s="41"/>
      <c r="B376" s="41"/>
      <c r="C376" s="46"/>
      <c r="D376" s="41"/>
      <c r="E376" s="41"/>
      <c r="F376" s="41"/>
    </row>
    <row r="377" ht="15.75" customHeight="1">
      <c r="A377" s="41"/>
      <c r="B377" s="41"/>
      <c r="C377" s="46"/>
      <c r="D377" s="41"/>
      <c r="E377" s="41"/>
      <c r="F377" s="41"/>
    </row>
    <row r="378" ht="15.75" customHeight="1">
      <c r="A378" s="41"/>
      <c r="B378" s="41"/>
      <c r="C378" s="46"/>
      <c r="D378" s="41"/>
      <c r="E378" s="41"/>
      <c r="F378" s="41"/>
    </row>
    <row r="379" ht="15.75" customHeight="1">
      <c r="A379" s="41"/>
      <c r="B379" s="41"/>
      <c r="C379" s="46"/>
      <c r="D379" s="41"/>
      <c r="E379" s="41"/>
      <c r="F379" s="41"/>
    </row>
    <row r="380" ht="15.75" customHeight="1">
      <c r="A380" s="41"/>
      <c r="B380" s="41"/>
      <c r="C380" s="46"/>
      <c r="D380" s="41"/>
      <c r="E380" s="41"/>
      <c r="F380" s="41"/>
    </row>
    <row r="381" ht="15.75" customHeight="1">
      <c r="A381" s="41"/>
      <c r="B381" s="41"/>
      <c r="C381" s="46"/>
      <c r="D381" s="41"/>
      <c r="E381" s="41"/>
      <c r="F381" s="41"/>
    </row>
    <row r="382" ht="15.75" customHeight="1">
      <c r="A382" s="41"/>
      <c r="B382" s="41"/>
      <c r="C382" s="46"/>
      <c r="D382" s="41"/>
      <c r="E382" s="41"/>
      <c r="F382" s="41"/>
    </row>
    <row r="383" ht="15.75" customHeight="1">
      <c r="A383" s="41"/>
      <c r="B383" s="41"/>
      <c r="C383" s="46"/>
      <c r="D383" s="41"/>
      <c r="E383" s="41"/>
      <c r="F383" s="41"/>
    </row>
    <row r="384" ht="15.75" customHeight="1">
      <c r="A384" s="41"/>
      <c r="B384" s="41"/>
      <c r="C384" s="46"/>
      <c r="D384" s="41"/>
      <c r="E384" s="41"/>
      <c r="F384" s="41"/>
    </row>
    <row r="385" ht="15.75" customHeight="1">
      <c r="A385" s="41"/>
      <c r="B385" s="41"/>
      <c r="C385" s="46"/>
      <c r="D385" s="41"/>
      <c r="E385" s="41"/>
      <c r="F385" s="41"/>
    </row>
    <row r="386" ht="15.75" customHeight="1">
      <c r="A386" s="41"/>
      <c r="B386" s="41"/>
      <c r="C386" s="46"/>
      <c r="D386" s="41"/>
      <c r="E386" s="41"/>
      <c r="F386" s="41"/>
    </row>
    <row r="387" ht="15.75" customHeight="1">
      <c r="A387" s="41"/>
      <c r="B387" s="41"/>
      <c r="C387" s="46"/>
      <c r="D387" s="41"/>
      <c r="E387" s="41"/>
      <c r="F387" s="41"/>
    </row>
    <row r="388" ht="15.75" customHeight="1">
      <c r="A388" s="41"/>
      <c r="B388" s="41"/>
      <c r="C388" s="46"/>
      <c r="D388" s="41"/>
      <c r="E388" s="41"/>
      <c r="F388" s="41"/>
    </row>
    <row r="389" ht="15.75" customHeight="1">
      <c r="A389" s="41"/>
      <c r="B389" s="41"/>
      <c r="C389" s="46"/>
      <c r="D389" s="41"/>
      <c r="E389" s="41"/>
      <c r="F389" s="41"/>
    </row>
    <row r="390" ht="15.75" customHeight="1">
      <c r="A390" s="41"/>
      <c r="B390" s="41"/>
      <c r="C390" s="46"/>
      <c r="D390" s="41"/>
      <c r="E390" s="41"/>
      <c r="F390" s="41"/>
    </row>
    <row r="391" ht="15.75" customHeight="1">
      <c r="A391" s="41"/>
      <c r="B391" s="41"/>
      <c r="C391" s="46"/>
      <c r="D391" s="41"/>
      <c r="E391" s="41"/>
      <c r="F391" s="41"/>
    </row>
    <row r="392" ht="15.75" customHeight="1">
      <c r="A392" s="41"/>
      <c r="B392" s="41"/>
      <c r="C392" s="46"/>
      <c r="D392" s="41"/>
      <c r="E392" s="41"/>
      <c r="F392" s="41"/>
    </row>
    <row r="393" ht="15.75" customHeight="1">
      <c r="A393" s="41"/>
      <c r="B393" s="41"/>
      <c r="C393" s="46"/>
      <c r="D393" s="41"/>
      <c r="E393" s="41"/>
      <c r="F393" s="41"/>
    </row>
    <row r="394" ht="15.75" customHeight="1">
      <c r="A394" s="41"/>
      <c r="B394" s="41"/>
      <c r="C394" s="46"/>
      <c r="D394" s="41"/>
      <c r="E394" s="41"/>
      <c r="F394" s="41"/>
    </row>
    <row r="395" ht="15.75" customHeight="1">
      <c r="A395" s="41"/>
      <c r="B395" s="41"/>
      <c r="C395" s="46"/>
      <c r="D395" s="41"/>
      <c r="E395" s="41"/>
      <c r="F395" s="41"/>
    </row>
    <row r="396" ht="15.75" customHeight="1">
      <c r="A396" s="41"/>
      <c r="B396" s="41"/>
      <c r="C396" s="46"/>
      <c r="D396" s="41"/>
      <c r="E396" s="41"/>
      <c r="F396" s="41"/>
    </row>
    <row r="397" ht="15.75" customHeight="1">
      <c r="A397" s="41"/>
      <c r="B397" s="41"/>
      <c r="C397" s="46"/>
      <c r="D397" s="41"/>
      <c r="E397" s="41"/>
      <c r="F397" s="41"/>
    </row>
    <row r="398" ht="15.75" customHeight="1">
      <c r="A398" s="41"/>
      <c r="B398" s="41"/>
      <c r="C398" s="46"/>
      <c r="D398" s="41"/>
      <c r="E398" s="41"/>
      <c r="F398" s="41"/>
    </row>
    <row r="399" ht="15.75" customHeight="1">
      <c r="A399" s="41"/>
      <c r="B399" s="41"/>
      <c r="C399" s="46"/>
      <c r="D399" s="41"/>
      <c r="E399" s="41"/>
      <c r="F399" s="41"/>
    </row>
    <row r="400" ht="15.75" customHeight="1">
      <c r="A400" s="41"/>
      <c r="B400" s="41"/>
      <c r="C400" s="46"/>
      <c r="D400" s="41"/>
      <c r="E400" s="41"/>
      <c r="F400" s="41"/>
    </row>
    <row r="401" ht="15.75" customHeight="1">
      <c r="A401" s="41"/>
      <c r="B401" s="41"/>
      <c r="C401" s="46"/>
      <c r="D401" s="41"/>
      <c r="E401" s="41"/>
      <c r="F401" s="41"/>
    </row>
    <row r="402" ht="15.75" customHeight="1">
      <c r="A402" s="41"/>
      <c r="B402" s="41"/>
      <c r="C402" s="46"/>
      <c r="D402" s="41"/>
      <c r="E402" s="41"/>
      <c r="F402" s="41"/>
    </row>
    <row r="403" ht="15.75" customHeight="1">
      <c r="A403" s="41"/>
      <c r="B403" s="41"/>
      <c r="C403" s="46"/>
      <c r="D403" s="41"/>
      <c r="E403" s="41"/>
      <c r="F403" s="41"/>
    </row>
    <row r="404" ht="15.75" customHeight="1">
      <c r="A404" s="41"/>
      <c r="B404" s="41"/>
      <c r="C404" s="46"/>
      <c r="D404" s="41"/>
      <c r="E404" s="41"/>
      <c r="F404" s="41"/>
    </row>
    <row r="405" ht="15.75" customHeight="1">
      <c r="A405" s="41"/>
      <c r="B405" s="41"/>
      <c r="C405" s="46"/>
      <c r="D405" s="41"/>
      <c r="E405" s="41"/>
      <c r="F405" s="41"/>
    </row>
    <row r="406" ht="15.75" customHeight="1">
      <c r="A406" s="41"/>
      <c r="B406" s="41"/>
      <c r="C406" s="46"/>
      <c r="D406" s="41"/>
      <c r="E406" s="41"/>
      <c r="F406" s="41"/>
    </row>
    <row r="407" ht="15.75" customHeight="1">
      <c r="A407" s="41"/>
      <c r="B407" s="41"/>
      <c r="C407" s="46"/>
      <c r="D407" s="41"/>
      <c r="E407" s="41"/>
      <c r="F407" s="41"/>
    </row>
    <row r="408" ht="15.75" customHeight="1">
      <c r="A408" s="41"/>
      <c r="B408" s="41"/>
      <c r="C408" s="46"/>
      <c r="D408" s="41"/>
      <c r="E408" s="41"/>
      <c r="F408" s="41"/>
    </row>
    <row r="409" ht="15.75" customHeight="1">
      <c r="A409" s="41"/>
      <c r="B409" s="41"/>
      <c r="C409" s="46"/>
      <c r="D409" s="41"/>
      <c r="E409" s="41"/>
      <c r="F409" s="41"/>
    </row>
    <row r="410" ht="15.75" customHeight="1">
      <c r="A410" s="41"/>
      <c r="B410" s="41"/>
      <c r="C410" s="46"/>
      <c r="D410" s="41"/>
      <c r="E410" s="41"/>
      <c r="F410" s="41"/>
    </row>
    <row r="411" ht="15.75" customHeight="1">
      <c r="A411" s="41"/>
      <c r="B411" s="41"/>
      <c r="C411" s="46"/>
      <c r="D411" s="41"/>
      <c r="E411" s="41"/>
      <c r="F411" s="41"/>
    </row>
    <row r="412" ht="15.75" customHeight="1">
      <c r="A412" s="41"/>
      <c r="B412" s="41"/>
      <c r="C412" s="46"/>
      <c r="D412" s="41"/>
      <c r="E412" s="41"/>
      <c r="F412" s="41"/>
    </row>
    <row r="413" ht="15.75" customHeight="1">
      <c r="A413" s="41"/>
      <c r="B413" s="41"/>
      <c r="C413" s="46"/>
      <c r="D413" s="41"/>
      <c r="E413" s="41"/>
      <c r="F413" s="41"/>
    </row>
    <row r="414" ht="15.75" customHeight="1">
      <c r="A414" s="41"/>
      <c r="B414" s="41"/>
      <c r="C414" s="46"/>
      <c r="D414" s="41"/>
      <c r="E414" s="41"/>
      <c r="F414" s="41"/>
    </row>
    <row r="415" ht="15.75" customHeight="1">
      <c r="A415" s="41"/>
      <c r="B415" s="41"/>
      <c r="C415" s="46"/>
      <c r="D415" s="41"/>
      <c r="E415" s="41"/>
      <c r="F415" s="41"/>
    </row>
    <row r="416" ht="15.75" customHeight="1">
      <c r="A416" s="41"/>
      <c r="B416" s="41"/>
      <c r="C416" s="46"/>
      <c r="D416" s="41"/>
      <c r="E416" s="41"/>
      <c r="F416" s="41"/>
    </row>
    <row r="417" ht="15.75" customHeight="1">
      <c r="A417" s="41"/>
      <c r="B417" s="41"/>
      <c r="C417" s="46"/>
      <c r="D417" s="41"/>
      <c r="E417" s="41"/>
      <c r="F417" s="41"/>
    </row>
    <row r="418" ht="15.75" customHeight="1">
      <c r="A418" s="41"/>
      <c r="B418" s="41"/>
      <c r="C418" s="46"/>
      <c r="D418" s="41"/>
      <c r="E418" s="41"/>
      <c r="F418" s="41"/>
    </row>
    <row r="419" ht="15.75" customHeight="1">
      <c r="A419" s="41"/>
      <c r="B419" s="41"/>
      <c r="C419" s="46"/>
      <c r="D419" s="41"/>
      <c r="E419" s="41"/>
      <c r="F419" s="41"/>
    </row>
    <row r="420" ht="15.75" customHeight="1">
      <c r="A420" s="41"/>
      <c r="B420" s="41"/>
      <c r="C420" s="46"/>
      <c r="D420" s="41"/>
      <c r="E420" s="41"/>
      <c r="F420" s="41"/>
    </row>
    <row r="421" ht="15.75" customHeight="1">
      <c r="A421" s="41"/>
      <c r="B421" s="41"/>
      <c r="C421" s="46"/>
      <c r="D421" s="41"/>
      <c r="E421" s="41"/>
      <c r="F421" s="41"/>
    </row>
    <row r="422" ht="15.75" customHeight="1">
      <c r="A422" s="41"/>
      <c r="B422" s="41"/>
      <c r="C422" s="46"/>
      <c r="D422" s="41"/>
      <c r="E422" s="41"/>
      <c r="F422" s="41"/>
    </row>
    <row r="423" ht="15.75" customHeight="1">
      <c r="A423" s="41"/>
      <c r="B423" s="41"/>
      <c r="C423" s="46"/>
      <c r="D423" s="41"/>
      <c r="E423" s="41"/>
      <c r="F423" s="41"/>
    </row>
    <row r="424" ht="15.75" customHeight="1">
      <c r="A424" s="41"/>
      <c r="B424" s="41"/>
      <c r="C424" s="46"/>
      <c r="D424" s="41"/>
      <c r="E424" s="41"/>
      <c r="F424" s="41"/>
    </row>
    <row r="425" ht="15.75" customHeight="1">
      <c r="A425" s="41"/>
      <c r="B425" s="41"/>
      <c r="C425" s="46"/>
      <c r="D425" s="41"/>
      <c r="E425" s="41"/>
      <c r="F425" s="41"/>
    </row>
    <row r="426" ht="15.75" customHeight="1">
      <c r="A426" s="41"/>
      <c r="B426" s="41"/>
      <c r="C426" s="46"/>
      <c r="D426" s="41"/>
      <c r="E426" s="41"/>
      <c r="F426" s="41"/>
    </row>
    <row r="427" ht="15.75" customHeight="1">
      <c r="A427" s="41"/>
      <c r="B427" s="41"/>
      <c r="C427" s="46"/>
      <c r="D427" s="41"/>
      <c r="E427" s="41"/>
      <c r="F427" s="41"/>
    </row>
    <row r="428" ht="15.75" customHeight="1">
      <c r="A428" s="41"/>
      <c r="B428" s="41"/>
      <c r="C428" s="46"/>
      <c r="D428" s="41"/>
      <c r="E428" s="41"/>
      <c r="F428" s="41"/>
    </row>
    <row r="429" ht="15.75" customHeight="1">
      <c r="A429" s="41"/>
      <c r="B429" s="41"/>
      <c r="C429" s="46"/>
      <c r="D429" s="41"/>
      <c r="E429" s="41"/>
      <c r="F429" s="41"/>
    </row>
    <row r="430" ht="15.75" customHeight="1">
      <c r="A430" s="41"/>
      <c r="B430" s="41"/>
      <c r="C430" s="46"/>
      <c r="D430" s="41"/>
      <c r="E430" s="41"/>
      <c r="F430" s="41"/>
    </row>
    <row r="431" ht="15.75" customHeight="1">
      <c r="A431" s="41"/>
      <c r="B431" s="41"/>
      <c r="C431" s="46"/>
      <c r="D431" s="41"/>
      <c r="E431" s="41"/>
      <c r="F431" s="41"/>
    </row>
    <row r="432" ht="15.75" customHeight="1">
      <c r="A432" s="41"/>
      <c r="B432" s="41"/>
      <c r="C432" s="46"/>
      <c r="D432" s="41"/>
      <c r="E432" s="41"/>
      <c r="F432" s="41"/>
    </row>
    <row r="433" ht="15.75" customHeight="1">
      <c r="A433" s="41"/>
      <c r="B433" s="41"/>
      <c r="C433" s="46"/>
      <c r="D433" s="41"/>
      <c r="E433" s="41"/>
      <c r="F433" s="41"/>
    </row>
    <row r="434" ht="15.75" customHeight="1">
      <c r="A434" s="41"/>
      <c r="B434" s="41"/>
      <c r="C434" s="46"/>
      <c r="D434" s="41"/>
      <c r="E434" s="41"/>
      <c r="F434" s="41"/>
    </row>
    <row r="435" ht="15.75" customHeight="1">
      <c r="A435" s="41"/>
      <c r="B435" s="41"/>
      <c r="C435" s="46"/>
      <c r="D435" s="41"/>
      <c r="E435" s="41"/>
      <c r="F435" s="41"/>
    </row>
    <row r="436" ht="15.75" customHeight="1">
      <c r="A436" s="41"/>
      <c r="B436" s="41"/>
      <c r="C436" s="46"/>
      <c r="D436" s="41"/>
      <c r="E436" s="41"/>
      <c r="F436" s="41"/>
    </row>
    <row r="437" ht="15.75" customHeight="1">
      <c r="A437" s="41"/>
      <c r="B437" s="41"/>
      <c r="C437" s="46"/>
      <c r="D437" s="41"/>
      <c r="E437" s="41"/>
      <c r="F437" s="41"/>
    </row>
    <row r="438" ht="15.75" customHeight="1">
      <c r="A438" s="41"/>
      <c r="B438" s="41"/>
      <c r="C438" s="46"/>
      <c r="D438" s="41"/>
      <c r="E438" s="41"/>
      <c r="F438" s="41"/>
    </row>
    <row r="439" ht="15.75" customHeight="1">
      <c r="A439" s="41"/>
      <c r="B439" s="41"/>
      <c r="C439" s="46"/>
      <c r="D439" s="41"/>
      <c r="E439" s="41"/>
      <c r="F439" s="41"/>
    </row>
    <row r="440" ht="15.75" customHeight="1">
      <c r="A440" s="41"/>
      <c r="B440" s="41"/>
      <c r="C440" s="46"/>
      <c r="D440" s="41"/>
      <c r="E440" s="41"/>
      <c r="F440" s="41"/>
    </row>
    <row r="441" ht="15.75" customHeight="1">
      <c r="A441" s="41"/>
      <c r="B441" s="41"/>
      <c r="C441" s="46"/>
      <c r="D441" s="41"/>
      <c r="E441" s="41"/>
      <c r="F441" s="41"/>
    </row>
    <row r="442" ht="15.75" customHeight="1">
      <c r="A442" s="41"/>
      <c r="B442" s="41"/>
      <c r="C442" s="46"/>
      <c r="D442" s="41"/>
      <c r="E442" s="41"/>
      <c r="F442" s="41"/>
    </row>
    <row r="443" ht="15.75" customHeight="1">
      <c r="A443" s="41"/>
      <c r="B443" s="41"/>
      <c r="C443" s="46"/>
      <c r="D443" s="41"/>
      <c r="E443" s="41"/>
      <c r="F443" s="41"/>
    </row>
    <row r="444" ht="15.75" customHeight="1">
      <c r="A444" s="41"/>
      <c r="B444" s="41"/>
      <c r="C444" s="46"/>
      <c r="D444" s="41"/>
      <c r="E444" s="41"/>
      <c r="F444" s="41"/>
    </row>
    <row r="445" ht="15.75" customHeight="1">
      <c r="A445" s="41"/>
      <c r="B445" s="41"/>
      <c r="C445" s="46"/>
      <c r="D445" s="41"/>
      <c r="E445" s="41"/>
      <c r="F445" s="41"/>
    </row>
    <row r="446" ht="15.75" customHeight="1">
      <c r="A446" s="41"/>
      <c r="B446" s="41"/>
      <c r="C446" s="46"/>
      <c r="D446" s="41"/>
      <c r="E446" s="41"/>
      <c r="F446" s="41"/>
    </row>
    <row r="447" ht="15.75" customHeight="1">
      <c r="A447" s="41"/>
      <c r="B447" s="41"/>
      <c r="C447" s="46"/>
      <c r="D447" s="41"/>
      <c r="E447" s="41"/>
      <c r="F447" s="41"/>
    </row>
    <row r="448" ht="15.75" customHeight="1">
      <c r="A448" s="41"/>
      <c r="B448" s="41"/>
      <c r="C448" s="46"/>
      <c r="D448" s="41"/>
      <c r="E448" s="41"/>
      <c r="F448" s="41"/>
    </row>
    <row r="449" ht="15.75" customHeight="1">
      <c r="A449" s="41"/>
      <c r="B449" s="41"/>
      <c r="C449" s="46"/>
      <c r="D449" s="41"/>
      <c r="E449" s="41"/>
      <c r="F449" s="41"/>
    </row>
    <row r="450" ht="15.75" customHeight="1">
      <c r="A450" s="41"/>
      <c r="B450" s="41"/>
      <c r="C450" s="46"/>
      <c r="D450" s="41"/>
      <c r="E450" s="41"/>
      <c r="F450" s="41"/>
    </row>
    <row r="451" ht="15.75" customHeight="1">
      <c r="A451" s="41"/>
      <c r="B451" s="41"/>
      <c r="C451" s="46"/>
      <c r="D451" s="41"/>
      <c r="E451" s="41"/>
      <c r="F451" s="41"/>
    </row>
    <row r="452" ht="15.75" customHeight="1">
      <c r="A452" s="41"/>
      <c r="B452" s="41"/>
      <c r="C452" s="46"/>
      <c r="D452" s="41"/>
      <c r="E452" s="41"/>
      <c r="F452" s="41"/>
    </row>
    <row r="453" ht="15.75" customHeight="1">
      <c r="A453" s="41"/>
      <c r="B453" s="41"/>
      <c r="C453" s="46"/>
      <c r="D453" s="41"/>
      <c r="E453" s="41"/>
      <c r="F453" s="41"/>
    </row>
    <row r="454" ht="15.75" customHeight="1">
      <c r="A454" s="41"/>
      <c r="B454" s="41"/>
      <c r="C454" s="46"/>
      <c r="D454" s="41"/>
      <c r="E454" s="41"/>
      <c r="F454" s="41"/>
    </row>
    <row r="455" ht="15.75" customHeight="1">
      <c r="A455" s="41"/>
      <c r="B455" s="41"/>
      <c r="C455" s="46"/>
      <c r="D455" s="41"/>
      <c r="E455" s="41"/>
      <c r="F455" s="41"/>
    </row>
    <row r="456" ht="15.75" customHeight="1">
      <c r="A456" s="41"/>
      <c r="B456" s="41"/>
      <c r="C456" s="46"/>
      <c r="D456" s="41"/>
      <c r="E456" s="41"/>
      <c r="F456" s="41"/>
    </row>
    <row r="457" ht="15.75" customHeight="1">
      <c r="A457" s="41"/>
      <c r="B457" s="41"/>
      <c r="C457" s="46"/>
      <c r="D457" s="41"/>
      <c r="E457" s="41"/>
      <c r="F457" s="41"/>
    </row>
    <row r="458" ht="15.75" customHeight="1">
      <c r="A458" s="41"/>
      <c r="B458" s="41"/>
      <c r="C458" s="46"/>
      <c r="D458" s="41"/>
      <c r="E458" s="41"/>
      <c r="F458" s="41"/>
    </row>
    <row r="459" ht="15.75" customHeight="1">
      <c r="A459" s="41"/>
      <c r="B459" s="41"/>
      <c r="C459" s="46"/>
      <c r="D459" s="41"/>
      <c r="E459" s="41"/>
      <c r="F459" s="41"/>
    </row>
    <row r="460" ht="15.75" customHeight="1">
      <c r="A460" s="41"/>
      <c r="B460" s="41"/>
      <c r="C460" s="46"/>
      <c r="D460" s="41"/>
      <c r="E460" s="41"/>
      <c r="F460" s="41"/>
    </row>
    <row r="461" ht="15.75" customHeight="1">
      <c r="A461" s="41"/>
      <c r="B461" s="41"/>
      <c r="C461" s="46"/>
      <c r="D461" s="41"/>
      <c r="E461" s="41"/>
      <c r="F461" s="41"/>
    </row>
    <row r="462" ht="15.75" customHeight="1">
      <c r="A462" s="41"/>
      <c r="B462" s="41"/>
      <c r="C462" s="46"/>
      <c r="D462" s="41"/>
      <c r="E462" s="41"/>
      <c r="F462" s="41"/>
    </row>
    <row r="463" ht="15.75" customHeight="1">
      <c r="A463" s="41"/>
      <c r="B463" s="41"/>
      <c r="C463" s="46"/>
      <c r="D463" s="41"/>
      <c r="E463" s="41"/>
      <c r="F463" s="41"/>
    </row>
    <row r="464" ht="15.75" customHeight="1">
      <c r="A464" s="41"/>
      <c r="B464" s="41"/>
      <c r="C464" s="46"/>
      <c r="D464" s="41"/>
      <c r="E464" s="41"/>
      <c r="F464" s="41"/>
    </row>
    <row r="465" ht="15.75" customHeight="1">
      <c r="A465" s="41"/>
      <c r="B465" s="41"/>
      <c r="C465" s="46"/>
      <c r="D465" s="41"/>
      <c r="E465" s="41"/>
      <c r="F465" s="41"/>
    </row>
    <row r="466" ht="15.75" customHeight="1">
      <c r="A466" s="41"/>
      <c r="B466" s="41"/>
      <c r="C466" s="46"/>
      <c r="D466" s="41"/>
      <c r="E466" s="41"/>
      <c r="F466" s="41"/>
    </row>
    <row r="467" ht="15.75" customHeight="1">
      <c r="A467" s="41"/>
      <c r="B467" s="41"/>
      <c r="C467" s="46"/>
      <c r="D467" s="41"/>
      <c r="E467" s="41"/>
      <c r="F467" s="41"/>
    </row>
    <row r="468" ht="15.75" customHeight="1">
      <c r="A468" s="41"/>
      <c r="B468" s="41"/>
      <c r="C468" s="46"/>
      <c r="D468" s="41"/>
      <c r="E468" s="41"/>
      <c r="F468" s="41"/>
    </row>
    <row r="469" ht="15.75" customHeight="1">
      <c r="A469" s="41"/>
      <c r="B469" s="41"/>
      <c r="C469" s="46"/>
      <c r="D469" s="41"/>
      <c r="E469" s="41"/>
      <c r="F469" s="41"/>
    </row>
    <row r="470" ht="15.75" customHeight="1">
      <c r="A470" s="41"/>
      <c r="B470" s="41"/>
      <c r="C470" s="46"/>
      <c r="D470" s="41"/>
      <c r="E470" s="41"/>
      <c r="F470" s="41"/>
    </row>
    <row r="471" ht="15.75" customHeight="1">
      <c r="A471" s="41"/>
      <c r="B471" s="41"/>
      <c r="C471" s="46"/>
      <c r="D471" s="41"/>
      <c r="E471" s="41"/>
      <c r="F471" s="41"/>
    </row>
    <row r="472" ht="15.75" customHeight="1">
      <c r="A472" s="41"/>
      <c r="B472" s="41"/>
      <c r="C472" s="46"/>
      <c r="D472" s="41"/>
      <c r="E472" s="41"/>
      <c r="F472" s="41"/>
    </row>
    <row r="473" ht="15.75" customHeight="1">
      <c r="A473" s="41"/>
      <c r="B473" s="41"/>
      <c r="C473" s="46"/>
      <c r="D473" s="41"/>
      <c r="E473" s="41"/>
      <c r="F473" s="41"/>
    </row>
    <row r="474" ht="15.75" customHeight="1">
      <c r="A474" s="41"/>
      <c r="B474" s="41"/>
      <c r="C474" s="46"/>
      <c r="D474" s="41"/>
      <c r="E474" s="41"/>
      <c r="F474" s="41"/>
    </row>
    <row r="475" ht="15.75" customHeight="1">
      <c r="A475" s="41"/>
      <c r="B475" s="41"/>
      <c r="C475" s="46"/>
      <c r="D475" s="41"/>
      <c r="E475" s="41"/>
      <c r="F475" s="41"/>
    </row>
    <row r="476" ht="15.75" customHeight="1">
      <c r="A476" s="41"/>
      <c r="B476" s="41"/>
      <c r="C476" s="46"/>
      <c r="D476" s="41"/>
      <c r="E476" s="41"/>
      <c r="F476" s="41"/>
    </row>
    <row r="477" ht="15.75" customHeight="1">
      <c r="A477" s="41"/>
      <c r="B477" s="41"/>
      <c r="C477" s="46"/>
      <c r="D477" s="41"/>
      <c r="E477" s="41"/>
      <c r="F477" s="41"/>
    </row>
    <row r="478" ht="15.75" customHeight="1">
      <c r="A478" s="41"/>
      <c r="B478" s="41"/>
      <c r="C478" s="46"/>
      <c r="D478" s="41"/>
      <c r="E478" s="41"/>
      <c r="F478" s="41"/>
    </row>
    <row r="479" ht="15.75" customHeight="1">
      <c r="A479" s="41"/>
      <c r="B479" s="41"/>
      <c r="C479" s="46"/>
      <c r="D479" s="41"/>
      <c r="E479" s="41"/>
      <c r="F479" s="41"/>
    </row>
    <row r="480" ht="15.75" customHeight="1">
      <c r="A480" s="41"/>
      <c r="B480" s="41"/>
      <c r="C480" s="46"/>
      <c r="D480" s="41"/>
      <c r="E480" s="41"/>
      <c r="F480" s="41"/>
    </row>
    <row r="481" ht="15.75" customHeight="1">
      <c r="A481" s="41"/>
      <c r="B481" s="41"/>
      <c r="C481" s="46"/>
      <c r="D481" s="41"/>
      <c r="E481" s="41"/>
      <c r="F481" s="41"/>
    </row>
    <row r="482" ht="15.75" customHeight="1">
      <c r="A482" s="41"/>
      <c r="B482" s="41"/>
      <c r="C482" s="46"/>
      <c r="D482" s="41"/>
      <c r="E482" s="41"/>
      <c r="F482" s="41"/>
    </row>
    <row r="483" ht="15.75" customHeight="1">
      <c r="A483" s="41"/>
      <c r="B483" s="41"/>
      <c r="C483" s="46"/>
      <c r="D483" s="41"/>
      <c r="E483" s="41"/>
      <c r="F483" s="41"/>
    </row>
    <row r="484" ht="15.75" customHeight="1">
      <c r="A484" s="41"/>
      <c r="B484" s="41"/>
      <c r="C484" s="46"/>
      <c r="D484" s="41"/>
      <c r="E484" s="41"/>
      <c r="F484" s="41"/>
    </row>
    <row r="485" ht="15.75" customHeight="1">
      <c r="A485" s="41"/>
      <c r="B485" s="41"/>
      <c r="C485" s="46"/>
      <c r="D485" s="41"/>
      <c r="E485" s="41"/>
      <c r="F485" s="41"/>
    </row>
    <row r="486" ht="15.75" customHeight="1">
      <c r="A486" s="41"/>
      <c r="B486" s="41"/>
      <c r="C486" s="46"/>
      <c r="D486" s="41"/>
      <c r="E486" s="41"/>
      <c r="F486" s="41"/>
    </row>
    <row r="487" ht="15.75" customHeight="1">
      <c r="A487" s="41"/>
      <c r="B487" s="41"/>
      <c r="C487" s="46"/>
      <c r="D487" s="41"/>
      <c r="E487" s="41"/>
      <c r="F487" s="41"/>
    </row>
    <row r="488" ht="15.75" customHeight="1">
      <c r="A488" s="41"/>
      <c r="B488" s="41"/>
      <c r="C488" s="46"/>
      <c r="D488" s="41"/>
      <c r="E488" s="41"/>
      <c r="F488" s="41"/>
    </row>
    <row r="489" ht="15.75" customHeight="1">
      <c r="A489" s="41"/>
      <c r="B489" s="41"/>
      <c r="C489" s="46"/>
      <c r="D489" s="41"/>
      <c r="E489" s="41"/>
      <c r="F489" s="41"/>
    </row>
    <row r="490" ht="15.75" customHeight="1">
      <c r="A490" s="41"/>
      <c r="B490" s="41"/>
      <c r="C490" s="46"/>
      <c r="D490" s="41"/>
      <c r="E490" s="41"/>
      <c r="F490" s="41"/>
    </row>
    <row r="491" ht="15.75" customHeight="1">
      <c r="A491" s="41"/>
      <c r="B491" s="41"/>
      <c r="C491" s="46"/>
      <c r="D491" s="41"/>
      <c r="E491" s="41"/>
      <c r="F491" s="41"/>
    </row>
    <row r="492" ht="15.75" customHeight="1">
      <c r="A492" s="41"/>
      <c r="B492" s="41"/>
      <c r="C492" s="46"/>
      <c r="D492" s="41"/>
      <c r="E492" s="41"/>
      <c r="F492" s="41"/>
    </row>
    <row r="493" ht="15.75" customHeight="1">
      <c r="A493" s="41"/>
      <c r="B493" s="41"/>
      <c r="C493" s="46"/>
      <c r="D493" s="41"/>
      <c r="E493" s="41"/>
      <c r="F493" s="41"/>
    </row>
    <row r="494" ht="15.75" customHeight="1">
      <c r="A494" s="41"/>
      <c r="B494" s="41"/>
      <c r="C494" s="46"/>
      <c r="D494" s="41"/>
      <c r="E494" s="41"/>
      <c r="F494" s="41"/>
    </row>
    <row r="495" ht="15.75" customHeight="1">
      <c r="A495" s="41"/>
      <c r="B495" s="41"/>
      <c r="C495" s="46"/>
      <c r="D495" s="41"/>
      <c r="E495" s="41"/>
      <c r="F495" s="41"/>
    </row>
    <row r="496" ht="15.75" customHeight="1">
      <c r="A496" s="41"/>
      <c r="B496" s="41"/>
      <c r="C496" s="46"/>
      <c r="D496" s="41"/>
      <c r="E496" s="41"/>
      <c r="F496" s="41"/>
    </row>
    <row r="497" ht="15.75" customHeight="1">
      <c r="A497" s="41"/>
      <c r="B497" s="41"/>
      <c r="C497" s="46"/>
      <c r="D497" s="41"/>
      <c r="E497" s="41"/>
      <c r="F497" s="41"/>
    </row>
    <row r="498" ht="15.75" customHeight="1">
      <c r="A498" s="41"/>
      <c r="B498" s="41"/>
      <c r="C498" s="46"/>
      <c r="D498" s="41"/>
      <c r="E498" s="41"/>
      <c r="F498" s="41"/>
    </row>
    <row r="499" ht="15.75" customHeight="1">
      <c r="A499" s="41"/>
      <c r="B499" s="41"/>
      <c r="C499" s="46"/>
      <c r="D499" s="41"/>
      <c r="E499" s="41"/>
      <c r="F499" s="41"/>
    </row>
    <row r="500" ht="15.75" customHeight="1">
      <c r="A500" s="41"/>
      <c r="B500" s="41"/>
      <c r="C500" s="46"/>
      <c r="D500" s="41"/>
      <c r="E500" s="41"/>
      <c r="F500" s="41"/>
    </row>
    <row r="501" ht="15.75" customHeight="1">
      <c r="A501" s="41"/>
      <c r="B501" s="41"/>
      <c r="C501" s="46"/>
      <c r="D501" s="41"/>
      <c r="E501" s="41"/>
      <c r="F501" s="41"/>
    </row>
    <row r="502" ht="15.75" customHeight="1">
      <c r="A502" s="41"/>
      <c r="B502" s="41"/>
      <c r="C502" s="46"/>
      <c r="D502" s="41"/>
      <c r="E502" s="41"/>
      <c r="F502" s="41"/>
    </row>
    <row r="503" ht="15.75" customHeight="1">
      <c r="A503" s="41"/>
      <c r="B503" s="41"/>
      <c r="C503" s="46"/>
      <c r="D503" s="41"/>
      <c r="E503" s="41"/>
      <c r="F503" s="41"/>
    </row>
    <row r="504" ht="15.75" customHeight="1">
      <c r="A504" s="41"/>
      <c r="B504" s="41"/>
      <c r="C504" s="46"/>
      <c r="D504" s="41"/>
      <c r="E504" s="41"/>
      <c r="F504" s="41"/>
    </row>
    <row r="505" ht="15.75" customHeight="1">
      <c r="A505" s="41"/>
      <c r="B505" s="41"/>
      <c r="C505" s="46"/>
      <c r="D505" s="41"/>
      <c r="E505" s="41"/>
      <c r="F505" s="41"/>
    </row>
    <row r="506" ht="15.75" customHeight="1">
      <c r="A506" s="41"/>
      <c r="B506" s="41"/>
      <c r="C506" s="46"/>
      <c r="D506" s="41"/>
      <c r="E506" s="41"/>
      <c r="F506" s="41"/>
    </row>
    <row r="507" ht="15.75" customHeight="1">
      <c r="A507" s="41"/>
      <c r="B507" s="41"/>
      <c r="C507" s="46"/>
      <c r="D507" s="41"/>
      <c r="E507" s="41"/>
      <c r="F507" s="41"/>
    </row>
    <row r="508" ht="15.75" customHeight="1">
      <c r="A508" s="41"/>
      <c r="B508" s="41"/>
      <c r="C508" s="46"/>
      <c r="D508" s="41"/>
      <c r="E508" s="41"/>
      <c r="F508" s="41"/>
    </row>
    <row r="509" ht="15.75" customHeight="1">
      <c r="A509" s="41"/>
      <c r="B509" s="41"/>
      <c r="C509" s="46"/>
      <c r="D509" s="41"/>
      <c r="E509" s="41"/>
      <c r="F509" s="41"/>
    </row>
    <row r="510" ht="15.75" customHeight="1">
      <c r="A510" s="41"/>
      <c r="B510" s="41"/>
      <c r="C510" s="46"/>
      <c r="D510" s="41"/>
      <c r="E510" s="41"/>
      <c r="F510" s="41"/>
    </row>
    <row r="511" ht="15.75" customHeight="1">
      <c r="A511" s="41"/>
      <c r="B511" s="41"/>
      <c r="C511" s="46"/>
      <c r="D511" s="41"/>
      <c r="E511" s="41"/>
      <c r="F511" s="41"/>
    </row>
    <row r="512" ht="15.75" customHeight="1">
      <c r="A512" s="41"/>
      <c r="B512" s="41"/>
      <c r="C512" s="46"/>
      <c r="D512" s="41"/>
      <c r="E512" s="41"/>
      <c r="F512" s="41"/>
    </row>
    <row r="513" ht="15.75" customHeight="1">
      <c r="A513" s="41"/>
      <c r="B513" s="41"/>
      <c r="C513" s="46"/>
      <c r="D513" s="41"/>
      <c r="E513" s="41"/>
      <c r="F513" s="41"/>
    </row>
    <row r="514" ht="15.75" customHeight="1">
      <c r="A514" s="41"/>
      <c r="B514" s="41"/>
      <c r="C514" s="46"/>
      <c r="D514" s="41"/>
      <c r="E514" s="41"/>
      <c r="F514" s="41"/>
    </row>
    <row r="515" ht="15.75" customHeight="1">
      <c r="A515" s="41"/>
      <c r="B515" s="41"/>
      <c r="C515" s="46"/>
      <c r="D515" s="41"/>
      <c r="E515" s="41"/>
      <c r="F515" s="41"/>
    </row>
    <row r="516" ht="15.75" customHeight="1">
      <c r="A516" s="41"/>
      <c r="B516" s="41"/>
      <c r="C516" s="46"/>
      <c r="D516" s="41"/>
      <c r="E516" s="41"/>
      <c r="F516" s="41"/>
    </row>
    <row r="517" ht="15.75" customHeight="1">
      <c r="A517" s="41"/>
      <c r="B517" s="41"/>
      <c r="C517" s="46"/>
      <c r="D517" s="41"/>
      <c r="E517" s="41"/>
      <c r="F517" s="41"/>
    </row>
    <row r="518" ht="15.75" customHeight="1">
      <c r="A518" s="41"/>
      <c r="B518" s="41"/>
      <c r="C518" s="46"/>
      <c r="D518" s="41"/>
      <c r="E518" s="41"/>
      <c r="F518" s="41"/>
    </row>
    <row r="519" ht="15.75" customHeight="1">
      <c r="A519" s="41"/>
      <c r="B519" s="41"/>
      <c r="C519" s="46"/>
      <c r="D519" s="41"/>
      <c r="E519" s="41"/>
      <c r="F519" s="41"/>
    </row>
    <row r="520" ht="15.75" customHeight="1">
      <c r="A520" s="41"/>
      <c r="B520" s="41"/>
      <c r="C520" s="46"/>
      <c r="D520" s="41"/>
      <c r="E520" s="41"/>
      <c r="F520" s="41"/>
    </row>
    <row r="521" ht="15.75" customHeight="1">
      <c r="A521" s="41"/>
      <c r="B521" s="41"/>
      <c r="C521" s="46"/>
      <c r="D521" s="41"/>
      <c r="E521" s="41"/>
      <c r="F521" s="41"/>
    </row>
    <row r="522" ht="15.75" customHeight="1">
      <c r="A522" s="41"/>
      <c r="B522" s="41"/>
      <c r="C522" s="46"/>
      <c r="D522" s="41"/>
      <c r="E522" s="41"/>
      <c r="F522" s="41"/>
    </row>
    <row r="523" ht="15.75" customHeight="1">
      <c r="A523" s="41"/>
      <c r="B523" s="41"/>
      <c r="C523" s="46"/>
      <c r="D523" s="41"/>
      <c r="E523" s="41"/>
      <c r="F523" s="41"/>
    </row>
    <row r="524" ht="15.75" customHeight="1">
      <c r="A524" s="41"/>
      <c r="B524" s="41"/>
      <c r="C524" s="46"/>
      <c r="D524" s="41"/>
      <c r="E524" s="41"/>
      <c r="F524" s="41"/>
    </row>
    <row r="525" ht="15.75" customHeight="1">
      <c r="A525" s="41"/>
      <c r="B525" s="41"/>
      <c r="C525" s="46"/>
      <c r="D525" s="41"/>
      <c r="E525" s="41"/>
      <c r="F525" s="41"/>
    </row>
    <row r="526" ht="15.75" customHeight="1">
      <c r="A526" s="41"/>
      <c r="B526" s="41"/>
      <c r="C526" s="46"/>
      <c r="D526" s="41"/>
      <c r="E526" s="41"/>
      <c r="F526" s="41"/>
    </row>
    <row r="527" ht="15.75" customHeight="1">
      <c r="A527" s="41"/>
      <c r="B527" s="41"/>
      <c r="C527" s="46"/>
      <c r="D527" s="41"/>
      <c r="E527" s="41"/>
      <c r="F527" s="41"/>
    </row>
    <row r="528" ht="15.75" customHeight="1">
      <c r="A528" s="41"/>
      <c r="B528" s="41"/>
      <c r="C528" s="46"/>
      <c r="D528" s="41"/>
      <c r="E528" s="41"/>
      <c r="F528" s="41"/>
    </row>
    <row r="529" ht="15.75" customHeight="1">
      <c r="A529" s="41"/>
      <c r="B529" s="41"/>
      <c r="C529" s="46"/>
      <c r="D529" s="41"/>
      <c r="E529" s="41"/>
      <c r="F529" s="41"/>
    </row>
    <row r="530" ht="15.75" customHeight="1">
      <c r="A530" s="41"/>
      <c r="B530" s="41"/>
      <c r="C530" s="46"/>
      <c r="D530" s="41"/>
      <c r="E530" s="41"/>
      <c r="F530" s="41"/>
    </row>
    <row r="531" ht="15.75" customHeight="1">
      <c r="A531" s="41"/>
      <c r="B531" s="41"/>
      <c r="C531" s="46"/>
      <c r="D531" s="41"/>
      <c r="E531" s="41"/>
      <c r="F531" s="41"/>
    </row>
    <row r="532" ht="15.75" customHeight="1">
      <c r="A532" s="41"/>
      <c r="B532" s="41"/>
      <c r="C532" s="46"/>
      <c r="D532" s="41"/>
      <c r="E532" s="41"/>
      <c r="F532" s="41"/>
    </row>
    <row r="533" ht="15.75" customHeight="1">
      <c r="A533" s="41"/>
      <c r="B533" s="41"/>
      <c r="C533" s="46"/>
      <c r="D533" s="41"/>
      <c r="E533" s="41"/>
      <c r="F533" s="41"/>
    </row>
    <row r="534" ht="15.75" customHeight="1">
      <c r="A534" s="41"/>
      <c r="B534" s="41"/>
      <c r="C534" s="46"/>
      <c r="D534" s="41"/>
      <c r="E534" s="41"/>
      <c r="F534" s="41"/>
    </row>
    <row r="535" ht="15.75" customHeight="1">
      <c r="A535" s="41"/>
      <c r="B535" s="41"/>
      <c r="C535" s="46"/>
      <c r="D535" s="41"/>
      <c r="E535" s="41"/>
      <c r="F535" s="41"/>
    </row>
    <row r="536" ht="15.75" customHeight="1">
      <c r="A536" s="41"/>
      <c r="B536" s="41"/>
      <c r="C536" s="46"/>
      <c r="D536" s="41"/>
      <c r="E536" s="41"/>
      <c r="F536" s="41"/>
    </row>
    <row r="537" ht="15.75" customHeight="1">
      <c r="A537" s="41"/>
      <c r="B537" s="41"/>
      <c r="C537" s="46"/>
      <c r="D537" s="41"/>
      <c r="E537" s="41"/>
      <c r="F537" s="41"/>
    </row>
    <row r="538" ht="15.75" customHeight="1">
      <c r="A538" s="41"/>
      <c r="B538" s="41"/>
      <c r="C538" s="46"/>
      <c r="D538" s="41"/>
      <c r="E538" s="41"/>
      <c r="F538" s="41"/>
    </row>
    <row r="539" ht="15.75" customHeight="1">
      <c r="A539" s="41"/>
      <c r="B539" s="41"/>
      <c r="C539" s="46"/>
      <c r="D539" s="41"/>
      <c r="E539" s="41"/>
      <c r="F539" s="41"/>
    </row>
    <row r="540" ht="15.75" customHeight="1">
      <c r="A540" s="41"/>
      <c r="B540" s="41"/>
      <c r="C540" s="46"/>
      <c r="D540" s="41"/>
      <c r="E540" s="41"/>
      <c r="F540" s="41"/>
    </row>
    <row r="541" ht="15.75" customHeight="1">
      <c r="A541" s="41"/>
      <c r="B541" s="41"/>
      <c r="C541" s="46"/>
      <c r="D541" s="41"/>
      <c r="E541" s="41"/>
      <c r="F541" s="41"/>
    </row>
    <row r="542" ht="15.75" customHeight="1">
      <c r="A542" s="41"/>
      <c r="B542" s="41"/>
      <c r="C542" s="46"/>
      <c r="D542" s="41"/>
      <c r="E542" s="41"/>
      <c r="F542" s="41"/>
    </row>
    <row r="543" ht="15.75" customHeight="1">
      <c r="A543" s="41"/>
      <c r="B543" s="41"/>
      <c r="C543" s="46"/>
      <c r="D543" s="41"/>
      <c r="E543" s="41"/>
      <c r="F543" s="41"/>
    </row>
    <row r="544" ht="15.75" customHeight="1">
      <c r="A544" s="41"/>
      <c r="B544" s="41"/>
      <c r="C544" s="46"/>
      <c r="D544" s="41"/>
      <c r="E544" s="41"/>
      <c r="F544" s="41"/>
    </row>
    <row r="545" ht="15.75" customHeight="1">
      <c r="A545" s="41"/>
      <c r="B545" s="41"/>
      <c r="C545" s="46"/>
      <c r="D545" s="41"/>
      <c r="E545" s="41"/>
      <c r="F545" s="41"/>
    </row>
    <row r="546" ht="15.75" customHeight="1">
      <c r="A546" s="41"/>
      <c r="B546" s="41"/>
      <c r="C546" s="46"/>
      <c r="D546" s="41"/>
      <c r="E546" s="41"/>
      <c r="F546" s="41"/>
    </row>
    <row r="547" ht="15.75" customHeight="1">
      <c r="A547" s="41"/>
      <c r="B547" s="41"/>
      <c r="C547" s="46"/>
      <c r="D547" s="41"/>
      <c r="E547" s="41"/>
      <c r="F547" s="41"/>
    </row>
    <row r="548" ht="15.75" customHeight="1">
      <c r="A548" s="41"/>
      <c r="B548" s="41"/>
      <c r="C548" s="46"/>
      <c r="D548" s="41"/>
      <c r="E548" s="41"/>
      <c r="F548" s="41"/>
    </row>
    <row r="549" ht="15.75" customHeight="1">
      <c r="A549" s="41"/>
      <c r="B549" s="41"/>
      <c r="C549" s="46"/>
      <c r="D549" s="41"/>
      <c r="E549" s="41"/>
      <c r="F549" s="41"/>
    </row>
    <row r="550" ht="15.75" customHeight="1">
      <c r="A550" s="41"/>
      <c r="B550" s="41"/>
      <c r="C550" s="46"/>
      <c r="D550" s="41"/>
      <c r="E550" s="41"/>
      <c r="F550" s="41"/>
    </row>
    <row r="551" ht="15.75" customHeight="1">
      <c r="A551" s="41"/>
      <c r="B551" s="41"/>
      <c r="C551" s="46"/>
      <c r="D551" s="41"/>
      <c r="E551" s="41"/>
      <c r="F551" s="41"/>
    </row>
    <row r="552" ht="15.75" customHeight="1">
      <c r="A552" s="41"/>
      <c r="B552" s="41"/>
      <c r="C552" s="46"/>
      <c r="D552" s="41"/>
      <c r="E552" s="41"/>
      <c r="F552" s="41"/>
    </row>
    <row r="553" ht="15.75" customHeight="1">
      <c r="A553" s="41"/>
      <c r="B553" s="41"/>
      <c r="C553" s="46"/>
      <c r="D553" s="41"/>
      <c r="E553" s="41"/>
      <c r="F553" s="41"/>
    </row>
    <row r="554" ht="15.75" customHeight="1">
      <c r="A554" s="41"/>
      <c r="B554" s="41"/>
      <c r="C554" s="46"/>
      <c r="D554" s="41"/>
      <c r="E554" s="41"/>
      <c r="F554" s="41"/>
    </row>
    <row r="555" ht="15.75" customHeight="1">
      <c r="A555" s="41"/>
      <c r="B555" s="41"/>
      <c r="C555" s="46"/>
      <c r="D555" s="41"/>
      <c r="E555" s="41"/>
      <c r="F555" s="41"/>
    </row>
    <row r="556" ht="15.75" customHeight="1">
      <c r="A556" s="41"/>
      <c r="B556" s="41"/>
      <c r="C556" s="46"/>
      <c r="D556" s="41"/>
      <c r="E556" s="41"/>
      <c r="F556" s="41"/>
    </row>
    <row r="557" ht="15.75" customHeight="1">
      <c r="A557" s="41"/>
      <c r="B557" s="41"/>
      <c r="C557" s="46"/>
      <c r="D557" s="41"/>
      <c r="E557" s="41"/>
      <c r="F557" s="41"/>
    </row>
    <row r="558" ht="15.75" customHeight="1">
      <c r="A558" s="41"/>
      <c r="B558" s="41"/>
      <c r="C558" s="46"/>
      <c r="D558" s="41"/>
      <c r="E558" s="41"/>
      <c r="F558" s="41"/>
    </row>
    <row r="559" ht="15.75" customHeight="1">
      <c r="A559" s="41"/>
      <c r="B559" s="41"/>
      <c r="C559" s="46"/>
      <c r="D559" s="41"/>
      <c r="E559" s="41"/>
      <c r="F559" s="41"/>
    </row>
    <row r="560" ht="15.75" customHeight="1">
      <c r="A560" s="41"/>
      <c r="B560" s="41"/>
      <c r="C560" s="46"/>
      <c r="D560" s="41"/>
      <c r="E560" s="41"/>
      <c r="F560" s="41"/>
    </row>
    <row r="561" ht="15.75" customHeight="1">
      <c r="A561" s="41"/>
      <c r="B561" s="41"/>
      <c r="C561" s="46"/>
      <c r="D561" s="41"/>
      <c r="E561" s="41"/>
      <c r="F561" s="41"/>
    </row>
    <row r="562" ht="15.75" customHeight="1">
      <c r="A562" s="41"/>
      <c r="B562" s="41"/>
      <c r="C562" s="46"/>
      <c r="D562" s="41"/>
      <c r="E562" s="41"/>
      <c r="F562" s="41"/>
    </row>
    <row r="563" ht="15.75" customHeight="1">
      <c r="A563" s="41"/>
      <c r="B563" s="41"/>
      <c r="C563" s="46"/>
      <c r="D563" s="41"/>
      <c r="E563" s="41"/>
      <c r="F563" s="41"/>
    </row>
    <row r="564" ht="15.75" customHeight="1">
      <c r="A564" s="41"/>
      <c r="B564" s="41"/>
      <c r="C564" s="46"/>
      <c r="D564" s="41"/>
      <c r="E564" s="41"/>
      <c r="F564" s="41"/>
    </row>
    <row r="565" ht="15.75" customHeight="1">
      <c r="A565" s="41"/>
      <c r="B565" s="41"/>
      <c r="C565" s="46"/>
      <c r="D565" s="41"/>
      <c r="E565" s="41"/>
      <c r="F565" s="41"/>
    </row>
    <row r="566" ht="15.75" customHeight="1">
      <c r="A566" s="41"/>
      <c r="B566" s="41"/>
      <c r="C566" s="46"/>
      <c r="D566" s="41"/>
      <c r="E566" s="41"/>
      <c r="F566" s="41"/>
    </row>
    <row r="567" ht="15.75" customHeight="1">
      <c r="A567" s="41"/>
      <c r="B567" s="41"/>
      <c r="C567" s="46"/>
      <c r="D567" s="41"/>
      <c r="E567" s="41"/>
      <c r="F567" s="41"/>
    </row>
    <row r="568" ht="15.75" customHeight="1">
      <c r="A568" s="41"/>
      <c r="B568" s="41"/>
      <c r="C568" s="46"/>
      <c r="D568" s="41"/>
      <c r="E568" s="41"/>
      <c r="F568" s="41"/>
    </row>
    <row r="569" ht="15.75" customHeight="1">
      <c r="A569" s="41"/>
      <c r="B569" s="41"/>
      <c r="C569" s="46"/>
      <c r="D569" s="41"/>
      <c r="E569" s="41"/>
      <c r="F569" s="41"/>
    </row>
    <row r="570" ht="15.75" customHeight="1">
      <c r="A570" s="41"/>
      <c r="B570" s="41"/>
      <c r="C570" s="46"/>
      <c r="D570" s="41"/>
      <c r="E570" s="41"/>
      <c r="F570" s="41"/>
    </row>
    <row r="571" ht="15.75" customHeight="1">
      <c r="A571" s="41"/>
      <c r="B571" s="41"/>
      <c r="C571" s="46"/>
      <c r="D571" s="41"/>
      <c r="E571" s="41"/>
      <c r="F571" s="41"/>
    </row>
    <row r="572" ht="15.75" customHeight="1">
      <c r="A572" s="41"/>
      <c r="B572" s="41"/>
      <c r="C572" s="46"/>
      <c r="D572" s="41"/>
      <c r="E572" s="41"/>
      <c r="F572" s="41"/>
    </row>
    <row r="573" ht="15.75" customHeight="1">
      <c r="A573" s="41"/>
      <c r="B573" s="41"/>
      <c r="C573" s="46"/>
      <c r="D573" s="41"/>
      <c r="E573" s="41"/>
      <c r="F573" s="41"/>
    </row>
    <row r="574" ht="15.75" customHeight="1">
      <c r="A574" s="41"/>
      <c r="B574" s="41"/>
      <c r="C574" s="46"/>
      <c r="D574" s="41"/>
      <c r="E574" s="41"/>
      <c r="F574" s="41"/>
    </row>
    <row r="575" ht="15.75" customHeight="1">
      <c r="A575" s="41"/>
      <c r="B575" s="41"/>
      <c r="C575" s="46"/>
      <c r="D575" s="41"/>
      <c r="E575" s="41"/>
      <c r="F575" s="41"/>
    </row>
    <row r="576" ht="15.75" customHeight="1">
      <c r="A576" s="41"/>
      <c r="B576" s="41"/>
      <c r="C576" s="46"/>
      <c r="D576" s="41"/>
      <c r="E576" s="41"/>
      <c r="F576" s="41"/>
    </row>
    <row r="577" ht="15.75" customHeight="1">
      <c r="A577" s="41"/>
      <c r="B577" s="41"/>
      <c r="C577" s="46"/>
      <c r="D577" s="41"/>
      <c r="E577" s="41"/>
      <c r="F577" s="41"/>
    </row>
    <row r="578" ht="15.75" customHeight="1">
      <c r="A578" s="41"/>
      <c r="B578" s="41"/>
      <c r="C578" s="46"/>
      <c r="D578" s="41"/>
      <c r="E578" s="41"/>
      <c r="F578" s="41"/>
    </row>
    <row r="579" ht="15.75" customHeight="1">
      <c r="A579" s="41"/>
      <c r="B579" s="41"/>
      <c r="C579" s="46"/>
      <c r="D579" s="41"/>
      <c r="E579" s="41"/>
      <c r="F579" s="41"/>
    </row>
    <row r="580" ht="15.75" customHeight="1">
      <c r="A580" s="41"/>
      <c r="B580" s="41"/>
      <c r="C580" s="46"/>
      <c r="D580" s="41"/>
      <c r="E580" s="41"/>
      <c r="F580" s="41"/>
    </row>
    <row r="581" ht="15.75" customHeight="1">
      <c r="A581" s="41"/>
      <c r="B581" s="41"/>
      <c r="C581" s="46"/>
      <c r="D581" s="41"/>
      <c r="E581" s="41"/>
      <c r="F581" s="41"/>
    </row>
    <row r="582" ht="15.75" customHeight="1">
      <c r="A582" s="41"/>
      <c r="B582" s="41"/>
      <c r="C582" s="46"/>
      <c r="D582" s="41"/>
      <c r="E582" s="41"/>
      <c r="F582" s="41"/>
    </row>
    <row r="583" ht="15.75" customHeight="1">
      <c r="A583" s="41"/>
      <c r="B583" s="41"/>
      <c r="C583" s="46"/>
      <c r="D583" s="41"/>
      <c r="E583" s="41"/>
      <c r="F583" s="41"/>
    </row>
    <row r="584" ht="15.75" customHeight="1">
      <c r="A584" s="41"/>
      <c r="B584" s="41"/>
      <c r="C584" s="46"/>
      <c r="D584" s="41"/>
      <c r="E584" s="41"/>
      <c r="F584" s="41"/>
    </row>
    <row r="585" ht="15.75" customHeight="1">
      <c r="A585" s="41"/>
      <c r="B585" s="41"/>
      <c r="C585" s="46"/>
      <c r="D585" s="41"/>
      <c r="E585" s="41"/>
      <c r="F585" s="41"/>
    </row>
    <row r="586" ht="15.75" customHeight="1">
      <c r="A586" s="41"/>
      <c r="B586" s="41"/>
      <c r="C586" s="46"/>
      <c r="D586" s="41"/>
      <c r="E586" s="41"/>
      <c r="F586" s="41"/>
    </row>
    <row r="587" ht="15.75" customHeight="1">
      <c r="A587" s="41"/>
      <c r="B587" s="41"/>
      <c r="C587" s="46"/>
      <c r="D587" s="41"/>
      <c r="E587" s="41"/>
      <c r="F587" s="41"/>
    </row>
    <row r="588" ht="15.75" customHeight="1">
      <c r="A588" s="41"/>
      <c r="B588" s="41"/>
      <c r="C588" s="46"/>
      <c r="D588" s="41"/>
      <c r="E588" s="41"/>
      <c r="F588" s="41"/>
    </row>
    <row r="589" ht="15.75" customHeight="1">
      <c r="A589" s="41"/>
      <c r="B589" s="41"/>
      <c r="C589" s="46"/>
      <c r="D589" s="41"/>
      <c r="E589" s="41"/>
      <c r="F589" s="41"/>
    </row>
    <row r="590" ht="15.75" customHeight="1">
      <c r="A590" s="41"/>
      <c r="B590" s="41"/>
      <c r="C590" s="46"/>
      <c r="D590" s="41"/>
      <c r="E590" s="41"/>
      <c r="F590" s="41"/>
    </row>
    <row r="591" ht="15.75" customHeight="1">
      <c r="A591" s="41"/>
      <c r="B591" s="41"/>
      <c r="C591" s="46"/>
      <c r="D591" s="41"/>
      <c r="E591" s="41"/>
      <c r="F591" s="41"/>
    </row>
    <row r="592" ht="15.75" customHeight="1">
      <c r="A592" s="41"/>
      <c r="B592" s="41"/>
      <c r="C592" s="46"/>
      <c r="D592" s="41"/>
      <c r="E592" s="41"/>
      <c r="F592" s="41"/>
    </row>
    <row r="593" ht="15.75" customHeight="1">
      <c r="A593" s="41"/>
      <c r="B593" s="41"/>
      <c r="C593" s="46"/>
      <c r="D593" s="41"/>
      <c r="E593" s="41"/>
      <c r="F593" s="41"/>
    </row>
    <row r="594" ht="15.75" customHeight="1">
      <c r="A594" s="41"/>
      <c r="B594" s="41"/>
      <c r="C594" s="46"/>
      <c r="D594" s="41"/>
      <c r="E594" s="41"/>
      <c r="F594" s="41"/>
    </row>
    <row r="595" ht="15.75" customHeight="1">
      <c r="A595" s="41"/>
      <c r="B595" s="41"/>
      <c r="C595" s="46"/>
      <c r="D595" s="41"/>
      <c r="E595" s="41"/>
      <c r="F595" s="41"/>
    </row>
    <row r="596" ht="15.75" customHeight="1">
      <c r="A596" s="41"/>
      <c r="B596" s="41"/>
      <c r="C596" s="46"/>
      <c r="D596" s="41"/>
      <c r="E596" s="41"/>
      <c r="F596" s="41"/>
    </row>
    <row r="597" ht="15.75" customHeight="1">
      <c r="A597" s="41"/>
      <c r="B597" s="41"/>
      <c r="C597" s="46"/>
      <c r="D597" s="41"/>
      <c r="E597" s="41"/>
      <c r="F597" s="41"/>
    </row>
    <row r="598" ht="15.75" customHeight="1">
      <c r="A598" s="41"/>
      <c r="B598" s="41"/>
      <c r="C598" s="46"/>
      <c r="D598" s="41"/>
      <c r="E598" s="41"/>
      <c r="F598" s="41"/>
    </row>
    <row r="599" ht="15.75" customHeight="1">
      <c r="A599" s="41"/>
      <c r="B599" s="41"/>
      <c r="C599" s="46"/>
      <c r="D599" s="41"/>
      <c r="E599" s="41"/>
      <c r="F599" s="41"/>
    </row>
    <row r="600" ht="15.75" customHeight="1">
      <c r="A600" s="41"/>
      <c r="B600" s="41"/>
      <c r="C600" s="46"/>
      <c r="D600" s="41"/>
      <c r="E600" s="41"/>
      <c r="F600" s="41"/>
    </row>
    <row r="601" ht="15.75" customHeight="1">
      <c r="A601" s="41"/>
      <c r="B601" s="41"/>
      <c r="C601" s="46"/>
      <c r="D601" s="41"/>
      <c r="E601" s="41"/>
      <c r="F601" s="41"/>
    </row>
    <row r="602" ht="15.75" customHeight="1">
      <c r="A602" s="41"/>
      <c r="B602" s="41"/>
      <c r="C602" s="46"/>
      <c r="D602" s="41"/>
      <c r="E602" s="41"/>
      <c r="F602" s="41"/>
    </row>
    <row r="603" ht="15.75" customHeight="1">
      <c r="A603" s="41"/>
      <c r="B603" s="41"/>
      <c r="C603" s="46"/>
      <c r="D603" s="41"/>
      <c r="E603" s="41"/>
      <c r="F603" s="41"/>
    </row>
    <row r="604" ht="15.75" customHeight="1">
      <c r="A604" s="41"/>
      <c r="B604" s="41"/>
      <c r="C604" s="46"/>
      <c r="D604" s="41"/>
      <c r="E604" s="41"/>
      <c r="F604" s="41"/>
    </row>
    <row r="605" ht="15.75" customHeight="1">
      <c r="A605" s="41"/>
      <c r="B605" s="41"/>
      <c r="C605" s="46"/>
      <c r="D605" s="41"/>
      <c r="E605" s="41"/>
      <c r="F605" s="41"/>
    </row>
    <row r="606" ht="15.75" customHeight="1">
      <c r="A606" s="41"/>
      <c r="B606" s="41"/>
      <c r="C606" s="46"/>
      <c r="D606" s="41"/>
      <c r="E606" s="41"/>
      <c r="F606" s="41"/>
    </row>
    <row r="607" ht="15.75" customHeight="1">
      <c r="A607" s="41"/>
      <c r="B607" s="41"/>
      <c r="C607" s="46"/>
      <c r="D607" s="41"/>
      <c r="E607" s="41"/>
      <c r="F607" s="41"/>
    </row>
    <row r="608" ht="15.75" customHeight="1">
      <c r="A608" s="41"/>
      <c r="B608" s="41"/>
      <c r="C608" s="46"/>
      <c r="D608" s="41"/>
      <c r="E608" s="41"/>
      <c r="F608" s="41"/>
    </row>
    <row r="609" ht="15.75" customHeight="1">
      <c r="A609" s="41"/>
      <c r="B609" s="41"/>
      <c r="C609" s="46"/>
      <c r="D609" s="41"/>
      <c r="E609" s="41"/>
      <c r="F609" s="41"/>
    </row>
    <row r="610" ht="15.75" customHeight="1">
      <c r="A610" s="41"/>
      <c r="B610" s="41"/>
      <c r="C610" s="46"/>
      <c r="D610" s="41"/>
      <c r="E610" s="41"/>
      <c r="F610" s="41"/>
    </row>
    <row r="611" ht="15.75" customHeight="1">
      <c r="A611" s="41"/>
      <c r="B611" s="41"/>
      <c r="C611" s="46"/>
      <c r="D611" s="41"/>
      <c r="E611" s="41"/>
      <c r="F611" s="41"/>
    </row>
    <row r="612" ht="15.75" customHeight="1">
      <c r="A612" s="41"/>
      <c r="B612" s="41"/>
      <c r="C612" s="46"/>
      <c r="D612" s="41"/>
      <c r="E612" s="41"/>
      <c r="F612" s="41"/>
    </row>
    <row r="613" ht="15.75" customHeight="1">
      <c r="A613" s="41"/>
      <c r="B613" s="41"/>
      <c r="C613" s="46"/>
      <c r="D613" s="41"/>
      <c r="E613" s="41"/>
      <c r="F613" s="41"/>
    </row>
    <row r="614" ht="15.75" customHeight="1">
      <c r="A614" s="41"/>
      <c r="B614" s="41"/>
      <c r="C614" s="46"/>
      <c r="D614" s="41"/>
      <c r="E614" s="41"/>
      <c r="F614" s="41"/>
    </row>
    <row r="615" ht="15.75" customHeight="1">
      <c r="A615" s="41"/>
      <c r="B615" s="41"/>
      <c r="C615" s="46"/>
      <c r="D615" s="41"/>
      <c r="E615" s="41"/>
      <c r="F615" s="41"/>
    </row>
    <row r="616" ht="15.75" customHeight="1">
      <c r="A616" s="41"/>
      <c r="B616" s="41"/>
      <c r="C616" s="46"/>
      <c r="D616" s="41"/>
      <c r="E616" s="41"/>
      <c r="F616" s="41"/>
    </row>
    <row r="617" ht="15.75" customHeight="1">
      <c r="A617" s="41"/>
      <c r="B617" s="41"/>
      <c r="C617" s="46"/>
      <c r="D617" s="41"/>
      <c r="E617" s="41"/>
      <c r="F617" s="41"/>
    </row>
    <row r="618" ht="15.75" customHeight="1">
      <c r="A618" s="41"/>
      <c r="B618" s="41"/>
      <c r="C618" s="46"/>
      <c r="D618" s="41"/>
      <c r="E618" s="41"/>
      <c r="F618" s="41"/>
    </row>
    <row r="619" ht="15.75" customHeight="1">
      <c r="A619" s="41"/>
      <c r="B619" s="41"/>
      <c r="C619" s="46"/>
      <c r="D619" s="41"/>
      <c r="E619" s="41"/>
      <c r="F619" s="41"/>
    </row>
    <row r="620" ht="15.75" customHeight="1">
      <c r="A620" s="41"/>
      <c r="B620" s="41"/>
      <c r="C620" s="46"/>
      <c r="D620" s="41"/>
      <c r="E620" s="41"/>
      <c r="F620" s="41"/>
    </row>
    <row r="621" ht="15.75" customHeight="1">
      <c r="A621" s="41"/>
      <c r="B621" s="41"/>
      <c r="C621" s="46"/>
      <c r="D621" s="41"/>
      <c r="E621" s="41"/>
      <c r="F621" s="41"/>
    </row>
    <row r="622" ht="15.75" customHeight="1">
      <c r="A622" s="41"/>
      <c r="B622" s="41"/>
      <c r="C622" s="46"/>
      <c r="D622" s="41"/>
      <c r="E622" s="41"/>
      <c r="F622" s="41"/>
    </row>
    <row r="623" ht="15.75" customHeight="1">
      <c r="A623" s="41"/>
      <c r="B623" s="41"/>
      <c r="C623" s="46"/>
      <c r="D623" s="41"/>
      <c r="E623" s="41"/>
      <c r="F623" s="41"/>
    </row>
    <row r="624" ht="15.75" customHeight="1">
      <c r="A624" s="41"/>
      <c r="B624" s="41"/>
      <c r="C624" s="46"/>
      <c r="D624" s="41"/>
      <c r="E624" s="41"/>
      <c r="F624" s="41"/>
    </row>
    <row r="625" ht="15.75" customHeight="1">
      <c r="A625" s="41"/>
      <c r="B625" s="41"/>
      <c r="C625" s="46"/>
      <c r="D625" s="41"/>
      <c r="E625" s="41"/>
      <c r="F625" s="41"/>
    </row>
    <row r="626" ht="15.75" customHeight="1">
      <c r="A626" s="41"/>
      <c r="B626" s="41"/>
      <c r="C626" s="46"/>
      <c r="D626" s="41"/>
      <c r="E626" s="41"/>
      <c r="F626" s="41"/>
    </row>
    <row r="627" ht="15.75" customHeight="1">
      <c r="A627" s="41"/>
      <c r="B627" s="41"/>
      <c r="C627" s="46"/>
      <c r="D627" s="41"/>
      <c r="E627" s="41"/>
      <c r="F627" s="41"/>
    </row>
    <row r="628" ht="15.75" customHeight="1">
      <c r="A628" s="41"/>
      <c r="B628" s="41"/>
      <c r="C628" s="46"/>
      <c r="D628" s="41"/>
      <c r="E628" s="41"/>
      <c r="F628" s="41"/>
    </row>
    <row r="629" ht="15.75" customHeight="1">
      <c r="A629" s="41"/>
      <c r="B629" s="41"/>
      <c r="C629" s="46"/>
      <c r="D629" s="41"/>
      <c r="E629" s="41"/>
      <c r="F629" s="41"/>
    </row>
    <row r="630" ht="15.75" customHeight="1">
      <c r="A630" s="41"/>
      <c r="B630" s="41"/>
      <c r="C630" s="46"/>
      <c r="D630" s="41"/>
      <c r="E630" s="41"/>
      <c r="F630" s="41"/>
    </row>
    <row r="631" ht="15.75" customHeight="1">
      <c r="A631" s="41"/>
      <c r="B631" s="41"/>
      <c r="C631" s="46"/>
      <c r="D631" s="41"/>
      <c r="E631" s="41"/>
      <c r="F631" s="41"/>
    </row>
    <row r="632" ht="15.75" customHeight="1">
      <c r="A632" s="41"/>
      <c r="B632" s="41"/>
      <c r="C632" s="46"/>
      <c r="D632" s="41"/>
      <c r="E632" s="41"/>
      <c r="F632" s="41"/>
    </row>
    <row r="633" ht="15.75" customHeight="1">
      <c r="A633" s="41"/>
      <c r="B633" s="41"/>
      <c r="C633" s="46"/>
      <c r="D633" s="41"/>
      <c r="E633" s="41"/>
      <c r="F633" s="41"/>
    </row>
    <row r="634" ht="15.75" customHeight="1">
      <c r="A634" s="41"/>
      <c r="B634" s="41"/>
      <c r="C634" s="46"/>
      <c r="D634" s="41"/>
      <c r="E634" s="41"/>
      <c r="F634" s="41"/>
    </row>
    <row r="635" ht="15.75" customHeight="1">
      <c r="A635" s="41"/>
      <c r="B635" s="41"/>
      <c r="C635" s="46"/>
      <c r="D635" s="41"/>
      <c r="E635" s="41"/>
      <c r="F635" s="41"/>
    </row>
    <row r="636" ht="15.75" customHeight="1">
      <c r="A636" s="41"/>
      <c r="B636" s="41"/>
      <c r="C636" s="46"/>
      <c r="D636" s="41"/>
      <c r="E636" s="41"/>
      <c r="F636" s="41"/>
    </row>
    <row r="637" ht="15.75" customHeight="1">
      <c r="A637" s="41"/>
      <c r="B637" s="41"/>
      <c r="C637" s="46"/>
      <c r="D637" s="41"/>
      <c r="E637" s="41"/>
      <c r="F637" s="41"/>
    </row>
    <row r="638" ht="15.75" customHeight="1">
      <c r="A638" s="41"/>
      <c r="B638" s="41"/>
      <c r="C638" s="46"/>
      <c r="D638" s="41"/>
      <c r="E638" s="41"/>
      <c r="F638" s="41"/>
    </row>
    <row r="639" ht="15.75" customHeight="1">
      <c r="A639" s="41"/>
      <c r="B639" s="41"/>
      <c r="C639" s="46"/>
      <c r="D639" s="41"/>
      <c r="E639" s="41"/>
      <c r="F639" s="41"/>
    </row>
    <row r="640" ht="15.75" customHeight="1">
      <c r="A640" s="41"/>
      <c r="B640" s="41"/>
      <c r="C640" s="46"/>
      <c r="D640" s="41"/>
      <c r="E640" s="41"/>
      <c r="F640" s="41"/>
    </row>
    <row r="641" ht="15.75" customHeight="1">
      <c r="A641" s="41"/>
      <c r="B641" s="41"/>
      <c r="C641" s="46"/>
      <c r="D641" s="41"/>
      <c r="E641" s="41"/>
      <c r="F641" s="41"/>
    </row>
    <row r="642" ht="15.75" customHeight="1">
      <c r="A642" s="41"/>
      <c r="B642" s="41"/>
      <c r="C642" s="46"/>
      <c r="D642" s="41"/>
      <c r="E642" s="41"/>
      <c r="F642" s="41"/>
    </row>
    <row r="643" ht="15.75" customHeight="1">
      <c r="A643" s="41"/>
      <c r="B643" s="41"/>
      <c r="C643" s="46"/>
      <c r="D643" s="41"/>
      <c r="E643" s="41"/>
      <c r="F643" s="41"/>
    </row>
    <row r="644" ht="15.75" customHeight="1">
      <c r="A644" s="41"/>
      <c r="B644" s="41"/>
      <c r="C644" s="46"/>
      <c r="D644" s="41"/>
      <c r="E644" s="41"/>
      <c r="F644" s="41"/>
    </row>
    <row r="645" ht="15.75" customHeight="1">
      <c r="A645" s="41"/>
      <c r="B645" s="41"/>
      <c r="C645" s="46"/>
      <c r="D645" s="41"/>
      <c r="E645" s="41"/>
      <c r="F645" s="41"/>
    </row>
    <row r="646" ht="15.75" customHeight="1">
      <c r="A646" s="41"/>
      <c r="B646" s="41"/>
      <c r="C646" s="46"/>
      <c r="D646" s="41"/>
      <c r="E646" s="41"/>
      <c r="F646" s="41"/>
    </row>
    <row r="647" ht="15.75" customHeight="1">
      <c r="A647" s="41"/>
      <c r="B647" s="41"/>
      <c r="C647" s="46"/>
      <c r="D647" s="41"/>
      <c r="E647" s="41"/>
      <c r="F647" s="41"/>
    </row>
    <row r="648" ht="15.75" customHeight="1">
      <c r="A648" s="41"/>
      <c r="B648" s="41"/>
      <c r="C648" s="46"/>
      <c r="D648" s="41"/>
      <c r="E648" s="41"/>
      <c r="F648" s="41"/>
    </row>
    <row r="649" ht="15.75" customHeight="1">
      <c r="A649" s="41"/>
      <c r="B649" s="41"/>
      <c r="C649" s="46"/>
      <c r="D649" s="41"/>
      <c r="E649" s="41"/>
      <c r="F649" s="41"/>
    </row>
    <row r="650" ht="15.75" customHeight="1">
      <c r="A650" s="41"/>
      <c r="B650" s="41"/>
      <c r="C650" s="46"/>
      <c r="D650" s="41"/>
      <c r="E650" s="41"/>
      <c r="F650" s="41"/>
    </row>
    <row r="651" ht="15.75" customHeight="1">
      <c r="A651" s="41"/>
      <c r="B651" s="41"/>
      <c r="C651" s="46"/>
      <c r="D651" s="41"/>
      <c r="E651" s="41"/>
      <c r="F651" s="41"/>
    </row>
    <row r="652" ht="15.75" customHeight="1">
      <c r="A652" s="41"/>
      <c r="B652" s="41"/>
      <c r="C652" s="46"/>
      <c r="D652" s="41"/>
      <c r="E652" s="41"/>
      <c r="F652" s="41"/>
    </row>
    <row r="653" ht="15.75" customHeight="1">
      <c r="A653" s="41"/>
      <c r="B653" s="41"/>
      <c r="C653" s="46"/>
      <c r="D653" s="41"/>
      <c r="E653" s="41"/>
      <c r="F653" s="41"/>
    </row>
    <row r="654" ht="15.75" customHeight="1">
      <c r="A654" s="41"/>
      <c r="B654" s="41"/>
      <c r="C654" s="46"/>
      <c r="D654" s="41"/>
      <c r="E654" s="41"/>
      <c r="F654" s="41"/>
    </row>
    <row r="655" ht="15.75" customHeight="1">
      <c r="A655" s="41"/>
      <c r="B655" s="41"/>
      <c r="C655" s="46"/>
      <c r="D655" s="41"/>
      <c r="E655" s="41"/>
      <c r="F655" s="41"/>
    </row>
    <row r="656" ht="15.75" customHeight="1">
      <c r="A656" s="41"/>
      <c r="B656" s="41"/>
      <c r="C656" s="46"/>
      <c r="D656" s="41"/>
      <c r="E656" s="41"/>
      <c r="F656" s="41"/>
    </row>
    <row r="657" ht="15.75" customHeight="1">
      <c r="A657" s="41"/>
      <c r="B657" s="41"/>
      <c r="C657" s="46"/>
      <c r="D657" s="41"/>
      <c r="E657" s="41"/>
      <c r="F657" s="41"/>
    </row>
    <row r="658" ht="15.75" customHeight="1">
      <c r="A658" s="41"/>
      <c r="B658" s="41"/>
      <c r="C658" s="46"/>
      <c r="D658" s="41"/>
      <c r="E658" s="41"/>
      <c r="F658" s="41"/>
    </row>
    <row r="659" ht="15.75" customHeight="1">
      <c r="A659" s="41"/>
      <c r="B659" s="41"/>
      <c r="C659" s="46"/>
      <c r="D659" s="41"/>
      <c r="E659" s="41"/>
      <c r="F659" s="41"/>
    </row>
    <row r="660" ht="15.75" customHeight="1">
      <c r="A660" s="41"/>
      <c r="B660" s="41"/>
      <c r="C660" s="46"/>
      <c r="D660" s="41"/>
      <c r="E660" s="41"/>
      <c r="F660" s="41"/>
    </row>
    <row r="661" ht="15.75" customHeight="1">
      <c r="A661" s="41"/>
      <c r="B661" s="41"/>
      <c r="C661" s="46"/>
      <c r="D661" s="41"/>
      <c r="E661" s="41"/>
      <c r="F661" s="41"/>
    </row>
    <row r="662" ht="15.75" customHeight="1">
      <c r="A662" s="41"/>
      <c r="B662" s="41"/>
      <c r="C662" s="46"/>
      <c r="D662" s="41"/>
      <c r="E662" s="41"/>
      <c r="F662" s="41"/>
    </row>
    <row r="663" ht="15.75" customHeight="1">
      <c r="A663" s="41"/>
      <c r="B663" s="41"/>
      <c r="C663" s="46"/>
      <c r="D663" s="41"/>
      <c r="E663" s="41"/>
      <c r="F663" s="41"/>
    </row>
    <row r="664" ht="15.75" customHeight="1">
      <c r="A664" s="41"/>
      <c r="B664" s="41"/>
      <c r="C664" s="46"/>
      <c r="D664" s="41"/>
      <c r="E664" s="41"/>
      <c r="F664" s="41"/>
    </row>
    <row r="665" ht="15.75" customHeight="1">
      <c r="A665" s="41"/>
      <c r="B665" s="41"/>
      <c r="C665" s="46"/>
      <c r="D665" s="41"/>
      <c r="E665" s="41"/>
      <c r="F665" s="41"/>
    </row>
    <row r="666" ht="15.75" customHeight="1">
      <c r="A666" s="41"/>
      <c r="B666" s="41"/>
      <c r="C666" s="46"/>
      <c r="D666" s="41"/>
      <c r="E666" s="41"/>
      <c r="F666" s="41"/>
    </row>
    <row r="667" ht="15.75" customHeight="1">
      <c r="A667" s="41"/>
      <c r="B667" s="41"/>
      <c r="C667" s="46"/>
      <c r="D667" s="41"/>
      <c r="E667" s="41"/>
      <c r="F667" s="41"/>
    </row>
    <row r="668" ht="15.75" customHeight="1">
      <c r="A668" s="41"/>
      <c r="B668" s="41"/>
      <c r="C668" s="46"/>
      <c r="D668" s="41"/>
      <c r="E668" s="41"/>
      <c r="F668" s="41"/>
    </row>
    <row r="669" ht="15.75" customHeight="1">
      <c r="A669" s="41"/>
      <c r="B669" s="41"/>
      <c r="C669" s="46"/>
      <c r="D669" s="41"/>
      <c r="E669" s="41"/>
      <c r="F669" s="41"/>
    </row>
    <row r="670" ht="15.75" customHeight="1">
      <c r="A670" s="41"/>
      <c r="B670" s="41"/>
      <c r="C670" s="46"/>
      <c r="D670" s="41"/>
      <c r="E670" s="41"/>
      <c r="F670" s="41"/>
    </row>
    <row r="671" ht="15.75" customHeight="1">
      <c r="A671" s="41"/>
      <c r="B671" s="41"/>
      <c r="C671" s="46"/>
      <c r="D671" s="41"/>
      <c r="E671" s="41"/>
      <c r="F671" s="41"/>
    </row>
    <row r="672" ht="15.75" customHeight="1">
      <c r="A672" s="41"/>
      <c r="B672" s="41"/>
      <c r="C672" s="46"/>
      <c r="D672" s="41"/>
      <c r="E672" s="41"/>
      <c r="F672" s="41"/>
    </row>
    <row r="673" ht="15.75" customHeight="1">
      <c r="A673" s="41"/>
      <c r="B673" s="41"/>
      <c r="C673" s="46"/>
      <c r="D673" s="41"/>
      <c r="E673" s="41"/>
      <c r="F673" s="41"/>
    </row>
    <row r="674" ht="15.75" customHeight="1">
      <c r="A674" s="41"/>
      <c r="B674" s="41"/>
      <c r="C674" s="46"/>
      <c r="D674" s="41"/>
      <c r="E674" s="41"/>
      <c r="F674" s="41"/>
    </row>
    <row r="675" ht="15.75" customHeight="1">
      <c r="A675" s="41"/>
      <c r="B675" s="41"/>
      <c r="C675" s="46"/>
      <c r="D675" s="41"/>
      <c r="E675" s="41"/>
      <c r="F675" s="41"/>
    </row>
    <row r="676" ht="15.75" customHeight="1">
      <c r="A676" s="41"/>
      <c r="B676" s="41"/>
      <c r="C676" s="46"/>
      <c r="D676" s="41"/>
      <c r="E676" s="41"/>
      <c r="F676" s="41"/>
    </row>
    <row r="677" ht="15.75" customHeight="1">
      <c r="A677" s="41"/>
      <c r="B677" s="41"/>
      <c r="C677" s="46"/>
      <c r="D677" s="41"/>
      <c r="E677" s="41"/>
      <c r="F677" s="41"/>
    </row>
    <row r="678" ht="15.75" customHeight="1">
      <c r="A678" s="41"/>
      <c r="B678" s="41"/>
      <c r="C678" s="46"/>
      <c r="D678" s="41"/>
      <c r="E678" s="41"/>
      <c r="F678" s="41"/>
    </row>
    <row r="679" ht="15.75" customHeight="1">
      <c r="A679" s="41"/>
      <c r="B679" s="41"/>
      <c r="C679" s="46"/>
      <c r="D679" s="41"/>
      <c r="E679" s="41"/>
      <c r="F679" s="41"/>
    </row>
    <row r="680" ht="15.75" customHeight="1">
      <c r="A680" s="41"/>
      <c r="B680" s="41"/>
      <c r="C680" s="46"/>
      <c r="D680" s="41"/>
      <c r="E680" s="41"/>
      <c r="F680" s="41"/>
    </row>
    <row r="681" ht="15.75" customHeight="1">
      <c r="A681" s="41"/>
      <c r="B681" s="41"/>
      <c r="C681" s="46"/>
      <c r="D681" s="41"/>
      <c r="E681" s="41"/>
      <c r="F681" s="41"/>
    </row>
    <row r="682" ht="15.75" customHeight="1">
      <c r="A682" s="41"/>
      <c r="B682" s="41"/>
      <c r="C682" s="46"/>
      <c r="D682" s="41"/>
      <c r="E682" s="41"/>
      <c r="F682" s="41"/>
    </row>
    <row r="683" ht="15.75" customHeight="1">
      <c r="A683" s="41"/>
      <c r="B683" s="41"/>
      <c r="C683" s="46"/>
      <c r="D683" s="41"/>
      <c r="E683" s="41"/>
      <c r="F683" s="41"/>
    </row>
    <row r="684" ht="15.75" customHeight="1">
      <c r="A684" s="41"/>
      <c r="B684" s="41"/>
      <c r="C684" s="46"/>
      <c r="D684" s="41"/>
      <c r="E684" s="41"/>
      <c r="F684" s="41"/>
    </row>
    <row r="685" ht="15.75" customHeight="1">
      <c r="A685" s="41"/>
      <c r="B685" s="41"/>
      <c r="C685" s="46"/>
      <c r="D685" s="41"/>
      <c r="E685" s="41"/>
      <c r="F685" s="41"/>
    </row>
    <row r="686" ht="15.75" customHeight="1">
      <c r="A686" s="41"/>
      <c r="B686" s="41"/>
      <c r="C686" s="46"/>
      <c r="D686" s="41"/>
      <c r="E686" s="41"/>
      <c r="F686" s="41"/>
    </row>
    <row r="687" ht="15.75" customHeight="1">
      <c r="A687" s="41"/>
      <c r="B687" s="41"/>
      <c r="C687" s="46"/>
      <c r="D687" s="41"/>
      <c r="E687" s="41"/>
      <c r="F687" s="41"/>
    </row>
    <row r="688" ht="15.75" customHeight="1">
      <c r="A688" s="41"/>
      <c r="B688" s="41"/>
      <c r="C688" s="46"/>
      <c r="D688" s="41"/>
      <c r="E688" s="41"/>
      <c r="F688" s="41"/>
    </row>
    <row r="689" ht="15.75" customHeight="1">
      <c r="A689" s="41"/>
      <c r="B689" s="41"/>
      <c r="C689" s="46"/>
      <c r="D689" s="41"/>
      <c r="E689" s="41"/>
      <c r="F689" s="41"/>
    </row>
    <row r="690" ht="15.75" customHeight="1">
      <c r="A690" s="41"/>
      <c r="B690" s="41"/>
      <c r="C690" s="46"/>
      <c r="D690" s="41"/>
      <c r="E690" s="41"/>
      <c r="F690" s="41"/>
    </row>
    <row r="691" ht="15.75" customHeight="1">
      <c r="A691" s="41"/>
      <c r="B691" s="41"/>
      <c r="C691" s="46"/>
      <c r="D691" s="41"/>
      <c r="E691" s="41"/>
      <c r="F691" s="41"/>
    </row>
    <row r="692" ht="15.75" customHeight="1">
      <c r="A692" s="41"/>
      <c r="B692" s="41"/>
      <c r="C692" s="46"/>
      <c r="D692" s="41"/>
      <c r="E692" s="41"/>
      <c r="F692" s="41"/>
    </row>
    <row r="693" ht="15.75" customHeight="1">
      <c r="A693" s="41"/>
      <c r="B693" s="41"/>
      <c r="C693" s="46"/>
      <c r="D693" s="41"/>
      <c r="E693" s="41"/>
      <c r="F693" s="41"/>
    </row>
    <row r="694" ht="15.75" customHeight="1">
      <c r="A694" s="41"/>
      <c r="B694" s="41"/>
      <c r="C694" s="46"/>
      <c r="D694" s="41"/>
      <c r="E694" s="41"/>
      <c r="F694" s="41"/>
    </row>
    <row r="695" ht="15.75" customHeight="1">
      <c r="A695" s="41"/>
      <c r="B695" s="41"/>
      <c r="C695" s="46"/>
      <c r="D695" s="41"/>
      <c r="E695" s="41"/>
      <c r="F695" s="41"/>
    </row>
    <row r="696" ht="15.75" customHeight="1">
      <c r="A696" s="41"/>
      <c r="B696" s="41"/>
      <c r="C696" s="46"/>
      <c r="D696" s="41"/>
      <c r="E696" s="41"/>
      <c r="F696" s="41"/>
    </row>
    <row r="697" ht="15.75" customHeight="1">
      <c r="A697" s="41"/>
      <c r="B697" s="41"/>
      <c r="C697" s="46"/>
      <c r="D697" s="41"/>
      <c r="E697" s="41"/>
      <c r="F697" s="41"/>
    </row>
    <row r="698" ht="15.75" customHeight="1">
      <c r="A698" s="41"/>
      <c r="B698" s="41"/>
      <c r="C698" s="46"/>
      <c r="D698" s="41"/>
      <c r="E698" s="41"/>
      <c r="F698" s="41"/>
    </row>
    <row r="699" ht="15.75" customHeight="1">
      <c r="A699" s="41"/>
      <c r="B699" s="41"/>
      <c r="C699" s="46"/>
      <c r="D699" s="41"/>
      <c r="E699" s="41"/>
      <c r="F699" s="41"/>
    </row>
    <row r="700" ht="15.75" customHeight="1">
      <c r="A700" s="41"/>
      <c r="B700" s="41"/>
      <c r="C700" s="46"/>
      <c r="D700" s="41"/>
      <c r="E700" s="41"/>
      <c r="F700" s="41"/>
    </row>
    <row r="701" ht="15.75" customHeight="1">
      <c r="A701" s="41"/>
      <c r="B701" s="41"/>
      <c r="C701" s="46"/>
      <c r="D701" s="41"/>
      <c r="E701" s="41"/>
      <c r="F701" s="41"/>
    </row>
    <row r="702" ht="15.75" customHeight="1">
      <c r="A702" s="41"/>
      <c r="B702" s="41"/>
      <c r="C702" s="46"/>
      <c r="D702" s="41"/>
      <c r="E702" s="41"/>
      <c r="F702" s="41"/>
    </row>
    <row r="703" ht="15.75" customHeight="1">
      <c r="A703" s="41"/>
      <c r="B703" s="41"/>
      <c r="C703" s="46"/>
      <c r="D703" s="41"/>
      <c r="E703" s="41"/>
      <c r="F703" s="41"/>
    </row>
    <row r="704" ht="15.75" customHeight="1">
      <c r="A704" s="41"/>
      <c r="B704" s="41"/>
      <c r="C704" s="46"/>
      <c r="D704" s="41"/>
      <c r="E704" s="41"/>
      <c r="F704" s="41"/>
    </row>
    <row r="705" ht="15.75" customHeight="1">
      <c r="A705" s="41"/>
      <c r="B705" s="41"/>
      <c r="C705" s="46"/>
      <c r="D705" s="41"/>
      <c r="E705" s="41"/>
      <c r="F705" s="41"/>
    </row>
    <row r="706" ht="15.75" customHeight="1">
      <c r="A706" s="41"/>
      <c r="B706" s="41"/>
      <c r="C706" s="46"/>
      <c r="D706" s="41"/>
      <c r="E706" s="41"/>
      <c r="F706" s="41"/>
    </row>
    <row r="707" ht="15.75" customHeight="1">
      <c r="A707" s="41"/>
      <c r="B707" s="41"/>
      <c r="C707" s="46"/>
      <c r="D707" s="41"/>
      <c r="E707" s="41"/>
      <c r="F707" s="41"/>
    </row>
    <row r="708" ht="15.75" customHeight="1">
      <c r="A708" s="41"/>
      <c r="B708" s="41"/>
      <c r="C708" s="46"/>
      <c r="D708" s="41"/>
      <c r="E708" s="41"/>
      <c r="F708" s="41"/>
    </row>
    <row r="709" ht="15.75" customHeight="1">
      <c r="A709" s="41"/>
      <c r="B709" s="41"/>
      <c r="C709" s="46"/>
      <c r="D709" s="41"/>
      <c r="E709" s="41"/>
      <c r="F709" s="41"/>
    </row>
    <row r="710" ht="15.75" customHeight="1">
      <c r="A710" s="41"/>
      <c r="B710" s="41"/>
      <c r="C710" s="46"/>
      <c r="D710" s="41"/>
      <c r="E710" s="41"/>
      <c r="F710" s="41"/>
    </row>
    <row r="711" ht="15.75" customHeight="1">
      <c r="A711" s="41"/>
      <c r="B711" s="41"/>
      <c r="C711" s="46"/>
      <c r="D711" s="41"/>
      <c r="E711" s="41"/>
      <c r="F711" s="41"/>
    </row>
    <row r="712" ht="15.75" customHeight="1">
      <c r="A712" s="41"/>
      <c r="B712" s="41"/>
      <c r="C712" s="46"/>
      <c r="D712" s="41"/>
      <c r="E712" s="41"/>
      <c r="F712" s="41"/>
    </row>
    <row r="713" ht="15.75" customHeight="1">
      <c r="A713" s="41"/>
      <c r="B713" s="41"/>
      <c r="C713" s="46"/>
      <c r="D713" s="41"/>
      <c r="E713" s="41"/>
      <c r="F713" s="41"/>
    </row>
    <row r="714" ht="15.75" customHeight="1">
      <c r="A714" s="41"/>
      <c r="B714" s="41"/>
      <c r="C714" s="46"/>
      <c r="D714" s="41"/>
      <c r="E714" s="41"/>
      <c r="F714" s="41"/>
    </row>
    <row r="715" ht="15.75" customHeight="1">
      <c r="A715" s="41"/>
      <c r="B715" s="41"/>
      <c r="C715" s="46"/>
      <c r="D715" s="41"/>
      <c r="E715" s="41"/>
      <c r="F715" s="41"/>
    </row>
    <row r="716" ht="15.75" customHeight="1">
      <c r="A716" s="41"/>
      <c r="B716" s="41"/>
      <c r="C716" s="46"/>
      <c r="D716" s="41"/>
      <c r="E716" s="41"/>
      <c r="F716" s="41"/>
    </row>
    <row r="717" ht="15.75" customHeight="1">
      <c r="A717" s="41"/>
      <c r="B717" s="41"/>
      <c r="C717" s="46"/>
      <c r="D717" s="41"/>
      <c r="E717" s="41"/>
      <c r="F717" s="41"/>
    </row>
    <row r="718" ht="15.75" customHeight="1">
      <c r="A718" s="41"/>
      <c r="B718" s="41"/>
      <c r="C718" s="46"/>
      <c r="D718" s="41"/>
      <c r="E718" s="41"/>
      <c r="F718" s="41"/>
    </row>
    <row r="719" ht="15.75" customHeight="1">
      <c r="A719" s="41"/>
      <c r="B719" s="41"/>
      <c r="C719" s="46"/>
      <c r="D719" s="41"/>
      <c r="E719" s="41"/>
      <c r="F719" s="41"/>
    </row>
    <row r="720" ht="15.75" customHeight="1">
      <c r="A720" s="41"/>
      <c r="B720" s="41"/>
      <c r="C720" s="46"/>
      <c r="D720" s="41"/>
      <c r="E720" s="41"/>
      <c r="F720" s="41"/>
    </row>
    <row r="721" ht="15.75" customHeight="1">
      <c r="A721" s="41"/>
      <c r="B721" s="41"/>
      <c r="C721" s="46"/>
      <c r="D721" s="41"/>
      <c r="E721" s="41"/>
      <c r="F721" s="41"/>
    </row>
    <row r="722" ht="15.75" customHeight="1">
      <c r="A722" s="41"/>
      <c r="B722" s="41"/>
      <c r="C722" s="46"/>
      <c r="D722" s="41"/>
      <c r="E722" s="41"/>
      <c r="F722" s="41"/>
    </row>
    <row r="723" ht="15.75" customHeight="1">
      <c r="A723" s="41"/>
      <c r="B723" s="41"/>
      <c r="C723" s="46"/>
      <c r="D723" s="41"/>
      <c r="E723" s="41"/>
      <c r="F723" s="41"/>
    </row>
    <row r="724" ht="15.75" customHeight="1">
      <c r="A724" s="41"/>
      <c r="B724" s="41"/>
      <c r="C724" s="46"/>
      <c r="D724" s="41"/>
      <c r="E724" s="41"/>
      <c r="F724" s="41"/>
    </row>
    <row r="725" ht="15.75" customHeight="1">
      <c r="A725" s="41"/>
      <c r="B725" s="41"/>
      <c r="C725" s="46"/>
      <c r="D725" s="41"/>
      <c r="E725" s="41"/>
      <c r="F725" s="41"/>
    </row>
    <row r="726" ht="15.75" customHeight="1">
      <c r="A726" s="41"/>
      <c r="B726" s="41"/>
      <c r="C726" s="46"/>
      <c r="D726" s="41"/>
      <c r="E726" s="41"/>
      <c r="F726" s="41"/>
    </row>
    <row r="727" ht="15.75" customHeight="1">
      <c r="A727" s="41"/>
      <c r="B727" s="41"/>
      <c r="C727" s="46"/>
      <c r="D727" s="41"/>
      <c r="E727" s="41"/>
      <c r="F727" s="41"/>
    </row>
    <row r="728" ht="15.75" customHeight="1">
      <c r="A728" s="41"/>
      <c r="B728" s="41"/>
      <c r="C728" s="46"/>
      <c r="D728" s="41"/>
      <c r="E728" s="41"/>
      <c r="F728" s="41"/>
    </row>
    <row r="729" ht="15.75" customHeight="1">
      <c r="A729" s="41"/>
      <c r="B729" s="41"/>
      <c r="C729" s="46"/>
      <c r="D729" s="41"/>
      <c r="E729" s="41"/>
      <c r="F729" s="41"/>
    </row>
    <row r="730" ht="15.75" customHeight="1">
      <c r="A730" s="41"/>
      <c r="B730" s="41"/>
      <c r="C730" s="46"/>
      <c r="D730" s="41"/>
      <c r="E730" s="41"/>
      <c r="F730" s="41"/>
    </row>
    <row r="731" ht="15.75" customHeight="1">
      <c r="A731" s="41"/>
      <c r="B731" s="41"/>
      <c r="C731" s="46"/>
      <c r="D731" s="41"/>
      <c r="E731" s="41"/>
      <c r="F731" s="41"/>
    </row>
    <row r="732" ht="15.75" customHeight="1">
      <c r="A732" s="41"/>
      <c r="B732" s="41"/>
      <c r="C732" s="46"/>
      <c r="D732" s="41"/>
      <c r="E732" s="41"/>
      <c r="F732" s="41"/>
    </row>
    <row r="733" ht="15.75" customHeight="1">
      <c r="A733" s="41"/>
      <c r="B733" s="41"/>
      <c r="C733" s="46"/>
      <c r="D733" s="41"/>
      <c r="E733" s="41"/>
      <c r="F733" s="41"/>
    </row>
    <row r="734" ht="15.75" customHeight="1">
      <c r="A734" s="41"/>
      <c r="B734" s="41"/>
      <c r="C734" s="46"/>
      <c r="D734" s="41"/>
      <c r="E734" s="41"/>
      <c r="F734" s="41"/>
    </row>
    <row r="735" ht="15.75" customHeight="1">
      <c r="A735" s="41"/>
      <c r="B735" s="41"/>
      <c r="C735" s="46"/>
      <c r="D735" s="41"/>
      <c r="E735" s="41"/>
      <c r="F735" s="41"/>
    </row>
    <row r="736" ht="15.75" customHeight="1">
      <c r="A736" s="41"/>
      <c r="B736" s="41"/>
      <c r="C736" s="46"/>
      <c r="D736" s="41"/>
      <c r="E736" s="41"/>
      <c r="F736" s="41"/>
    </row>
    <row r="737" ht="15.75" customHeight="1">
      <c r="A737" s="41"/>
      <c r="B737" s="41"/>
      <c r="C737" s="46"/>
      <c r="D737" s="41"/>
      <c r="E737" s="41"/>
      <c r="F737" s="41"/>
    </row>
    <row r="738" ht="15.75" customHeight="1">
      <c r="A738" s="41"/>
      <c r="B738" s="41"/>
      <c r="C738" s="46"/>
      <c r="D738" s="41"/>
      <c r="E738" s="41"/>
      <c r="F738" s="41"/>
    </row>
    <row r="739" ht="15.75" customHeight="1">
      <c r="A739" s="41"/>
      <c r="B739" s="41"/>
      <c r="C739" s="46"/>
      <c r="D739" s="41"/>
      <c r="E739" s="41"/>
      <c r="F739" s="41"/>
    </row>
    <row r="740" ht="15.75" customHeight="1">
      <c r="A740" s="41"/>
      <c r="B740" s="41"/>
      <c r="C740" s="46"/>
      <c r="D740" s="41"/>
      <c r="E740" s="41"/>
      <c r="F740" s="41"/>
    </row>
    <row r="741" ht="15.75" customHeight="1">
      <c r="A741" s="41"/>
      <c r="B741" s="41"/>
      <c r="C741" s="46"/>
      <c r="D741" s="41"/>
      <c r="E741" s="41"/>
      <c r="F741" s="41"/>
    </row>
    <row r="742" ht="15.75" customHeight="1">
      <c r="A742" s="41"/>
      <c r="B742" s="41"/>
      <c r="C742" s="46"/>
      <c r="D742" s="41"/>
      <c r="E742" s="41"/>
      <c r="F742" s="41"/>
    </row>
    <row r="743" ht="15.75" customHeight="1">
      <c r="A743" s="41"/>
      <c r="B743" s="41"/>
      <c r="C743" s="46"/>
      <c r="D743" s="41"/>
      <c r="E743" s="41"/>
      <c r="F743" s="41"/>
    </row>
    <row r="744" ht="15.75" customHeight="1">
      <c r="A744" s="41"/>
      <c r="B744" s="41"/>
      <c r="C744" s="46"/>
      <c r="D744" s="41"/>
      <c r="E744" s="41"/>
      <c r="F744" s="41"/>
    </row>
    <row r="745" ht="15.75" customHeight="1">
      <c r="A745" s="41"/>
      <c r="B745" s="41"/>
      <c r="C745" s="46"/>
      <c r="D745" s="41"/>
      <c r="E745" s="41"/>
      <c r="F745" s="41"/>
    </row>
    <row r="746" ht="15.75" customHeight="1">
      <c r="A746" s="41"/>
      <c r="B746" s="41"/>
      <c r="C746" s="46"/>
      <c r="D746" s="41"/>
      <c r="E746" s="41"/>
      <c r="F746" s="41"/>
    </row>
    <row r="747" ht="15.75" customHeight="1">
      <c r="A747" s="41"/>
      <c r="B747" s="41"/>
      <c r="C747" s="46"/>
      <c r="D747" s="41"/>
      <c r="E747" s="41"/>
      <c r="F747" s="41"/>
    </row>
    <row r="748" ht="15.75" customHeight="1">
      <c r="A748" s="41"/>
      <c r="B748" s="41"/>
      <c r="C748" s="46"/>
      <c r="D748" s="41"/>
      <c r="E748" s="41"/>
      <c r="F748" s="41"/>
    </row>
    <row r="749" ht="15.75" customHeight="1">
      <c r="A749" s="41"/>
      <c r="B749" s="41"/>
      <c r="C749" s="46"/>
      <c r="D749" s="41"/>
      <c r="E749" s="41"/>
      <c r="F749" s="41"/>
    </row>
    <row r="750" ht="15.75" customHeight="1">
      <c r="A750" s="41"/>
      <c r="B750" s="41"/>
      <c r="C750" s="46"/>
      <c r="D750" s="41"/>
      <c r="E750" s="41"/>
      <c r="F750" s="41"/>
    </row>
    <row r="751" ht="15.75" customHeight="1">
      <c r="A751" s="41"/>
      <c r="B751" s="41"/>
      <c r="C751" s="46"/>
      <c r="D751" s="41"/>
      <c r="E751" s="41"/>
      <c r="F751" s="41"/>
    </row>
    <row r="752" ht="15.75" customHeight="1">
      <c r="A752" s="41"/>
      <c r="B752" s="41"/>
      <c r="C752" s="46"/>
      <c r="D752" s="41"/>
      <c r="E752" s="41"/>
      <c r="F752" s="41"/>
    </row>
    <row r="753" ht="15.75" customHeight="1">
      <c r="A753" s="41"/>
      <c r="B753" s="41"/>
      <c r="C753" s="46"/>
      <c r="D753" s="41"/>
      <c r="E753" s="41"/>
      <c r="F753" s="41"/>
    </row>
    <row r="754" ht="15.75" customHeight="1">
      <c r="A754" s="41"/>
      <c r="B754" s="41"/>
      <c r="C754" s="46"/>
      <c r="D754" s="41"/>
      <c r="E754" s="41"/>
      <c r="F754" s="41"/>
    </row>
    <row r="755" ht="15.75" customHeight="1">
      <c r="A755" s="41"/>
      <c r="B755" s="41"/>
      <c r="C755" s="46"/>
      <c r="D755" s="41"/>
      <c r="E755" s="41"/>
      <c r="F755" s="41"/>
    </row>
    <row r="756" ht="15.75" customHeight="1">
      <c r="A756" s="41"/>
      <c r="B756" s="41"/>
      <c r="C756" s="46"/>
      <c r="D756" s="41"/>
      <c r="E756" s="41"/>
      <c r="F756" s="41"/>
    </row>
    <row r="757" ht="15.75" customHeight="1">
      <c r="A757" s="41"/>
      <c r="B757" s="41"/>
      <c r="C757" s="46"/>
      <c r="D757" s="41"/>
      <c r="E757" s="41"/>
      <c r="F757" s="41"/>
    </row>
    <row r="758" ht="15.75" customHeight="1">
      <c r="A758" s="41"/>
      <c r="B758" s="41"/>
      <c r="C758" s="46"/>
      <c r="D758" s="41"/>
      <c r="E758" s="41"/>
      <c r="F758" s="41"/>
    </row>
    <row r="759" ht="15.75" customHeight="1">
      <c r="A759" s="41"/>
      <c r="B759" s="41"/>
      <c r="C759" s="46"/>
      <c r="D759" s="41"/>
      <c r="E759" s="41"/>
      <c r="F759" s="41"/>
    </row>
    <row r="760" ht="15.75" customHeight="1">
      <c r="A760" s="41"/>
      <c r="B760" s="41"/>
      <c r="C760" s="46"/>
      <c r="D760" s="41"/>
      <c r="E760" s="41"/>
      <c r="F760" s="41"/>
    </row>
    <row r="761" ht="15.75" customHeight="1">
      <c r="A761" s="41"/>
      <c r="B761" s="41"/>
      <c r="C761" s="46"/>
      <c r="D761" s="41"/>
      <c r="E761" s="41"/>
      <c r="F761" s="41"/>
    </row>
    <row r="762" ht="15.75" customHeight="1">
      <c r="A762" s="41"/>
      <c r="B762" s="41"/>
      <c r="C762" s="46"/>
      <c r="D762" s="41"/>
      <c r="E762" s="41"/>
      <c r="F762" s="41"/>
    </row>
    <row r="763" ht="15.75" customHeight="1">
      <c r="A763" s="41"/>
      <c r="B763" s="41"/>
      <c r="C763" s="46"/>
      <c r="D763" s="41"/>
      <c r="E763" s="41"/>
      <c r="F763" s="41"/>
    </row>
    <row r="764" ht="15.75" customHeight="1">
      <c r="A764" s="41"/>
      <c r="B764" s="41"/>
      <c r="C764" s="46"/>
      <c r="D764" s="41"/>
      <c r="E764" s="41"/>
      <c r="F764" s="41"/>
    </row>
    <row r="765" ht="15.75" customHeight="1">
      <c r="A765" s="41"/>
      <c r="B765" s="41"/>
      <c r="C765" s="46"/>
      <c r="D765" s="41"/>
      <c r="E765" s="41"/>
      <c r="F765" s="41"/>
    </row>
    <row r="766" ht="15.75" customHeight="1">
      <c r="A766" s="41"/>
      <c r="B766" s="41"/>
      <c r="C766" s="46"/>
      <c r="D766" s="41"/>
      <c r="E766" s="41"/>
      <c r="F766" s="41"/>
    </row>
    <row r="767" ht="15.75" customHeight="1">
      <c r="A767" s="41"/>
      <c r="B767" s="41"/>
      <c r="C767" s="46"/>
      <c r="D767" s="41"/>
      <c r="E767" s="41"/>
      <c r="F767" s="41"/>
    </row>
    <row r="768" ht="15.75" customHeight="1">
      <c r="A768" s="41"/>
      <c r="B768" s="41"/>
      <c r="C768" s="46"/>
      <c r="D768" s="41"/>
      <c r="E768" s="41"/>
      <c r="F768" s="41"/>
    </row>
    <row r="769" ht="15.75" customHeight="1">
      <c r="A769" s="41"/>
      <c r="B769" s="41"/>
      <c r="C769" s="46"/>
      <c r="D769" s="41"/>
      <c r="E769" s="41"/>
      <c r="F769" s="41"/>
    </row>
    <row r="770" ht="15.75" customHeight="1">
      <c r="A770" s="41"/>
      <c r="B770" s="41"/>
      <c r="C770" s="46"/>
      <c r="D770" s="41"/>
      <c r="E770" s="41"/>
      <c r="F770" s="41"/>
    </row>
    <row r="771" ht="15.75" customHeight="1">
      <c r="A771" s="41"/>
      <c r="B771" s="41"/>
      <c r="C771" s="46"/>
      <c r="D771" s="41"/>
      <c r="E771" s="41"/>
      <c r="F771" s="41"/>
    </row>
    <row r="772" ht="15.75" customHeight="1">
      <c r="A772" s="41"/>
      <c r="B772" s="41"/>
      <c r="C772" s="46"/>
      <c r="D772" s="41"/>
      <c r="E772" s="41"/>
      <c r="F772" s="41"/>
    </row>
    <row r="773" ht="15.75" customHeight="1">
      <c r="A773" s="41"/>
      <c r="B773" s="41"/>
      <c r="C773" s="46"/>
      <c r="D773" s="41"/>
      <c r="E773" s="41"/>
      <c r="F773" s="41"/>
    </row>
    <row r="774" ht="15.75" customHeight="1">
      <c r="A774" s="41"/>
      <c r="B774" s="41"/>
      <c r="C774" s="46"/>
      <c r="D774" s="41"/>
      <c r="E774" s="41"/>
      <c r="F774" s="41"/>
    </row>
    <row r="775" ht="15.75" customHeight="1">
      <c r="A775" s="41"/>
      <c r="B775" s="41"/>
      <c r="C775" s="46"/>
      <c r="D775" s="41"/>
      <c r="E775" s="41"/>
      <c r="F775" s="41"/>
    </row>
    <row r="776" ht="15.75" customHeight="1">
      <c r="A776" s="41"/>
      <c r="B776" s="41"/>
      <c r="C776" s="46"/>
      <c r="D776" s="41"/>
      <c r="E776" s="41"/>
      <c r="F776" s="41"/>
    </row>
    <row r="777" ht="15.75" customHeight="1">
      <c r="A777" s="41"/>
      <c r="B777" s="41"/>
      <c r="C777" s="46"/>
      <c r="D777" s="41"/>
      <c r="E777" s="41"/>
      <c r="F777" s="41"/>
    </row>
    <row r="778" ht="15.75" customHeight="1">
      <c r="A778" s="41"/>
      <c r="B778" s="41"/>
      <c r="C778" s="46"/>
      <c r="D778" s="41"/>
      <c r="E778" s="41"/>
      <c r="F778" s="41"/>
    </row>
    <row r="779" ht="15.75" customHeight="1">
      <c r="A779" s="41"/>
      <c r="B779" s="41"/>
      <c r="C779" s="46"/>
      <c r="D779" s="41"/>
      <c r="E779" s="41"/>
      <c r="F779" s="41"/>
    </row>
    <row r="780" ht="15.75" customHeight="1">
      <c r="A780" s="41"/>
      <c r="B780" s="41"/>
      <c r="C780" s="46"/>
      <c r="D780" s="41"/>
      <c r="E780" s="41"/>
      <c r="F780" s="41"/>
    </row>
    <row r="781" ht="15.75" customHeight="1">
      <c r="A781" s="41"/>
      <c r="B781" s="41"/>
      <c r="C781" s="46"/>
      <c r="D781" s="41"/>
      <c r="E781" s="41"/>
      <c r="F781" s="41"/>
    </row>
    <row r="782" ht="15.75" customHeight="1">
      <c r="A782" s="41"/>
      <c r="B782" s="41"/>
      <c r="C782" s="46"/>
      <c r="D782" s="41"/>
      <c r="E782" s="41"/>
      <c r="F782" s="41"/>
    </row>
    <row r="783" ht="15.75" customHeight="1">
      <c r="A783" s="41"/>
      <c r="B783" s="41"/>
      <c r="C783" s="46"/>
      <c r="D783" s="41"/>
      <c r="E783" s="41"/>
      <c r="F783" s="41"/>
    </row>
    <row r="784" ht="15.75" customHeight="1">
      <c r="A784" s="41"/>
      <c r="B784" s="41"/>
      <c r="C784" s="46"/>
      <c r="D784" s="41"/>
      <c r="E784" s="41"/>
      <c r="F784" s="41"/>
    </row>
    <row r="785" ht="15.75" customHeight="1">
      <c r="A785" s="41"/>
      <c r="B785" s="41"/>
      <c r="C785" s="46"/>
      <c r="D785" s="41"/>
      <c r="E785" s="41"/>
      <c r="F785" s="41"/>
    </row>
    <row r="786" ht="15.75" customHeight="1">
      <c r="A786" s="41"/>
      <c r="B786" s="41"/>
      <c r="C786" s="46"/>
      <c r="D786" s="41"/>
      <c r="E786" s="41"/>
      <c r="F786" s="41"/>
    </row>
    <row r="787" ht="15.75" customHeight="1">
      <c r="A787" s="41"/>
      <c r="B787" s="41"/>
      <c r="C787" s="46"/>
      <c r="D787" s="41"/>
      <c r="E787" s="41"/>
      <c r="F787" s="41"/>
    </row>
    <row r="788" ht="15.75" customHeight="1">
      <c r="A788" s="41"/>
      <c r="B788" s="41"/>
      <c r="C788" s="46"/>
      <c r="D788" s="41"/>
      <c r="E788" s="41"/>
      <c r="F788" s="41"/>
    </row>
    <row r="789" ht="15.75" customHeight="1">
      <c r="A789" s="41"/>
      <c r="B789" s="41"/>
      <c r="C789" s="46"/>
      <c r="D789" s="41"/>
      <c r="E789" s="41"/>
      <c r="F789" s="41"/>
    </row>
    <row r="790" ht="15.75" customHeight="1">
      <c r="A790" s="41"/>
      <c r="B790" s="41"/>
      <c r="C790" s="46"/>
      <c r="D790" s="41"/>
      <c r="E790" s="41"/>
      <c r="F790" s="41"/>
    </row>
    <row r="791" ht="15.75" customHeight="1">
      <c r="A791" s="41"/>
      <c r="B791" s="41"/>
      <c r="C791" s="46"/>
      <c r="D791" s="41"/>
      <c r="E791" s="41"/>
      <c r="F791" s="41"/>
    </row>
    <row r="792" ht="15.75" customHeight="1">
      <c r="A792" s="41"/>
      <c r="B792" s="41"/>
      <c r="C792" s="46"/>
      <c r="D792" s="41"/>
      <c r="E792" s="41"/>
      <c r="F792" s="41"/>
    </row>
    <row r="793" ht="15.75" customHeight="1">
      <c r="A793" s="41"/>
      <c r="B793" s="41"/>
      <c r="C793" s="46"/>
      <c r="D793" s="41"/>
      <c r="E793" s="41"/>
      <c r="F793" s="41"/>
    </row>
    <row r="794" ht="15.75" customHeight="1">
      <c r="A794" s="41"/>
      <c r="B794" s="41"/>
      <c r="C794" s="46"/>
      <c r="D794" s="41"/>
      <c r="E794" s="41"/>
      <c r="F794" s="41"/>
    </row>
    <row r="795" ht="15.75" customHeight="1">
      <c r="A795" s="41"/>
      <c r="B795" s="41"/>
      <c r="C795" s="46"/>
      <c r="D795" s="41"/>
      <c r="E795" s="41"/>
      <c r="F795" s="41"/>
    </row>
    <row r="796" ht="15.75" customHeight="1">
      <c r="A796" s="41"/>
      <c r="B796" s="41"/>
      <c r="C796" s="46"/>
      <c r="D796" s="41"/>
      <c r="E796" s="41"/>
      <c r="F796" s="41"/>
    </row>
    <row r="797" ht="15.75" customHeight="1">
      <c r="A797" s="41"/>
      <c r="B797" s="41"/>
      <c r="C797" s="46"/>
      <c r="D797" s="41"/>
      <c r="E797" s="41"/>
      <c r="F797" s="41"/>
    </row>
    <row r="798" ht="15.75" customHeight="1">
      <c r="A798" s="41"/>
      <c r="B798" s="41"/>
      <c r="C798" s="46"/>
      <c r="D798" s="41"/>
      <c r="E798" s="41"/>
      <c r="F798" s="41"/>
    </row>
    <row r="799" ht="15.75" customHeight="1">
      <c r="A799" s="41"/>
      <c r="B799" s="41"/>
      <c r="C799" s="46"/>
      <c r="D799" s="41"/>
      <c r="E799" s="41"/>
      <c r="F799" s="41"/>
    </row>
    <row r="800" ht="15.75" customHeight="1">
      <c r="A800" s="41"/>
      <c r="B800" s="41"/>
      <c r="C800" s="46"/>
      <c r="D800" s="41"/>
      <c r="E800" s="41"/>
      <c r="F800" s="41"/>
    </row>
    <row r="801" ht="15.75" customHeight="1">
      <c r="A801" s="41"/>
      <c r="B801" s="41"/>
      <c r="C801" s="46"/>
      <c r="D801" s="41"/>
      <c r="E801" s="41"/>
      <c r="F801" s="41"/>
    </row>
    <row r="802" ht="15.75" customHeight="1">
      <c r="A802" s="41"/>
      <c r="B802" s="41"/>
      <c r="C802" s="46"/>
      <c r="D802" s="41"/>
      <c r="E802" s="41"/>
      <c r="F802" s="41"/>
    </row>
    <row r="803" ht="15.75" customHeight="1">
      <c r="A803" s="41"/>
      <c r="B803" s="41"/>
      <c r="C803" s="46"/>
      <c r="D803" s="41"/>
      <c r="E803" s="41"/>
      <c r="F803" s="41"/>
    </row>
    <row r="804" ht="15.75" customHeight="1">
      <c r="A804" s="41"/>
      <c r="B804" s="41"/>
      <c r="C804" s="46"/>
      <c r="D804" s="41"/>
      <c r="E804" s="41"/>
      <c r="F804" s="41"/>
    </row>
    <row r="805" ht="15.75" customHeight="1">
      <c r="A805" s="41"/>
      <c r="B805" s="41"/>
      <c r="C805" s="46"/>
      <c r="D805" s="41"/>
      <c r="E805" s="41"/>
      <c r="F805" s="41"/>
    </row>
    <row r="806" ht="15.75" customHeight="1">
      <c r="A806" s="41"/>
      <c r="B806" s="41"/>
      <c r="C806" s="46"/>
      <c r="D806" s="41"/>
      <c r="E806" s="41"/>
      <c r="F806" s="41"/>
    </row>
    <row r="807" ht="15.75" customHeight="1">
      <c r="A807" s="41"/>
      <c r="B807" s="41"/>
      <c r="C807" s="46"/>
      <c r="D807" s="41"/>
      <c r="E807" s="41"/>
      <c r="F807" s="41"/>
    </row>
    <row r="808" ht="15.75" customHeight="1">
      <c r="A808" s="41"/>
      <c r="B808" s="41"/>
      <c r="C808" s="46"/>
      <c r="D808" s="41"/>
      <c r="E808" s="41"/>
      <c r="F808" s="41"/>
    </row>
    <row r="809" ht="15.75" customHeight="1">
      <c r="A809" s="41"/>
      <c r="B809" s="41"/>
      <c r="C809" s="46"/>
      <c r="D809" s="41"/>
      <c r="E809" s="41"/>
      <c r="F809" s="41"/>
    </row>
    <row r="810" ht="15.75" customHeight="1">
      <c r="A810" s="41"/>
      <c r="B810" s="41"/>
      <c r="C810" s="46"/>
      <c r="D810" s="41"/>
      <c r="E810" s="41"/>
      <c r="F810" s="41"/>
    </row>
    <row r="811" ht="15.75" customHeight="1">
      <c r="A811" s="41"/>
      <c r="B811" s="41"/>
      <c r="C811" s="46"/>
      <c r="D811" s="41"/>
      <c r="E811" s="41"/>
      <c r="F811" s="41"/>
    </row>
    <row r="812" ht="15.75" customHeight="1">
      <c r="A812" s="41"/>
      <c r="B812" s="41"/>
      <c r="C812" s="46"/>
      <c r="D812" s="41"/>
      <c r="E812" s="41"/>
      <c r="F812" s="41"/>
    </row>
    <row r="813" ht="15.75" customHeight="1">
      <c r="A813" s="41"/>
      <c r="B813" s="41"/>
      <c r="C813" s="46"/>
      <c r="D813" s="41"/>
      <c r="E813" s="41"/>
      <c r="F813" s="41"/>
    </row>
    <row r="814" ht="15.75" customHeight="1">
      <c r="A814" s="41"/>
      <c r="B814" s="41"/>
      <c r="C814" s="46"/>
      <c r="D814" s="41"/>
      <c r="E814" s="41"/>
      <c r="F814" s="41"/>
    </row>
    <row r="815" ht="15.75" customHeight="1">
      <c r="A815" s="41"/>
      <c r="B815" s="41"/>
      <c r="C815" s="46"/>
      <c r="D815" s="41"/>
      <c r="E815" s="41"/>
      <c r="F815" s="41"/>
    </row>
    <row r="816" ht="15.75" customHeight="1">
      <c r="A816" s="41"/>
      <c r="B816" s="41"/>
      <c r="C816" s="46"/>
      <c r="D816" s="41"/>
      <c r="E816" s="41"/>
      <c r="F816" s="41"/>
    </row>
    <row r="817" ht="15.75" customHeight="1">
      <c r="A817" s="41"/>
      <c r="B817" s="41"/>
      <c r="C817" s="46"/>
      <c r="D817" s="41"/>
      <c r="E817" s="41"/>
      <c r="F817" s="41"/>
    </row>
    <row r="818" ht="15.75" customHeight="1">
      <c r="A818" s="41"/>
      <c r="B818" s="41"/>
      <c r="C818" s="46"/>
      <c r="D818" s="41"/>
      <c r="E818" s="41"/>
      <c r="F818" s="41"/>
    </row>
    <row r="819" ht="15.75" customHeight="1">
      <c r="A819" s="41"/>
      <c r="B819" s="41"/>
      <c r="C819" s="46"/>
      <c r="D819" s="41"/>
      <c r="E819" s="41"/>
      <c r="F819" s="41"/>
    </row>
    <row r="820" ht="15.75" customHeight="1">
      <c r="A820" s="41"/>
      <c r="B820" s="41"/>
      <c r="C820" s="46"/>
      <c r="D820" s="41"/>
      <c r="E820" s="41"/>
      <c r="F820" s="41"/>
    </row>
    <row r="821" ht="15.75" customHeight="1">
      <c r="A821" s="41"/>
      <c r="B821" s="41"/>
      <c r="C821" s="46"/>
      <c r="D821" s="41"/>
      <c r="E821" s="41"/>
      <c r="F821" s="41"/>
    </row>
    <row r="822" ht="15.75" customHeight="1">
      <c r="A822" s="41"/>
      <c r="B822" s="41"/>
      <c r="C822" s="46"/>
      <c r="D822" s="41"/>
      <c r="E822" s="41"/>
      <c r="F822" s="41"/>
    </row>
    <row r="823" ht="15.75" customHeight="1">
      <c r="A823" s="41"/>
      <c r="B823" s="41"/>
      <c r="C823" s="46"/>
      <c r="D823" s="41"/>
      <c r="E823" s="41"/>
      <c r="F823" s="41"/>
    </row>
    <row r="824" ht="15.75" customHeight="1">
      <c r="A824" s="41"/>
      <c r="B824" s="41"/>
      <c r="C824" s="46"/>
      <c r="D824" s="41"/>
      <c r="E824" s="41"/>
      <c r="F824" s="41"/>
    </row>
    <row r="825" ht="15.75" customHeight="1">
      <c r="A825" s="41"/>
      <c r="B825" s="41"/>
      <c r="C825" s="46"/>
      <c r="D825" s="41"/>
      <c r="E825" s="41"/>
      <c r="F825" s="41"/>
    </row>
    <row r="826" ht="15.75" customHeight="1">
      <c r="A826" s="41"/>
      <c r="B826" s="41"/>
      <c r="C826" s="46"/>
      <c r="D826" s="41"/>
      <c r="E826" s="41"/>
      <c r="F826" s="41"/>
    </row>
    <row r="827" ht="15.75" customHeight="1">
      <c r="A827" s="41"/>
      <c r="B827" s="41"/>
      <c r="C827" s="46"/>
      <c r="D827" s="41"/>
      <c r="E827" s="41"/>
      <c r="F827" s="41"/>
    </row>
    <row r="828" ht="15.75" customHeight="1">
      <c r="A828" s="41"/>
      <c r="B828" s="41"/>
      <c r="C828" s="46"/>
      <c r="D828" s="41"/>
      <c r="E828" s="41"/>
      <c r="F828" s="41"/>
    </row>
    <row r="829" ht="15.75" customHeight="1">
      <c r="A829" s="41"/>
      <c r="B829" s="41"/>
      <c r="C829" s="46"/>
      <c r="D829" s="41"/>
      <c r="E829" s="41"/>
      <c r="F829" s="41"/>
    </row>
    <row r="830" ht="15.75" customHeight="1">
      <c r="A830" s="41"/>
      <c r="B830" s="41"/>
      <c r="C830" s="46"/>
      <c r="D830" s="41"/>
      <c r="E830" s="41"/>
      <c r="F830" s="41"/>
    </row>
    <row r="831" ht="15.75" customHeight="1">
      <c r="A831" s="41"/>
      <c r="B831" s="41"/>
      <c r="C831" s="46"/>
      <c r="D831" s="41"/>
      <c r="E831" s="41"/>
      <c r="F831" s="41"/>
    </row>
    <row r="832" ht="15.75" customHeight="1">
      <c r="A832" s="41"/>
      <c r="B832" s="41"/>
      <c r="C832" s="46"/>
      <c r="D832" s="41"/>
      <c r="E832" s="41"/>
      <c r="F832" s="41"/>
    </row>
    <row r="833" ht="15.75" customHeight="1">
      <c r="A833" s="41"/>
      <c r="B833" s="41"/>
      <c r="C833" s="46"/>
      <c r="D833" s="41"/>
      <c r="E833" s="41"/>
      <c r="F833" s="41"/>
    </row>
    <row r="834" ht="15.75" customHeight="1">
      <c r="A834" s="41"/>
      <c r="B834" s="41"/>
      <c r="C834" s="46"/>
      <c r="D834" s="41"/>
      <c r="E834" s="41"/>
      <c r="F834" s="41"/>
    </row>
    <row r="835" ht="15.75" customHeight="1">
      <c r="A835" s="41"/>
      <c r="B835" s="41"/>
      <c r="C835" s="46"/>
      <c r="D835" s="41"/>
      <c r="E835" s="41"/>
      <c r="F835" s="41"/>
    </row>
    <row r="836" ht="15.75" customHeight="1">
      <c r="A836" s="41"/>
      <c r="B836" s="41"/>
      <c r="C836" s="46"/>
      <c r="D836" s="41"/>
      <c r="E836" s="41"/>
      <c r="F836" s="41"/>
    </row>
    <row r="837" ht="15.75" customHeight="1">
      <c r="A837" s="41"/>
      <c r="B837" s="41"/>
      <c r="C837" s="46"/>
      <c r="D837" s="41"/>
      <c r="E837" s="41"/>
      <c r="F837" s="41"/>
    </row>
    <row r="838" ht="15.75" customHeight="1">
      <c r="A838" s="41"/>
      <c r="B838" s="41"/>
      <c r="C838" s="46"/>
      <c r="D838" s="41"/>
      <c r="E838" s="41"/>
      <c r="F838" s="41"/>
    </row>
    <row r="839" ht="15.75" customHeight="1">
      <c r="A839" s="41"/>
      <c r="B839" s="41"/>
      <c r="C839" s="46"/>
      <c r="D839" s="41"/>
      <c r="E839" s="41"/>
      <c r="F839" s="41"/>
    </row>
    <row r="840" ht="15.75" customHeight="1">
      <c r="A840" s="41"/>
      <c r="B840" s="41"/>
      <c r="C840" s="46"/>
      <c r="D840" s="41"/>
      <c r="E840" s="41"/>
      <c r="F840" s="41"/>
    </row>
    <row r="841" ht="15.75" customHeight="1">
      <c r="A841" s="41"/>
      <c r="B841" s="41"/>
      <c r="C841" s="46"/>
      <c r="D841" s="41"/>
      <c r="E841" s="41"/>
      <c r="F841" s="41"/>
    </row>
    <row r="842" ht="15.75" customHeight="1">
      <c r="A842" s="41"/>
      <c r="B842" s="41"/>
      <c r="C842" s="46"/>
      <c r="D842" s="41"/>
      <c r="E842" s="41"/>
      <c r="F842" s="41"/>
    </row>
    <row r="843" ht="15.75" customHeight="1">
      <c r="A843" s="41"/>
      <c r="B843" s="41"/>
      <c r="C843" s="46"/>
      <c r="D843" s="41"/>
      <c r="E843" s="41"/>
      <c r="F843" s="41"/>
    </row>
    <row r="844" ht="15.75" customHeight="1">
      <c r="A844" s="41"/>
      <c r="B844" s="41"/>
      <c r="C844" s="46"/>
      <c r="D844" s="41"/>
      <c r="E844" s="41"/>
      <c r="F844" s="41"/>
    </row>
    <row r="845" ht="15.75" customHeight="1">
      <c r="A845" s="41"/>
      <c r="B845" s="41"/>
      <c r="C845" s="46"/>
      <c r="D845" s="41"/>
      <c r="E845" s="41"/>
      <c r="F845" s="41"/>
    </row>
    <row r="846" ht="15.75" customHeight="1">
      <c r="A846" s="41"/>
      <c r="B846" s="41"/>
      <c r="C846" s="46"/>
      <c r="D846" s="41"/>
      <c r="E846" s="41"/>
      <c r="F846" s="41"/>
    </row>
    <row r="847" ht="15.75" customHeight="1">
      <c r="A847" s="41"/>
      <c r="B847" s="41"/>
      <c r="C847" s="46"/>
      <c r="D847" s="41"/>
      <c r="E847" s="41"/>
      <c r="F847" s="41"/>
    </row>
    <row r="848" ht="15.75" customHeight="1">
      <c r="A848" s="41"/>
      <c r="B848" s="41"/>
      <c r="C848" s="46"/>
      <c r="D848" s="41"/>
      <c r="E848" s="41"/>
      <c r="F848" s="41"/>
    </row>
    <row r="849" ht="15.75" customHeight="1">
      <c r="A849" s="41"/>
      <c r="B849" s="41"/>
      <c r="C849" s="46"/>
      <c r="D849" s="41"/>
      <c r="E849" s="41"/>
      <c r="F849" s="41"/>
    </row>
    <row r="850" ht="15.75" customHeight="1">
      <c r="A850" s="41"/>
      <c r="B850" s="41"/>
      <c r="C850" s="46"/>
      <c r="D850" s="41"/>
      <c r="E850" s="41"/>
      <c r="F850" s="41"/>
    </row>
    <row r="851" ht="15.75" customHeight="1">
      <c r="A851" s="41"/>
      <c r="B851" s="41"/>
      <c r="C851" s="46"/>
      <c r="D851" s="41"/>
      <c r="E851" s="41"/>
      <c r="F851" s="41"/>
    </row>
    <row r="852" ht="15.75" customHeight="1">
      <c r="A852" s="41"/>
      <c r="B852" s="41"/>
      <c r="C852" s="46"/>
      <c r="D852" s="41"/>
      <c r="E852" s="41"/>
      <c r="F852" s="41"/>
    </row>
    <row r="853" ht="15.75" customHeight="1">
      <c r="A853" s="41"/>
      <c r="B853" s="41"/>
      <c r="C853" s="46"/>
      <c r="D853" s="41"/>
      <c r="E853" s="41"/>
      <c r="F853" s="41"/>
    </row>
    <row r="854" ht="15.75" customHeight="1">
      <c r="A854" s="41"/>
      <c r="B854" s="41"/>
      <c r="C854" s="46"/>
      <c r="D854" s="41"/>
      <c r="E854" s="41"/>
      <c r="F854" s="41"/>
    </row>
    <row r="855" ht="15.75" customHeight="1">
      <c r="A855" s="41"/>
      <c r="B855" s="41"/>
      <c r="C855" s="46"/>
      <c r="D855" s="41"/>
      <c r="E855" s="41"/>
      <c r="F855" s="41"/>
    </row>
    <row r="856" ht="15.75" customHeight="1">
      <c r="A856" s="41"/>
      <c r="B856" s="41"/>
      <c r="C856" s="46"/>
      <c r="D856" s="41"/>
      <c r="E856" s="41"/>
      <c r="F856" s="41"/>
    </row>
    <row r="857" ht="15.75" customHeight="1">
      <c r="A857" s="41"/>
      <c r="B857" s="41"/>
      <c r="C857" s="46"/>
      <c r="D857" s="41"/>
      <c r="E857" s="41"/>
      <c r="F857" s="41"/>
    </row>
    <row r="858" ht="15.75" customHeight="1">
      <c r="A858" s="41"/>
      <c r="B858" s="41"/>
      <c r="C858" s="46"/>
      <c r="D858" s="41"/>
      <c r="E858" s="41"/>
      <c r="F858" s="41"/>
    </row>
    <row r="859" ht="15.75" customHeight="1">
      <c r="A859" s="41"/>
      <c r="B859" s="41"/>
      <c r="C859" s="46"/>
      <c r="D859" s="41"/>
      <c r="E859" s="41"/>
      <c r="F859" s="41"/>
    </row>
    <row r="860" ht="15.75" customHeight="1">
      <c r="A860" s="41"/>
      <c r="B860" s="41"/>
      <c r="C860" s="46"/>
      <c r="D860" s="41"/>
      <c r="E860" s="41"/>
      <c r="F860" s="41"/>
    </row>
    <row r="861" ht="15.75" customHeight="1">
      <c r="A861" s="41"/>
      <c r="B861" s="41"/>
      <c r="C861" s="46"/>
      <c r="D861" s="41"/>
      <c r="E861" s="41"/>
      <c r="F861" s="41"/>
    </row>
    <row r="862" ht="15.75" customHeight="1">
      <c r="A862" s="41"/>
      <c r="B862" s="41"/>
      <c r="C862" s="46"/>
      <c r="D862" s="41"/>
      <c r="E862" s="41"/>
      <c r="F862" s="41"/>
    </row>
    <row r="863" ht="15.75" customHeight="1">
      <c r="A863" s="41"/>
      <c r="B863" s="41"/>
      <c r="C863" s="46"/>
      <c r="D863" s="41"/>
      <c r="E863" s="41"/>
      <c r="F863" s="41"/>
    </row>
    <row r="864" ht="15.75" customHeight="1">
      <c r="A864" s="41"/>
      <c r="B864" s="41"/>
      <c r="C864" s="46"/>
      <c r="D864" s="41"/>
      <c r="E864" s="41"/>
      <c r="F864" s="41"/>
    </row>
    <row r="865" ht="15.75" customHeight="1">
      <c r="A865" s="41"/>
      <c r="B865" s="41"/>
      <c r="C865" s="46"/>
      <c r="D865" s="41"/>
      <c r="E865" s="41"/>
      <c r="F865" s="41"/>
    </row>
    <row r="866" ht="15.75" customHeight="1">
      <c r="A866" s="41"/>
      <c r="B866" s="41"/>
      <c r="C866" s="46"/>
      <c r="D866" s="41"/>
      <c r="E866" s="41"/>
      <c r="F866" s="41"/>
    </row>
    <row r="867" ht="15.75" customHeight="1">
      <c r="A867" s="41"/>
      <c r="B867" s="41"/>
      <c r="C867" s="46"/>
      <c r="D867" s="41"/>
      <c r="E867" s="41"/>
      <c r="F867" s="41"/>
    </row>
    <row r="868" ht="15.75" customHeight="1">
      <c r="A868" s="41"/>
      <c r="B868" s="41"/>
      <c r="C868" s="46"/>
      <c r="D868" s="41"/>
      <c r="E868" s="41"/>
      <c r="F868" s="41"/>
    </row>
    <row r="869" ht="15.75" customHeight="1">
      <c r="A869" s="41"/>
      <c r="B869" s="41"/>
      <c r="C869" s="46"/>
      <c r="D869" s="41"/>
      <c r="E869" s="41"/>
      <c r="F869" s="41"/>
    </row>
    <row r="870" ht="15.75" customHeight="1">
      <c r="A870" s="41"/>
      <c r="B870" s="41"/>
      <c r="C870" s="46"/>
      <c r="D870" s="41"/>
      <c r="E870" s="41"/>
      <c r="F870" s="41"/>
    </row>
    <row r="871" ht="15.75" customHeight="1">
      <c r="A871" s="41"/>
      <c r="B871" s="41"/>
      <c r="C871" s="46"/>
      <c r="D871" s="41"/>
      <c r="E871" s="41"/>
      <c r="F871" s="41"/>
    </row>
    <row r="872" ht="15.75" customHeight="1">
      <c r="A872" s="41"/>
      <c r="B872" s="41"/>
      <c r="C872" s="46"/>
      <c r="D872" s="41"/>
      <c r="E872" s="41"/>
      <c r="F872" s="41"/>
    </row>
    <row r="873" ht="15.75" customHeight="1">
      <c r="A873" s="41"/>
      <c r="B873" s="41"/>
      <c r="C873" s="46"/>
      <c r="D873" s="41"/>
      <c r="E873" s="41"/>
      <c r="F873" s="41"/>
    </row>
    <row r="874" ht="15.75" customHeight="1">
      <c r="A874" s="41"/>
      <c r="B874" s="41"/>
      <c r="C874" s="46"/>
      <c r="D874" s="41"/>
      <c r="E874" s="41"/>
      <c r="F874" s="41"/>
    </row>
    <row r="875" ht="15.75" customHeight="1">
      <c r="A875" s="41"/>
      <c r="B875" s="41"/>
      <c r="C875" s="46"/>
      <c r="D875" s="41"/>
      <c r="E875" s="41"/>
      <c r="F875" s="41"/>
    </row>
    <row r="876" ht="15.75" customHeight="1">
      <c r="A876" s="41"/>
      <c r="B876" s="41"/>
      <c r="C876" s="46"/>
      <c r="D876" s="41"/>
      <c r="E876" s="41"/>
      <c r="F876" s="41"/>
    </row>
    <row r="877" ht="15.75" customHeight="1">
      <c r="A877" s="41"/>
      <c r="B877" s="41"/>
      <c r="C877" s="46"/>
      <c r="D877" s="41"/>
      <c r="E877" s="41"/>
      <c r="F877" s="41"/>
    </row>
    <row r="878" ht="15.75" customHeight="1">
      <c r="A878" s="41"/>
      <c r="B878" s="41"/>
      <c r="C878" s="46"/>
      <c r="D878" s="41"/>
      <c r="E878" s="41"/>
      <c r="F878" s="41"/>
    </row>
    <row r="879" ht="15.75" customHeight="1">
      <c r="A879" s="41"/>
      <c r="B879" s="41"/>
      <c r="C879" s="46"/>
      <c r="D879" s="41"/>
      <c r="E879" s="41"/>
      <c r="F879" s="41"/>
    </row>
    <row r="880" ht="15.75" customHeight="1">
      <c r="A880" s="41"/>
      <c r="B880" s="41"/>
      <c r="C880" s="46"/>
      <c r="D880" s="41"/>
      <c r="E880" s="41"/>
      <c r="F880" s="41"/>
    </row>
    <row r="881" ht="15.75" customHeight="1">
      <c r="A881" s="41"/>
      <c r="B881" s="41"/>
      <c r="C881" s="46"/>
      <c r="D881" s="41"/>
      <c r="E881" s="41"/>
      <c r="F881" s="41"/>
    </row>
    <row r="882" ht="15.75" customHeight="1">
      <c r="A882" s="41"/>
      <c r="B882" s="41"/>
      <c r="C882" s="46"/>
      <c r="D882" s="41"/>
      <c r="E882" s="41"/>
      <c r="F882" s="41"/>
    </row>
    <row r="883" ht="15.75" customHeight="1">
      <c r="A883" s="41"/>
      <c r="B883" s="41"/>
      <c r="C883" s="46"/>
      <c r="D883" s="41"/>
      <c r="E883" s="41"/>
      <c r="F883" s="41"/>
    </row>
    <row r="884" ht="15.75" customHeight="1">
      <c r="A884" s="41"/>
      <c r="B884" s="41"/>
      <c r="C884" s="46"/>
      <c r="D884" s="41"/>
      <c r="E884" s="41"/>
      <c r="F884" s="41"/>
    </row>
    <row r="885" ht="15.75" customHeight="1">
      <c r="A885" s="41"/>
      <c r="B885" s="41"/>
      <c r="C885" s="46"/>
      <c r="D885" s="41"/>
      <c r="E885" s="41"/>
      <c r="F885" s="41"/>
    </row>
    <row r="886" ht="15.75" customHeight="1">
      <c r="A886" s="41"/>
      <c r="B886" s="41"/>
      <c r="C886" s="46"/>
      <c r="D886" s="41"/>
      <c r="E886" s="41"/>
      <c r="F886" s="41"/>
    </row>
    <row r="887" ht="15.75" customHeight="1">
      <c r="A887" s="41"/>
      <c r="B887" s="41"/>
      <c r="C887" s="46"/>
      <c r="D887" s="41"/>
      <c r="E887" s="41"/>
      <c r="F887" s="41"/>
    </row>
    <row r="888" ht="15.75" customHeight="1">
      <c r="A888" s="41"/>
      <c r="B888" s="41"/>
      <c r="C888" s="46"/>
      <c r="D888" s="41"/>
      <c r="E888" s="41"/>
      <c r="F888" s="41"/>
    </row>
    <row r="889" ht="15.75" customHeight="1">
      <c r="A889" s="41"/>
      <c r="B889" s="41"/>
      <c r="C889" s="46"/>
      <c r="D889" s="41"/>
      <c r="E889" s="41"/>
      <c r="F889" s="41"/>
    </row>
    <row r="890" ht="15.75" customHeight="1">
      <c r="A890" s="41"/>
      <c r="B890" s="41"/>
      <c r="C890" s="46"/>
      <c r="D890" s="41"/>
      <c r="E890" s="41"/>
      <c r="F890" s="41"/>
    </row>
    <row r="891" ht="15.75" customHeight="1">
      <c r="A891" s="41"/>
      <c r="B891" s="41"/>
      <c r="C891" s="46"/>
      <c r="D891" s="41"/>
      <c r="E891" s="41"/>
      <c r="F891" s="41"/>
    </row>
    <row r="892" ht="15.75" customHeight="1">
      <c r="A892" s="41"/>
      <c r="B892" s="41"/>
      <c r="C892" s="46"/>
      <c r="D892" s="41"/>
      <c r="E892" s="41"/>
      <c r="F892" s="41"/>
    </row>
    <row r="893" ht="15.75" customHeight="1">
      <c r="A893" s="41"/>
      <c r="B893" s="41"/>
      <c r="C893" s="46"/>
      <c r="D893" s="41"/>
      <c r="E893" s="41"/>
      <c r="F893" s="41"/>
    </row>
    <row r="894" ht="15.75" customHeight="1">
      <c r="A894" s="41"/>
      <c r="B894" s="41"/>
      <c r="C894" s="46"/>
      <c r="D894" s="41"/>
      <c r="E894" s="41"/>
      <c r="F894" s="41"/>
    </row>
    <row r="895" ht="15.75" customHeight="1">
      <c r="A895" s="41"/>
      <c r="B895" s="41"/>
      <c r="C895" s="46"/>
      <c r="D895" s="41"/>
      <c r="E895" s="41"/>
      <c r="F895" s="41"/>
    </row>
    <row r="896" ht="15.75" customHeight="1">
      <c r="A896" s="41"/>
      <c r="B896" s="41"/>
      <c r="C896" s="46"/>
      <c r="D896" s="41"/>
      <c r="E896" s="41"/>
      <c r="F896" s="41"/>
    </row>
    <row r="897" ht="15.75" customHeight="1">
      <c r="A897" s="41"/>
      <c r="B897" s="41"/>
      <c r="C897" s="46"/>
      <c r="D897" s="41"/>
      <c r="E897" s="41"/>
      <c r="F897" s="41"/>
    </row>
    <row r="898" ht="15.75" customHeight="1">
      <c r="A898" s="41"/>
      <c r="B898" s="41"/>
      <c r="C898" s="46"/>
      <c r="D898" s="41"/>
      <c r="E898" s="41"/>
      <c r="F898" s="41"/>
    </row>
    <row r="899" ht="15.75" customHeight="1">
      <c r="A899" s="41"/>
      <c r="B899" s="41"/>
      <c r="C899" s="46"/>
      <c r="D899" s="41"/>
      <c r="E899" s="41"/>
      <c r="F899" s="41"/>
    </row>
    <row r="900" ht="15.75" customHeight="1">
      <c r="A900" s="41"/>
      <c r="B900" s="41"/>
      <c r="C900" s="46"/>
      <c r="D900" s="41"/>
      <c r="E900" s="41"/>
      <c r="F900" s="41"/>
    </row>
    <row r="901" ht="15.75" customHeight="1">
      <c r="A901" s="41"/>
      <c r="B901" s="41"/>
      <c r="C901" s="46"/>
      <c r="D901" s="41"/>
      <c r="E901" s="41"/>
      <c r="F901" s="41"/>
    </row>
    <row r="902" ht="15.75" customHeight="1">
      <c r="A902" s="41"/>
      <c r="B902" s="41"/>
      <c r="C902" s="46"/>
      <c r="D902" s="41"/>
      <c r="E902" s="41"/>
      <c r="F902" s="41"/>
    </row>
    <row r="903" ht="15.75" customHeight="1">
      <c r="A903" s="41"/>
      <c r="B903" s="41"/>
      <c r="C903" s="46"/>
      <c r="D903" s="41"/>
      <c r="E903" s="41"/>
      <c r="F903" s="41"/>
    </row>
    <row r="904" ht="15.75" customHeight="1">
      <c r="A904" s="41"/>
      <c r="B904" s="41"/>
      <c r="C904" s="46"/>
      <c r="D904" s="41"/>
      <c r="E904" s="41"/>
      <c r="F904" s="41"/>
    </row>
    <row r="905" ht="15.75" customHeight="1">
      <c r="A905" s="41"/>
      <c r="B905" s="41"/>
      <c r="C905" s="46"/>
      <c r="D905" s="41"/>
      <c r="E905" s="41"/>
      <c r="F905" s="41"/>
    </row>
    <row r="906" ht="15.75" customHeight="1">
      <c r="A906" s="41"/>
      <c r="B906" s="41"/>
      <c r="C906" s="46"/>
      <c r="D906" s="41"/>
      <c r="E906" s="41"/>
      <c r="F906" s="41"/>
    </row>
    <row r="907" ht="15.75" customHeight="1">
      <c r="A907" s="41"/>
      <c r="B907" s="41"/>
      <c r="C907" s="46"/>
      <c r="D907" s="41"/>
      <c r="E907" s="41"/>
      <c r="F907" s="41"/>
    </row>
    <row r="908" ht="15.75" customHeight="1">
      <c r="A908" s="41"/>
      <c r="B908" s="41"/>
      <c r="C908" s="46"/>
      <c r="D908" s="41"/>
      <c r="E908" s="41"/>
      <c r="F908" s="41"/>
    </row>
    <row r="909" ht="15.75" customHeight="1">
      <c r="A909" s="41"/>
      <c r="B909" s="41"/>
      <c r="C909" s="46"/>
      <c r="D909" s="41"/>
      <c r="E909" s="41"/>
      <c r="F909" s="41"/>
    </row>
    <row r="910" ht="15.75" customHeight="1">
      <c r="A910" s="41"/>
      <c r="B910" s="41"/>
      <c r="C910" s="46"/>
      <c r="D910" s="41"/>
      <c r="E910" s="41"/>
      <c r="F910" s="41"/>
    </row>
    <row r="911" ht="15.75" customHeight="1">
      <c r="A911" s="41"/>
      <c r="B911" s="41"/>
      <c r="C911" s="46"/>
      <c r="D911" s="41"/>
      <c r="E911" s="41"/>
      <c r="F911" s="41"/>
    </row>
    <row r="912" ht="15.75" customHeight="1">
      <c r="A912" s="41"/>
      <c r="B912" s="41"/>
      <c r="C912" s="46"/>
      <c r="D912" s="41"/>
      <c r="E912" s="41"/>
      <c r="F912" s="41"/>
    </row>
    <row r="913" ht="15.75" customHeight="1">
      <c r="A913" s="41"/>
      <c r="B913" s="41"/>
      <c r="C913" s="46"/>
      <c r="D913" s="41"/>
      <c r="E913" s="41"/>
      <c r="F913" s="41"/>
    </row>
    <row r="914" ht="15.75" customHeight="1">
      <c r="A914" s="41"/>
      <c r="B914" s="41"/>
      <c r="C914" s="46"/>
      <c r="D914" s="41"/>
      <c r="E914" s="41"/>
      <c r="F914" s="41"/>
    </row>
    <row r="915" ht="15.75" customHeight="1">
      <c r="A915" s="41"/>
      <c r="B915" s="41"/>
      <c r="C915" s="46"/>
      <c r="D915" s="41"/>
      <c r="E915" s="41"/>
      <c r="F915" s="41"/>
    </row>
    <row r="916" ht="15.75" customHeight="1">
      <c r="A916" s="41"/>
      <c r="B916" s="41"/>
      <c r="C916" s="46"/>
      <c r="D916" s="41"/>
      <c r="E916" s="41"/>
      <c r="F916" s="41"/>
    </row>
    <row r="917" ht="15.75" customHeight="1">
      <c r="A917" s="41"/>
      <c r="B917" s="41"/>
      <c r="C917" s="46"/>
      <c r="D917" s="41"/>
      <c r="E917" s="41"/>
      <c r="F917" s="41"/>
    </row>
    <row r="918" ht="15.75" customHeight="1">
      <c r="A918" s="41"/>
      <c r="B918" s="41"/>
      <c r="C918" s="46"/>
      <c r="D918" s="41"/>
      <c r="E918" s="41"/>
      <c r="F918" s="41"/>
    </row>
    <row r="919" ht="15.75" customHeight="1">
      <c r="A919" s="41"/>
      <c r="B919" s="41"/>
      <c r="C919" s="46"/>
      <c r="D919" s="41"/>
      <c r="E919" s="41"/>
      <c r="F919" s="41"/>
    </row>
    <row r="920" ht="15.75" customHeight="1">
      <c r="A920" s="41"/>
      <c r="B920" s="41"/>
      <c r="C920" s="46"/>
      <c r="D920" s="41"/>
      <c r="E920" s="41"/>
      <c r="F920" s="41"/>
    </row>
    <row r="921" ht="15.75" customHeight="1">
      <c r="A921" s="41"/>
      <c r="B921" s="41"/>
      <c r="C921" s="46"/>
      <c r="D921" s="41"/>
      <c r="E921" s="41"/>
      <c r="F921" s="41"/>
    </row>
    <row r="922" ht="15.75" customHeight="1">
      <c r="A922" s="41"/>
      <c r="B922" s="41"/>
      <c r="C922" s="46"/>
      <c r="D922" s="41"/>
      <c r="E922" s="41"/>
      <c r="F922" s="41"/>
    </row>
    <row r="923" ht="15.75" customHeight="1">
      <c r="A923" s="41"/>
      <c r="B923" s="41"/>
      <c r="C923" s="46"/>
      <c r="D923" s="41"/>
      <c r="E923" s="41"/>
      <c r="F923" s="41"/>
    </row>
    <row r="924" ht="15.75" customHeight="1">
      <c r="A924" s="41"/>
      <c r="B924" s="41"/>
      <c r="C924" s="46"/>
      <c r="D924" s="41"/>
      <c r="E924" s="41"/>
      <c r="F924" s="41"/>
    </row>
    <row r="925" ht="15.75" customHeight="1">
      <c r="A925" s="41"/>
      <c r="B925" s="41"/>
      <c r="C925" s="46"/>
      <c r="D925" s="41"/>
      <c r="E925" s="41"/>
      <c r="F925" s="41"/>
    </row>
    <row r="926" ht="15.75" customHeight="1">
      <c r="A926" s="41"/>
      <c r="B926" s="41"/>
      <c r="C926" s="46"/>
      <c r="D926" s="41"/>
      <c r="E926" s="41"/>
      <c r="F926" s="41"/>
    </row>
    <row r="927" ht="15.75" customHeight="1">
      <c r="A927" s="41"/>
      <c r="B927" s="41"/>
      <c r="C927" s="46"/>
      <c r="D927" s="41"/>
      <c r="E927" s="41"/>
      <c r="F927" s="41"/>
    </row>
    <row r="928" ht="15.75" customHeight="1">
      <c r="A928" s="41"/>
      <c r="B928" s="41"/>
      <c r="C928" s="46"/>
      <c r="D928" s="41"/>
      <c r="E928" s="41"/>
      <c r="F928" s="41"/>
    </row>
    <row r="929" ht="15.75" customHeight="1">
      <c r="A929" s="41"/>
      <c r="B929" s="41"/>
      <c r="C929" s="46"/>
      <c r="D929" s="41"/>
      <c r="E929" s="41"/>
      <c r="F929" s="41"/>
    </row>
    <row r="930" ht="15.75" customHeight="1">
      <c r="A930" s="41"/>
      <c r="B930" s="41"/>
      <c r="C930" s="46"/>
      <c r="D930" s="41"/>
      <c r="E930" s="41"/>
      <c r="F930" s="41"/>
    </row>
    <row r="931" ht="15.75" customHeight="1">
      <c r="A931" s="41"/>
      <c r="B931" s="41"/>
      <c r="C931" s="46"/>
      <c r="D931" s="41"/>
      <c r="E931" s="41"/>
      <c r="F931" s="41"/>
    </row>
    <row r="932" ht="15.75" customHeight="1">
      <c r="A932" s="41"/>
      <c r="B932" s="41"/>
      <c r="C932" s="46"/>
      <c r="D932" s="41"/>
      <c r="E932" s="41"/>
      <c r="F932" s="41"/>
    </row>
    <row r="933" ht="15.75" customHeight="1">
      <c r="A933" s="41"/>
      <c r="B933" s="41"/>
      <c r="C933" s="46"/>
      <c r="D933" s="41"/>
      <c r="E933" s="41"/>
      <c r="F933" s="41"/>
    </row>
    <row r="934" ht="15.75" customHeight="1">
      <c r="A934" s="41"/>
      <c r="B934" s="41"/>
      <c r="C934" s="46"/>
      <c r="D934" s="41"/>
      <c r="E934" s="41"/>
      <c r="F934" s="41"/>
    </row>
    <row r="935" ht="15.75" customHeight="1">
      <c r="A935" s="41"/>
      <c r="B935" s="41"/>
      <c r="C935" s="46"/>
      <c r="D935" s="41"/>
      <c r="E935" s="41"/>
      <c r="F935" s="41"/>
    </row>
    <row r="936" ht="15.75" customHeight="1">
      <c r="A936" s="41"/>
      <c r="B936" s="41"/>
      <c r="C936" s="46"/>
      <c r="D936" s="41"/>
      <c r="E936" s="41"/>
      <c r="F936" s="41"/>
    </row>
    <row r="937" ht="15.75" customHeight="1">
      <c r="A937" s="41"/>
      <c r="B937" s="41"/>
      <c r="C937" s="46"/>
      <c r="D937" s="41"/>
      <c r="E937" s="41"/>
      <c r="F937" s="41"/>
    </row>
    <row r="938" ht="15.75" customHeight="1">
      <c r="A938" s="41"/>
      <c r="B938" s="41"/>
      <c r="C938" s="46"/>
      <c r="D938" s="41"/>
      <c r="E938" s="41"/>
      <c r="F938" s="41"/>
    </row>
    <row r="939" ht="15.75" customHeight="1">
      <c r="A939" s="41"/>
      <c r="B939" s="41"/>
      <c r="C939" s="46"/>
      <c r="D939" s="41"/>
      <c r="E939" s="41"/>
      <c r="F939" s="41"/>
    </row>
    <row r="940" ht="15.75" customHeight="1">
      <c r="A940" s="41"/>
      <c r="B940" s="41"/>
      <c r="C940" s="46"/>
      <c r="D940" s="41"/>
      <c r="E940" s="41"/>
      <c r="F940" s="41"/>
    </row>
    <row r="941" ht="15.75" customHeight="1">
      <c r="A941" s="41"/>
      <c r="B941" s="41"/>
      <c r="C941" s="46"/>
      <c r="D941" s="41"/>
      <c r="E941" s="41"/>
      <c r="F941" s="41"/>
    </row>
    <row r="942" ht="15.75" customHeight="1">
      <c r="A942" s="41"/>
      <c r="B942" s="41"/>
      <c r="C942" s="46"/>
      <c r="D942" s="41"/>
      <c r="E942" s="41"/>
      <c r="F942" s="41"/>
    </row>
    <row r="943" ht="15.75" customHeight="1">
      <c r="A943" s="41"/>
      <c r="B943" s="41"/>
      <c r="C943" s="46"/>
      <c r="D943" s="41"/>
      <c r="E943" s="41"/>
      <c r="F943" s="41"/>
    </row>
    <row r="944" ht="15.75" customHeight="1">
      <c r="A944" s="41"/>
      <c r="B944" s="41"/>
      <c r="C944" s="46"/>
      <c r="D944" s="41"/>
      <c r="E944" s="41"/>
      <c r="F944" s="41"/>
    </row>
    <row r="945" ht="15.75" customHeight="1">
      <c r="A945" s="41"/>
      <c r="B945" s="41"/>
      <c r="C945" s="46"/>
      <c r="D945" s="41"/>
      <c r="E945" s="41"/>
      <c r="F945" s="41"/>
    </row>
    <row r="946" ht="15.75" customHeight="1">
      <c r="A946" s="41"/>
      <c r="B946" s="41"/>
      <c r="C946" s="46"/>
      <c r="D946" s="41"/>
      <c r="E946" s="41"/>
      <c r="F946" s="41"/>
    </row>
    <row r="947" ht="15.75" customHeight="1">
      <c r="A947" s="41"/>
      <c r="B947" s="41"/>
      <c r="C947" s="46"/>
      <c r="D947" s="41"/>
      <c r="E947" s="41"/>
      <c r="F947" s="41"/>
    </row>
    <row r="948" ht="15.75" customHeight="1">
      <c r="A948" s="41"/>
      <c r="B948" s="41"/>
      <c r="C948" s="46"/>
      <c r="D948" s="41"/>
      <c r="E948" s="41"/>
      <c r="F948" s="41"/>
    </row>
    <row r="949" ht="15.75" customHeight="1">
      <c r="A949" s="41"/>
      <c r="B949" s="41"/>
      <c r="C949" s="46"/>
      <c r="D949" s="41"/>
      <c r="E949" s="41"/>
      <c r="F949" s="41"/>
    </row>
    <row r="950" ht="15.75" customHeight="1">
      <c r="A950" s="41"/>
      <c r="B950" s="41"/>
      <c r="C950" s="46"/>
      <c r="D950" s="41"/>
      <c r="E950" s="41"/>
      <c r="F950" s="41"/>
    </row>
    <row r="951" ht="15.75" customHeight="1">
      <c r="A951" s="41"/>
      <c r="B951" s="41"/>
      <c r="C951" s="46"/>
      <c r="D951" s="41"/>
      <c r="E951" s="41"/>
      <c r="F951" s="41"/>
    </row>
    <row r="952" ht="15.75" customHeight="1">
      <c r="A952" s="41"/>
      <c r="B952" s="41"/>
      <c r="C952" s="46"/>
      <c r="D952" s="41"/>
      <c r="E952" s="41"/>
      <c r="F952" s="41"/>
    </row>
    <row r="953" ht="15.75" customHeight="1">
      <c r="A953" s="41"/>
      <c r="B953" s="41"/>
      <c r="C953" s="46"/>
      <c r="D953" s="41"/>
      <c r="E953" s="41"/>
      <c r="F953" s="41"/>
    </row>
    <row r="954" ht="15.75" customHeight="1">
      <c r="A954" s="41"/>
      <c r="B954" s="41"/>
      <c r="C954" s="46"/>
      <c r="D954" s="41"/>
      <c r="E954" s="41"/>
      <c r="F954" s="41"/>
    </row>
    <row r="955" ht="15.75" customHeight="1">
      <c r="A955" s="41"/>
      <c r="B955" s="41"/>
      <c r="C955" s="46"/>
      <c r="D955" s="41"/>
      <c r="E955" s="41"/>
      <c r="F955" s="41"/>
    </row>
    <row r="956" ht="15.75" customHeight="1">
      <c r="A956" s="41"/>
      <c r="B956" s="41"/>
      <c r="C956" s="46"/>
      <c r="D956" s="41"/>
      <c r="E956" s="41"/>
      <c r="F956" s="41"/>
    </row>
    <row r="957" ht="15.75" customHeight="1">
      <c r="A957" s="41"/>
      <c r="B957" s="41"/>
      <c r="C957" s="46"/>
      <c r="D957" s="41"/>
      <c r="E957" s="41"/>
      <c r="F957" s="41"/>
    </row>
    <row r="958" ht="15.75" customHeight="1">
      <c r="A958" s="41"/>
      <c r="B958" s="41"/>
      <c r="C958" s="46"/>
      <c r="D958" s="41"/>
      <c r="E958" s="41"/>
      <c r="F958" s="41"/>
    </row>
    <row r="959" ht="15.75" customHeight="1">
      <c r="A959" s="41"/>
      <c r="B959" s="41"/>
      <c r="C959" s="46"/>
      <c r="D959" s="41"/>
      <c r="E959" s="41"/>
      <c r="F959" s="41"/>
    </row>
    <row r="960" ht="15.75" customHeight="1">
      <c r="A960" s="41"/>
      <c r="B960" s="41"/>
      <c r="C960" s="46"/>
      <c r="D960" s="41"/>
      <c r="E960" s="41"/>
      <c r="F960" s="41"/>
    </row>
    <row r="961" ht="15.75" customHeight="1">
      <c r="A961" s="41"/>
      <c r="B961" s="41"/>
      <c r="C961" s="46"/>
      <c r="D961" s="41"/>
      <c r="E961" s="41"/>
      <c r="F961" s="41"/>
    </row>
    <row r="962" ht="15.75" customHeight="1">
      <c r="A962" s="41"/>
      <c r="B962" s="41"/>
      <c r="C962" s="46"/>
      <c r="D962" s="41"/>
      <c r="E962" s="41"/>
      <c r="F962" s="41"/>
    </row>
    <row r="963" ht="15.75" customHeight="1">
      <c r="A963" s="41"/>
      <c r="B963" s="41"/>
      <c r="C963" s="46"/>
      <c r="D963" s="41"/>
      <c r="E963" s="41"/>
      <c r="F963" s="41"/>
    </row>
    <row r="964" ht="15.75" customHeight="1">
      <c r="A964" s="41"/>
      <c r="B964" s="41"/>
      <c r="C964" s="46"/>
      <c r="D964" s="41"/>
      <c r="E964" s="41"/>
      <c r="F964" s="41"/>
    </row>
    <row r="965" ht="15.75" customHeight="1">
      <c r="A965" s="41"/>
      <c r="B965" s="41"/>
      <c r="C965" s="46"/>
      <c r="D965" s="41"/>
      <c r="E965" s="41"/>
      <c r="F965" s="41"/>
    </row>
    <row r="966" ht="15.75" customHeight="1">
      <c r="A966" s="41"/>
      <c r="B966" s="41"/>
      <c r="C966" s="46"/>
      <c r="D966" s="41"/>
      <c r="E966" s="41"/>
      <c r="F966" s="41"/>
    </row>
    <row r="967" ht="15.75" customHeight="1">
      <c r="A967" s="41"/>
      <c r="B967" s="41"/>
      <c r="C967" s="46"/>
      <c r="D967" s="41"/>
      <c r="E967" s="41"/>
      <c r="F967" s="41"/>
    </row>
    <row r="968" ht="15.75" customHeight="1">
      <c r="A968" s="41"/>
      <c r="B968" s="41"/>
      <c r="C968" s="46"/>
      <c r="D968" s="41"/>
      <c r="E968" s="41"/>
      <c r="F968" s="41"/>
    </row>
    <row r="969" ht="15.75" customHeight="1">
      <c r="A969" s="41"/>
      <c r="B969" s="41"/>
      <c r="C969" s="46"/>
      <c r="D969" s="41"/>
      <c r="E969" s="41"/>
      <c r="F969" s="41"/>
    </row>
    <row r="970" ht="15.75" customHeight="1">
      <c r="A970" s="41"/>
      <c r="B970" s="41"/>
      <c r="C970" s="46"/>
      <c r="D970" s="41"/>
      <c r="E970" s="41"/>
      <c r="F970" s="41"/>
    </row>
    <row r="971" ht="15.75" customHeight="1">
      <c r="A971" s="41"/>
      <c r="B971" s="41"/>
      <c r="C971" s="46"/>
      <c r="D971" s="41"/>
      <c r="E971" s="41"/>
      <c r="F971" s="41"/>
    </row>
    <row r="972" ht="15.75" customHeight="1">
      <c r="A972" s="41"/>
      <c r="B972" s="41"/>
      <c r="C972" s="46"/>
      <c r="D972" s="41"/>
      <c r="E972" s="41"/>
      <c r="F972" s="41"/>
    </row>
    <row r="973" ht="15.75" customHeight="1">
      <c r="A973" s="41"/>
      <c r="B973" s="41"/>
      <c r="C973" s="46"/>
      <c r="D973" s="41"/>
      <c r="E973" s="41"/>
      <c r="F973" s="41"/>
    </row>
    <row r="974" ht="15.75" customHeight="1">
      <c r="A974" s="41"/>
      <c r="B974" s="41"/>
      <c r="C974" s="46"/>
      <c r="D974" s="41"/>
      <c r="E974" s="41"/>
      <c r="F974" s="41"/>
    </row>
    <row r="975" ht="15.75" customHeight="1">
      <c r="A975" s="41"/>
      <c r="B975" s="41"/>
      <c r="C975" s="46"/>
      <c r="D975" s="41"/>
      <c r="E975" s="41"/>
      <c r="F975" s="41"/>
    </row>
    <row r="976" ht="15.75" customHeight="1">
      <c r="A976" s="41"/>
      <c r="B976" s="41"/>
      <c r="C976" s="46"/>
      <c r="D976" s="41"/>
      <c r="E976" s="41"/>
      <c r="F976" s="41"/>
    </row>
    <row r="977" ht="15.75" customHeight="1">
      <c r="A977" s="41"/>
      <c r="B977" s="41"/>
      <c r="C977" s="46"/>
      <c r="D977" s="41"/>
      <c r="E977" s="41"/>
      <c r="F977" s="41"/>
    </row>
    <row r="978" ht="15.75" customHeight="1">
      <c r="A978" s="41"/>
      <c r="B978" s="41"/>
      <c r="C978" s="46"/>
      <c r="D978" s="41"/>
      <c r="E978" s="41"/>
      <c r="F978" s="41"/>
    </row>
    <row r="979" ht="15.75" customHeight="1">
      <c r="A979" s="41"/>
      <c r="B979" s="41"/>
      <c r="C979" s="46"/>
      <c r="D979" s="41"/>
      <c r="E979" s="41"/>
      <c r="F979" s="41"/>
    </row>
    <row r="980" ht="15.75" customHeight="1">
      <c r="A980" s="41"/>
      <c r="B980" s="41"/>
      <c r="C980" s="46"/>
      <c r="D980" s="41"/>
      <c r="E980" s="41"/>
      <c r="F980" s="41"/>
    </row>
    <row r="981" ht="15.75" customHeight="1">
      <c r="A981" s="41"/>
      <c r="B981" s="41"/>
      <c r="C981" s="46"/>
      <c r="D981" s="41"/>
      <c r="E981" s="41"/>
      <c r="F981" s="41"/>
    </row>
    <row r="982" ht="15.75" customHeight="1">
      <c r="A982" s="41"/>
      <c r="B982" s="41"/>
      <c r="C982" s="46"/>
      <c r="D982" s="41"/>
      <c r="E982" s="41"/>
      <c r="F982" s="41"/>
    </row>
    <row r="983" ht="15.75" customHeight="1">
      <c r="A983" s="41"/>
      <c r="B983" s="41"/>
      <c r="C983" s="46"/>
      <c r="D983" s="41"/>
      <c r="E983" s="41"/>
      <c r="F983" s="41"/>
    </row>
    <row r="984" ht="15.75" customHeight="1">
      <c r="A984" s="41"/>
      <c r="B984" s="41"/>
      <c r="C984" s="46"/>
      <c r="D984" s="41"/>
      <c r="E984" s="41"/>
      <c r="F984" s="41"/>
    </row>
    <row r="985" ht="15.75" customHeight="1">
      <c r="A985" s="41"/>
      <c r="B985" s="41"/>
      <c r="C985" s="46"/>
      <c r="D985" s="41"/>
      <c r="E985" s="41"/>
      <c r="F985" s="41"/>
    </row>
    <row r="986" ht="15.75" customHeight="1">
      <c r="A986" s="41"/>
      <c r="B986" s="41"/>
      <c r="C986" s="46"/>
      <c r="D986" s="41"/>
      <c r="E986" s="41"/>
      <c r="F986" s="41"/>
    </row>
    <row r="987" ht="15.75" customHeight="1">
      <c r="A987" s="41"/>
      <c r="B987" s="41"/>
      <c r="C987" s="46"/>
      <c r="D987" s="41"/>
      <c r="E987" s="41"/>
      <c r="F987" s="41"/>
    </row>
    <row r="988" ht="15.75" customHeight="1">
      <c r="A988" s="41"/>
      <c r="B988" s="41"/>
      <c r="C988" s="46"/>
      <c r="D988" s="41"/>
      <c r="E988" s="41"/>
      <c r="F988" s="41"/>
    </row>
    <row r="989" ht="15.75" customHeight="1">
      <c r="A989" s="41"/>
      <c r="B989" s="41"/>
      <c r="C989" s="46"/>
      <c r="D989" s="41"/>
      <c r="E989" s="41"/>
      <c r="F989" s="41"/>
    </row>
    <row r="990" ht="15.75" customHeight="1">
      <c r="A990" s="41"/>
      <c r="B990" s="41"/>
      <c r="C990" s="46"/>
      <c r="D990" s="41"/>
      <c r="E990" s="41"/>
      <c r="F990" s="41"/>
    </row>
    <row r="991" ht="15.75" customHeight="1">
      <c r="A991" s="41"/>
      <c r="B991" s="41"/>
      <c r="C991" s="46"/>
      <c r="D991" s="41"/>
      <c r="E991" s="41"/>
      <c r="F991" s="41"/>
    </row>
    <row r="992" ht="15.75" customHeight="1">
      <c r="A992" s="41"/>
      <c r="B992" s="41"/>
      <c r="C992" s="46"/>
      <c r="D992" s="41"/>
      <c r="E992" s="41"/>
      <c r="F992" s="41"/>
    </row>
    <row r="993" ht="15.75" customHeight="1">
      <c r="A993" s="41"/>
      <c r="B993" s="41"/>
      <c r="C993" s="46"/>
      <c r="D993" s="41"/>
      <c r="E993" s="41"/>
      <c r="F993" s="41"/>
    </row>
    <row r="994" ht="15.75" customHeight="1">
      <c r="A994" s="41"/>
      <c r="B994" s="41"/>
      <c r="C994" s="46"/>
      <c r="D994" s="41"/>
      <c r="E994" s="41"/>
      <c r="F994" s="41"/>
    </row>
    <row r="995" ht="15.75" customHeight="1">
      <c r="A995" s="41"/>
      <c r="B995" s="41"/>
      <c r="C995" s="46"/>
      <c r="D995" s="41"/>
      <c r="E995" s="41"/>
      <c r="F995" s="41"/>
    </row>
    <row r="996" ht="15.75" customHeight="1">
      <c r="A996" s="41"/>
      <c r="B996" s="41"/>
      <c r="C996" s="46"/>
      <c r="D996" s="41"/>
      <c r="E996" s="41"/>
      <c r="F996" s="41"/>
    </row>
    <row r="997" ht="15.75" customHeight="1">
      <c r="A997" s="41"/>
      <c r="B997" s="41"/>
      <c r="C997" s="46"/>
      <c r="D997" s="41"/>
      <c r="E997" s="41"/>
      <c r="F997" s="41"/>
    </row>
    <row r="998" ht="15.75" customHeight="1">
      <c r="A998" s="41"/>
      <c r="B998" s="41"/>
      <c r="C998" s="46"/>
      <c r="D998" s="41"/>
      <c r="E998" s="41"/>
      <c r="F998" s="41"/>
    </row>
    <row r="999" ht="15.75" customHeight="1">
      <c r="A999" s="41"/>
      <c r="B999" s="41"/>
      <c r="C999" s="46"/>
      <c r="D999" s="41"/>
      <c r="E999" s="41"/>
      <c r="F999" s="41"/>
    </row>
    <row r="1000" ht="15.75" customHeight="1">
      <c r="A1000" s="41"/>
      <c r="B1000" s="41"/>
      <c r="C1000" s="46"/>
      <c r="D1000" s="41"/>
      <c r="E1000" s="41"/>
      <c r="F1000" s="41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0.5"/>
    <col customWidth="1" min="3" max="3" width="12.25"/>
    <col customWidth="1" min="4" max="4" width="58.25"/>
    <col customWidth="1" min="5" max="5" width="16.88"/>
    <col customWidth="1" min="6" max="6" width="13.0"/>
    <col customWidth="1" min="7" max="7" width="14.75"/>
    <col customWidth="1" min="8" max="8" width="35.13"/>
  </cols>
  <sheetData>
    <row r="1">
      <c r="A1" s="40" t="s">
        <v>1</v>
      </c>
      <c r="B1" s="40" t="s">
        <v>4671</v>
      </c>
      <c r="C1" s="40" t="s">
        <v>5</v>
      </c>
      <c r="D1" s="40" t="s">
        <v>9</v>
      </c>
      <c r="E1" s="40" t="s">
        <v>11</v>
      </c>
      <c r="F1" s="6" t="s">
        <v>3441</v>
      </c>
      <c r="G1" s="6" t="s">
        <v>13</v>
      </c>
      <c r="H1" s="47" t="s">
        <v>4672</v>
      </c>
    </row>
    <row r="2">
      <c r="A2" s="12" t="s">
        <v>38</v>
      </c>
      <c r="B2" s="12" t="s">
        <v>16</v>
      </c>
      <c r="C2" s="12" t="s">
        <v>4674</v>
      </c>
      <c r="D2" s="46" t="s">
        <v>4675</v>
      </c>
      <c r="E2" s="12" t="s">
        <v>47</v>
      </c>
      <c r="F2" s="11" t="s">
        <v>47</v>
      </c>
      <c r="G2" s="12"/>
      <c r="H2" s="12" t="str">
        <f>IFERROR(__xludf.DUMMYFUNCTION("IF(G2="""", """", IF(COUNTIFS(DADOS_RM_SECOES!A:A, E2, DADOS_RM_SECOES!B:B, F2, DADOS_RM_SECOES!C:C, G2&amp;"".*"")&gt;0, ""NÍVEL INCOMPLETO"", IFERROR(INDEX(FILTER(DADOS_RM_SECOES!D:D, DADOS_RM_SECOES!A:A=E2, DADOS_RM_SECOES!B:B=F2, DADOS_RM_SECOES!C:C=G2), 1),"&amp;" ""Não Encontrado"")))
"),"")</f>
        <v/>
      </c>
    </row>
    <row r="3">
      <c r="A3" s="12" t="s">
        <v>38</v>
      </c>
      <c r="B3" s="12" t="s">
        <v>16</v>
      </c>
      <c r="C3" s="12" t="s">
        <v>4676</v>
      </c>
      <c r="D3" s="46" t="s">
        <v>4677</v>
      </c>
      <c r="E3" s="12" t="s">
        <v>47</v>
      </c>
      <c r="F3" s="11" t="s">
        <v>47</v>
      </c>
      <c r="G3" s="12"/>
      <c r="H3" s="12" t="str">
        <f>IFERROR(__xludf.DUMMYFUNCTION("IF(G3="""", """", IF(COUNTIFS(DADOS_RM_SECOES!A:A, E3, DADOS_RM_SECOES!B:B, F3, DADOS_RM_SECOES!C:C, G3&amp;"".*"")&gt;0, ""NÍVEL INCOMPLETO"", IFERROR(INDEX(FILTER(DADOS_RM_SECOES!D:D, DADOS_RM_SECOES!A:A=E3, DADOS_RM_SECOES!B:B=F3, DADOS_RM_SECOES!C:C=G3), 1),"&amp;" ""Não Encontrado"")))
"),"")</f>
        <v/>
      </c>
    </row>
    <row r="4">
      <c r="A4" s="12" t="s">
        <v>38</v>
      </c>
      <c r="B4" s="12" t="s">
        <v>16</v>
      </c>
      <c r="C4" s="12" t="s">
        <v>4678</v>
      </c>
      <c r="D4" s="46" t="s">
        <v>4679</v>
      </c>
      <c r="E4" s="12" t="s">
        <v>47</v>
      </c>
      <c r="F4" s="11" t="s">
        <v>47</v>
      </c>
      <c r="G4" s="12"/>
      <c r="H4" s="12" t="str">
        <f>IFERROR(__xludf.DUMMYFUNCTION("IF(G4="""", """", IF(COUNTIFS(DADOS_RM_SECOES!A:A, E4, DADOS_RM_SECOES!B:B, F4, DADOS_RM_SECOES!C:C, G4&amp;"".*"")&gt;0, ""NÍVEL INCOMPLETO"", IFERROR(INDEX(FILTER(DADOS_RM_SECOES!D:D, DADOS_RM_SECOES!A:A=E4, DADOS_RM_SECOES!B:B=F4, DADOS_RM_SECOES!C:C=G4), 1),"&amp;" ""Não Encontrado"")))
"),"")</f>
        <v/>
      </c>
    </row>
    <row r="5">
      <c r="A5" s="12" t="s">
        <v>38</v>
      </c>
      <c r="B5" s="12" t="s">
        <v>16</v>
      </c>
      <c r="C5" s="12" t="s">
        <v>4681</v>
      </c>
      <c r="D5" s="46" t="s">
        <v>4682</v>
      </c>
      <c r="E5" s="12" t="s">
        <v>47</v>
      </c>
      <c r="F5" s="11" t="s">
        <v>47</v>
      </c>
      <c r="G5" s="12"/>
      <c r="H5" s="12" t="str">
        <f>IFERROR(__xludf.DUMMYFUNCTION("IF(G5="""", """", IF(COUNTIFS(DADOS_RM_SECOES!A:A, E5, DADOS_RM_SECOES!B:B, F5, DADOS_RM_SECOES!C:C, G5&amp;"".*"")&gt;0, ""NÍVEL INCOMPLETO"", IFERROR(INDEX(FILTER(DADOS_RM_SECOES!D:D, DADOS_RM_SECOES!A:A=E5, DADOS_RM_SECOES!B:B=F5, DADOS_RM_SECOES!C:C=G5), 1),"&amp;" ""Não Encontrado"")))
"),"")</f>
        <v/>
      </c>
    </row>
    <row r="6">
      <c r="A6" s="12" t="s">
        <v>38</v>
      </c>
      <c r="B6" s="12" t="s">
        <v>16</v>
      </c>
      <c r="C6" s="12" t="s">
        <v>4683</v>
      </c>
      <c r="D6" s="46" t="s">
        <v>4684</v>
      </c>
      <c r="E6" s="12" t="s">
        <v>47</v>
      </c>
      <c r="F6" s="11" t="s">
        <v>47</v>
      </c>
      <c r="G6" s="12"/>
      <c r="H6" s="12" t="str">
        <f>IFERROR(__xludf.DUMMYFUNCTION("IF(G6="""", """", IF(COUNTIFS(DADOS_RM_SECOES!A:A, E6, DADOS_RM_SECOES!B:B, F6, DADOS_RM_SECOES!C:C, G6&amp;"".*"")&gt;0, ""NÍVEL INCOMPLETO"", IFERROR(INDEX(FILTER(DADOS_RM_SECOES!D:D, DADOS_RM_SECOES!A:A=E6, DADOS_RM_SECOES!B:B=F6, DADOS_RM_SECOES!C:C=G6), 1),"&amp;" ""Não Encontrado"")))
"),"")</f>
        <v/>
      </c>
    </row>
    <row r="7">
      <c r="A7" s="12" t="s">
        <v>38</v>
      </c>
      <c r="B7" s="12" t="s">
        <v>16</v>
      </c>
      <c r="C7" s="12" t="s">
        <v>4685</v>
      </c>
      <c r="D7" s="46" t="s">
        <v>4686</v>
      </c>
      <c r="E7" s="12" t="s">
        <v>47</v>
      </c>
      <c r="F7" s="11" t="s">
        <v>47</v>
      </c>
      <c r="G7" s="12"/>
      <c r="H7" s="12" t="str">
        <f>IFERROR(__xludf.DUMMYFUNCTION("IF(G7="""", """", IF(COUNTIFS(DADOS_RM_SECOES!A:A, E7, DADOS_RM_SECOES!B:B, F7, DADOS_RM_SECOES!C:C, G7&amp;"".*"")&gt;0, ""NÍVEL INCOMPLETO"", IFERROR(INDEX(FILTER(DADOS_RM_SECOES!D:D, DADOS_RM_SECOES!A:A=E7, DADOS_RM_SECOES!B:B=F7, DADOS_RM_SECOES!C:C=G7), 1),"&amp;" ""Não Encontrado"")))
"),"")</f>
        <v/>
      </c>
    </row>
    <row r="8">
      <c r="A8" s="12" t="s">
        <v>38</v>
      </c>
      <c r="B8" s="12" t="s">
        <v>16</v>
      </c>
      <c r="C8" s="12" t="s">
        <v>4687</v>
      </c>
      <c r="D8" s="46" t="s">
        <v>4688</v>
      </c>
      <c r="E8" s="12" t="s">
        <v>47</v>
      </c>
      <c r="F8" s="11" t="s">
        <v>47</v>
      </c>
      <c r="G8" s="12"/>
      <c r="H8" s="12" t="str">
        <f>IFERROR(__xludf.DUMMYFUNCTION("IF(G8="""", """", IF(COUNTIFS(DADOS_RM_SECOES!A:A, E8, DADOS_RM_SECOES!B:B, F8, DADOS_RM_SECOES!C:C, G8&amp;"".*"")&gt;0, ""NÍVEL INCOMPLETO"", IFERROR(INDEX(FILTER(DADOS_RM_SECOES!D:D, DADOS_RM_SECOES!A:A=E8, DADOS_RM_SECOES!B:B=F8, DADOS_RM_SECOES!C:C=G8), 1),"&amp;" ""Não Encontrado"")))
"),"")</f>
        <v/>
      </c>
    </row>
    <row r="9">
      <c r="A9" s="12" t="s">
        <v>38</v>
      </c>
      <c r="B9" s="12" t="s">
        <v>16</v>
      </c>
      <c r="C9" s="12" t="s">
        <v>4690</v>
      </c>
      <c r="D9" s="46" t="s">
        <v>4691</v>
      </c>
      <c r="E9" s="12" t="s">
        <v>47</v>
      </c>
      <c r="F9" s="11" t="s">
        <v>47</v>
      </c>
      <c r="G9" s="12"/>
      <c r="H9" s="12" t="str">
        <f>IFERROR(__xludf.DUMMYFUNCTION("IF(G9="""", """", IF(COUNTIFS(DADOS_RM_SECOES!A:A, E9, DADOS_RM_SECOES!B:B, F9, DADOS_RM_SECOES!C:C, G9&amp;"".*"")&gt;0, ""NÍVEL INCOMPLETO"", IFERROR(INDEX(FILTER(DADOS_RM_SECOES!D:D, DADOS_RM_SECOES!A:A=E9, DADOS_RM_SECOES!B:B=F9, DADOS_RM_SECOES!C:C=G9), 1),"&amp;" ""Não Encontrado"")))
"),"")</f>
        <v/>
      </c>
    </row>
    <row r="10">
      <c r="A10" s="12" t="s">
        <v>38</v>
      </c>
      <c r="B10" s="12" t="s">
        <v>16</v>
      </c>
      <c r="C10" s="12" t="s">
        <v>4692</v>
      </c>
      <c r="D10" s="46" t="s">
        <v>4693</v>
      </c>
      <c r="E10" s="12" t="s">
        <v>47</v>
      </c>
      <c r="F10" s="11" t="s">
        <v>47</v>
      </c>
      <c r="G10" s="12"/>
      <c r="H10" s="12" t="str">
        <f>IFERROR(__xludf.DUMMYFUNCTION("IF(G10="""", """", IF(COUNTIFS(DADOS_RM_SECOES!A:A, E10, DADOS_RM_SECOES!B:B, F10, DADOS_RM_SECOES!C:C, G10&amp;"".*"")&gt;0, ""NÍVEL INCOMPLETO"", IFERROR(INDEX(FILTER(DADOS_RM_SECOES!D:D, DADOS_RM_SECOES!A:A=E10, DADOS_RM_SECOES!B:B=F10, DADOS_RM_SECOES!C:C=G1"&amp;"0), 1), ""Não Encontrado"")))
"),"")</f>
        <v/>
      </c>
    </row>
    <row r="11">
      <c r="A11" s="12" t="s">
        <v>38</v>
      </c>
      <c r="B11" s="12" t="s">
        <v>16</v>
      </c>
      <c r="C11" s="12" t="s">
        <v>4695</v>
      </c>
      <c r="D11" s="46" t="s">
        <v>4696</v>
      </c>
      <c r="E11" s="12" t="s">
        <v>47</v>
      </c>
      <c r="F11" s="11" t="s">
        <v>47</v>
      </c>
      <c r="G11" s="12"/>
      <c r="H11" s="12" t="str">
        <f>IFERROR(__xludf.DUMMYFUNCTION("IF(G11="""", """", IF(COUNTIFS(DADOS_RM_SECOES!A:A, E11, DADOS_RM_SECOES!B:B, F11, DADOS_RM_SECOES!C:C, G11&amp;"".*"")&gt;0, ""NÍVEL INCOMPLETO"", IFERROR(INDEX(FILTER(DADOS_RM_SECOES!D:D, DADOS_RM_SECOES!A:A=E11, DADOS_RM_SECOES!B:B=F11, DADOS_RM_SECOES!C:C=G1"&amp;"1), 1), ""Não Encontrado"")))
"),"")</f>
        <v/>
      </c>
    </row>
    <row r="12">
      <c r="A12" s="12" t="s">
        <v>38</v>
      </c>
      <c r="B12" s="12" t="s">
        <v>16</v>
      </c>
      <c r="C12" s="12" t="s">
        <v>4697</v>
      </c>
      <c r="D12" s="46" t="s">
        <v>4698</v>
      </c>
      <c r="E12" s="12" t="s">
        <v>47</v>
      </c>
      <c r="F12" s="11" t="s">
        <v>47</v>
      </c>
      <c r="G12" s="12"/>
      <c r="H12" s="12" t="str">
        <f>IFERROR(__xludf.DUMMYFUNCTION("IF(G12="""", """", IF(COUNTIFS(DADOS_RM_SECOES!A:A, E12, DADOS_RM_SECOES!B:B, F12, DADOS_RM_SECOES!C:C, G12&amp;"".*"")&gt;0, ""NÍVEL INCOMPLETO"", IFERROR(INDEX(FILTER(DADOS_RM_SECOES!D:D, DADOS_RM_SECOES!A:A=E12, DADOS_RM_SECOES!B:B=F12, DADOS_RM_SECOES!C:C=G1"&amp;"2), 1), ""Não Encontrado"")))
"),"")</f>
        <v/>
      </c>
    </row>
    <row r="13">
      <c r="A13" s="12" t="s">
        <v>38</v>
      </c>
      <c r="B13" s="12" t="s">
        <v>16</v>
      </c>
      <c r="C13" s="12" t="s">
        <v>4699</v>
      </c>
      <c r="D13" s="46" t="s">
        <v>4700</v>
      </c>
      <c r="E13" s="12" t="s">
        <v>47</v>
      </c>
      <c r="F13" s="11" t="s">
        <v>47</v>
      </c>
      <c r="G13" s="12"/>
      <c r="H13" s="12" t="str">
        <f>IFERROR(__xludf.DUMMYFUNCTION("IF(G13="""", """", IF(COUNTIFS(DADOS_RM_SECOES!A:A, E13, DADOS_RM_SECOES!B:B, F13, DADOS_RM_SECOES!C:C, G13&amp;"".*"")&gt;0, ""NÍVEL INCOMPLETO"", IFERROR(INDEX(FILTER(DADOS_RM_SECOES!D:D, DADOS_RM_SECOES!A:A=E13, DADOS_RM_SECOES!B:B=F13, DADOS_RM_SECOES!C:C=G1"&amp;"3), 1), ""Não Encontrado"")))
"),"")</f>
        <v/>
      </c>
    </row>
    <row r="14">
      <c r="A14" s="12" t="s">
        <v>38</v>
      </c>
      <c r="B14" s="12" t="s">
        <v>16</v>
      </c>
      <c r="C14" s="12" t="s">
        <v>4701</v>
      </c>
      <c r="D14" s="46" t="s">
        <v>4702</v>
      </c>
      <c r="E14" s="12" t="s">
        <v>47</v>
      </c>
      <c r="F14" s="11" t="s">
        <v>47</v>
      </c>
      <c r="G14" s="11" t="s">
        <v>4703</v>
      </c>
      <c r="H14" s="12" t="str">
        <f>IFERROR(__xludf.DUMMYFUNCTION("IF(G14="""", """", IF(COUNTIFS(DADOS_RM_SECOES!A:A, E14, DADOS_RM_SECOES!B:B, F14, DADOS_RM_SECOES!C:C, G14&amp;"".*"")&gt;0, ""NÍVEL INCOMPLETO"", IFERROR(INDEX(FILTER(DADOS_RM_SECOES!D:D, DADOS_RM_SECOES!A:A=E14, DADOS_RM_SECOES!B:B=F14, DADOS_RM_SECOES!C:C=G1"&amp;"4), 1), ""Não Encontrado"")))
"),"COMPRAS")</f>
        <v>COMPRAS</v>
      </c>
    </row>
    <row r="15">
      <c r="A15" s="12" t="s">
        <v>38</v>
      </c>
      <c r="B15" s="12" t="s">
        <v>16</v>
      </c>
      <c r="C15" s="12" t="s">
        <v>4705</v>
      </c>
      <c r="D15" s="46" t="s">
        <v>4706</v>
      </c>
      <c r="E15" s="12" t="s">
        <v>47</v>
      </c>
      <c r="F15" s="11" t="s">
        <v>47</v>
      </c>
      <c r="G15" s="12"/>
      <c r="H15" s="12" t="str">
        <f>IFERROR(__xludf.DUMMYFUNCTION("IF(G15="""", """", IF(COUNTIFS(DADOS_RM_SECOES!A:A, E15, DADOS_RM_SECOES!B:B, F15, DADOS_RM_SECOES!C:C, G15&amp;"".*"")&gt;0, ""NÍVEL INCOMPLETO"", IFERROR(INDEX(FILTER(DADOS_RM_SECOES!D:D, DADOS_RM_SECOES!A:A=E15, DADOS_RM_SECOES!B:B=F15, DADOS_RM_SECOES!C:C=G1"&amp;"5), 1), ""Não Encontrado"")))
"),"")</f>
        <v/>
      </c>
    </row>
    <row r="16">
      <c r="A16" s="12" t="s">
        <v>38</v>
      </c>
      <c r="B16" s="12" t="s">
        <v>16</v>
      </c>
      <c r="C16" s="12" t="s">
        <v>4707</v>
      </c>
      <c r="D16" s="46" t="s">
        <v>4708</v>
      </c>
      <c r="E16" s="12" t="s">
        <v>47</v>
      </c>
      <c r="F16" s="11" t="s">
        <v>47</v>
      </c>
      <c r="G16" s="11" t="s">
        <v>4709</v>
      </c>
      <c r="H16" s="12" t="str">
        <f>IFERROR(__xludf.DUMMYFUNCTION("IF(G16="""", """", IF(COUNTIFS(DADOS_RM_SECOES!A:A, E16, DADOS_RM_SECOES!B:B, F16, DADOS_RM_SECOES!C:C, G16&amp;"".*"")&gt;0, ""NÍVEL INCOMPLETO"", IFERROR(INDEX(FILTER(DADOS_RM_SECOES!D:D, DADOS_RM_SECOES!A:A=E16, DADOS_RM_SECOES!B:B=F16, DADOS_RM_SECOES!C:C=G1"&amp;"6), 1), ""Não Encontrado"")))
"),"RECURSOS HUMANOS")</f>
        <v>RECURSOS HUMANOS</v>
      </c>
    </row>
    <row r="17">
      <c r="A17" s="12" t="s">
        <v>38</v>
      </c>
      <c r="B17" s="12" t="s">
        <v>16</v>
      </c>
      <c r="C17" s="12" t="s">
        <v>4710</v>
      </c>
      <c r="D17" s="46" t="s">
        <v>4711</v>
      </c>
      <c r="E17" s="12" t="s">
        <v>47</v>
      </c>
      <c r="F17" s="11" t="s">
        <v>47</v>
      </c>
      <c r="G17" s="11" t="s">
        <v>4712</v>
      </c>
      <c r="H17" s="12" t="str">
        <f>IFERROR(__xludf.DUMMYFUNCTION("IF(G17="""", """", IF(COUNTIFS(DADOS_RM_SECOES!A:A, E17, DADOS_RM_SECOES!B:B, F17, DADOS_RM_SECOES!C:C, G17&amp;"".*"")&gt;0, ""NÍVEL INCOMPLETO"", IFERROR(INDEX(FILTER(DADOS_RM_SECOES!D:D, DADOS_RM_SECOES!A:A=E17, DADOS_RM_SECOES!B:B=F17, DADOS_RM_SECOES!C:C=G1"&amp;"7), 1), ""Não Encontrado"")))
"),"PORTARIA")</f>
        <v>PORTARIA</v>
      </c>
    </row>
    <row r="18">
      <c r="A18" s="12" t="s">
        <v>38</v>
      </c>
      <c r="B18" s="12" t="s">
        <v>16</v>
      </c>
      <c r="C18" s="12" t="s">
        <v>4713</v>
      </c>
      <c r="D18" s="46" t="s">
        <v>4714</v>
      </c>
      <c r="E18" s="12" t="s">
        <v>47</v>
      </c>
      <c r="F18" s="11" t="s">
        <v>47</v>
      </c>
      <c r="G18" s="11" t="s">
        <v>4716</v>
      </c>
      <c r="H18" s="12" t="str">
        <f>IFERROR(__xludf.DUMMYFUNCTION("IF(G18="""", """", IF(COUNTIFS(DADOS_RM_SECOES!A:A, E18, DADOS_RM_SECOES!B:B, F18, DADOS_RM_SECOES!C:C, G18&amp;"".*"")&gt;0, ""NÍVEL INCOMPLETO"", IFERROR(INDEX(FILTER(DADOS_RM_SECOES!D:D, DADOS_RM_SECOES!A:A=E18, DADOS_RM_SECOES!B:B=F18, DADOS_RM_SECOES!C:C=G1"&amp;"8), 1), ""Não Encontrado"")))
"),"CONTROLADORIA")</f>
        <v>CONTROLADORIA</v>
      </c>
    </row>
    <row r="19">
      <c r="A19" s="12" t="s">
        <v>38</v>
      </c>
      <c r="B19" s="12" t="s">
        <v>16</v>
      </c>
      <c r="C19" s="12" t="s">
        <v>4717</v>
      </c>
      <c r="D19" s="46" t="s">
        <v>4718</v>
      </c>
      <c r="E19" s="12" t="s">
        <v>47</v>
      </c>
      <c r="F19" s="11" t="s">
        <v>47</v>
      </c>
      <c r="G19" s="11" t="s">
        <v>4719</v>
      </c>
      <c r="H19" s="12" t="str">
        <f>IFERROR(__xludf.DUMMYFUNCTION("IF(G19="""", """", IF(COUNTIFS(DADOS_RM_SECOES!A:A, E19, DADOS_RM_SECOES!B:B, F19, DADOS_RM_SECOES!C:C, G19&amp;"".*"")&gt;0, ""NÍVEL INCOMPLETO"", IFERROR(INDEX(FILTER(DADOS_RM_SECOES!D:D, DADOS_RM_SECOES!A:A=E19, DADOS_RM_SECOES!B:B=F19, DADOS_RM_SECOES!C:C=G1"&amp;"9), 1), ""Não Encontrado"")))
"),"CONTABIL")</f>
        <v>CONTABIL</v>
      </c>
    </row>
    <row r="20">
      <c r="A20" s="12" t="s">
        <v>38</v>
      </c>
      <c r="B20" s="12" t="s">
        <v>16</v>
      </c>
      <c r="C20" s="12" t="s">
        <v>4720</v>
      </c>
      <c r="D20" s="46" t="s">
        <v>4708</v>
      </c>
      <c r="E20" s="12" t="s">
        <v>47</v>
      </c>
      <c r="F20" s="11" t="s">
        <v>47</v>
      </c>
      <c r="G20" s="11" t="s">
        <v>4709</v>
      </c>
      <c r="H20" s="12" t="str">
        <f>IFERROR(__xludf.DUMMYFUNCTION("IF(G20="""", """", IF(COUNTIFS(DADOS_RM_SECOES!A:A, E20, DADOS_RM_SECOES!B:B, F20, DADOS_RM_SECOES!C:C, G20&amp;"".*"")&gt;0, ""NÍVEL INCOMPLETO"", IFERROR(INDEX(FILTER(DADOS_RM_SECOES!D:D, DADOS_RM_SECOES!A:A=E20, DADOS_RM_SECOES!B:B=F20, DADOS_RM_SECOES!C:C=G2"&amp;"0), 1), ""Não Encontrado"")))
"),"RECURSOS HUMANOS")</f>
        <v>RECURSOS HUMANOS</v>
      </c>
    </row>
    <row r="21" ht="15.75" customHeight="1">
      <c r="A21" s="12" t="s">
        <v>38</v>
      </c>
      <c r="B21" s="12" t="s">
        <v>16</v>
      </c>
      <c r="C21" s="12" t="s">
        <v>4722</v>
      </c>
      <c r="D21" s="46" t="s">
        <v>4723</v>
      </c>
      <c r="E21" s="12" t="s">
        <v>47</v>
      </c>
      <c r="F21" s="11" t="s">
        <v>47</v>
      </c>
      <c r="G21" s="12"/>
      <c r="H21" s="12" t="str">
        <f>IFERROR(__xludf.DUMMYFUNCTION("IF(G21="""", """", IF(COUNTIFS(DADOS_RM_SECOES!A:A, E21, DADOS_RM_SECOES!B:B, F21, DADOS_RM_SECOES!C:C, G21&amp;"".*"")&gt;0, ""NÍVEL INCOMPLETO"", IFERROR(INDEX(FILTER(DADOS_RM_SECOES!D:D, DADOS_RM_SECOES!A:A=E21, DADOS_RM_SECOES!B:B=F21, DADOS_RM_SECOES!C:C=G2"&amp;"1), 1), ""Não Encontrado"")))
"),"")</f>
        <v/>
      </c>
    </row>
    <row r="22" ht="15.75" customHeight="1">
      <c r="A22" s="12" t="s">
        <v>38</v>
      </c>
      <c r="B22" s="12" t="s">
        <v>16</v>
      </c>
      <c r="C22" s="12" t="s">
        <v>4724</v>
      </c>
      <c r="D22" s="46" t="s">
        <v>4725</v>
      </c>
      <c r="E22" s="12" t="s">
        <v>47</v>
      </c>
      <c r="F22" s="11" t="s">
        <v>47</v>
      </c>
      <c r="G22" s="12"/>
      <c r="H22" s="12" t="str">
        <f>IFERROR(__xludf.DUMMYFUNCTION("IF(G22="""", """", IF(COUNTIFS(DADOS_RM_SECOES!A:A, E22, DADOS_RM_SECOES!B:B, F22, DADOS_RM_SECOES!C:C, G22&amp;"".*"")&gt;0, ""NÍVEL INCOMPLETO"", IFERROR(INDEX(FILTER(DADOS_RM_SECOES!D:D, DADOS_RM_SECOES!A:A=E22, DADOS_RM_SECOES!B:B=F22, DADOS_RM_SECOES!C:C=G2"&amp;"2), 1), ""Não Encontrado"")))
"),"")</f>
        <v/>
      </c>
    </row>
    <row r="23" ht="15.75" customHeight="1">
      <c r="A23" s="12" t="s">
        <v>38</v>
      </c>
      <c r="B23" s="12" t="s">
        <v>16</v>
      </c>
      <c r="C23" s="12" t="s">
        <v>4727</v>
      </c>
      <c r="D23" s="46" t="s">
        <v>4728</v>
      </c>
      <c r="E23" s="12" t="s">
        <v>47</v>
      </c>
      <c r="F23" s="11" t="s">
        <v>47</v>
      </c>
      <c r="G23" s="11" t="s">
        <v>4729</v>
      </c>
      <c r="H23" s="12" t="str">
        <f>IFERROR(__xludf.DUMMYFUNCTION("IF(G23="""", """", IF(COUNTIFS(DADOS_RM_SECOES!A:A, E23, DADOS_RM_SECOES!B:B, F23, DADOS_RM_SECOES!C:C, G23&amp;"".*"")&gt;0, ""NÍVEL INCOMPLETO"", IFERROR(INDEX(FILTER(DADOS_RM_SECOES!D:D, DADOS_RM_SECOES!A:A=E23, DADOS_RM_SECOES!B:B=F23, DADOS_RM_SECOES!C:C=G2"&amp;"3), 1), ""Não Encontrado"")))
"),"SESMT")</f>
        <v>SESMT</v>
      </c>
    </row>
    <row r="24" ht="15.75" customHeight="1">
      <c r="A24" s="12" t="s">
        <v>38</v>
      </c>
      <c r="B24" s="12" t="s">
        <v>16</v>
      </c>
      <c r="C24" s="12" t="s">
        <v>4730</v>
      </c>
      <c r="D24" s="46" t="s">
        <v>4731</v>
      </c>
      <c r="E24" s="12" t="s">
        <v>47</v>
      </c>
      <c r="F24" s="11" t="s">
        <v>47</v>
      </c>
      <c r="G24" s="11" t="s">
        <v>4732</v>
      </c>
      <c r="H24" s="12" t="str">
        <f>IFERROR(__xludf.DUMMYFUNCTION("IF(G24="""", """", IF(COUNTIFS(DADOS_RM_SECOES!A:A, E24, DADOS_RM_SECOES!B:B, F24, DADOS_RM_SECOES!C:C, G24&amp;"".*"")&gt;0, ""NÍVEL INCOMPLETO"", IFERROR(INDEX(FILTER(DADOS_RM_SECOES!D:D, DADOS_RM_SECOES!A:A=E24, DADOS_RM_SECOES!B:B=F24, DADOS_RM_SECOES!C:C=G2"&amp;"4), 1), ""Não Encontrado"")))
"),"ALMOXARIFE")</f>
        <v>ALMOXARIFE</v>
      </c>
    </row>
    <row r="25" ht="15.75" customHeight="1">
      <c r="A25" s="12" t="s">
        <v>38</v>
      </c>
      <c r="B25" s="12" t="s">
        <v>16</v>
      </c>
      <c r="C25" s="12" t="s">
        <v>4733</v>
      </c>
      <c r="D25" s="46" t="s">
        <v>4734</v>
      </c>
      <c r="E25" s="12" t="s">
        <v>47</v>
      </c>
      <c r="F25" s="11" t="s">
        <v>47</v>
      </c>
      <c r="G25" s="12"/>
      <c r="H25" s="12" t="str">
        <f>IFERROR(__xludf.DUMMYFUNCTION("IF(G25="""", """", IF(COUNTIFS(DADOS_RM_SECOES!A:A, E25, DADOS_RM_SECOES!B:B, F25, DADOS_RM_SECOES!C:C, G25&amp;"".*"")&gt;0, ""NÍVEL INCOMPLETO"", IFERROR(INDEX(FILTER(DADOS_RM_SECOES!D:D, DADOS_RM_SECOES!A:A=E25, DADOS_RM_SECOES!B:B=F25, DADOS_RM_SECOES!C:C=G2"&amp;"5), 1), ""Não Encontrado"")))
"),"")</f>
        <v/>
      </c>
    </row>
    <row r="26" ht="15.75" customHeight="1">
      <c r="A26" s="12" t="s">
        <v>38</v>
      </c>
      <c r="B26" s="12" t="s">
        <v>16</v>
      </c>
      <c r="C26" s="12" t="s">
        <v>4735</v>
      </c>
      <c r="D26" s="46" t="s">
        <v>4736</v>
      </c>
      <c r="E26" s="12" t="s">
        <v>47</v>
      </c>
      <c r="F26" s="11" t="s">
        <v>47</v>
      </c>
      <c r="G26" s="12"/>
      <c r="H26" s="12" t="str">
        <f>IFERROR(__xludf.DUMMYFUNCTION("IF(G26="""", """", IF(COUNTIFS(DADOS_RM_SECOES!A:A, E26, DADOS_RM_SECOES!B:B, F26, DADOS_RM_SECOES!C:C, G26&amp;"".*"")&gt;0, ""NÍVEL INCOMPLETO"", IFERROR(INDEX(FILTER(DADOS_RM_SECOES!D:D, DADOS_RM_SECOES!A:A=E26, DADOS_RM_SECOES!B:B=F26, DADOS_RM_SECOES!C:C=G2"&amp;"6), 1), ""Não Encontrado"")))
"),"")</f>
        <v/>
      </c>
    </row>
    <row r="27" ht="15.75" customHeight="1">
      <c r="A27" s="12" t="s">
        <v>38</v>
      </c>
      <c r="B27" s="12" t="s">
        <v>16</v>
      </c>
      <c r="C27" s="12" t="s">
        <v>4737</v>
      </c>
      <c r="D27" s="46" t="s">
        <v>4739</v>
      </c>
      <c r="E27" s="12" t="s">
        <v>47</v>
      </c>
      <c r="F27" s="11" t="s">
        <v>47</v>
      </c>
      <c r="G27" s="11" t="s">
        <v>4740</v>
      </c>
      <c r="H27" s="12" t="str">
        <f>IFERROR(__xludf.DUMMYFUNCTION("IF(G27="""", """", IF(COUNTIFS(DADOS_RM_SECOES!A:A, E27, DADOS_RM_SECOES!B:B, F27, DADOS_RM_SECOES!C:C, G27&amp;"".*"")&gt;0, ""NÍVEL INCOMPLETO"", IFERROR(INDEX(FILTER(DADOS_RM_SECOES!D:D, DADOS_RM_SECOES!A:A=E27, DADOS_RM_SECOES!B:B=F27, DADOS_RM_SECOES!C:C=G2"&amp;"7), 1), ""Não Encontrado"")))
"),"NÍVEL INCOMPLETO")</f>
        <v>NÍVEL INCOMPLETO</v>
      </c>
    </row>
    <row r="28" ht="15.75" customHeight="1">
      <c r="A28" s="12" t="s">
        <v>38</v>
      </c>
      <c r="B28" s="12" t="s">
        <v>16</v>
      </c>
      <c r="C28" s="12" t="s">
        <v>4741</v>
      </c>
      <c r="D28" s="46" t="s">
        <v>4742</v>
      </c>
      <c r="E28" s="12" t="s">
        <v>47</v>
      </c>
      <c r="F28" s="11" t="s">
        <v>47</v>
      </c>
      <c r="G28" s="11" t="s">
        <v>4743</v>
      </c>
      <c r="H28" s="12" t="str">
        <f>IFERROR(__xludf.DUMMYFUNCTION("IF(G28="""", """", IF(COUNTIFS(DADOS_RM_SECOES!A:A, E28, DADOS_RM_SECOES!B:B, F28, DADOS_RM_SECOES!C:C, G28&amp;"".*"")&gt;0, ""NÍVEL INCOMPLETO"", IFERROR(INDEX(FILTER(DADOS_RM_SECOES!D:D, DADOS_RM_SECOES!A:A=E28, DADOS_RM_SECOES!B:B=F28, DADOS_RM_SECOES!C:C=G2"&amp;"8), 1), ""Não Encontrado"")))
"),"REGIONAL I")</f>
        <v>REGIONAL I</v>
      </c>
    </row>
    <row r="29" ht="15.75" customHeight="1">
      <c r="A29" s="12" t="s">
        <v>38</v>
      </c>
      <c r="B29" s="12" t="s">
        <v>16</v>
      </c>
      <c r="C29" s="12" t="s">
        <v>4744</v>
      </c>
      <c r="D29" s="46" t="s">
        <v>4745</v>
      </c>
      <c r="E29" s="12" t="s">
        <v>47</v>
      </c>
      <c r="F29" s="11" t="s">
        <v>47</v>
      </c>
      <c r="G29" s="11" t="s">
        <v>4746</v>
      </c>
      <c r="H29" s="12" t="str">
        <f>IFERROR(__xludf.DUMMYFUNCTION("IF(G29="""", """", IF(COUNTIFS(DADOS_RM_SECOES!A:A, E29, DADOS_RM_SECOES!B:B, F29, DADOS_RM_SECOES!C:C, G29&amp;"".*"")&gt;0, ""NÍVEL INCOMPLETO"", IFERROR(INDEX(FILTER(DADOS_RM_SECOES!D:D, DADOS_RM_SECOES!A:A=E29, DADOS_RM_SECOES!B:B=F29, DADOS_RM_SECOES!C:C=G2"&amp;"9), 1), ""Não Encontrado"")))
"),"REGIONAL II")</f>
        <v>REGIONAL II</v>
      </c>
    </row>
    <row r="30" ht="15.75" customHeight="1">
      <c r="A30" s="12" t="s">
        <v>38</v>
      </c>
      <c r="B30" s="12" t="s">
        <v>16</v>
      </c>
      <c r="C30" s="12" t="s">
        <v>4747</v>
      </c>
      <c r="D30" s="46" t="s">
        <v>4748</v>
      </c>
      <c r="E30" s="12" t="s">
        <v>47</v>
      </c>
      <c r="F30" s="11" t="s">
        <v>47</v>
      </c>
      <c r="G30" s="11" t="s">
        <v>4749</v>
      </c>
      <c r="H30" s="12" t="str">
        <f>IFERROR(__xludf.DUMMYFUNCTION("IF(G30="""", """", IF(COUNTIFS(DADOS_RM_SECOES!A:A, E30, DADOS_RM_SECOES!B:B, F30, DADOS_RM_SECOES!C:C, G30&amp;"".*"")&gt;0, ""NÍVEL INCOMPLETO"", IFERROR(INDEX(FILTER(DADOS_RM_SECOES!D:D, DADOS_RM_SECOES!A:A=E30, DADOS_RM_SECOES!B:B=F30, DADOS_RM_SECOES!C:C=G3"&amp;"0), 1), ""Não Encontrado"")))
"),"REGIONAL III")</f>
        <v>REGIONAL III</v>
      </c>
    </row>
    <row r="31" ht="15.75" customHeight="1">
      <c r="A31" s="12" t="s">
        <v>38</v>
      </c>
      <c r="B31" s="12" t="s">
        <v>16</v>
      </c>
      <c r="C31" s="12" t="s">
        <v>4750</v>
      </c>
      <c r="D31" s="46" t="s">
        <v>4751</v>
      </c>
      <c r="E31" s="12" t="s">
        <v>47</v>
      </c>
      <c r="F31" s="11" t="s">
        <v>47</v>
      </c>
      <c r="G31" s="11" t="s">
        <v>4752</v>
      </c>
      <c r="H31" s="12" t="str">
        <f>IFERROR(__xludf.DUMMYFUNCTION("IF(G31="""", """", IF(COUNTIFS(DADOS_RM_SECOES!A:A, E31, DADOS_RM_SECOES!B:B, F31, DADOS_RM_SECOES!C:C, G31&amp;"".*"")&gt;0, ""NÍVEL INCOMPLETO"", IFERROR(INDEX(FILTER(DADOS_RM_SECOES!D:D, DADOS_RM_SECOES!A:A=E31, DADOS_RM_SECOES!B:B=F31, DADOS_RM_SECOES!C:C=G3"&amp;"1), 1), ""Não Encontrado"")))
"),"REGIONAL IV")</f>
        <v>REGIONAL IV</v>
      </c>
    </row>
    <row r="32" ht="15.75" customHeight="1">
      <c r="A32" s="12" t="s">
        <v>38</v>
      </c>
      <c r="B32" s="12" t="s">
        <v>16</v>
      </c>
      <c r="C32" s="12" t="s">
        <v>4753</v>
      </c>
      <c r="D32" s="46" t="s">
        <v>4754</v>
      </c>
      <c r="E32" s="12" t="s">
        <v>47</v>
      </c>
      <c r="F32" s="11" t="s">
        <v>47</v>
      </c>
      <c r="G32" s="11" t="s">
        <v>4755</v>
      </c>
      <c r="H32" s="12" t="str">
        <f>IFERROR(__xludf.DUMMYFUNCTION("IF(G32="""", """", IF(COUNTIFS(DADOS_RM_SECOES!A:A, E32, DADOS_RM_SECOES!B:B, F32, DADOS_RM_SECOES!C:C, G32&amp;"".*"")&gt;0, ""NÍVEL INCOMPLETO"", IFERROR(INDEX(FILTER(DADOS_RM_SECOES!D:D, DADOS_RM_SECOES!A:A=E32, DADOS_RM_SECOES!B:B=F32, DADOS_RM_SECOES!C:C=G3"&amp;"2), 1), ""Não Encontrado"")))
"),"REGIONAL V")</f>
        <v>REGIONAL V</v>
      </c>
    </row>
    <row r="33" ht="15.75" customHeight="1">
      <c r="A33" s="12" t="s">
        <v>38</v>
      </c>
      <c r="B33" s="12" t="s">
        <v>16</v>
      </c>
      <c r="C33" s="12" t="s">
        <v>4756</v>
      </c>
      <c r="D33" s="46" t="s">
        <v>4757</v>
      </c>
      <c r="E33" s="12" t="s">
        <v>47</v>
      </c>
      <c r="F33" s="11" t="s">
        <v>47</v>
      </c>
      <c r="G33" s="11" t="s">
        <v>4758</v>
      </c>
      <c r="H33" s="12" t="str">
        <f>IFERROR(__xludf.DUMMYFUNCTION("IF(G33="""", """", IF(COUNTIFS(DADOS_RM_SECOES!A:A, E33, DADOS_RM_SECOES!B:B, F33, DADOS_RM_SECOES!C:C, G33&amp;"".*"")&gt;0, ""NÍVEL INCOMPLETO"", IFERROR(INDEX(FILTER(DADOS_RM_SECOES!D:D, DADOS_RM_SECOES!A:A=E33, DADOS_RM_SECOES!B:B=F33, DADOS_RM_SECOES!C:C=G3"&amp;"3), 1), ""Não Encontrado"")))
"),"REGIONAL VI")</f>
        <v>REGIONAL VI</v>
      </c>
    </row>
    <row r="34" ht="15.75" customHeight="1">
      <c r="A34" s="12" t="s">
        <v>38</v>
      </c>
      <c r="B34" s="12" t="s">
        <v>16</v>
      </c>
      <c r="C34" s="12" t="s">
        <v>4759</v>
      </c>
      <c r="D34" s="46" t="s">
        <v>4760</v>
      </c>
      <c r="E34" s="12" t="s">
        <v>47</v>
      </c>
      <c r="F34" s="11" t="s">
        <v>47</v>
      </c>
      <c r="G34" s="11" t="s">
        <v>4743</v>
      </c>
      <c r="H34" s="12" t="str">
        <f>IFERROR(__xludf.DUMMYFUNCTION("IF(G34="""", """", IF(COUNTIFS(DADOS_RM_SECOES!A:A, E34, DADOS_RM_SECOES!B:B, F34, DADOS_RM_SECOES!C:C, G34&amp;"".*"")&gt;0, ""NÍVEL INCOMPLETO"", IFERROR(INDEX(FILTER(DADOS_RM_SECOES!D:D, DADOS_RM_SECOES!A:A=E34, DADOS_RM_SECOES!B:B=F34, DADOS_RM_SECOES!C:C=G3"&amp;"4), 1), ""Não Encontrado"")))
"),"REGIONAL I")</f>
        <v>REGIONAL I</v>
      </c>
    </row>
    <row r="35" ht="15.75" customHeight="1">
      <c r="A35" s="12" t="s">
        <v>38</v>
      </c>
      <c r="B35" s="12" t="s">
        <v>16</v>
      </c>
      <c r="C35" s="12" t="s">
        <v>4761</v>
      </c>
      <c r="D35" s="46" t="s">
        <v>4762</v>
      </c>
      <c r="E35" s="12" t="s">
        <v>47</v>
      </c>
      <c r="F35" s="11" t="s">
        <v>47</v>
      </c>
      <c r="G35" s="11" t="s">
        <v>4743</v>
      </c>
      <c r="H35" s="12" t="str">
        <f>IFERROR(__xludf.DUMMYFUNCTION("IF(G35="""", """", IF(COUNTIFS(DADOS_RM_SECOES!A:A, E35, DADOS_RM_SECOES!B:B, F35, DADOS_RM_SECOES!C:C, G35&amp;"".*"")&gt;0, ""NÍVEL INCOMPLETO"", IFERROR(INDEX(FILTER(DADOS_RM_SECOES!D:D, DADOS_RM_SECOES!A:A=E35, DADOS_RM_SECOES!B:B=F35, DADOS_RM_SECOES!C:C=G3"&amp;"5), 1), ""Não Encontrado"")))
"),"REGIONAL I")</f>
        <v>REGIONAL I</v>
      </c>
    </row>
    <row r="36" ht="15.75" customHeight="1">
      <c r="A36" s="12" t="s">
        <v>38</v>
      </c>
      <c r="B36" s="12" t="s">
        <v>16</v>
      </c>
      <c r="C36" s="12" t="s">
        <v>4764</v>
      </c>
      <c r="D36" s="46" t="s">
        <v>4765</v>
      </c>
      <c r="E36" s="12" t="s">
        <v>47</v>
      </c>
      <c r="F36" s="11" t="s">
        <v>47</v>
      </c>
      <c r="G36" s="11" t="s">
        <v>4749</v>
      </c>
      <c r="H36" s="12" t="str">
        <f>IFERROR(__xludf.DUMMYFUNCTION("IF(G36="""", """", IF(COUNTIFS(DADOS_RM_SECOES!A:A, E36, DADOS_RM_SECOES!B:B, F36, DADOS_RM_SECOES!C:C, G36&amp;"".*"")&gt;0, ""NÍVEL INCOMPLETO"", IFERROR(INDEX(FILTER(DADOS_RM_SECOES!D:D, DADOS_RM_SECOES!A:A=E36, DADOS_RM_SECOES!B:B=F36, DADOS_RM_SECOES!C:C=G3"&amp;"6), 1), ""Não Encontrado"")))
"),"REGIONAL III")</f>
        <v>REGIONAL III</v>
      </c>
    </row>
    <row r="37" ht="15.75" customHeight="1">
      <c r="A37" s="12" t="s">
        <v>38</v>
      </c>
      <c r="B37" s="12" t="s">
        <v>16</v>
      </c>
      <c r="C37" s="12" t="s">
        <v>4766</v>
      </c>
      <c r="D37" s="46" t="s">
        <v>4767</v>
      </c>
      <c r="E37" s="12" t="s">
        <v>47</v>
      </c>
      <c r="F37" s="11" t="s">
        <v>47</v>
      </c>
      <c r="G37" s="11" t="s">
        <v>4752</v>
      </c>
      <c r="H37" s="12" t="str">
        <f>IFERROR(__xludf.DUMMYFUNCTION("IF(G37="""", """", IF(COUNTIFS(DADOS_RM_SECOES!A:A, E37, DADOS_RM_SECOES!B:B, F37, DADOS_RM_SECOES!C:C, G37&amp;"".*"")&gt;0, ""NÍVEL INCOMPLETO"", IFERROR(INDEX(FILTER(DADOS_RM_SECOES!D:D, DADOS_RM_SECOES!A:A=E37, DADOS_RM_SECOES!B:B=F37, DADOS_RM_SECOES!C:C=G3"&amp;"7), 1), ""Não Encontrado"")))
"),"REGIONAL IV")</f>
        <v>REGIONAL IV</v>
      </c>
    </row>
    <row r="38" ht="15.75" customHeight="1">
      <c r="A38" s="12" t="s">
        <v>38</v>
      </c>
      <c r="B38" s="12" t="s">
        <v>16</v>
      </c>
      <c r="C38" s="12" t="s">
        <v>4769</v>
      </c>
      <c r="D38" s="46" t="s">
        <v>4770</v>
      </c>
      <c r="E38" s="12" t="s">
        <v>47</v>
      </c>
      <c r="F38" s="11" t="s">
        <v>47</v>
      </c>
      <c r="G38" s="11" t="s">
        <v>4771</v>
      </c>
      <c r="H38" s="12" t="str">
        <f>IFERROR(__xludf.DUMMYFUNCTION("IF(G38="""", """", IF(COUNTIFS(DADOS_RM_SECOES!A:A, E38, DADOS_RM_SECOES!B:B, F38, DADOS_RM_SECOES!C:C, G38&amp;"".*"")&gt;0, ""NÍVEL INCOMPLETO"", IFERROR(INDEX(FILTER(DADOS_RM_SECOES!D:D, DADOS_RM_SECOES!A:A=E38, DADOS_RM_SECOES!B:B=F38, DADOS_RM_SECOES!C:C=G3"&amp;"8), 1), ""Não Encontrado"")))
"),"ECOPONTO")</f>
        <v>ECOPONTO</v>
      </c>
    </row>
    <row r="39" ht="15.75" customHeight="1">
      <c r="A39" s="12" t="s">
        <v>38</v>
      </c>
      <c r="B39" s="12" t="s">
        <v>16</v>
      </c>
      <c r="C39" s="12" t="s">
        <v>4772</v>
      </c>
      <c r="D39" s="46" t="s">
        <v>4773</v>
      </c>
      <c r="E39" s="12" t="s">
        <v>47</v>
      </c>
      <c r="F39" s="11" t="s">
        <v>47</v>
      </c>
      <c r="G39" s="11" t="s">
        <v>4774</v>
      </c>
      <c r="H39" s="12" t="str">
        <f>IFERROR(__xludf.DUMMYFUNCTION("IF(G39="""", """", IF(COUNTIFS(DADOS_RM_SECOES!A:A, E39, DADOS_RM_SECOES!B:B, F39, DADOS_RM_SECOES!C:C, G39&amp;"".*"")&gt;0, ""NÍVEL INCOMPLETO"", IFERROR(INDEX(FILTER(DADOS_RM_SECOES!D:D, DADOS_RM_SECOES!A:A=E39, DADOS_RM_SECOES!B:B=F39, DADOS_RM_SECOES!C:C=G3"&amp;"9), 1), ""Não Encontrado"")))
"),"REGIONAL NOITE")</f>
        <v>REGIONAL NOITE</v>
      </c>
    </row>
    <row r="40" ht="15.75" customHeight="1">
      <c r="A40" s="12" t="s">
        <v>38</v>
      </c>
      <c r="B40" s="12" t="s">
        <v>16</v>
      </c>
      <c r="C40" s="12" t="s">
        <v>4775</v>
      </c>
      <c r="D40" s="46" t="s">
        <v>4776</v>
      </c>
      <c r="E40" s="12" t="s">
        <v>47</v>
      </c>
      <c r="F40" s="11" t="s">
        <v>47</v>
      </c>
      <c r="G40" s="11" t="s">
        <v>4777</v>
      </c>
      <c r="H40" s="12" t="str">
        <f>IFERROR(__xludf.DUMMYFUNCTION("IF(G40="""", """", IF(COUNTIFS(DADOS_RM_SECOES!A:A, E40, DADOS_RM_SECOES!B:B, F40, DADOS_RM_SECOES!C:C, G40&amp;"".*"")&gt;0, ""NÍVEL INCOMPLETO"", IFERROR(INDEX(FILTER(DADOS_RM_SECOES!D:D, DADOS_RM_SECOES!A:A=E40, DADOS_RM_SECOES!B:B=F40, DADOS_RM_SECOES!C:C=G4"&amp;"0), 1), ""Não Encontrado"")))
"),"NÍVEL INCOMPLETO")</f>
        <v>NÍVEL INCOMPLETO</v>
      </c>
    </row>
    <row r="41" ht="15.75" customHeight="1">
      <c r="A41" s="12" t="s">
        <v>38</v>
      </c>
      <c r="B41" s="12" t="s">
        <v>16</v>
      </c>
      <c r="C41" s="12" t="s">
        <v>4778</v>
      </c>
      <c r="D41" s="46" t="s">
        <v>4779</v>
      </c>
      <c r="E41" s="12" t="s">
        <v>47</v>
      </c>
      <c r="F41" s="11" t="s">
        <v>47</v>
      </c>
      <c r="G41" s="12"/>
      <c r="H41" s="12" t="str">
        <f>IFERROR(__xludf.DUMMYFUNCTION("IF(G41="""", """", IF(COUNTIFS(DADOS_RM_SECOES!A:A, E41, DADOS_RM_SECOES!B:B, F41, DADOS_RM_SECOES!C:C, G41&amp;"".*"")&gt;0, ""NÍVEL INCOMPLETO"", IFERROR(INDEX(FILTER(DADOS_RM_SECOES!D:D, DADOS_RM_SECOES!A:A=E41, DADOS_RM_SECOES!B:B=F41, DADOS_RM_SECOES!C:C=G4"&amp;"1), 1), ""Não Encontrado"")))
"),"")</f>
        <v/>
      </c>
    </row>
    <row r="42" ht="15.75" customHeight="1">
      <c r="A42" s="12" t="s">
        <v>38</v>
      </c>
      <c r="B42" s="12" t="s">
        <v>16</v>
      </c>
      <c r="C42" s="12" t="s">
        <v>4780</v>
      </c>
      <c r="D42" s="46" t="s">
        <v>4781</v>
      </c>
      <c r="E42" s="12" t="s">
        <v>47</v>
      </c>
      <c r="F42" s="11" t="s">
        <v>47</v>
      </c>
      <c r="G42" s="11" t="s">
        <v>4746</v>
      </c>
      <c r="H42" s="12" t="str">
        <f>IFERROR(__xludf.DUMMYFUNCTION("IF(G42="""", """", IF(COUNTIFS(DADOS_RM_SECOES!A:A, E42, DADOS_RM_SECOES!B:B, F42, DADOS_RM_SECOES!C:C, G42&amp;"".*"")&gt;0, ""NÍVEL INCOMPLETO"", IFERROR(INDEX(FILTER(DADOS_RM_SECOES!D:D, DADOS_RM_SECOES!A:A=E42, DADOS_RM_SECOES!B:B=F42, DADOS_RM_SECOES!C:C=G4"&amp;"2), 1), ""Não Encontrado"")))
"),"REGIONAL II")</f>
        <v>REGIONAL II</v>
      </c>
    </row>
    <row r="43" ht="15.75" customHeight="1">
      <c r="A43" s="12" t="s">
        <v>38</v>
      </c>
      <c r="B43" s="12" t="s">
        <v>16</v>
      </c>
      <c r="C43" s="12" t="s">
        <v>4782</v>
      </c>
      <c r="D43" s="46" t="s">
        <v>4783</v>
      </c>
      <c r="E43" s="12" t="s">
        <v>47</v>
      </c>
      <c r="F43" s="11" t="s">
        <v>47</v>
      </c>
      <c r="G43" s="11" t="s">
        <v>4746</v>
      </c>
      <c r="H43" s="12" t="str">
        <f>IFERROR(__xludf.DUMMYFUNCTION("IF(G43="""", """", IF(COUNTIFS(DADOS_RM_SECOES!A:A, E43, DADOS_RM_SECOES!B:B, F43, DADOS_RM_SECOES!C:C, G43&amp;"".*"")&gt;0, ""NÍVEL INCOMPLETO"", IFERROR(INDEX(FILTER(DADOS_RM_SECOES!D:D, DADOS_RM_SECOES!A:A=E43, DADOS_RM_SECOES!B:B=F43, DADOS_RM_SECOES!C:C=G4"&amp;"3), 1), ""Não Encontrado"")))
"),"REGIONAL II")</f>
        <v>REGIONAL II</v>
      </c>
    </row>
    <row r="44" ht="15.75" customHeight="1">
      <c r="A44" s="12" t="s">
        <v>38</v>
      </c>
      <c r="B44" s="12" t="s">
        <v>16</v>
      </c>
      <c r="C44" s="12" t="s">
        <v>4786</v>
      </c>
      <c r="D44" s="46" t="s">
        <v>4787</v>
      </c>
      <c r="E44" s="12" t="s">
        <v>47</v>
      </c>
      <c r="F44" s="11" t="s">
        <v>47</v>
      </c>
      <c r="G44" s="11" t="s">
        <v>4749</v>
      </c>
      <c r="H44" s="12" t="str">
        <f>IFERROR(__xludf.DUMMYFUNCTION("IF(G44="""", """", IF(COUNTIFS(DADOS_RM_SECOES!A:A, E44, DADOS_RM_SECOES!B:B, F44, DADOS_RM_SECOES!C:C, G44&amp;"".*"")&gt;0, ""NÍVEL INCOMPLETO"", IFERROR(INDEX(FILTER(DADOS_RM_SECOES!D:D, DADOS_RM_SECOES!A:A=E44, DADOS_RM_SECOES!B:B=F44, DADOS_RM_SECOES!C:C=G4"&amp;"4), 1), ""Não Encontrado"")))
"),"REGIONAL III")</f>
        <v>REGIONAL III</v>
      </c>
    </row>
    <row r="45" ht="15.75" customHeight="1">
      <c r="A45" s="12" t="s">
        <v>38</v>
      </c>
      <c r="B45" s="12" t="s">
        <v>16</v>
      </c>
      <c r="C45" s="12" t="s">
        <v>4788</v>
      </c>
      <c r="D45" s="46" t="s">
        <v>4789</v>
      </c>
      <c r="E45" s="12" t="s">
        <v>47</v>
      </c>
      <c r="F45" s="11" t="s">
        <v>47</v>
      </c>
      <c r="G45" s="11" t="s">
        <v>4749</v>
      </c>
      <c r="H45" s="12" t="str">
        <f>IFERROR(__xludf.DUMMYFUNCTION("IF(G45="""", """", IF(COUNTIFS(DADOS_RM_SECOES!A:A, E45, DADOS_RM_SECOES!B:B, F45, DADOS_RM_SECOES!C:C, G45&amp;"".*"")&gt;0, ""NÍVEL INCOMPLETO"", IFERROR(INDEX(FILTER(DADOS_RM_SECOES!D:D, DADOS_RM_SECOES!A:A=E45, DADOS_RM_SECOES!B:B=F45, DADOS_RM_SECOES!C:C=G4"&amp;"5), 1), ""Não Encontrado"")))
"),"REGIONAL III")</f>
        <v>REGIONAL III</v>
      </c>
    </row>
    <row r="46" ht="15.75" customHeight="1">
      <c r="A46" s="12" t="s">
        <v>38</v>
      </c>
      <c r="B46" s="12" t="s">
        <v>16</v>
      </c>
      <c r="C46" s="12" t="s">
        <v>4791</v>
      </c>
      <c r="D46" s="46" t="s">
        <v>4792</v>
      </c>
      <c r="E46" s="12" t="s">
        <v>47</v>
      </c>
      <c r="F46" s="11" t="s">
        <v>47</v>
      </c>
      <c r="G46" s="11" t="s">
        <v>4752</v>
      </c>
      <c r="H46" s="12" t="str">
        <f>IFERROR(__xludf.DUMMYFUNCTION("IF(G46="""", """", IF(COUNTIFS(DADOS_RM_SECOES!A:A, E46, DADOS_RM_SECOES!B:B, F46, DADOS_RM_SECOES!C:C, G46&amp;"".*"")&gt;0, ""NÍVEL INCOMPLETO"", IFERROR(INDEX(FILTER(DADOS_RM_SECOES!D:D, DADOS_RM_SECOES!A:A=E46, DADOS_RM_SECOES!B:B=F46, DADOS_RM_SECOES!C:C=G4"&amp;"6), 1), ""Não Encontrado"")))
"),"REGIONAL IV")</f>
        <v>REGIONAL IV</v>
      </c>
    </row>
    <row r="47" ht="15.75" customHeight="1">
      <c r="A47" s="12" t="s">
        <v>38</v>
      </c>
      <c r="B47" s="12" t="s">
        <v>16</v>
      </c>
      <c r="C47" s="12" t="s">
        <v>4793</v>
      </c>
      <c r="D47" s="46" t="s">
        <v>4794</v>
      </c>
      <c r="E47" s="12" t="s">
        <v>47</v>
      </c>
      <c r="F47" s="11" t="s">
        <v>47</v>
      </c>
      <c r="G47" s="11" t="s">
        <v>4752</v>
      </c>
      <c r="H47" s="12" t="str">
        <f>IFERROR(__xludf.DUMMYFUNCTION("IF(G47="""", """", IF(COUNTIFS(DADOS_RM_SECOES!A:A, E47, DADOS_RM_SECOES!B:B, F47, DADOS_RM_SECOES!C:C, G47&amp;"".*"")&gt;0, ""NÍVEL INCOMPLETO"", IFERROR(INDEX(FILTER(DADOS_RM_SECOES!D:D, DADOS_RM_SECOES!A:A=E47, DADOS_RM_SECOES!B:B=F47, DADOS_RM_SECOES!C:C=G4"&amp;"7), 1), ""Não Encontrado"")))
"),"REGIONAL IV")</f>
        <v>REGIONAL IV</v>
      </c>
    </row>
    <row r="48" ht="15.75" customHeight="1">
      <c r="A48" s="12" t="s">
        <v>38</v>
      </c>
      <c r="B48" s="12" t="s">
        <v>16</v>
      </c>
      <c r="C48" s="12" t="s">
        <v>4796</v>
      </c>
      <c r="D48" s="46" t="s">
        <v>4797</v>
      </c>
      <c r="E48" s="12" t="s">
        <v>47</v>
      </c>
      <c r="F48" s="11" t="s">
        <v>47</v>
      </c>
      <c r="G48" s="11" t="s">
        <v>4755</v>
      </c>
      <c r="H48" s="12" t="str">
        <f>IFERROR(__xludf.DUMMYFUNCTION("IF(G48="""", """", IF(COUNTIFS(DADOS_RM_SECOES!A:A, E48, DADOS_RM_SECOES!B:B, F48, DADOS_RM_SECOES!C:C, G48&amp;"".*"")&gt;0, ""NÍVEL INCOMPLETO"", IFERROR(INDEX(FILTER(DADOS_RM_SECOES!D:D, DADOS_RM_SECOES!A:A=E48, DADOS_RM_SECOES!B:B=F48, DADOS_RM_SECOES!C:C=G4"&amp;"8), 1), ""Não Encontrado"")))
"),"REGIONAL V")</f>
        <v>REGIONAL V</v>
      </c>
    </row>
    <row r="49" ht="15.75" customHeight="1">
      <c r="A49" s="12" t="s">
        <v>38</v>
      </c>
      <c r="B49" s="12" t="s">
        <v>16</v>
      </c>
      <c r="C49" s="12" t="s">
        <v>4798</v>
      </c>
      <c r="D49" s="46" t="s">
        <v>4799</v>
      </c>
      <c r="E49" s="12" t="s">
        <v>47</v>
      </c>
      <c r="F49" s="11" t="s">
        <v>47</v>
      </c>
      <c r="G49" s="11" t="s">
        <v>4755</v>
      </c>
      <c r="H49" s="12" t="str">
        <f>IFERROR(__xludf.DUMMYFUNCTION("IF(G49="""", """", IF(COUNTIFS(DADOS_RM_SECOES!A:A, E49, DADOS_RM_SECOES!B:B, F49, DADOS_RM_SECOES!C:C, G49&amp;"".*"")&gt;0, ""NÍVEL INCOMPLETO"", IFERROR(INDEX(FILTER(DADOS_RM_SECOES!D:D, DADOS_RM_SECOES!A:A=E49, DADOS_RM_SECOES!B:B=F49, DADOS_RM_SECOES!C:C=G4"&amp;"9), 1), ""Não Encontrado"")))
"),"REGIONAL V")</f>
        <v>REGIONAL V</v>
      </c>
    </row>
    <row r="50" ht="15.75" customHeight="1">
      <c r="A50" s="12" t="s">
        <v>38</v>
      </c>
      <c r="B50" s="12" t="s">
        <v>16</v>
      </c>
      <c r="C50" s="12" t="s">
        <v>4800</v>
      </c>
      <c r="D50" s="46" t="s">
        <v>4801</v>
      </c>
      <c r="E50" s="12" t="s">
        <v>47</v>
      </c>
      <c r="F50" s="11" t="s">
        <v>47</v>
      </c>
      <c r="G50" s="11" t="s">
        <v>4758</v>
      </c>
      <c r="H50" s="12" t="str">
        <f>IFERROR(__xludf.DUMMYFUNCTION("IF(G50="""", """", IF(COUNTIFS(DADOS_RM_SECOES!A:A, E50, DADOS_RM_SECOES!B:B, F50, DADOS_RM_SECOES!C:C, G50&amp;"".*"")&gt;0, ""NÍVEL INCOMPLETO"", IFERROR(INDEX(FILTER(DADOS_RM_SECOES!D:D, DADOS_RM_SECOES!A:A=E50, DADOS_RM_SECOES!B:B=F50, DADOS_RM_SECOES!C:C=G5"&amp;"0), 1), ""Não Encontrado"")))
"),"REGIONAL VI")</f>
        <v>REGIONAL VI</v>
      </c>
    </row>
    <row r="51" ht="15.75" customHeight="1">
      <c r="A51" s="12" t="s">
        <v>38</v>
      </c>
      <c r="B51" s="12" t="s">
        <v>16</v>
      </c>
      <c r="C51" s="12" t="s">
        <v>4802</v>
      </c>
      <c r="D51" s="46" t="s">
        <v>4803</v>
      </c>
      <c r="E51" s="12" t="s">
        <v>47</v>
      </c>
      <c r="F51" s="11" t="s">
        <v>47</v>
      </c>
      <c r="G51" s="11" t="s">
        <v>4758</v>
      </c>
      <c r="H51" s="12" t="str">
        <f>IFERROR(__xludf.DUMMYFUNCTION("IF(G51="""", """", IF(COUNTIFS(DADOS_RM_SECOES!A:A, E51, DADOS_RM_SECOES!B:B, F51, DADOS_RM_SECOES!C:C, G51&amp;"".*"")&gt;0, ""NÍVEL INCOMPLETO"", IFERROR(INDEX(FILTER(DADOS_RM_SECOES!D:D, DADOS_RM_SECOES!A:A=E51, DADOS_RM_SECOES!B:B=F51, DADOS_RM_SECOES!C:C=G5"&amp;"1), 1), ""Não Encontrado"")))
"),"REGIONAL VI")</f>
        <v>REGIONAL VI</v>
      </c>
    </row>
    <row r="52" ht="15.75" customHeight="1">
      <c r="A52" s="12" t="s">
        <v>38</v>
      </c>
      <c r="B52" s="12" t="s">
        <v>16</v>
      </c>
      <c r="C52" s="12" t="s">
        <v>4804</v>
      </c>
      <c r="D52" s="46" t="s">
        <v>4805</v>
      </c>
      <c r="E52" s="12" t="s">
        <v>47</v>
      </c>
      <c r="F52" s="11" t="s">
        <v>47</v>
      </c>
      <c r="G52" s="11" t="s">
        <v>4758</v>
      </c>
      <c r="H52" s="12" t="str">
        <f>IFERROR(__xludf.DUMMYFUNCTION("IF(G52="""", """", IF(COUNTIFS(DADOS_RM_SECOES!A:A, E52, DADOS_RM_SECOES!B:B, F52, DADOS_RM_SECOES!C:C, G52&amp;"".*"")&gt;0, ""NÍVEL INCOMPLETO"", IFERROR(INDEX(FILTER(DADOS_RM_SECOES!D:D, DADOS_RM_SECOES!A:A=E52, DADOS_RM_SECOES!B:B=F52, DADOS_RM_SECOES!C:C=G5"&amp;"2), 1), ""Não Encontrado"")))
"),"REGIONAL VI")</f>
        <v>REGIONAL VI</v>
      </c>
    </row>
    <row r="53" ht="15.75" customHeight="1">
      <c r="A53" s="12" t="s">
        <v>38</v>
      </c>
      <c r="B53" s="12" t="s">
        <v>16</v>
      </c>
      <c r="C53" s="12" t="s">
        <v>4807</v>
      </c>
      <c r="D53" s="46" t="s">
        <v>4808</v>
      </c>
      <c r="E53" s="12" t="s">
        <v>47</v>
      </c>
      <c r="F53" s="11" t="s">
        <v>47</v>
      </c>
      <c r="G53" s="11" t="s">
        <v>4758</v>
      </c>
      <c r="H53" s="12" t="str">
        <f>IFERROR(__xludf.DUMMYFUNCTION("IF(G53="""", """", IF(COUNTIFS(DADOS_RM_SECOES!A:A, E53, DADOS_RM_SECOES!B:B, F53, DADOS_RM_SECOES!C:C, G53&amp;"".*"")&gt;0, ""NÍVEL INCOMPLETO"", IFERROR(INDEX(FILTER(DADOS_RM_SECOES!D:D, DADOS_RM_SECOES!A:A=E53, DADOS_RM_SECOES!B:B=F53, DADOS_RM_SECOES!C:C=G5"&amp;"3), 1), ""Não Encontrado"")))
"),"REGIONAL VI")</f>
        <v>REGIONAL VI</v>
      </c>
    </row>
    <row r="54" ht="15.75" customHeight="1">
      <c r="A54" s="12" t="s">
        <v>38</v>
      </c>
      <c r="B54" s="12" t="s">
        <v>16</v>
      </c>
      <c r="C54" s="12" t="s">
        <v>4809</v>
      </c>
      <c r="D54" s="46" t="s">
        <v>4810</v>
      </c>
      <c r="E54" s="12" t="s">
        <v>47</v>
      </c>
      <c r="F54" s="11" t="s">
        <v>47</v>
      </c>
      <c r="G54" s="11" t="s">
        <v>4743</v>
      </c>
      <c r="H54" s="12" t="str">
        <f>IFERROR(__xludf.DUMMYFUNCTION("IF(G54="""", """", IF(COUNTIFS(DADOS_RM_SECOES!A:A, E54, DADOS_RM_SECOES!B:B, F54, DADOS_RM_SECOES!C:C, G54&amp;"".*"")&gt;0, ""NÍVEL INCOMPLETO"", IFERROR(INDEX(FILTER(DADOS_RM_SECOES!D:D, DADOS_RM_SECOES!A:A=E54, DADOS_RM_SECOES!B:B=F54, DADOS_RM_SECOES!C:C=G5"&amp;"4), 1), ""Não Encontrado"")))
"),"REGIONAL I")</f>
        <v>REGIONAL I</v>
      </c>
    </row>
    <row r="55" ht="15.75" customHeight="1">
      <c r="A55" s="12" t="s">
        <v>38</v>
      </c>
      <c r="B55" s="12" t="s">
        <v>16</v>
      </c>
      <c r="C55" s="12" t="s">
        <v>4812</v>
      </c>
      <c r="D55" s="46" t="s">
        <v>4813</v>
      </c>
      <c r="E55" s="12" t="s">
        <v>47</v>
      </c>
      <c r="F55" s="11" t="s">
        <v>47</v>
      </c>
      <c r="G55" s="11" t="s">
        <v>4743</v>
      </c>
      <c r="H55" s="12" t="str">
        <f>IFERROR(__xludf.DUMMYFUNCTION("IF(G55="""", """", IF(COUNTIFS(DADOS_RM_SECOES!A:A, E55, DADOS_RM_SECOES!B:B, F55, DADOS_RM_SECOES!C:C, G55&amp;"".*"")&gt;0, ""NÍVEL INCOMPLETO"", IFERROR(INDEX(FILTER(DADOS_RM_SECOES!D:D, DADOS_RM_SECOES!A:A=E55, DADOS_RM_SECOES!B:B=F55, DADOS_RM_SECOES!C:C=G5"&amp;"5), 1), ""Não Encontrado"")))
"),"REGIONAL I")</f>
        <v>REGIONAL I</v>
      </c>
    </row>
    <row r="56" ht="15.75" customHeight="1">
      <c r="A56" s="12" t="s">
        <v>38</v>
      </c>
      <c r="B56" s="12" t="s">
        <v>16</v>
      </c>
      <c r="C56" s="12" t="s">
        <v>4814</v>
      </c>
      <c r="D56" s="46" t="s">
        <v>4815</v>
      </c>
      <c r="E56" s="12" t="s">
        <v>47</v>
      </c>
      <c r="F56" s="11" t="s">
        <v>47</v>
      </c>
      <c r="G56" s="11" t="s">
        <v>4746</v>
      </c>
      <c r="H56" s="12" t="str">
        <f>IFERROR(__xludf.DUMMYFUNCTION("IF(G56="""", """", IF(COUNTIFS(DADOS_RM_SECOES!A:A, E56, DADOS_RM_SECOES!B:B, F56, DADOS_RM_SECOES!C:C, G56&amp;"".*"")&gt;0, ""NÍVEL INCOMPLETO"", IFERROR(INDEX(FILTER(DADOS_RM_SECOES!D:D, DADOS_RM_SECOES!A:A=E56, DADOS_RM_SECOES!B:B=F56, DADOS_RM_SECOES!C:C=G5"&amp;"6), 1), ""Não Encontrado"")))
"),"REGIONAL II")</f>
        <v>REGIONAL II</v>
      </c>
    </row>
    <row r="57" ht="15.75" customHeight="1">
      <c r="A57" s="12" t="s">
        <v>38</v>
      </c>
      <c r="B57" s="12" t="s">
        <v>16</v>
      </c>
      <c r="C57" s="12" t="s">
        <v>4816</v>
      </c>
      <c r="D57" s="46" t="s">
        <v>4817</v>
      </c>
      <c r="E57" s="12" t="s">
        <v>47</v>
      </c>
      <c r="F57" s="11" t="s">
        <v>47</v>
      </c>
      <c r="G57" s="11" t="s">
        <v>4749</v>
      </c>
      <c r="H57" s="12" t="str">
        <f>IFERROR(__xludf.DUMMYFUNCTION("IF(G57="""", """", IF(COUNTIFS(DADOS_RM_SECOES!A:A, E57, DADOS_RM_SECOES!B:B, F57, DADOS_RM_SECOES!C:C, G57&amp;"".*"")&gt;0, ""NÍVEL INCOMPLETO"", IFERROR(INDEX(FILTER(DADOS_RM_SECOES!D:D, DADOS_RM_SECOES!A:A=E57, DADOS_RM_SECOES!B:B=F57, DADOS_RM_SECOES!C:C=G5"&amp;"7), 1), ""Não Encontrado"")))
"),"REGIONAL III")</f>
        <v>REGIONAL III</v>
      </c>
    </row>
    <row r="58" ht="15.75" customHeight="1">
      <c r="A58" s="12" t="s">
        <v>38</v>
      </c>
      <c r="B58" s="12" t="s">
        <v>16</v>
      </c>
      <c r="C58" s="12" t="s">
        <v>4818</v>
      </c>
      <c r="D58" s="46" t="s">
        <v>4819</v>
      </c>
      <c r="E58" s="12" t="s">
        <v>47</v>
      </c>
      <c r="F58" s="11" t="s">
        <v>47</v>
      </c>
      <c r="G58" s="11" t="s">
        <v>4749</v>
      </c>
      <c r="H58" s="12" t="str">
        <f>IFERROR(__xludf.DUMMYFUNCTION("IF(G58="""", """", IF(COUNTIFS(DADOS_RM_SECOES!A:A, E58, DADOS_RM_SECOES!B:B, F58, DADOS_RM_SECOES!C:C, G58&amp;"".*"")&gt;0, ""NÍVEL INCOMPLETO"", IFERROR(INDEX(FILTER(DADOS_RM_SECOES!D:D, DADOS_RM_SECOES!A:A=E58, DADOS_RM_SECOES!B:B=F58, DADOS_RM_SECOES!C:C=G5"&amp;"8), 1), ""Não Encontrado"")))
"),"REGIONAL III")</f>
        <v>REGIONAL III</v>
      </c>
    </row>
    <row r="59" ht="15.75" customHeight="1">
      <c r="A59" s="12" t="s">
        <v>38</v>
      </c>
      <c r="B59" s="12" t="s">
        <v>16</v>
      </c>
      <c r="C59" s="12" t="s">
        <v>4820</v>
      </c>
      <c r="D59" s="46" t="s">
        <v>4821</v>
      </c>
      <c r="E59" s="12" t="s">
        <v>47</v>
      </c>
      <c r="F59" s="11" t="s">
        <v>47</v>
      </c>
      <c r="G59" s="12"/>
      <c r="H59" s="12" t="str">
        <f>IFERROR(__xludf.DUMMYFUNCTION("IF(G59="""", """", IF(COUNTIFS(DADOS_RM_SECOES!A:A, E59, DADOS_RM_SECOES!B:B, F59, DADOS_RM_SECOES!C:C, G59&amp;"".*"")&gt;0, ""NÍVEL INCOMPLETO"", IFERROR(INDEX(FILTER(DADOS_RM_SECOES!D:D, DADOS_RM_SECOES!A:A=E59, DADOS_RM_SECOES!B:B=F59, DADOS_RM_SECOES!C:C=G5"&amp;"9), 1), ""Não Encontrado"")))
"),"")</f>
        <v/>
      </c>
    </row>
    <row r="60" ht="15.75" customHeight="1">
      <c r="A60" s="12" t="s">
        <v>38</v>
      </c>
      <c r="B60" s="12" t="s">
        <v>16</v>
      </c>
      <c r="C60" s="12" t="s">
        <v>4822</v>
      </c>
      <c r="D60" s="46" t="s">
        <v>4166</v>
      </c>
      <c r="E60" s="12" t="s">
        <v>47</v>
      </c>
      <c r="F60" s="11" t="s">
        <v>47</v>
      </c>
      <c r="G60" s="12"/>
      <c r="H60" s="12" t="str">
        <f>IFERROR(__xludf.DUMMYFUNCTION("IF(G60="""", """", IF(COUNTIFS(DADOS_RM_SECOES!A:A, E60, DADOS_RM_SECOES!B:B, F60, DADOS_RM_SECOES!C:C, G60&amp;"".*"")&gt;0, ""NÍVEL INCOMPLETO"", IFERROR(INDEX(FILTER(DADOS_RM_SECOES!D:D, DADOS_RM_SECOES!A:A=E60, DADOS_RM_SECOES!B:B=F60, DADOS_RM_SECOES!C:C=G6"&amp;"0), 1), ""Não Encontrado"")))
"),"")</f>
        <v/>
      </c>
    </row>
    <row r="61" ht="15.75" customHeight="1">
      <c r="A61" s="12" t="s">
        <v>38</v>
      </c>
      <c r="B61" s="12" t="s">
        <v>16</v>
      </c>
      <c r="C61" s="12" t="s">
        <v>4823</v>
      </c>
      <c r="D61" s="46" t="s">
        <v>4824</v>
      </c>
      <c r="E61" s="12" t="s">
        <v>47</v>
      </c>
      <c r="F61" s="11" t="s">
        <v>47</v>
      </c>
      <c r="G61" s="12"/>
      <c r="H61" s="12" t="str">
        <f>IFERROR(__xludf.DUMMYFUNCTION("IF(G61="""", """", IF(COUNTIFS(DADOS_RM_SECOES!A:A, E61, DADOS_RM_SECOES!B:B, F61, DADOS_RM_SECOES!C:C, G61&amp;"".*"")&gt;0, ""NÍVEL INCOMPLETO"", IFERROR(INDEX(FILTER(DADOS_RM_SECOES!D:D, DADOS_RM_SECOES!A:A=E61, DADOS_RM_SECOES!B:B=F61, DADOS_RM_SECOES!C:C=G6"&amp;"1), 1), ""Não Encontrado"")))
"),"")</f>
        <v/>
      </c>
    </row>
    <row r="62" ht="15.75" customHeight="1">
      <c r="A62" s="12" t="s">
        <v>38</v>
      </c>
      <c r="B62" s="12" t="s">
        <v>16</v>
      </c>
      <c r="C62" s="12" t="s">
        <v>4826</v>
      </c>
      <c r="D62" s="46" t="s">
        <v>4827</v>
      </c>
      <c r="E62" s="12" t="s">
        <v>47</v>
      </c>
      <c r="F62" s="11" t="s">
        <v>47</v>
      </c>
      <c r="G62" s="12"/>
      <c r="H62" s="12" t="str">
        <f>IFERROR(__xludf.DUMMYFUNCTION("IF(G62="""", """", IF(COUNTIFS(DADOS_RM_SECOES!A:A, E62, DADOS_RM_SECOES!B:B, F62, DADOS_RM_SECOES!C:C, G62&amp;"".*"")&gt;0, ""NÍVEL INCOMPLETO"", IFERROR(INDEX(FILTER(DADOS_RM_SECOES!D:D, DADOS_RM_SECOES!A:A=E62, DADOS_RM_SECOES!B:B=F62, DADOS_RM_SECOES!C:C=G6"&amp;"2), 1), ""Não Encontrado"")))
"),"")</f>
        <v/>
      </c>
    </row>
    <row r="63" ht="15.75" customHeight="1">
      <c r="A63" s="12" t="s">
        <v>38</v>
      </c>
      <c r="B63" s="12" t="s">
        <v>16</v>
      </c>
      <c r="C63" s="12" t="s">
        <v>4828</v>
      </c>
      <c r="D63" s="46" t="s">
        <v>4829</v>
      </c>
      <c r="E63" s="12" t="s">
        <v>47</v>
      </c>
      <c r="F63" s="11" t="s">
        <v>47</v>
      </c>
      <c r="G63" s="12"/>
      <c r="H63" s="12" t="str">
        <f>IFERROR(__xludf.DUMMYFUNCTION("IF(G63="""", """", IF(COUNTIFS(DADOS_RM_SECOES!A:A, E63, DADOS_RM_SECOES!B:B, F63, DADOS_RM_SECOES!C:C, G63&amp;"".*"")&gt;0, ""NÍVEL INCOMPLETO"", IFERROR(INDEX(FILTER(DADOS_RM_SECOES!D:D, DADOS_RM_SECOES!A:A=E63, DADOS_RM_SECOES!B:B=F63, DADOS_RM_SECOES!C:C=G6"&amp;"3), 1), ""Não Encontrado"")))
"),"")</f>
        <v/>
      </c>
    </row>
    <row r="64" ht="15.75" customHeight="1">
      <c r="A64" s="12" t="s">
        <v>38</v>
      </c>
      <c r="B64" s="12" t="s">
        <v>16</v>
      </c>
      <c r="C64" s="12" t="s">
        <v>4831</v>
      </c>
      <c r="D64" s="46" t="s">
        <v>4832</v>
      </c>
      <c r="E64" s="12" t="s">
        <v>47</v>
      </c>
      <c r="F64" s="11" t="s">
        <v>47</v>
      </c>
      <c r="G64" s="12"/>
      <c r="H64" s="12" t="str">
        <f>IFERROR(__xludf.DUMMYFUNCTION("IF(G64="""", """", IF(COUNTIFS(DADOS_RM_SECOES!A:A, E64, DADOS_RM_SECOES!B:B, F64, DADOS_RM_SECOES!C:C, G64&amp;"".*"")&gt;0, ""NÍVEL INCOMPLETO"", IFERROR(INDEX(FILTER(DADOS_RM_SECOES!D:D, DADOS_RM_SECOES!A:A=E64, DADOS_RM_SECOES!B:B=F64, DADOS_RM_SECOES!C:C=G6"&amp;"4), 1), ""Não Encontrado"")))
"),"")</f>
        <v/>
      </c>
    </row>
    <row r="65" ht="15.75" customHeight="1">
      <c r="A65" s="12" t="s">
        <v>38</v>
      </c>
      <c r="B65" s="12" t="s">
        <v>16</v>
      </c>
      <c r="C65" s="12" t="s">
        <v>4833</v>
      </c>
      <c r="D65" s="46" t="s">
        <v>4834</v>
      </c>
      <c r="E65" s="12" t="s">
        <v>47</v>
      </c>
      <c r="F65" s="11" t="s">
        <v>47</v>
      </c>
      <c r="G65" s="12"/>
      <c r="H65" s="12" t="str">
        <f>IFERROR(__xludf.DUMMYFUNCTION("IF(G65="""", """", IF(COUNTIFS(DADOS_RM_SECOES!A:A, E65, DADOS_RM_SECOES!B:B, F65, DADOS_RM_SECOES!C:C, G65&amp;"".*"")&gt;0, ""NÍVEL INCOMPLETO"", IFERROR(INDEX(FILTER(DADOS_RM_SECOES!D:D, DADOS_RM_SECOES!A:A=E65, DADOS_RM_SECOES!B:B=F65, DADOS_RM_SECOES!C:C=G6"&amp;"5), 1), ""Não Encontrado"")))
"),"")</f>
        <v/>
      </c>
    </row>
    <row r="66" ht="15.75" customHeight="1">
      <c r="A66" s="12" t="s">
        <v>38</v>
      </c>
      <c r="B66" s="12" t="s">
        <v>16</v>
      </c>
      <c r="C66" s="12" t="s">
        <v>4837</v>
      </c>
      <c r="D66" s="46" t="s">
        <v>4696</v>
      </c>
      <c r="E66" s="12" t="s">
        <v>47</v>
      </c>
      <c r="F66" s="11" t="s">
        <v>47</v>
      </c>
      <c r="G66" s="12"/>
      <c r="H66" s="12" t="str">
        <f>IFERROR(__xludf.DUMMYFUNCTION("IF(G66="""", """", IF(COUNTIFS(DADOS_RM_SECOES!A:A, E66, DADOS_RM_SECOES!B:B, F66, DADOS_RM_SECOES!C:C, G66&amp;"".*"")&gt;0, ""NÍVEL INCOMPLETO"", IFERROR(INDEX(FILTER(DADOS_RM_SECOES!D:D, DADOS_RM_SECOES!A:A=E66, DADOS_RM_SECOES!B:B=F66, DADOS_RM_SECOES!C:C=G6"&amp;"6), 1), ""Não Encontrado"")))
"),"")</f>
        <v/>
      </c>
    </row>
    <row r="67" ht="15.75" customHeight="1">
      <c r="A67" s="12" t="s">
        <v>38</v>
      </c>
      <c r="B67" s="12" t="s">
        <v>16</v>
      </c>
      <c r="C67" s="12" t="s">
        <v>4838</v>
      </c>
      <c r="D67" s="46" t="s">
        <v>4839</v>
      </c>
      <c r="E67" s="12" t="s">
        <v>47</v>
      </c>
      <c r="F67" s="11" t="s">
        <v>47</v>
      </c>
      <c r="G67" s="12"/>
      <c r="H67" s="12" t="str">
        <f>IFERROR(__xludf.DUMMYFUNCTION("IF(G67="""", """", IF(COUNTIFS(DADOS_RM_SECOES!A:A, E67, DADOS_RM_SECOES!B:B, F67, DADOS_RM_SECOES!C:C, G67&amp;"".*"")&gt;0, ""NÍVEL INCOMPLETO"", IFERROR(INDEX(FILTER(DADOS_RM_SECOES!D:D, DADOS_RM_SECOES!A:A=E67, DADOS_RM_SECOES!B:B=F67, DADOS_RM_SECOES!C:C=G6"&amp;"7), 1), ""Não Encontrado"")))
"),"")</f>
        <v/>
      </c>
    </row>
    <row r="68" ht="15.75" customHeight="1">
      <c r="A68" s="12" t="s">
        <v>38</v>
      </c>
      <c r="B68" s="12" t="s">
        <v>16</v>
      </c>
      <c r="C68" s="12" t="s">
        <v>4840</v>
      </c>
      <c r="D68" s="46" t="s">
        <v>4841</v>
      </c>
      <c r="E68" s="12" t="s">
        <v>47</v>
      </c>
      <c r="F68" s="11" t="s">
        <v>47</v>
      </c>
      <c r="G68" s="12"/>
      <c r="H68" s="12" t="str">
        <f>IFERROR(__xludf.DUMMYFUNCTION("IF(G68="""", """", IF(COUNTIFS(DADOS_RM_SECOES!A:A, E68, DADOS_RM_SECOES!B:B, F68, DADOS_RM_SECOES!C:C, G68&amp;"".*"")&gt;0, ""NÍVEL INCOMPLETO"", IFERROR(INDEX(FILTER(DADOS_RM_SECOES!D:D, DADOS_RM_SECOES!A:A=E68, DADOS_RM_SECOES!B:B=F68, DADOS_RM_SECOES!C:C=G6"&amp;"8), 1), ""Não Encontrado"")))
"),"")</f>
        <v/>
      </c>
    </row>
    <row r="69" ht="15.75" customHeight="1">
      <c r="A69" s="12" t="s">
        <v>38</v>
      </c>
      <c r="B69" s="12" t="s">
        <v>16</v>
      </c>
      <c r="C69" s="12" t="s">
        <v>4842</v>
      </c>
      <c r="D69" s="46" t="s">
        <v>4843</v>
      </c>
      <c r="E69" s="12" t="s">
        <v>47</v>
      </c>
      <c r="F69" s="11" t="s">
        <v>47</v>
      </c>
      <c r="G69" s="12"/>
      <c r="H69" s="12" t="str">
        <f>IFERROR(__xludf.DUMMYFUNCTION("IF(G69="""", """", IF(COUNTIFS(DADOS_RM_SECOES!A:A, E69, DADOS_RM_SECOES!B:B, F69, DADOS_RM_SECOES!C:C, G69&amp;"".*"")&gt;0, ""NÍVEL INCOMPLETO"", IFERROR(INDEX(FILTER(DADOS_RM_SECOES!D:D, DADOS_RM_SECOES!A:A=E69, DADOS_RM_SECOES!B:B=F69, DADOS_RM_SECOES!C:C=G6"&amp;"9), 1), ""Não Encontrado"")))
"),"")</f>
        <v/>
      </c>
    </row>
    <row r="70" ht="15.75" customHeight="1">
      <c r="A70" s="12" t="s">
        <v>38</v>
      </c>
      <c r="B70" s="12" t="s">
        <v>16</v>
      </c>
      <c r="C70" s="12" t="s">
        <v>4844</v>
      </c>
      <c r="D70" s="46" t="s">
        <v>4845</v>
      </c>
      <c r="E70" s="12" t="s">
        <v>47</v>
      </c>
      <c r="F70" s="11" t="s">
        <v>47</v>
      </c>
      <c r="G70" s="12"/>
      <c r="H70" s="12" t="str">
        <f>IFERROR(__xludf.DUMMYFUNCTION("IF(G70="""", """", IF(COUNTIFS(DADOS_RM_SECOES!A:A, E70, DADOS_RM_SECOES!B:B, F70, DADOS_RM_SECOES!C:C, G70&amp;"".*"")&gt;0, ""NÍVEL INCOMPLETO"", IFERROR(INDEX(FILTER(DADOS_RM_SECOES!D:D, DADOS_RM_SECOES!A:A=E70, DADOS_RM_SECOES!B:B=F70, DADOS_RM_SECOES!C:C=G7"&amp;"0), 1), ""Não Encontrado"")))
"),"")</f>
        <v/>
      </c>
    </row>
    <row r="71" ht="15.75" customHeight="1">
      <c r="A71" s="12" t="s">
        <v>38</v>
      </c>
      <c r="B71" s="12" t="s">
        <v>16</v>
      </c>
      <c r="C71" s="12" t="s">
        <v>4847</v>
      </c>
      <c r="D71" s="46" t="s">
        <v>4848</v>
      </c>
      <c r="E71" s="12" t="s">
        <v>47</v>
      </c>
      <c r="F71" s="11" t="s">
        <v>47</v>
      </c>
      <c r="G71" s="12"/>
      <c r="H71" s="12" t="str">
        <f>IFERROR(__xludf.DUMMYFUNCTION("IF(G71="""", """", IF(COUNTIFS(DADOS_RM_SECOES!A:A, E71, DADOS_RM_SECOES!B:B, F71, DADOS_RM_SECOES!C:C, G71&amp;"".*"")&gt;0, ""NÍVEL INCOMPLETO"", IFERROR(INDEX(FILTER(DADOS_RM_SECOES!D:D, DADOS_RM_SECOES!A:A=E71, DADOS_RM_SECOES!B:B=F71, DADOS_RM_SECOES!C:C=G7"&amp;"1), 1), ""Não Encontrado"")))
"),"")</f>
        <v/>
      </c>
    </row>
    <row r="72" ht="15.75" customHeight="1">
      <c r="A72" s="12" t="s">
        <v>38</v>
      </c>
      <c r="B72" s="12" t="s">
        <v>16</v>
      </c>
      <c r="C72" s="12" t="s">
        <v>4849</v>
      </c>
      <c r="D72" s="46" t="s">
        <v>4850</v>
      </c>
      <c r="E72" s="12" t="s">
        <v>47</v>
      </c>
      <c r="F72" s="11" t="s">
        <v>47</v>
      </c>
      <c r="G72" s="12"/>
      <c r="H72" s="12" t="str">
        <f>IFERROR(__xludf.DUMMYFUNCTION("IF(G72="""", """", IF(COUNTIFS(DADOS_RM_SECOES!A:A, E72, DADOS_RM_SECOES!B:B, F72, DADOS_RM_SECOES!C:C, G72&amp;"".*"")&gt;0, ""NÍVEL INCOMPLETO"", IFERROR(INDEX(FILTER(DADOS_RM_SECOES!D:D, DADOS_RM_SECOES!A:A=E72, DADOS_RM_SECOES!B:B=F72, DADOS_RM_SECOES!C:C=G7"&amp;"2), 1), ""Não Encontrado"")))
"),"")</f>
        <v/>
      </c>
    </row>
    <row r="73" ht="15.75" customHeight="1">
      <c r="A73" s="12" t="s">
        <v>38</v>
      </c>
      <c r="B73" s="12" t="s">
        <v>16</v>
      </c>
      <c r="C73" s="12" t="s">
        <v>4851</v>
      </c>
      <c r="D73" s="46" t="s">
        <v>4708</v>
      </c>
      <c r="E73" s="12" t="s">
        <v>47</v>
      </c>
      <c r="F73" s="11" t="s">
        <v>47</v>
      </c>
      <c r="G73" s="12"/>
      <c r="H73" s="12" t="str">
        <f>IFERROR(__xludf.DUMMYFUNCTION("IF(G73="""", """", IF(COUNTIFS(DADOS_RM_SECOES!A:A, E73, DADOS_RM_SECOES!B:B, F73, DADOS_RM_SECOES!C:C, G73&amp;"".*"")&gt;0, ""NÍVEL INCOMPLETO"", IFERROR(INDEX(FILTER(DADOS_RM_SECOES!D:D, DADOS_RM_SECOES!A:A=E73, DADOS_RM_SECOES!B:B=F73, DADOS_RM_SECOES!C:C=G7"&amp;"3), 1), ""Não Encontrado"")))
"),"")</f>
        <v/>
      </c>
    </row>
    <row r="74" ht="15.75" customHeight="1">
      <c r="A74" s="12" t="s">
        <v>38</v>
      </c>
      <c r="B74" s="12" t="s">
        <v>16</v>
      </c>
      <c r="C74" s="12" t="s">
        <v>4852</v>
      </c>
      <c r="D74" s="46" t="s">
        <v>4853</v>
      </c>
      <c r="E74" s="12" t="s">
        <v>47</v>
      </c>
      <c r="F74" s="11" t="s">
        <v>47</v>
      </c>
      <c r="G74" s="12"/>
      <c r="H74" s="12" t="str">
        <f>IFERROR(__xludf.DUMMYFUNCTION("IF(G74="""", """", IF(COUNTIFS(DADOS_RM_SECOES!A:A, E74, DADOS_RM_SECOES!B:B, F74, DADOS_RM_SECOES!C:C, G74&amp;"".*"")&gt;0, ""NÍVEL INCOMPLETO"", IFERROR(INDEX(FILTER(DADOS_RM_SECOES!D:D, DADOS_RM_SECOES!A:A=E74, DADOS_RM_SECOES!B:B=F74, DADOS_RM_SECOES!C:C=G7"&amp;"4), 1), ""Não Encontrado"")))
"),"")</f>
        <v/>
      </c>
    </row>
    <row r="75" ht="15.75" customHeight="1">
      <c r="A75" s="12" t="s">
        <v>38</v>
      </c>
      <c r="B75" s="12" t="s">
        <v>16</v>
      </c>
      <c r="C75" s="12" t="s">
        <v>4854</v>
      </c>
      <c r="D75" s="46" t="s">
        <v>4706</v>
      </c>
      <c r="E75" s="12" t="s">
        <v>47</v>
      </c>
      <c r="F75" s="11" t="s">
        <v>47</v>
      </c>
      <c r="G75" s="12"/>
      <c r="H75" s="12" t="str">
        <f>IFERROR(__xludf.DUMMYFUNCTION("IF(G75="""", """", IF(COUNTIFS(DADOS_RM_SECOES!A:A, E75, DADOS_RM_SECOES!B:B, F75, DADOS_RM_SECOES!C:C, G75&amp;"".*"")&gt;0, ""NÍVEL INCOMPLETO"", IFERROR(INDEX(FILTER(DADOS_RM_SECOES!D:D, DADOS_RM_SECOES!A:A=E75, DADOS_RM_SECOES!B:B=F75, DADOS_RM_SECOES!C:C=G7"&amp;"5), 1), ""Não Encontrado"")))
"),"")</f>
        <v/>
      </c>
    </row>
    <row r="76" ht="15.75" customHeight="1">
      <c r="A76" s="12" t="s">
        <v>38</v>
      </c>
      <c r="B76" s="12" t="s">
        <v>16</v>
      </c>
      <c r="C76" s="12" t="s">
        <v>4855</v>
      </c>
      <c r="D76" s="46" t="s">
        <v>4718</v>
      </c>
      <c r="E76" s="12" t="s">
        <v>47</v>
      </c>
      <c r="F76" s="11" t="s">
        <v>47</v>
      </c>
      <c r="G76" s="12"/>
      <c r="H76" s="12" t="str">
        <f>IFERROR(__xludf.DUMMYFUNCTION("IF(G76="""", """", IF(COUNTIFS(DADOS_RM_SECOES!A:A, E76, DADOS_RM_SECOES!B:B, F76, DADOS_RM_SECOES!C:C, G76&amp;"".*"")&gt;0, ""NÍVEL INCOMPLETO"", IFERROR(INDEX(FILTER(DADOS_RM_SECOES!D:D, DADOS_RM_SECOES!A:A=E76, DADOS_RM_SECOES!B:B=F76, DADOS_RM_SECOES!C:C=G7"&amp;"6), 1), ""Não Encontrado"")))
"),"")</f>
        <v/>
      </c>
    </row>
    <row r="77" ht="15.75" customHeight="1">
      <c r="A77" s="12" t="s">
        <v>38</v>
      </c>
      <c r="B77" s="12" t="s">
        <v>16</v>
      </c>
      <c r="C77" s="12" t="s">
        <v>4856</v>
      </c>
      <c r="D77" s="46" t="s">
        <v>4857</v>
      </c>
      <c r="E77" s="12" t="s">
        <v>47</v>
      </c>
      <c r="F77" s="11" t="s">
        <v>47</v>
      </c>
      <c r="G77" s="12"/>
      <c r="H77" s="12" t="str">
        <f>IFERROR(__xludf.DUMMYFUNCTION("IF(G77="""", """", IF(COUNTIFS(DADOS_RM_SECOES!A:A, E77, DADOS_RM_SECOES!B:B, F77, DADOS_RM_SECOES!C:C, G77&amp;"".*"")&gt;0, ""NÍVEL INCOMPLETO"", IFERROR(INDEX(FILTER(DADOS_RM_SECOES!D:D, DADOS_RM_SECOES!A:A=E77, DADOS_RM_SECOES!B:B=F77, DADOS_RM_SECOES!C:C=G7"&amp;"7), 1), ""Não Encontrado"")))
"),"")</f>
        <v/>
      </c>
    </row>
    <row r="78" ht="15.75" customHeight="1">
      <c r="A78" s="12" t="s">
        <v>38</v>
      </c>
      <c r="B78" s="12" t="s">
        <v>16</v>
      </c>
      <c r="C78" s="12" t="s">
        <v>4858</v>
      </c>
      <c r="D78" s="46" t="s">
        <v>4168</v>
      </c>
      <c r="E78" s="12" t="s">
        <v>47</v>
      </c>
      <c r="F78" s="11" t="s">
        <v>47</v>
      </c>
      <c r="G78" s="12"/>
      <c r="H78" s="12" t="str">
        <f>IFERROR(__xludf.DUMMYFUNCTION("IF(G78="""", """", IF(COUNTIFS(DADOS_RM_SECOES!A:A, E78, DADOS_RM_SECOES!B:B, F78, DADOS_RM_SECOES!C:C, G78&amp;"".*"")&gt;0, ""NÍVEL INCOMPLETO"", IFERROR(INDEX(FILTER(DADOS_RM_SECOES!D:D, DADOS_RM_SECOES!A:A=E78, DADOS_RM_SECOES!B:B=F78, DADOS_RM_SECOES!C:C=G7"&amp;"8), 1), ""Não Encontrado"")))
"),"")</f>
        <v/>
      </c>
    </row>
    <row r="79" ht="15.75" customHeight="1">
      <c r="A79" s="12" t="s">
        <v>38</v>
      </c>
      <c r="B79" s="12" t="s">
        <v>16</v>
      </c>
      <c r="C79" s="12" t="s">
        <v>4859</v>
      </c>
      <c r="D79" s="46" t="s">
        <v>4860</v>
      </c>
      <c r="E79" s="12" t="s">
        <v>47</v>
      </c>
      <c r="F79" s="11" t="s">
        <v>47</v>
      </c>
      <c r="G79" s="12"/>
      <c r="H79" s="12" t="str">
        <f>IFERROR(__xludf.DUMMYFUNCTION("IF(G79="""", """", IF(COUNTIFS(DADOS_RM_SECOES!A:A, E79, DADOS_RM_SECOES!B:B, F79, DADOS_RM_SECOES!C:C, G79&amp;"".*"")&gt;0, ""NÍVEL INCOMPLETO"", IFERROR(INDEX(FILTER(DADOS_RM_SECOES!D:D, DADOS_RM_SECOES!A:A=E79, DADOS_RM_SECOES!B:B=F79, DADOS_RM_SECOES!C:C=G7"&amp;"9), 1), ""Não Encontrado"")))
"),"")</f>
        <v/>
      </c>
    </row>
    <row r="80" ht="15.75" customHeight="1">
      <c r="A80" s="12" t="s">
        <v>38</v>
      </c>
      <c r="B80" s="12" t="s">
        <v>16</v>
      </c>
      <c r="C80" s="12" t="s">
        <v>4861</v>
      </c>
      <c r="D80" s="46" t="s">
        <v>4862</v>
      </c>
      <c r="E80" s="12" t="s">
        <v>47</v>
      </c>
      <c r="F80" s="11" t="s">
        <v>47</v>
      </c>
      <c r="G80" s="12"/>
      <c r="H80" s="12" t="str">
        <f>IFERROR(__xludf.DUMMYFUNCTION("IF(G80="""", """", IF(COUNTIFS(DADOS_RM_SECOES!A:A, E80, DADOS_RM_SECOES!B:B, F80, DADOS_RM_SECOES!C:C, G80&amp;"".*"")&gt;0, ""NÍVEL INCOMPLETO"", IFERROR(INDEX(FILTER(DADOS_RM_SECOES!D:D, DADOS_RM_SECOES!A:A=E80, DADOS_RM_SECOES!B:B=F80, DADOS_RM_SECOES!C:C=G8"&amp;"0), 1), ""Não Encontrado"")))
"),"")</f>
        <v/>
      </c>
    </row>
    <row r="81" ht="15.75" customHeight="1">
      <c r="A81" s="12" t="s">
        <v>38</v>
      </c>
      <c r="B81" s="12" t="s">
        <v>16</v>
      </c>
      <c r="C81" s="12" t="s">
        <v>4864</v>
      </c>
      <c r="D81" s="46" t="s">
        <v>4865</v>
      </c>
      <c r="E81" s="12" t="s">
        <v>47</v>
      </c>
      <c r="F81" s="11" t="s">
        <v>47</v>
      </c>
      <c r="G81" s="12"/>
      <c r="H81" s="12" t="str">
        <f>IFERROR(__xludf.DUMMYFUNCTION("IF(G81="""", """", IF(COUNTIFS(DADOS_RM_SECOES!A:A, E81, DADOS_RM_SECOES!B:B, F81, DADOS_RM_SECOES!C:C, G81&amp;"".*"")&gt;0, ""NÍVEL INCOMPLETO"", IFERROR(INDEX(FILTER(DADOS_RM_SECOES!D:D, DADOS_RM_SECOES!A:A=E81, DADOS_RM_SECOES!B:B=F81, DADOS_RM_SECOES!C:C=G8"&amp;"1), 1), ""Não Encontrado"")))
"),"")</f>
        <v/>
      </c>
    </row>
    <row r="82" ht="15.75" customHeight="1">
      <c r="A82" s="12" t="s">
        <v>38</v>
      </c>
      <c r="B82" s="12" t="s">
        <v>16</v>
      </c>
      <c r="C82" s="12" t="s">
        <v>4866</v>
      </c>
      <c r="D82" s="46" t="s">
        <v>4867</v>
      </c>
      <c r="E82" s="12" t="s">
        <v>47</v>
      </c>
      <c r="F82" s="11" t="s">
        <v>47</v>
      </c>
      <c r="G82" s="12"/>
      <c r="H82" s="12" t="str">
        <f>IFERROR(__xludf.DUMMYFUNCTION("IF(G82="""", """", IF(COUNTIFS(DADOS_RM_SECOES!A:A, E82, DADOS_RM_SECOES!B:B, F82, DADOS_RM_SECOES!C:C, G82&amp;"".*"")&gt;0, ""NÍVEL INCOMPLETO"", IFERROR(INDEX(FILTER(DADOS_RM_SECOES!D:D, DADOS_RM_SECOES!A:A=E82, DADOS_RM_SECOES!B:B=F82, DADOS_RM_SECOES!C:C=G8"&amp;"2), 1), ""Não Encontrado"")))
"),"")</f>
        <v/>
      </c>
    </row>
    <row r="83" ht="15.75" customHeight="1">
      <c r="A83" s="12" t="s">
        <v>38</v>
      </c>
      <c r="B83" s="12" t="s">
        <v>16</v>
      </c>
      <c r="C83" s="12" t="s">
        <v>4869</v>
      </c>
      <c r="D83" s="46" t="s">
        <v>4870</v>
      </c>
      <c r="E83" s="12" t="s">
        <v>47</v>
      </c>
      <c r="F83" s="11" t="s">
        <v>47</v>
      </c>
      <c r="G83" s="12"/>
      <c r="H83" s="12" t="str">
        <f>IFERROR(__xludf.DUMMYFUNCTION("IF(G83="""", """", IF(COUNTIFS(DADOS_RM_SECOES!A:A, E83, DADOS_RM_SECOES!B:B, F83, DADOS_RM_SECOES!C:C, G83&amp;"".*"")&gt;0, ""NÍVEL INCOMPLETO"", IFERROR(INDEX(FILTER(DADOS_RM_SECOES!D:D, DADOS_RM_SECOES!A:A=E83, DADOS_RM_SECOES!B:B=F83, DADOS_RM_SECOES!C:C=G8"&amp;"3), 1), ""Não Encontrado"")))
"),"")</f>
        <v/>
      </c>
    </row>
    <row r="84" ht="15.75" customHeight="1">
      <c r="A84" s="12" t="s">
        <v>38</v>
      </c>
      <c r="B84" s="12" t="s">
        <v>16</v>
      </c>
      <c r="C84" s="12" t="s">
        <v>4871</v>
      </c>
      <c r="D84" s="46" t="s">
        <v>4865</v>
      </c>
      <c r="E84" s="12" t="s">
        <v>47</v>
      </c>
      <c r="F84" s="11" t="s">
        <v>47</v>
      </c>
      <c r="G84" s="12"/>
      <c r="H84" s="12" t="str">
        <f>IFERROR(__xludf.DUMMYFUNCTION("IF(G84="""", """", IF(COUNTIFS(DADOS_RM_SECOES!A:A, E84, DADOS_RM_SECOES!B:B, F84, DADOS_RM_SECOES!C:C, G84&amp;"".*"")&gt;0, ""NÍVEL INCOMPLETO"", IFERROR(INDEX(FILTER(DADOS_RM_SECOES!D:D, DADOS_RM_SECOES!A:A=E84, DADOS_RM_SECOES!B:B=F84, DADOS_RM_SECOES!C:C=G8"&amp;"4), 1), ""Não Encontrado"")))
"),"")</f>
        <v/>
      </c>
    </row>
    <row r="85" ht="15.75" customHeight="1">
      <c r="A85" s="12" t="s">
        <v>38</v>
      </c>
      <c r="B85" s="12" t="s">
        <v>16</v>
      </c>
      <c r="C85" s="12" t="s">
        <v>4872</v>
      </c>
      <c r="D85" s="46" t="s">
        <v>4865</v>
      </c>
      <c r="E85" s="12" t="s">
        <v>47</v>
      </c>
      <c r="F85" s="11" t="s">
        <v>47</v>
      </c>
      <c r="G85" s="12"/>
      <c r="H85" s="12" t="str">
        <f>IFERROR(__xludf.DUMMYFUNCTION("IF(G85="""", """", IF(COUNTIFS(DADOS_RM_SECOES!A:A, E85, DADOS_RM_SECOES!B:B, F85, DADOS_RM_SECOES!C:C, G85&amp;"".*"")&gt;0, ""NÍVEL INCOMPLETO"", IFERROR(INDEX(FILTER(DADOS_RM_SECOES!D:D, DADOS_RM_SECOES!A:A=E85, DADOS_RM_SECOES!B:B=F85, DADOS_RM_SECOES!C:C=G8"&amp;"5), 1), ""Não Encontrado"")))
"),"")</f>
        <v/>
      </c>
    </row>
    <row r="86" ht="15.75" customHeight="1">
      <c r="A86" s="12" t="s">
        <v>38</v>
      </c>
      <c r="B86" s="12" t="s">
        <v>16</v>
      </c>
      <c r="C86" s="12" t="s">
        <v>4873</v>
      </c>
      <c r="D86" s="46" t="s">
        <v>4696</v>
      </c>
      <c r="E86" s="12" t="s">
        <v>47</v>
      </c>
      <c r="F86" s="11" t="s">
        <v>47</v>
      </c>
      <c r="G86" s="12"/>
      <c r="H86" s="12" t="str">
        <f>IFERROR(__xludf.DUMMYFUNCTION("IF(G86="""", """", IF(COUNTIFS(DADOS_RM_SECOES!A:A, E86, DADOS_RM_SECOES!B:B, F86, DADOS_RM_SECOES!C:C, G86&amp;"".*"")&gt;0, ""NÍVEL INCOMPLETO"", IFERROR(INDEX(FILTER(DADOS_RM_SECOES!D:D, DADOS_RM_SECOES!A:A=E86, DADOS_RM_SECOES!B:B=F86, DADOS_RM_SECOES!C:C=G8"&amp;"6), 1), ""Não Encontrado"")))
"),"")</f>
        <v/>
      </c>
    </row>
    <row r="87" ht="15.75" customHeight="1">
      <c r="A87" s="12" t="s">
        <v>38</v>
      </c>
      <c r="B87" s="12" t="s">
        <v>16</v>
      </c>
      <c r="C87" s="12" t="s">
        <v>4874</v>
      </c>
      <c r="D87" s="46" t="s">
        <v>4875</v>
      </c>
      <c r="E87" s="12" t="s">
        <v>47</v>
      </c>
      <c r="F87" s="11" t="s">
        <v>47</v>
      </c>
      <c r="G87" s="12"/>
      <c r="H87" s="12" t="str">
        <f>IFERROR(__xludf.DUMMYFUNCTION("IF(G87="""", """", IF(COUNTIFS(DADOS_RM_SECOES!A:A, E87, DADOS_RM_SECOES!B:B, F87, DADOS_RM_SECOES!C:C, G87&amp;"".*"")&gt;0, ""NÍVEL INCOMPLETO"", IFERROR(INDEX(FILTER(DADOS_RM_SECOES!D:D, DADOS_RM_SECOES!A:A=E87, DADOS_RM_SECOES!B:B=F87, DADOS_RM_SECOES!C:C=G8"&amp;"7), 1), ""Não Encontrado"")))
"),"")</f>
        <v/>
      </c>
    </row>
    <row r="88" ht="15.75" customHeight="1">
      <c r="A88" s="12" t="s">
        <v>38</v>
      </c>
      <c r="B88" s="12" t="s">
        <v>16</v>
      </c>
      <c r="C88" s="12" t="s">
        <v>4876</v>
      </c>
      <c r="D88" s="46" t="s">
        <v>4877</v>
      </c>
      <c r="E88" s="12" t="s">
        <v>47</v>
      </c>
      <c r="F88" s="11" t="s">
        <v>47</v>
      </c>
      <c r="G88" s="12"/>
      <c r="H88" s="12" t="str">
        <f>IFERROR(__xludf.DUMMYFUNCTION("IF(G88="""", """", IF(COUNTIFS(DADOS_RM_SECOES!A:A, E88, DADOS_RM_SECOES!B:B, F88, DADOS_RM_SECOES!C:C, G88&amp;"".*"")&gt;0, ""NÍVEL INCOMPLETO"", IFERROR(INDEX(FILTER(DADOS_RM_SECOES!D:D, DADOS_RM_SECOES!A:A=E88, DADOS_RM_SECOES!B:B=F88, DADOS_RM_SECOES!C:C=G8"&amp;"8), 1), ""Não Encontrado"")))
"),"")</f>
        <v/>
      </c>
    </row>
    <row r="89" ht="15.75" customHeight="1">
      <c r="A89" s="12" t="s">
        <v>38</v>
      </c>
      <c r="B89" s="12" t="s">
        <v>16</v>
      </c>
      <c r="C89" s="12" t="s">
        <v>4879</v>
      </c>
      <c r="D89" s="46" t="s">
        <v>4880</v>
      </c>
      <c r="E89" s="12" t="s">
        <v>47</v>
      </c>
      <c r="F89" s="11" t="s">
        <v>47</v>
      </c>
      <c r="G89" s="11" t="s">
        <v>4881</v>
      </c>
      <c r="H89" s="12" t="str">
        <f>IFERROR(__xludf.DUMMYFUNCTION("IF(G89="""", """", IF(COUNTIFS(DADOS_RM_SECOES!A:A, E89, DADOS_RM_SECOES!B:B, F89, DADOS_RM_SECOES!C:C, G89&amp;"".*"")&gt;0, ""NÍVEL INCOMPLETO"", IFERROR(INDEX(FILTER(DADOS_RM_SECOES!D:D, DADOS_RM_SECOES!A:A=E89, DADOS_RM_SECOES!B:B=F89, DADOS_RM_SECOES!C:C=G8"&amp;"9), 1), ""Não Encontrado"")))
"),"ADMINISTRACAO")</f>
        <v>ADMINISTRACAO</v>
      </c>
    </row>
    <row r="90" ht="15.75" customHeight="1">
      <c r="A90" s="12" t="s">
        <v>38</v>
      </c>
      <c r="B90" s="12" t="s">
        <v>16</v>
      </c>
      <c r="C90" s="12" t="s">
        <v>4886</v>
      </c>
      <c r="D90" s="46" t="s">
        <v>4888</v>
      </c>
      <c r="E90" s="12" t="s">
        <v>47</v>
      </c>
      <c r="F90" s="11" t="s">
        <v>47</v>
      </c>
      <c r="G90" s="12"/>
      <c r="H90" s="12" t="str">
        <f>IFERROR(__xludf.DUMMYFUNCTION("IF(G90="""", """", IF(COUNTIFS(DADOS_RM_SECOES!A:A, E90, DADOS_RM_SECOES!B:B, F90, DADOS_RM_SECOES!C:C, G90&amp;"".*"")&gt;0, ""NÍVEL INCOMPLETO"", IFERROR(INDEX(FILTER(DADOS_RM_SECOES!D:D, DADOS_RM_SECOES!A:A=E90, DADOS_RM_SECOES!B:B=F90, DADOS_RM_SECOES!C:C=G9"&amp;"0), 1), ""Não Encontrado"")))
"),"")</f>
        <v/>
      </c>
    </row>
    <row r="91" ht="15.75" customHeight="1">
      <c r="A91" s="12" t="s">
        <v>38</v>
      </c>
      <c r="B91" s="12" t="s">
        <v>16</v>
      </c>
      <c r="C91" s="12" t="s">
        <v>4889</v>
      </c>
      <c r="D91" s="46" t="s">
        <v>4890</v>
      </c>
      <c r="E91" s="12" t="s">
        <v>47</v>
      </c>
      <c r="F91" s="11" t="s">
        <v>47</v>
      </c>
      <c r="G91" s="12"/>
      <c r="H91" s="12" t="str">
        <f>IFERROR(__xludf.DUMMYFUNCTION("IF(G91="""", """", IF(COUNTIFS(DADOS_RM_SECOES!A:A, E91, DADOS_RM_SECOES!B:B, F91, DADOS_RM_SECOES!C:C, G91&amp;"".*"")&gt;0, ""NÍVEL INCOMPLETO"", IFERROR(INDEX(FILTER(DADOS_RM_SECOES!D:D, DADOS_RM_SECOES!A:A=E91, DADOS_RM_SECOES!B:B=F91, DADOS_RM_SECOES!C:C=G9"&amp;"1), 1), ""Não Encontrado"")))
"),"")</f>
        <v/>
      </c>
    </row>
    <row r="92" ht="15.75" customHeight="1">
      <c r="A92" s="12" t="s">
        <v>38</v>
      </c>
      <c r="B92" s="12" t="s">
        <v>16</v>
      </c>
      <c r="C92" s="12" t="s">
        <v>4892</v>
      </c>
      <c r="D92" s="46" t="s">
        <v>4893</v>
      </c>
      <c r="E92" s="12" t="s">
        <v>47</v>
      </c>
      <c r="F92" s="11" t="s">
        <v>47</v>
      </c>
      <c r="G92" s="12"/>
      <c r="H92" s="12" t="str">
        <f>IFERROR(__xludf.DUMMYFUNCTION("IF(G92="""", """", IF(COUNTIFS(DADOS_RM_SECOES!A:A, E92, DADOS_RM_SECOES!B:B, F92, DADOS_RM_SECOES!C:C, G92&amp;"".*"")&gt;0, ""NÍVEL INCOMPLETO"", IFERROR(INDEX(FILTER(DADOS_RM_SECOES!D:D, DADOS_RM_SECOES!A:A=E92, DADOS_RM_SECOES!B:B=F92, DADOS_RM_SECOES!C:C=G9"&amp;"2), 1), ""Não Encontrado"")))
"),"")</f>
        <v/>
      </c>
    </row>
    <row r="93" ht="15.75" customHeight="1">
      <c r="A93" s="12" t="s">
        <v>38</v>
      </c>
      <c r="B93" s="12" t="s">
        <v>16</v>
      </c>
      <c r="C93" s="12" t="s">
        <v>4896</v>
      </c>
      <c r="D93" s="46" t="s">
        <v>4870</v>
      </c>
      <c r="E93" s="12" t="s">
        <v>47</v>
      </c>
      <c r="F93" s="11" t="s">
        <v>47</v>
      </c>
      <c r="G93" s="12"/>
      <c r="H93" s="12" t="str">
        <f>IFERROR(__xludf.DUMMYFUNCTION("IF(G93="""", """", IF(COUNTIFS(DADOS_RM_SECOES!A:A, E93, DADOS_RM_SECOES!B:B, F93, DADOS_RM_SECOES!C:C, G93&amp;"".*"")&gt;0, ""NÍVEL INCOMPLETO"", IFERROR(INDEX(FILTER(DADOS_RM_SECOES!D:D, DADOS_RM_SECOES!A:A=E93, DADOS_RM_SECOES!B:B=F93, DADOS_RM_SECOES!C:C=G9"&amp;"3), 1), ""Não Encontrado"")))
"),"")</f>
        <v/>
      </c>
    </row>
    <row r="94" ht="15.75" customHeight="1">
      <c r="A94" s="12" t="s">
        <v>38</v>
      </c>
      <c r="B94" s="12" t="s">
        <v>16</v>
      </c>
      <c r="C94" s="12" t="s">
        <v>4899</v>
      </c>
      <c r="D94" s="46" t="s">
        <v>4900</v>
      </c>
      <c r="E94" s="12" t="s">
        <v>47</v>
      </c>
      <c r="F94" s="11" t="s">
        <v>47</v>
      </c>
      <c r="G94" s="12"/>
      <c r="H94" s="12" t="str">
        <f>IFERROR(__xludf.DUMMYFUNCTION("IF(G94="""", """", IF(COUNTIFS(DADOS_RM_SECOES!A:A, E94, DADOS_RM_SECOES!B:B, F94, DADOS_RM_SECOES!C:C, G94&amp;"".*"")&gt;0, ""NÍVEL INCOMPLETO"", IFERROR(INDEX(FILTER(DADOS_RM_SECOES!D:D, DADOS_RM_SECOES!A:A=E94, DADOS_RM_SECOES!B:B=F94, DADOS_RM_SECOES!C:C=G9"&amp;"4), 1), ""Não Encontrado"")))
"),"")</f>
        <v/>
      </c>
    </row>
    <row r="95" ht="15.75" customHeight="1">
      <c r="A95" s="12" t="s">
        <v>38</v>
      </c>
      <c r="B95" s="12" t="s">
        <v>16</v>
      </c>
      <c r="C95" s="12" t="s">
        <v>4902</v>
      </c>
      <c r="D95" s="46" t="s">
        <v>4903</v>
      </c>
      <c r="E95" s="12" t="s">
        <v>47</v>
      </c>
      <c r="F95" s="11" t="s">
        <v>47</v>
      </c>
      <c r="G95" s="12"/>
      <c r="H95" s="12" t="str">
        <f>IFERROR(__xludf.DUMMYFUNCTION("IF(G95="""", """", IF(COUNTIFS(DADOS_RM_SECOES!A:A, E95, DADOS_RM_SECOES!B:B, F95, DADOS_RM_SECOES!C:C, G95&amp;"".*"")&gt;0, ""NÍVEL INCOMPLETO"", IFERROR(INDEX(FILTER(DADOS_RM_SECOES!D:D, DADOS_RM_SECOES!A:A=E95, DADOS_RM_SECOES!B:B=F95, DADOS_RM_SECOES!C:C=G9"&amp;"5), 1), ""Não Encontrado"")))
"),"")</f>
        <v/>
      </c>
    </row>
    <row r="96" ht="15.75" customHeight="1">
      <c r="A96" s="12" t="s">
        <v>38</v>
      </c>
      <c r="B96" s="12" t="s">
        <v>16</v>
      </c>
      <c r="C96" s="12" t="s">
        <v>4906</v>
      </c>
      <c r="D96" s="46" t="s">
        <v>4907</v>
      </c>
      <c r="E96" s="12" t="s">
        <v>47</v>
      </c>
      <c r="F96" s="11" t="s">
        <v>47</v>
      </c>
      <c r="G96" s="12"/>
      <c r="H96" s="12" t="str">
        <f>IFERROR(__xludf.DUMMYFUNCTION("IF(G96="""", """", IF(COUNTIFS(DADOS_RM_SECOES!A:A, E96, DADOS_RM_SECOES!B:B, F96, DADOS_RM_SECOES!C:C, G96&amp;"".*"")&gt;0, ""NÍVEL INCOMPLETO"", IFERROR(INDEX(FILTER(DADOS_RM_SECOES!D:D, DADOS_RM_SECOES!A:A=E96, DADOS_RM_SECOES!B:B=F96, DADOS_RM_SECOES!C:C=G9"&amp;"6), 1), ""Não Encontrado"")))
"),"")</f>
        <v/>
      </c>
    </row>
    <row r="97" ht="15.75" customHeight="1">
      <c r="A97" s="12" t="s">
        <v>38</v>
      </c>
      <c r="B97" s="12" t="s">
        <v>16</v>
      </c>
      <c r="C97" s="12" t="s">
        <v>4909</v>
      </c>
      <c r="D97" s="46" t="s">
        <v>4839</v>
      </c>
      <c r="E97" s="12" t="s">
        <v>47</v>
      </c>
      <c r="F97" s="11" t="s">
        <v>47</v>
      </c>
      <c r="G97" s="12"/>
      <c r="H97" s="12" t="str">
        <f>IFERROR(__xludf.DUMMYFUNCTION("IF(G97="""", """", IF(COUNTIFS(DADOS_RM_SECOES!A:A, E97, DADOS_RM_SECOES!B:B, F97, DADOS_RM_SECOES!C:C, G97&amp;"".*"")&gt;0, ""NÍVEL INCOMPLETO"", IFERROR(INDEX(FILTER(DADOS_RM_SECOES!D:D, DADOS_RM_SECOES!A:A=E97, DADOS_RM_SECOES!B:B=F97, DADOS_RM_SECOES!C:C=G9"&amp;"7), 1), ""Não Encontrado"")))
"),"")</f>
        <v/>
      </c>
    </row>
    <row r="98" ht="15.75" customHeight="1">
      <c r="A98" s="12" t="s">
        <v>38</v>
      </c>
      <c r="B98" s="12" t="s">
        <v>16</v>
      </c>
      <c r="C98" s="12" t="s">
        <v>4912</v>
      </c>
      <c r="D98" s="46" t="s">
        <v>4913</v>
      </c>
      <c r="E98" s="12" t="s">
        <v>47</v>
      </c>
      <c r="F98" s="11" t="s">
        <v>47</v>
      </c>
      <c r="G98" s="12"/>
      <c r="H98" s="12" t="str">
        <f>IFERROR(__xludf.DUMMYFUNCTION("IF(G98="""", """", IF(COUNTIFS(DADOS_RM_SECOES!A:A, E98, DADOS_RM_SECOES!B:B, F98, DADOS_RM_SECOES!C:C, G98&amp;"".*"")&gt;0, ""NÍVEL INCOMPLETO"", IFERROR(INDEX(FILTER(DADOS_RM_SECOES!D:D, DADOS_RM_SECOES!A:A=E98, DADOS_RM_SECOES!B:B=F98, DADOS_RM_SECOES!C:C=G9"&amp;"8), 1), ""Não Encontrado"")))
"),"")</f>
        <v/>
      </c>
    </row>
    <row r="99" ht="15.75" customHeight="1">
      <c r="A99" s="12" t="s">
        <v>38</v>
      </c>
      <c r="B99" s="12" t="s">
        <v>16</v>
      </c>
      <c r="C99" s="12" t="s">
        <v>4917</v>
      </c>
      <c r="D99" s="46" t="s">
        <v>4913</v>
      </c>
      <c r="E99" s="12" t="s">
        <v>47</v>
      </c>
      <c r="F99" s="11" t="s">
        <v>47</v>
      </c>
      <c r="G99" s="12"/>
      <c r="H99" s="12" t="str">
        <f>IFERROR(__xludf.DUMMYFUNCTION("IF(G99="""", """", IF(COUNTIFS(DADOS_RM_SECOES!A:A, E99, DADOS_RM_SECOES!B:B, F99, DADOS_RM_SECOES!C:C, G99&amp;"".*"")&gt;0, ""NÍVEL INCOMPLETO"", IFERROR(INDEX(FILTER(DADOS_RM_SECOES!D:D, DADOS_RM_SECOES!A:A=E99, DADOS_RM_SECOES!B:B=F99, DADOS_RM_SECOES!C:C=G9"&amp;"9), 1), ""Não Encontrado"")))
"),"")</f>
        <v/>
      </c>
    </row>
    <row r="100" ht="15.75" customHeight="1">
      <c r="A100" s="12" t="s">
        <v>38</v>
      </c>
      <c r="B100" s="12" t="s">
        <v>16</v>
      </c>
      <c r="C100" s="12" t="s">
        <v>3974</v>
      </c>
      <c r="D100" s="46" t="s">
        <v>4918</v>
      </c>
      <c r="E100" s="12" t="s">
        <v>47</v>
      </c>
      <c r="F100" s="11" t="s">
        <v>47</v>
      </c>
      <c r="G100" s="12"/>
      <c r="H100" s="12" t="str">
        <f>IFERROR(__xludf.DUMMYFUNCTION("IF(G100="""", """", IF(COUNTIFS(DADOS_RM_SECOES!A:A, E100, DADOS_RM_SECOES!B:B, F100, DADOS_RM_SECOES!C:C, G100&amp;"".*"")&gt;0, ""NÍVEL INCOMPLETO"", IFERROR(INDEX(FILTER(DADOS_RM_SECOES!D:D, DADOS_RM_SECOES!A:A=E100, DADOS_RM_SECOES!B:B=F100, DADOS_RM_SECOES!"&amp;"C:C=G100), 1), ""Não Encontrado"")))
"),"")</f>
        <v/>
      </c>
    </row>
    <row r="101" ht="15.75" customHeight="1">
      <c r="A101" s="12" t="s">
        <v>38</v>
      </c>
      <c r="B101" s="12" t="s">
        <v>16</v>
      </c>
      <c r="C101" s="12" t="s">
        <v>4921</v>
      </c>
      <c r="D101" s="46" t="s">
        <v>4922</v>
      </c>
      <c r="E101" s="12" t="s">
        <v>47</v>
      </c>
      <c r="F101" s="11" t="s">
        <v>47</v>
      </c>
      <c r="G101" s="12"/>
      <c r="H101" s="12" t="str">
        <f>IFERROR(__xludf.DUMMYFUNCTION("IF(G101="""", """", IF(COUNTIFS(DADOS_RM_SECOES!A:A, E101, DADOS_RM_SECOES!B:B, F101, DADOS_RM_SECOES!C:C, G101&amp;"".*"")&gt;0, ""NÍVEL INCOMPLETO"", IFERROR(INDEX(FILTER(DADOS_RM_SECOES!D:D, DADOS_RM_SECOES!A:A=E101, DADOS_RM_SECOES!B:B=F101, DADOS_RM_SECOES!"&amp;"C:C=G101), 1), ""Não Encontrado"")))
"),"")</f>
        <v/>
      </c>
    </row>
    <row r="102" ht="15.75" customHeight="1">
      <c r="A102" s="12" t="s">
        <v>38</v>
      </c>
      <c r="B102" s="12" t="s">
        <v>16</v>
      </c>
      <c r="C102" s="12" t="s">
        <v>4926</v>
      </c>
      <c r="D102" s="46" t="s">
        <v>4865</v>
      </c>
      <c r="E102" s="12" t="s">
        <v>47</v>
      </c>
      <c r="F102" s="11" t="s">
        <v>47</v>
      </c>
      <c r="G102" s="12"/>
      <c r="H102" s="12" t="str">
        <f>IFERROR(__xludf.DUMMYFUNCTION("IF(G102="""", """", IF(COUNTIFS(DADOS_RM_SECOES!A:A, E102, DADOS_RM_SECOES!B:B, F102, DADOS_RM_SECOES!C:C, G102&amp;"".*"")&gt;0, ""NÍVEL INCOMPLETO"", IFERROR(INDEX(FILTER(DADOS_RM_SECOES!D:D, DADOS_RM_SECOES!A:A=E102, DADOS_RM_SECOES!B:B=F102, DADOS_RM_SECOES!"&amp;"C:C=G102), 1), ""Não Encontrado"")))
"),"")</f>
        <v/>
      </c>
    </row>
    <row r="103" ht="15.75" customHeight="1">
      <c r="A103" s="12" t="s">
        <v>38</v>
      </c>
      <c r="B103" s="12" t="s">
        <v>16</v>
      </c>
      <c r="C103" s="12" t="s">
        <v>4503</v>
      </c>
      <c r="D103" s="46" t="s">
        <v>4928</v>
      </c>
      <c r="E103" s="12" t="s">
        <v>47</v>
      </c>
      <c r="F103" s="11" t="s">
        <v>47</v>
      </c>
      <c r="G103" s="12"/>
      <c r="H103" s="12" t="str">
        <f>IFERROR(__xludf.DUMMYFUNCTION("IF(G103="""", """", IF(COUNTIFS(DADOS_RM_SECOES!A:A, E103, DADOS_RM_SECOES!B:B, F103, DADOS_RM_SECOES!C:C, G103&amp;"".*"")&gt;0, ""NÍVEL INCOMPLETO"", IFERROR(INDEX(FILTER(DADOS_RM_SECOES!D:D, DADOS_RM_SECOES!A:A=E103, DADOS_RM_SECOES!B:B=F103, DADOS_RM_SECOES!"&amp;"C:C=G103), 1), ""Não Encontrado"")))
"),"")</f>
        <v/>
      </c>
    </row>
    <row r="104" ht="15.75" customHeight="1">
      <c r="A104" s="12" t="s">
        <v>38</v>
      </c>
      <c r="B104" s="12" t="s">
        <v>16</v>
      </c>
      <c r="C104" s="12" t="s">
        <v>3798</v>
      </c>
      <c r="D104" s="46" t="s">
        <v>4928</v>
      </c>
      <c r="E104" s="12" t="s">
        <v>47</v>
      </c>
      <c r="F104" s="11" t="s">
        <v>47</v>
      </c>
      <c r="G104" s="12"/>
      <c r="H104" s="12" t="str">
        <f>IFERROR(__xludf.DUMMYFUNCTION("IF(G104="""", """", IF(COUNTIFS(DADOS_RM_SECOES!A:A, E104, DADOS_RM_SECOES!B:B, F104, DADOS_RM_SECOES!C:C, G104&amp;"".*"")&gt;0, ""NÍVEL INCOMPLETO"", IFERROR(INDEX(FILTER(DADOS_RM_SECOES!D:D, DADOS_RM_SECOES!A:A=E104, DADOS_RM_SECOES!B:B=F104, DADOS_RM_SECOES!"&amp;"C:C=G104), 1), ""Não Encontrado"")))
"),"")</f>
        <v/>
      </c>
    </row>
    <row r="105" ht="15.75" customHeight="1">
      <c r="A105" s="12" t="s">
        <v>38</v>
      </c>
      <c r="B105" s="12" t="s">
        <v>16</v>
      </c>
      <c r="C105" s="12" t="s">
        <v>3992</v>
      </c>
      <c r="D105" s="46" t="s">
        <v>4931</v>
      </c>
      <c r="E105" s="12" t="s">
        <v>47</v>
      </c>
      <c r="F105" s="11" t="s">
        <v>47</v>
      </c>
      <c r="G105" s="12"/>
      <c r="H105" s="12" t="str">
        <f>IFERROR(__xludf.DUMMYFUNCTION("IF(G105="""", """", IF(COUNTIFS(DADOS_RM_SECOES!A:A, E105, DADOS_RM_SECOES!B:B, F105, DADOS_RM_SECOES!C:C, G105&amp;"".*"")&gt;0, ""NÍVEL INCOMPLETO"", IFERROR(INDEX(FILTER(DADOS_RM_SECOES!D:D, DADOS_RM_SECOES!A:A=E105, DADOS_RM_SECOES!B:B=F105, DADOS_RM_SECOES!"&amp;"C:C=G105), 1), ""Não Encontrado"")))
"),"")</f>
        <v/>
      </c>
    </row>
    <row r="106" ht="15.75" customHeight="1">
      <c r="A106" s="12" t="s">
        <v>38</v>
      </c>
      <c r="B106" s="12" t="s">
        <v>16</v>
      </c>
      <c r="C106" s="12" t="s">
        <v>3654</v>
      </c>
      <c r="D106" s="46" t="s">
        <v>4934</v>
      </c>
      <c r="E106" s="12" t="s">
        <v>47</v>
      </c>
      <c r="F106" s="11" t="s">
        <v>47</v>
      </c>
      <c r="G106" s="12"/>
      <c r="H106" s="12" t="str">
        <f>IFERROR(__xludf.DUMMYFUNCTION("IF(G106="""", """", IF(COUNTIFS(DADOS_RM_SECOES!A:A, E106, DADOS_RM_SECOES!B:B, F106, DADOS_RM_SECOES!C:C, G106&amp;"".*"")&gt;0, ""NÍVEL INCOMPLETO"", IFERROR(INDEX(FILTER(DADOS_RM_SECOES!D:D, DADOS_RM_SECOES!A:A=E106, DADOS_RM_SECOES!B:B=F106, DADOS_RM_SECOES!"&amp;"C:C=G106), 1), ""Não Encontrado"")))
"),"")</f>
        <v/>
      </c>
    </row>
    <row r="107" ht="15.75" customHeight="1">
      <c r="A107" s="12" t="s">
        <v>38</v>
      </c>
      <c r="B107" s="12" t="s">
        <v>16</v>
      </c>
      <c r="C107" s="12" t="s">
        <v>4378</v>
      </c>
      <c r="D107" s="46" t="s">
        <v>4937</v>
      </c>
      <c r="E107" s="12" t="s">
        <v>47</v>
      </c>
      <c r="F107" s="11" t="s">
        <v>47</v>
      </c>
      <c r="G107" s="11" t="s">
        <v>4743</v>
      </c>
      <c r="H107" s="12" t="str">
        <f>IFERROR(__xludf.DUMMYFUNCTION("IF(G107="""", """", IF(COUNTIFS(DADOS_RM_SECOES!A:A, E107, DADOS_RM_SECOES!B:B, F107, DADOS_RM_SECOES!C:C, G107&amp;"".*"")&gt;0, ""NÍVEL INCOMPLETO"", IFERROR(INDEX(FILTER(DADOS_RM_SECOES!D:D, DADOS_RM_SECOES!A:A=E107, DADOS_RM_SECOES!B:B=F107, DADOS_RM_SECOES!"&amp;"C:C=G107), 1), ""Não Encontrado"")))
"),"REGIONAL I")</f>
        <v>REGIONAL I</v>
      </c>
    </row>
    <row r="108" ht="15.75" customHeight="1">
      <c r="A108" s="12" t="s">
        <v>38</v>
      </c>
      <c r="B108" s="12" t="s">
        <v>16</v>
      </c>
      <c r="C108" s="12" t="s">
        <v>4128</v>
      </c>
      <c r="D108" s="46" t="s">
        <v>4940</v>
      </c>
      <c r="E108" s="12" t="s">
        <v>47</v>
      </c>
      <c r="F108" s="11" t="s">
        <v>47</v>
      </c>
      <c r="G108" s="11" t="s">
        <v>4746</v>
      </c>
      <c r="H108" s="12" t="str">
        <f>IFERROR(__xludf.DUMMYFUNCTION("IF(G108="""", """", IF(COUNTIFS(DADOS_RM_SECOES!A:A, E108, DADOS_RM_SECOES!B:B, F108, DADOS_RM_SECOES!C:C, G108&amp;"".*"")&gt;0, ""NÍVEL INCOMPLETO"", IFERROR(INDEX(FILTER(DADOS_RM_SECOES!D:D, DADOS_RM_SECOES!A:A=E108, DADOS_RM_SECOES!B:B=F108, DADOS_RM_SECOES!"&amp;"C:C=G108), 1), ""Não Encontrado"")))
"),"REGIONAL II")</f>
        <v>REGIONAL II</v>
      </c>
    </row>
    <row r="109" ht="15.75" customHeight="1">
      <c r="A109" s="12" t="s">
        <v>38</v>
      </c>
      <c r="B109" s="12" t="s">
        <v>16</v>
      </c>
      <c r="C109" s="12" t="s">
        <v>3945</v>
      </c>
      <c r="D109" s="46" t="s">
        <v>4944</v>
      </c>
      <c r="E109" s="12" t="s">
        <v>47</v>
      </c>
      <c r="F109" s="11" t="s">
        <v>47</v>
      </c>
      <c r="G109" s="11" t="s">
        <v>4749</v>
      </c>
      <c r="H109" s="12" t="str">
        <f>IFERROR(__xludf.DUMMYFUNCTION("IF(G109="""", """", IF(COUNTIFS(DADOS_RM_SECOES!A:A, E109, DADOS_RM_SECOES!B:B, F109, DADOS_RM_SECOES!C:C, G109&amp;"".*"")&gt;0, ""NÍVEL INCOMPLETO"", IFERROR(INDEX(FILTER(DADOS_RM_SECOES!D:D, DADOS_RM_SECOES!A:A=E109, DADOS_RM_SECOES!B:B=F109, DADOS_RM_SECOES!"&amp;"C:C=G109), 1), ""Não Encontrado"")))
"),"REGIONAL III")</f>
        <v>REGIONAL III</v>
      </c>
    </row>
    <row r="110" ht="15.75" customHeight="1">
      <c r="A110" s="12" t="s">
        <v>38</v>
      </c>
      <c r="B110" s="12" t="s">
        <v>16</v>
      </c>
      <c r="C110" s="12" t="s">
        <v>3813</v>
      </c>
      <c r="D110" s="46" t="s">
        <v>4949</v>
      </c>
      <c r="E110" s="12" t="s">
        <v>47</v>
      </c>
      <c r="F110" s="11" t="s">
        <v>47</v>
      </c>
      <c r="G110" s="11" t="s">
        <v>4752</v>
      </c>
      <c r="H110" s="12" t="str">
        <f>IFERROR(__xludf.DUMMYFUNCTION("IF(G110="""", """", IF(COUNTIFS(DADOS_RM_SECOES!A:A, E110, DADOS_RM_SECOES!B:B, F110, DADOS_RM_SECOES!C:C, G110&amp;"".*"")&gt;0, ""NÍVEL INCOMPLETO"", IFERROR(INDEX(FILTER(DADOS_RM_SECOES!D:D, DADOS_RM_SECOES!A:A=E110, DADOS_RM_SECOES!B:B=F110, DADOS_RM_SECOES!"&amp;"C:C=G110), 1), ""Não Encontrado"")))
"),"REGIONAL IV")</f>
        <v>REGIONAL IV</v>
      </c>
    </row>
    <row r="111" ht="15.75" customHeight="1">
      <c r="A111" s="12" t="s">
        <v>38</v>
      </c>
      <c r="B111" s="12" t="s">
        <v>16</v>
      </c>
      <c r="C111" s="12" t="s">
        <v>4952</v>
      </c>
      <c r="D111" s="46" t="s">
        <v>4954</v>
      </c>
      <c r="E111" s="12" t="s">
        <v>47</v>
      </c>
      <c r="F111" s="11" t="s">
        <v>47</v>
      </c>
      <c r="G111" s="11" t="s">
        <v>4755</v>
      </c>
      <c r="H111" s="12" t="str">
        <f>IFERROR(__xludf.DUMMYFUNCTION("IF(G111="""", """", IF(COUNTIFS(DADOS_RM_SECOES!A:A, E111, DADOS_RM_SECOES!B:B, F111, DADOS_RM_SECOES!C:C, G111&amp;"".*"")&gt;0, ""NÍVEL INCOMPLETO"", IFERROR(INDEX(FILTER(DADOS_RM_SECOES!D:D, DADOS_RM_SECOES!A:A=E111, DADOS_RM_SECOES!B:B=F111, DADOS_RM_SECOES!"&amp;"C:C=G111), 1), ""Não Encontrado"")))
"),"REGIONAL V")</f>
        <v>REGIONAL V</v>
      </c>
    </row>
    <row r="112" ht="15.75" customHeight="1">
      <c r="A112" s="12" t="s">
        <v>38</v>
      </c>
      <c r="B112" s="12" t="s">
        <v>16</v>
      </c>
      <c r="C112" s="12" t="s">
        <v>3875</v>
      </c>
      <c r="D112" s="46" t="s">
        <v>4960</v>
      </c>
      <c r="E112" s="12" t="s">
        <v>47</v>
      </c>
      <c r="F112" s="11" t="s">
        <v>47</v>
      </c>
      <c r="G112" s="11" t="s">
        <v>4758</v>
      </c>
      <c r="H112" s="12" t="str">
        <f>IFERROR(__xludf.DUMMYFUNCTION("IF(G112="""", """", IF(COUNTIFS(DADOS_RM_SECOES!A:A, E112, DADOS_RM_SECOES!B:B, F112, DADOS_RM_SECOES!C:C, G112&amp;"".*"")&gt;0, ""NÍVEL INCOMPLETO"", IFERROR(INDEX(FILTER(DADOS_RM_SECOES!D:D, DADOS_RM_SECOES!A:A=E112, DADOS_RM_SECOES!B:B=F112, DADOS_RM_SECOES!"&amp;"C:C=G112), 1), ""Não Encontrado"")))
"),"REGIONAL VI")</f>
        <v>REGIONAL VI</v>
      </c>
    </row>
    <row r="113" ht="15.75" customHeight="1">
      <c r="A113" s="12" t="s">
        <v>38</v>
      </c>
      <c r="B113" s="12" t="s">
        <v>16</v>
      </c>
      <c r="C113" s="12" t="s">
        <v>4965</v>
      </c>
      <c r="D113" s="46" t="s">
        <v>4966</v>
      </c>
      <c r="E113" s="12" t="s">
        <v>47</v>
      </c>
      <c r="F113" s="11" t="s">
        <v>47</v>
      </c>
      <c r="G113" s="12"/>
      <c r="H113" s="12" t="str">
        <f>IFERROR(__xludf.DUMMYFUNCTION("IF(G113="""", """", IF(COUNTIFS(DADOS_RM_SECOES!A:A, E113, DADOS_RM_SECOES!B:B, F113, DADOS_RM_SECOES!C:C, G113&amp;"".*"")&gt;0, ""NÍVEL INCOMPLETO"", IFERROR(INDEX(FILTER(DADOS_RM_SECOES!D:D, DADOS_RM_SECOES!A:A=E113, DADOS_RM_SECOES!B:B=F113, DADOS_RM_SECOES!"&amp;"C:C=G113), 1), ""Não Encontrado"")))
"),"")</f>
        <v/>
      </c>
    </row>
    <row r="114" ht="15.75" customHeight="1">
      <c r="A114" s="12" t="s">
        <v>38</v>
      </c>
      <c r="B114" s="12" t="s">
        <v>16</v>
      </c>
      <c r="C114" s="12" t="s">
        <v>4335</v>
      </c>
      <c r="D114" s="46" t="s">
        <v>4968</v>
      </c>
      <c r="E114" s="12" t="s">
        <v>47</v>
      </c>
      <c r="F114" s="11" t="s">
        <v>47</v>
      </c>
      <c r="G114" s="12"/>
      <c r="H114" s="12" t="str">
        <f>IFERROR(__xludf.DUMMYFUNCTION("IF(G114="""", """", IF(COUNTIFS(DADOS_RM_SECOES!A:A, E114, DADOS_RM_SECOES!B:B, F114, DADOS_RM_SECOES!C:C, G114&amp;"".*"")&gt;0, ""NÍVEL INCOMPLETO"", IFERROR(INDEX(FILTER(DADOS_RM_SECOES!D:D, DADOS_RM_SECOES!A:A=E114, DADOS_RM_SECOES!B:B=F114, DADOS_RM_SECOES!"&amp;"C:C=G114), 1), ""Não Encontrado"")))
"),"")</f>
        <v/>
      </c>
    </row>
    <row r="115" ht="15.75" customHeight="1">
      <c r="A115" s="12" t="s">
        <v>38</v>
      </c>
      <c r="B115" s="12" t="s">
        <v>16</v>
      </c>
      <c r="C115" s="12" t="s">
        <v>4032</v>
      </c>
      <c r="D115" s="46" t="s">
        <v>4974</v>
      </c>
      <c r="E115" s="12" t="s">
        <v>47</v>
      </c>
      <c r="F115" s="11" t="s">
        <v>47</v>
      </c>
      <c r="G115" s="12"/>
      <c r="H115" s="12" t="str">
        <f>IFERROR(__xludf.DUMMYFUNCTION("IF(G115="""", """", IF(COUNTIFS(DADOS_RM_SECOES!A:A, E115, DADOS_RM_SECOES!B:B, F115, DADOS_RM_SECOES!C:C, G115&amp;"".*"")&gt;0, ""NÍVEL INCOMPLETO"", IFERROR(INDEX(FILTER(DADOS_RM_SECOES!D:D, DADOS_RM_SECOES!A:A=E115, DADOS_RM_SECOES!B:B=F115, DADOS_RM_SECOES!"&amp;"C:C=G115), 1), ""Não Encontrado"")))
"),"")</f>
        <v/>
      </c>
    </row>
    <row r="116" ht="15.75" customHeight="1">
      <c r="A116" s="12" t="s">
        <v>38</v>
      </c>
      <c r="B116" s="12" t="s">
        <v>16</v>
      </c>
      <c r="C116" s="12" t="s">
        <v>3932</v>
      </c>
      <c r="D116" s="46" t="s">
        <v>4976</v>
      </c>
      <c r="E116" s="12" t="s">
        <v>47</v>
      </c>
      <c r="F116" s="11" t="s">
        <v>47</v>
      </c>
      <c r="G116" s="12"/>
      <c r="H116" s="12" t="str">
        <f>IFERROR(__xludf.DUMMYFUNCTION("IF(G116="""", """", IF(COUNTIFS(DADOS_RM_SECOES!A:A, E116, DADOS_RM_SECOES!B:B, F116, DADOS_RM_SECOES!C:C, G116&amp;"".*"")&gt;0, ""NÍVEL INCOMPLETO"", IFERROR(INDEX(FILTER(DADOS_RM_SECOES!D:D, DADOS_RM_SECOES!A:A=E116, DADOS_RM_SECOES!B:B=F116, DADOS_RM_SECOES!"&amp;"C:C=G116), 1), ""Não Encontrado"")))
"),"")</f>
        <v/>
      </c>
    </row>
    <row r="117" ht="15.75" customHeight="1">
      <c r="A117" s="12" t="s">
        <v>38</v>
      </c>
      <c r="B117" s="12" t="s">
        <v>16</v>
      </c>
      <c r="C117" s="12" t="s">
        <v>4979</v>
      </c>
      <c r="D117" s="46" t="s">
        <v>4980</v>
      </c>
      <c r="E117" s="12" t="s">
        <v>47</v>
      </c>
      <c r="F117" s="11" t="s">
        <v>47</v>
      </c>
      <c r="G117" s="12"/>
      <c r="H117" s="12" t="str">
        <f>IFERROR(__xludf.DUMMYFUNCTION("IF(G117="""", """", IF(COUNTIFS(DADOS_RM_SECOES!A:A, E117, DADOS_RM_SECOES!B:B, F117, DADOS_RM_SECOES!C:C, G117&amp;"".*"")&gt;0, ""NÍVEL INCOMPLETO"", IFERROR(INDEX(FILTER(DADOS_RM_SECOES!D:D, DADOS_RM_SECOES!A:A=E117, DADOS_RM_SECOES!B:B=F117, DADOS_RM_SECOES!"&amp;"C:C=G117), 1), ""Não Encontrado"")))
"),"")</f>
        <v/>
      </c>
    </row>
    <row r="118" ht="15.75" customHeight="1">
      <c r="A118" s="12" t="s">
        <v>38</v>
      </c>
      <c r="B118" s="12" t="s">
        <v>16</v>
      </c>
      <c r="C118" s="12" t="s">
        <v>4395</v>
      </c>
      <c r="D118" s="46" t="s">
        <v>4982</v>
      </c>
      <c r="E118" s="12" t="s">
        <v>47</v>
      </c>
      <c r="F118" s="11" t="s">
        <v>47</v>
      </c>
      <c r="G118" s="12"/>
      <c r="H118" s="12" t="str">
        <f>IFERROR(__xludf.DUMMYFUNCTION("IF(G118="""", """", IF(COUNTIFS(DADOS_RM_SECOES!A:A, E118, DADOS_RM_SECOES!B:B, F118, DADOS_RM_SECOES!C:C, G118&amp;"".*"")&gt;0, ""NÍVEL INCOMPLETO"", IFERROR(INDEX(FILTER(DADOS_RM_SECOES!D:D, DADOS_RM_SECOES!A:A=E118, DADOS_RM_SECOES!B:B=F118, DADOS_RM_SECOES!"&amp;"C:C=G118), 1), ""Não Encontrado"")))
"),"")</f>
        <v/>
      </c>
    </row>
    <row r="119" ht="15.75" customHeight="1">
      <c r="A119" s="12" t="s">
        <v>38</v>
      </c>
      <c r="B119" s="12" t="s">
        <v>16</v>
      </c>
      <c r="C119" s="12" t="s">
        <v>4328</v>
      </c>
      <c r="D119" s="46" t="s">
        <v>4984</v>
      </c>
      <c r="E119" s="12" t="s">
        <v>47</v>
      </c>
      <c r="F119" s="11" t="s">
        <v>47</v>
      </c>
      <c r="G119" s="12"/>
      <c r="H119" s="12" t="str">
        <f>IFERROR(__xludf.DUMMYFUNCTION("IF(G119="""", """", IF(COUNTIFS(DADOS_RM_SECOES!A:A, E119, DADOS_RM_SECOES!B:B, F119, DADOS_RM_SECOES!C:C, G119&amp;"".*"")&gt;0, ""NÍVEL INCOMPLETO"", IFERROR(INDEX(FILTER(DADOS_RM_SECOES!D:D, DADOS_RM_SECOES!A:A=E119, DADOS_RM_SECOES!B:B=F119, DADOS_RM_SECOES!"&amp;"C:C=G119), 1), ""Não Encontrado"")))
"),"")</f>
        <v/>
      </c>
    </row>
    <row r="120" ht="15.75" customHeight="1">
      <c r="A120" s="12" t="s">
        <v>38</v>
      </c>
      <c r="B120" s="12" t="s">
        <v>16</v>
      </c>
      <c r="C120" s="12" t="s">
        <v>3868</v>
      </c>
      <c r="D120" s="46" t="s">
        <v>4990</v>
      </c>
      <c r="E120" s="12" t="s">
        <v>47</v>
      </c>
      <c r="F120" s="11" t="s">
        <v>47</v>
      </c>
      <c r="G120" s="12"/>
      <c r="H120" s="12" t="str">
        <f>IFERROR(__xludf.DUMMYFUNCTION("IF(G120="""", """", IF(COUNTIFS(DADOS_RM_SECOES!A:A, E120, DADOS_RM_SECOES!B:B, F120, DADOS_RM_SECOES!C:C, G120&amp;"".*"")&gt;0, ""NÍVEL INCOMPLETO"", IFERROR(INDEX(FILTER(DADOS_RM_SECOES!D:D, DADOS_RM_SECOES!A:A=E120, DADOS_RM_SECOES!B:B=F120, DADOS_RM_SECOES!"&amp;"C:C=G120), 1), ""Não Encontrado"")))
"),"")</f>
        <v/>
      </c>
    </row>
    <row r="121" ht="15.75" customHeight="1">
      <c r="A121" s="12" t="s">
        <v>38</v>
      </c>
      <c r="B121" s="12" t="s">
        <v>16</v>
      </c>
      <c r="C121" s="12" t="s">
        <v>4993</v>
      </c>
      <c r="D121" s="46" t="s">
        <v>4994</v>
      </c>
      <c r="E121" s="12" t="s">
        <v>47</v>
      </c>
      <c r="F121" s="11" t="s">
        <v>47</v>
      </c>
      <c r="G121" s="12"/>
      <c r="H121" s="12" t="str">
        <f>IFERROR(__xludf.DUMMYFUNCTION("IF(G121="""", """", IF(COUNTIFS(DADOS_RM_SECOES!A:A, E121, DADOS_RM_SECOES!B:B, F121, DADOS_RM_SECOES!C:C, G121&amp;"".*"")&gt;0, ""NÍVEL INCOMPLETO"", IFERROR(INDEX(FILTER(DADOS_RM_SECOES!D:D, DADOS_RM_SECOES!A:A=E121, DADOS_RM_SECOES!B:B=F121, DADOS_RM_SECOES!"&amp;"C:C=G121), 1), ""Não Encontrado"")))
"),"")</f>
        <v/>
      </c>
    </row>
    <row r="122" ht="15.75" customHeight="1">
      <c r="A122" s="12" t="s">
        <v>38</v>
      </c>
      <c r="B122" s="12" t="s">
        <v>16</v>
      </c>
      <c r="C122" s="12" t="s">
        <v>4996</v>
      </c>
      <c r="D122" s="46" t="s">
        <v>4997</v>
      </c>
      <c r="E122" s="12" t="s">
        <v>47</v>
      </c>
      <c r="F122" s="11" t="s">
        <v>47</v>
      </c>
      <c r="G122" s="12"/>
      <c r="H122" s="12" t="str">
        <f>IFERROR(__xludf.DUMMYFUNCTION("IF(G122="""", """", IF(COUNTIFS(DADOS_RM_SECOES!A:A, E122, DADOS_RM_SECOES!B:B, F122, DADOS_RM_SECOES!C:C, G122&amp;"".*"")&gt;0, ""NÍVEL INCOMPLETO"", IFERROR(INDEX(FILTER(DADOS_RM_SECOES!D:D, DADOS_RM_SECOES!A:A=E122, DADOS_RM_SECOES!B:B=F122, DADOS_RM_SECOES!"&amp;"C:C=G122), 1), ""Não Encontrado"")))
"),"")</f>
        <v/>
      </c>
    </row>
    <row r="123" ht="15.75" customHeight="1">
      <c r="A123" s="12" t="s">
        <v>38</v>
      </c>
      <c r="B123" s="12" t="s">
        <v>16</v>
      </c>
      <c r="C123" s="12" t="s">
        <v>4999</v>
      </c>
      <c r="D123" s="46" t="s">
        <v>5000</v>
      </c>
      <c r="E123" s="12" t="s">
        <v>47</v>
      </c>
      <c r="F123" s="11" t="s">
        <v>47</v>
      </c>
      <c r="G123" s="12"/>
      <c r="H123" s="12" t="str">
        <f>IFERROR(__xludf.DUMMYFUNCTION("IF(G123="""", """", IF(COUNTIFS(DADOS_RM_SECOES!A:A, E123, DADOS_RM_SECOES!B:B, F123, DADOS_RM_SECOES!C:C, G123&amp;"".*"")&gt;0, ""NÍVEL INCOMPLETO"", IFERROR(INDEX(FILTER(DADOS_RM_SECOES!D:D, DADOS_RM_SECOES!A:A=E123, DADOS_RM_SECOES!B:B=F123, DADOS_RM_SECOES!"&amp;"C:C=G123), 1), ""Não Encontrado"")))
"),"")</f>
        <v/>
      </c>
    </row>
    <row r="124" ht="15.75" customHeight="1">
      <c r="A124" s="12" t="s">
        <v>38</v>
      </c>
      <c r="B124" s="12" t="s">
        <v>16</v>
      </c>
      <c r="C124" s="12" t="s">
        <v>5002</v>
      </c>
      <c r="D124" s="46" t="s">
        <v>5003</v>
      </c>
      <c r="E124" s="12" t="s">
        <v>47</v>
      </c>
      <c r="F124" s="11" t="s">
        <v>47</v>
      </c>
      <c r="G124" s="12"/>
      <c r="H124" s="12" t="str">
        <f>IFERROR(__xludf.DUMMYFUNCTION("IF(G124="""", """", IF(COUNTIFS(DADOS_RM_SECOES!A:A, E124, DADOS_RM_SECOES!B:B, F124, DADOS_RM_SECOES!C:C, G124&amp;"".*"")&gt;0, ""NÍVEL INCOMPLETO"", IFERROR(INDEX(FILTER(DADOS_RM_SECOES!D:D, DADOS_RM_SECOES!A:A=E124, DADOS_RM_SECOES!B:B=F124, DADOS_RM_SECOES!"&amp;"C:C=G124), 1), ""Não Encontrado"")))
"),"")</f>
        <v/>
      </c>
    </row>
    <row r="125" ht="15.75" customHeight="1">
      <c r="A125" s="12" t="s">
        <v>38</v>
      </c>
      <c r="B125" s="12" t="s">
        <v>16</v>
      </c>
      <c r="C125" s="12" t="s">
        <v>5005</v>
      </c>
      <c r="D125" s="46" t="s">
        <v>4955</v>
      </c>
      <c r="E125" s="12" t="s">
        <v>47</v>
      </c>
      <c r="F125" s="11" t="s">
        <v>47</v>
      </c>
      <c r="G125" s="11" t="s">
        <v>4953</v>
      </c>
      <c r="H125" s="12" t="str">
        <f>IFERROR(__xludf.DUMMYFUNCTION("IF(G125="""", """", IF(COUNTIFS(DADOS_RM_SECOES!A:A, E125, DADOS_RM_SECOES!B:B, F125, DADOS_RM_SECOES!C:C, G125&amp;"".*"")&gt;0, ""NÍVEL INCOMPLETO"", IFERROR(INDEX(FILTER(DADOS_RM_SECOES!D:D, DADOS_RM_SECOES!A:A=E125, DADOS_RM_SECOES!B:B=F125, DADOS_RM_SECOES!"&amp;"C:C=G125), 1), ""Não Encontrado"")))
"),"NÍVEL INCOMPLETO")</f>
        <v>NÍVEL INCOMPLETO</v>
      </c>
    </row>
    <row r="126" ht="15.75" customHeight="1">
      <c r="A126" s="12" t="s">
        <v>38</v>
      </c>
      <c r="B126" s="12" t="s">
        <v>16</v>
      </c>
      <c r="C126" s="12" t="s">
        <v>3942</v>
      </c>
      <c r="D126" s="46" t="s">
        <v>4962</v>
      </c>
      <c r="E126" s="12" t="s">
        <v>47</v>
      </c>
      <c r="F126" s="11" t="s">
        <v>47</v>
      </c>
      <c r="G126" s="11" t="s">
        <v>4961</v>
      </c>
      <c r="H126" s="12" t="str">
        <f>IFERROR(__xludf.DUMMYFUNCTION("IF(G126="""", """", IF(COUNTIFS(DADOS_RM_SECOES!A:A, E126, DADOS_RM_SECOES!B:B, F126, DADOS_RM_SECOES!C:C, G126&amp;"".*"")&gt;0, ""NÍVEL INCOMPLETO"", IFERROR(INDEX(FILTER(DADOS_RM_SECOES!D:D, DADOS_RM_SECOES!A:A=E126, DADOS_RM_SECOES!B:B=F126, DADOS_RM_SECOES!"&amp;"C:C=G126), 1), ""Não Encontrado"")))
"),"NÍVEL INCOMPLETO")</f>
        <v>NÍVEL INCOMPLETO</v>
      </c>
    </row>
    <row r="127" ht="15.75" customHeight="1">
      <c r="A127" s="12" t="s">
        <v>38</v>
      </c>
      <c r="B127" s="12" t="s">
        <v>16</v>
      </c>
      <c r="C127" s="12" t="s">
        <v>3732</v>
      </c>
      <c r="D127" s="46" t="s">
        <v>5008</v>
      </c>
      <c r="E127" s="12" t="s">
        <v>47</v>
      </c>
      <c r="F127" s="11" t="s">
        <v>47</v>
      </c>
      <c r="G127" s="12"/>
      <c r="H127" s="12" t="str">
        <f>IFERROR(__xludf.DUMMYFUNCTION("IF(G127="""", """", IF(COUNTIFS(DADOS_RM_SECOES!A:A, E127, DADOS_RM_SECOES!B:B, F127, DADOS_RM_SECOES!C:C, G127&amp;"".*"")&gt;0, ""NÍVEL INCOMPLETO"", IFERROR(INDEX(FILTER(DADOS_RM_SECOES!D:D, DADOS_RM_SECOES!A:A=E127, DADOS_RM_SECOES!B:B=F127, DADOS_RM_SECOES!"&amp;"C:C=G127), 1), ""Não Encontrado"")))
"),"")</f>
        <v/>
      </c>
    </row>
    <row r="128" ht="15.75" customHeight="1">
      <c r="A128" s="12" t="s">
        <v>38</v>
      </c>
      <c r="B128" s="12" t="s">
        <v>16</v>
      </c>
      <c r="C128" s="12" t="s">
        <v>5010</v>
      </c>
      <c r="D128" s="46" t="s">
        <v>5011</v>
      </c>
      <c r="E128" s="12" t="s">
        <v>47</v>
      </c>
      <c r="F128" s="11" t="s">
        <v>47</v>
      </c>
      <c r="G128" s="12"/>
      <c r="H128" s="12" t="str">
        <f>IFERROR(__xludf.DUMMYFUNCTION("IF(G128="""", """", IF(COUNTIFS(DADOS_RM_SECOES!A:A, E128, DADOS_RM_SECOES!B:B, F128, DADOS_RM_SECOES!C:C, G128&amp;"".*"")&gt;0, ""NÍVEL INCOMPLETO"", IFERROR(INDEX(FILTER(DADOS_RM_SECOES!D:D, DADOS_RM_SECOES!A:A=E128, DADOS_RM_SECOES!B:B=F128, DADOS_RM_SECOES!"&amp;"C:C=G128), 1), ""Não Encontrado"")))
"),"")</f>
        <v/>
      </c>
    </row>
    <row r="129" ht="15.75" customHeight="1">
      <c r="A129" s="12" t="s">
        <v>38</v>
      </c>
      <c r="B129" s="12" t="s">
        <v>16</v>
      </c>
      <c r="C129" s="12" t="s">
        <v>5014</v>
      </c>
      <c r="D129" s="46" t="s">
        <v>5015</v>
      </c>
      <c r="E129" s="12" t="s">
        <v>47</v>
      </c>
      <c r="F129" s="11" t="s">
        <v>47</v>
      </c>
      <c r="G129" s="12"/>
      <c r="H129" s="12" t="str">
        <f>IFERROR(__xludf.DUMMYFUNCTION("IF(G129="""", """", IF(COUNTIFS(DADOS_RM_SECOES!A:A, E129, DADOS_RM_SECOES!B:B, F129, DADOS_RM_SECOES!C:C, G129&amp;"".*"")&gt;0, ""NÍVEL INCOMPLETO"", IFERROR(INDEX(FILTER(DADOS_RM_SECOES!D:D, DADOS_RM_SECOES!A:A=E129, DADOS_RM_SECOES!B:B=F129, DADOS_RM_SECOES!"&amp;"C:C=G129), 1), ""Não Encontrado"")))
"),"")</f>
        <v/>
      </c>
    </row>
    <row r="130" ht="15.75" customHeight="1">
      <c r="A130" s="12" t="s">
        <v>38</v>
      </c>
      <c r="B130" s="12" t="s">
        <v>16</v>
      </c>
      <c r="C130" s="12" t="s">
        <v>5020</v>
      </c>
      <c r="D130" s="46" t="s">
        <v>5021</v>
      </c>
      <c r="E130" s="12" t="s">
        <v>47</v>
      </c>
      <c r="F130" s="11" t="s">
        <v>47</v>
      </c>
      <c r="G130" s="12"/>
      <c r="H130" s="12" t="str">
        <f>IFERROR(__xludf.DUMMYFUNCTION("IF(G130="""", """", IF(COUNTIFS(DADOS_RM_SECOES!A:A, E130, DADOS_RM_SECOES!B:B, F130, DADOS_RM_SECOES!C:C, G130&amp;"".*"")&gt;0, ""NÍVEL INCOMPLETO"", IFERROR(INDEX(FILTER(DADOS_RM_SECOES!D:D, DADOS_RM_SECOES!A:A=E130, DADOS_RM_SECOES!B:B=F130, DADOS_RM_SECOES!"&amp;"C:C=G130), 1), ""Não Encontrado"")))
"),"")</f>
        <v/>
      </c>
    </row>
    <row r="131" ht="15.75" customHeight="1">
      <c r="A131" s="12" t="s">
        <v>38</v>
      </c>
      <c r="B131" s="12" t="s">
        <v>16</v>
      </c>
      <c r="C131" s="12" t="s">
        <v>5024</v>
      </c>
      <c r="D131" s="46" t="s">
        <v>4970</v>
      </c>
      <c r="E131" s="12" t="s">
        <v>47</v>
      </c>
      <c r="F131" s="11" t="s">
        <v>47</v>
      </c>
      <c r="G131" s="11" t="s">
        <v>5025</v>
      </c>
      <c r="H131" s="12" t="str">
        <f>IFERROR(__xludf.DUMMYFUNCTION("IF(G131="""", """", IF(COUNTIFS(DADOS_RM_SECOES!A:A, E131, DADOS_RM_SECOES!B:B, F131, DADOS_RM_SECOES!C:C, G131&amp;"".*"")&gt;0, ""NÍVEL INCOMPLETO"", IFERROR(INDEX(FILTER(DADOS_RM_SECOES!D:D, DADOS_RM_SECOES!A:A=E131, DADOS_RM_SECOES!B:B=F131, DADOS_RM_SECOES!"&amp;"C:C=G131), 1), ""Não Encontrado"")))
"),"Não Encontrado")</f>
        <v>Não Encontrado</v>
      </c>
    </row>
    <row r="132" ht="15.75" customHeight="1">
      <c r="A132" s="12" t="s">
        <v>38</v>
      </c>
      <c r="B132" s="12" t="s">
        <v>16</v>
      </c>
      <c r="C132" s="12" t="s">
        <v>5028</v>
      </c>
      <c r="D132" s="46" t="s">
        <v>5029</v>
      </c>
      <c r="E132" s="12" t="s">
        <v>47</v>
      </c>
      <c r="F132" s="11" t="s">
        <v>47</v>
      </c>
      <c r="G132" s="12"/>
      <c r="H132" s="12" t="str">
        <f>IFERROR(__xludf.DUMMYFUNCTION("IF(G132="""", """", IF(COUNTIFS(DADOS_RM_SECOES!A:A, E132, DADOS_RM_SECOES!B:B, F132, DADOS_RM_SECOES!C:C, G132&amp;"".*"")&gt;0, ""NÍVEL INCOMPLETO"", IFERROR(INDEX(FILTER(DADOS_RM_SECOES!D:D, DADOS_RM_SECOES!A:A=E132, DADOS_RM_SECOES!B:B=F132, DADOS_RM_SECOES!"&amp;"C:C=G132), 1), ""Não Encontrado"")))
"),"")</f>
        <v/>
      </c>
    </row>
    <row r="133" ht="15.75" customHeight="1">
      <c r="A133" s="12" t="s">
        <v>38</v>
      </c>
      <c r="B133" s="12" t="s">
        <v>16</v>
      </c>
      <c r="C133" s="12" t="s">
        <v>4294</v>
      </c>
      <c r="D133" s="46" t="s">
        <v>5031</v>
      </c>
      <c r="E133" s="12" t="s">
        <v>47</v>
      </c>
      <c r="F133" s="11" t="s">
        <v>47</v>
      </c>
      <c r="G133" s="12"/>
      <c r="H133" s="12" t="str">
        <f>IFERROR(__xludf.DUMMYFUNCTION("IF(G133="""", """", IF(COUNTIFS(DADOS_RM_SECOES!A:A, E133, DADOS_RM_SECOES!B:B, F133, DADOS_RM_SECOES!C:C, G133&amp;"".*"")&gt;0, ""NÍVEL INCOMPLETO"", IFERROR(INDEX(FILTER(DADOS_RM_SECOES!D:D, DADOS_RM_SECOES!A:A=E133, DADOS_RM_SECOES!B:B=F133, DADOS_RM_SECOES!"&amp;"C:C=G133), 1), ""Não Encontrado"")))
"),"")</f>
        <v/>
      </c>
    </row>
    <row r="134" ht="15.75" customHeight="1">
      <c r="A134" s="12" t="s">
        <v>38</v>
      </c>
      <c r="B134" s="12" t="s">
        <v>16</v>
      </c>
      <c r="C134" s="12" t="s">
        <v>5033</v>
      </c>
      <c r="D134" s="46" t="s">
        <v>5034</v>
      </c>
      <c r="E134" s="12" t="s">
        <v>47</v>
      </c>
      <c r="F134" s="11" t="s">
        <v>47</v>
      </c>
      <c r="G134" s="12"/>
      <c r="H134" s="12" t="str">
        <f>IFERROR(__xludf.DUMMYFUNCTION("IF(G134="""", """", IF(COUNTIFS(DADOS_RM_SECOES!A:A, E134, DADOS_RM_SECOES!B:B, F134, DADOS_RM_SECOES!C:C, G134&amp;"".*"")&gt;0, ""NÍVEL INCOMPLETO"", IFERROR(INDEX(FILTER(DADOS_RM_SECOES!D:D, DADOS_RM_SECOES!A:A=E134, DADOS_RM_SECOES!B:B=F134, DADOS_RM_SECOES!"&amp;"C:C=G134), 1), ""Não Encontrado"")))
"),"")</f>
        <v/>
      </c>
    </row>
    <row r="135" ht="15.75" customHeight="1">
      <c r="A135" s="12" t="s">
        <v>38</v>
      </c>
      <c r="B135" s="12" t="s">
        <v>16</v>
      </c>
      <c r="C135" s="12" t="s">
        <v>5036</v>
      </c>
      <c r="D135" s="46" t="s">
        <v>5037</v>
      </c>
      <c r="E135" s="12" t="s">
        <v>47</v>
      </c>
      <c r="F135" s="11" t="s">
        <v>47</v>
      </c>
      <c r="G135" s="12"/>
      <c r="H135" s="12" t="str">
        <f>IFERROR(__xludf.DUMMYFUNCTION("IF(G135="""", """", IF(COUNTIFS(DADOS_RM_SECOES!A:A, E135, DADOS_RM_SECOES!B:B, F135, DADOS_RM_SECOES!C:C, G135&amp;"".*"")&gt;0, ""NÍVEL INCOMPLETO"", IFERROR(INDEX(FILTER(DADOS_RM_SECOES!D:D, DADOS_RM_SECOES!A:A=E135, DADOS_RM_SECOES!B:B=F135, DADOS_RM_SECOES!"&amp;"C:C=G135), 1), ""Não Encontrado"")))
"),"")</f>
        <v/>
      </c>
    </row>
    <row r="136" ht="15.75" customHeight="1">
      <c r="A136" s="12" t="s">
        <v>38</v>
      </c>
      <c r="B136" s="12" t="s">
        <v>16</v>
      </c>
      <c r="C136" s="12" t="s">
        <v>4350</v>
      </c>
      <c r="D136" s="46" t="s">
        <v>4942</v>
      </c>
      <c r="E136" s="12" t="s">
        <v>47</v>
      </c>
      <c r="F136" s="11" t="s">
        <v>47</v>
      </c>
      <c r="G136" s="11" t="s">
        <v>4941</v>
      </c>
      <c r="H136" s="12" t="str">
        <f>IFERROR(__xludf.DUMMYFUNCTION("IF(G136="""", """", IF(COUNTIFS(DADOS_RM_SECOES!A:A, E136, DADOS_RM_SECOES!B:B, F136, DADOS_RM_SECOES!C:C, G136&amp;"".*"")&gt;0, ""NÍVEL INCOMPLETO"", IFERROR(INDEX(FILTER(DADOS_RM_SECOES!D:D, DADOS_RM_SECOES!A:A=E136, DADOS_RM_SECOES!B:B=F136, DADOS_RM_SECOES!"&amp;"C:C=G136), 1), ""Não Encontrado"")))
"),"AEROPARQUE")</f>
        <v>AEROPARQUE</v>
      </c>
    </row>
    <row r="137" ht="15.75" customHeight="1">
      <c r="A137" s="12" t="s">
        <v>38</v>
      </c>
      <c r="B137" s="12" t="s">
        <v>16</v>
      </c>
      <c r="C137" s="12" t="s">
        <v>5042</v>
      </c>
      <c r="D137" s="46" t="s">
        <v>4776</v>
      </c>
      <c r="E137" s="12" t="s">
        <v>47</v>
      </c>
      <c r="F137" s="11" t="s">
        <v>47</v>
      </c>
      <c r="G137" s="11" t="s">
        <v>4777</v>
      </c>
      <c r="H137" s="12" t="str">
        <f>IFERROR(__xludf.DUMMYFUNCTION("IF(G137="""", """", IF(COUNTIFS(DADOS_RM_SECOES!A:A, E137, DADOS_RM_SECOES!B:B, F137, DADOS_RM_SECOES!C:C, G137&amp;"".*"")&gt;0, ""NÍVEL INCOMPLETO"", IFERROR(INDEX(FILTER(DADOS_RM_SECOES!D:D, DADOS_RM_SECOES!A:A=E137, DADOS_RM_SECOES!B:B=F137, DADOS_RM_SECOES!"&amp;"C:C=G137), 1), ""Não Encontrado"")))
"),"NÍVEL INCOMPLETO")</f>
        <v>NÍVEL INCOMPLETO</v>
      </c>
    </row>
    <row r="138" ht="15.75" customHeight="1">
      <c r="A138" s="12" t="s">
        <v>97</v>
      </c>
      <c r="B138" s="12" t="s">
        <v>97</v>
      </c>
      <c r="C138" s="12" t="s">
        <v>5044</v>
      </c>
      <c r="D138" s="46" t="s">
        <v>5045</v>
      </c>
      <c r="E138" s="12" t="s">
        <v>972</v>
      </c>
      <c r="F138" s="11" t="s">
        <v>47</v>
      </c>
      <c r="G138" s="12"/>
      <c r="H138" s="12" t="str">
        <f>IFERROR(__xludf.DUMMYFUNCTION("IF(G138="""", """", IF(COUNTIFS(DADOS_RM_SECOES!A:A, E138, DADOS_RM_SECOES!B:B, F138, DADOS_RM_SECOES!C:C, G138&amp;"".*"")&gt;0, ""NÍVEL INCOMPLETO"", IFERROR(INDEX(FILTER(DADOS_RM_SECOES!D:D, DADOS_RM_SECOES!A:A=E138, DADOS_RM_SECOES!B:B=F138, DADOS_RM_SECOES!"&amp;"C:C=G138), 1), ""Não Encontrado"")))
"),"")</f>
        <v/>
      </c>
    </row>
    <row r="139" ht="15.75" customHeight="1">
      <c r="A139" s="12" t="s">
        <v>97</v>
      </c>
      <c r="B139" s="12" t="s">
        <v>97</v>
      </c>
      <c r="C139" s="12" t="s">
        <v>5047</v>
      </c>
      <c r="D139" s="46" t="s">
        <v>5048</v>
      </c>
      <c r="E139" s="12" t="s">
        <v>972</v>
      </c>
      <c r="F139" s="11" t="s">
        <v>47</v>
      </c>
      <c r="G139" s="12"/>
      <c r="H139" s="12" t="str">
        <f>IFERROR(__xludf.DUMMYFUNCTION("IF(G139="""", """", IF(COUNTIFS(DADOS_RM_SECOES!A:A, E139, DADOS_RM_SECOES!B:B, F139, DADOS_RM_SECOES!C:C, G139&amp;"".*"")&gt;0, ""NÍVEL INCOMPLETO"", IFERROR(INDEX(FILTER(DADOS_RM_SECOES!D:D, DADOS_RM_SECOES!A:A=E139, DADOS_RM_SECOES!B:B=F139, DADOS_RM_SECOES!"&amp;"C:C=G139), 1), ""Não Encontrado"")))
"),"")</f>
        <v/>
      </c>
    </row>
    <row r="140" ht="15.75" customHeight="1">
      <c r="A140" s="12" t="s">
        <v>97</v>
      </c>
      <c r="B140" s="12" t="s">
        <v>97</v>
      </c>
      <c r="C140" s="12" t="s">
        <v>5051</v>
      </c>
      <c r="D140" s="46" t="s">
        <v>5052</v>
      </c>
      <c r="E140" s="12" t="s">
        <v>972</v>
      </c>
      <c r="F140" s="11" t="s">
        <v>47</v>
      </c>
      <c r="G140" s="11" t="s">
        <v>4743</v>
      </c>
      <c r="H140" s="12" t="str">
        <f>IFERROR(__xludf.DUMMYFUNCTION("IF(G140="""", """", IF(COUNTIFS(DADOS_RM_SECOES!A:A, E140, DADOS_RM_SECOES!B:B, F140, DADOS_RM_SECOES!C:C, G140&amp;"".*"")&gt;0, ""NÍVEL INCOMPLETO"", IFERROR(INDEX(FILTER(DADOS_RM_SECOES!D:D, DADOS_RM_SECOES!A:A=E140, DADOS_RM_SECOES!B:B=F140, DADOS_RM_SECOES!"&amp;"C:C=G140), 1), ""Não Encontrado"")))
"),"Não Encontrado")</f>
        <v>Não Encontrado</v>
      </c>
    </row>
    <row r="141" ht="15.75" customHeight="1">
      <c r="A141" s="12" t="s">
        <v>97</v>
      </c>
      <c r="B141" s="12" t="s">
        <v>97</v>
      </c>
      <c r="C141" s="12" t="s">
        <v>5054</v>
      </c>
      <c r="D141" s="46" t="s">
        <v>5055</v>
      </c>
      <c r="E141" s="12" t="s">
        <v>972</v>
      </c>
      <c r="F141" s="11" t="s">
        <v>47</v>
      </c>
      <c r="G141" s="11" t="s">
        <v>4746</v>
      </c>
      <c r="H141" s="12" t="str">
        <f>IFERROR(__xludf.DUMMYFUNCTION("IF(G141="""", """", IF(COUNTIFS(DADOS_RM_SECOES!A:A, E141, DADOS_RM_SECOES!B:B, F141, DADOS_RM_SECOES!C:C, G141&amp;"".*"")&gt;0, ""NÍVEL INCOMPLETO"", IFERROR(INDEX(FILTER(DADOS_RM_SECOES!D:D, DADOS_RM_SECOES!A:A=E141, DADOS_RM_SECOES!B:B=F141, DADOS_RM_SECOES!"&amp;"C:C=G141), 1), ""Não Encontrado"")))
"),"Não Encontrado")</f>
        <v>Não Encontrado</v>
      </c>
    </row>
    <row r="142" ht="15.75" customHeight="1">
      <c r="A142" s="12" t="s">
        <v>97</v>
      </c>
      <c r="B142" s="12" t="s">
        <v>97</v>
      </c>
      <c r="C142" s="12" t="s">
        <v>5058</v>
      </c>
      <c r="D142" s="46" t="s">
        <v>5059</v>
      </c>
      <c r="E142" s="12" t="s">
        <v>972</v>
      </c>
      <c r="F142" s="11" t="s">
        <v>47</v>
      </c>
      <c r="G142" s="11" t="s">
        <v>4749</v>
      </c>
      <c r="H142" s="12" t="str">
        <f>IFERROR(__xludf.DUMMYFUNCTION("IF(G142="""", """", IF(COUNTIFS(DADOS_RM_SECOES!A:A, E142, DADOS_RM_SECOES!B:B, F142, DADOS_RM_SECOES!C:C, G142&amp;"".*"")&gt;0, ""NÍVEL INCOMPLETO"", IFERROR(INDEX(FILTER(DADOS_RM_SECOES!D:D, DADOS_RM_SECOES!A:A=E142, DADOS_RM_SECOES!B:B=F142, DADOS_RM_SECOES!"&amp;"C:C=G142), 1), ""Não Encontrado"")))
"),"Não Encontrado")</f>
        <v>Não Encontrado</v>
      </c>
    </row>
    <row r="143" ht="15.75" customHeight="1">
      <c r="A143" s="12" t="s">
        <v>97</v>
      </c>
      <c r="B143" s="12" t="s">
        <v>97</v>
      </c>
      <c r="C143" s="12" t="s">
        <v>5063</v>
      </c>
      <c r="D143" s="46" t="s">
        <v>5064</v>
      </c>
      <c r="E143" s="12" t="s">
        <v>972</v>
      </c>
      <c r="F143" s="11" t="s">
        <v>47</v>
      </c>
      <c r="G143" s="11" t="s">
        <v>4752</v>
      </c>
      <c r="H143" s="12" t="str">
        <f>IFERROR(__xludf.DUMMYFUNCTION("IF(G143="""", """", IF(COUNTIFS(DADOS_RM_SECOES!A:A, E143, DADOS_RM_SECOES!B:B, F143, DADOS_RM_SECOES!C:C, G143&amp;"".*"")&gt;0, ""NÍVEL INCOMPLETO"", IFERROR(INDEX(FILTER(DADOS_RM_SECOES!D:D, DADOS_RM_SECOES!A:A=E143, DADOS_RM_SECOES!B:B=F143, DADOS_RM_SECOES!"&amp;"C:C=G143), 1), ""Não Encontrado"")))
"),"Não Encontrado")</f>
        <v>Não Encontrado</v>
      </c>
    </row>
    <row r="144" ht="15.75" customHeight="1">
      <c r="A144" s="12" t="s">
        <v>97</v>
      </c>
      <c r="B144" s="12" t="s">
        <v>97</v>
      </c>
      <c r="C144" s="12" t="s">
        <v>5065</v>
      </c>
      <c r="D144" s="46" t="s">
        <v>5066</v>
      </c>
      <c r="E144" s="12" t="s">
        <v>972</v>
      </c>
      <c r="F144" s="11" t="s">
        <v>47</v>
      </c>
      <c r="G144" s="11" t="s">
        <v>4755</v>
      </c>
      <c r="H144" s="12" t="str">
        <f>IFERROR(__xludf.DUMMYFUNCTION("IF(G144="""", """", IF(COUNTIFS(DADOS_RM_SECOES!A:A, E144, DADOS_RM_SECOES!B:B, F144, DADOS_RM_SECOES!C:C, G144&amp;"".*"")&gt;0, ""NÍVEL INCOMPLETO"", IFERROR(INDEX(FILTER(DADOS_RM_SECOES!D:D, DADOS_RM_SECOES!A:A=E144, DADOS_RM_SECOES!B:B=F144, DADOS_RM_SECOES!"&amp;"C:C=G144), 1), ""Não Encontrado"")))
"),"Não Encontrado")</f>
        <v>Não Encontrado</v>
      </c>
    </row>
    <row r="145" ht="15.75" customHeight="1">
      <c r="A145" s="12" t="s">
        <v>97</v>
      </c>
      <c r="B145" s="12" t="s">
        <v>97</v>
      </c>
      <c r="C145" s="12" t="s">
        <v>5067</v>
      </c>
      <c r="D145" s="46" t="s">
        <v>5068</v>
      </c>
      <c r="E145" s="12" t="s">
        <v>972</v>
      </c>
      <c r="F145" s="11" t="s">
        <v>47</v>
      </c>
      <c r="G145" s="11" t="s">
        <v>4758</v>
      </c>
      <c r="H145" s="12" t="str">
        <f>IFERROR(__xludf.DUMMYFUNCTION("IF(G145="""", """", IF(COUNTIFS(DADOS_RM_SECOES!A:A, E145, DADOS_RM_SECOES!B:B, F145, DADOS_RM_SECOES!C:C, G145&amp;"".*"")&gt;0, ""NÍVEL INCOMPLETO"", IFERROR(INDEX(FILTER(DADOS_RM_SECOES!D:D, DADOS_RM_SECOES!A:A=E145, DADOS_RM_SECOES!B:B=F145, DADOS_RM_SECOES!"&amp;"C:C=G145), 1), ""Não Encontrado"")))
"),"Não Encontrado")</f>
        <v>Não Encontrado</v>
      </c>
    </row>
    <row r="146" ht="15.75" customHeight="1">
      <c r="A146" s="12" t="s">
        <v>97</v>
      </c>
      <c r="B146" s="12" t="s">
        <v>97</v>
      </c>
      <c r="C146" s="12" t="s">
        <v>5070</v>
      </c>
      <c r="D146" s="46" t="s">
        <v>5071</v>
      </c>
      <c r="E146" s="12" t="s">
        <v>972</v>
      </c>
      <c r="F146" s="11" t="s">
        <v>47</v>
      </c>
      <c r="G146" s="11" t="s">
        <v>4758</v>
      </c>
      <c r="H146" s="12" t="str">
        <f>IFERROR(__xludf.DUMMYFUNCTION("IF(G146="""", """", IF(COUNTIFS(DADOS_RM_SECOES!A:A, E146, DADOS_RM_SECOES!B:B, F146, DADOS_RM_SECOES!C:C, G146&amp;"".*"")&gt;0, ""NÍVEL INCOMPLETO"", IFERROR(INDEX(FILTER(DADOS_RM_SECOES!D:D, DADOS_RM_SECOES!A:A=E146, DADOS_RM_SECOES!B:B=F146, DADOS_RM_SECOES!"&amp;"C:C=G146), 1), ""Não Encontrado"")))
"),"Não Encontrado")</f>
        <v>Não Encontrado</v>
      </c>
    </row>
    <row r="147" ht="15.75" customHeight="1">
      <c r="A147" s="12" t="s">
        <v>97</v>
      </c>
      <c r="B147" s="12" t="s">
        <v>97</v>
      </c>
      <c r="C147" s="12" t="s">
        <v>5072</v>
      </c>
      <c r="D147" s="46" t="s">
        <v>5073</v>
      </c>
      <c r="E147" s="12" t="s">
        <v>972</v>
      </c>
      <c r="F147" s="11" t="s">
        <v>47</v>
      </c>
      <c r="G147" s="11" t="s">
        <v>4774</v>
      </c>
      <c r="H147" s="12" t="str">
        <f>IFERROR(__xludf.DUMMYFUNCTION("IF(G147="""", """", IF(COUNTIFS(DADOS_RM_SECOES!A:A, E147, DADOS_RM_SECOES!B:B, F147, DADOS_RM_SECOES!C:C, G147&amp;"".*"")&gt;0, ""NÍVEL INCOMPLETO"", IFERROR(INDEX(FILTER(DADOS_RM_SECOES!D:D, DADOS_RM_SECOES!A:A=E147, DADOS_RM_SECOES!B:B=F147, DADOS_RM_SECOES!"&amp;"C:C=G147), 1), ""Não Encontrado"")))
"),"Não Encontrado")</f>
        <v>Não Encontrado</v>
      </c>
    </row>
    <row r="148" ht="15.75" customHeight="1">
      <c r="A148" s="12" t="s">
        <v>97</v>
      </c>
      <c r="B148" s="12" t="s">
        <v>97</v>
      </c>
      <c r="C148" s="12" t="s">
        <v>5076</v>
      </c>
      <c r="D148" s="46" t="s">
        <v>5077</v>
      </c>
      <c r="E148" s="12" t="s">
        <v>972</v>
      </c>
      <c r="F148" s="11" t="s">
        <v>47</v>
      </c>
      <c r="G148" s="11" t="s">
        <v>4774</v>
      </c>
      <c r="H148" s="12" t="str">
        <f>IFERROR(__xludf.DUMMYFUNCTION("IF(G148="""", """", IF(COUNTIFS(DADOS_RM_SECOES!A:A, E148, DADOS_RM_SECOES!B:B, F148, DADOS_RM_SECOES!C:C, G148&amp;"".*"")&gt;0, ""NÍVEL INCOMPLETO"", IFERROR(INDEX(FILTER(DADOS_RM_SECOES!D:D, DADOS_RM_SECOES!A:A=E148, DADOS_RM_SECOES!B:B=F148, DADOS_RM_SECOES!"&amp;"C:C=G148), 1), ""Não Encontrado"")))
"),"Não Encontrado")</f>
        <v>Não Encontrado</v>
      </c>
    </row>
    <row r="149" ht="15.75" customHeight="1">
      <c r="A149" s="12" t="s">
        <v>97</v>
      </c>
      <c r="B149" s="12" t="s">
        <v>97</v>
      </c>
      <c r="C149" s="12" t="s">
        <v>5078</v>
      </c>
      <c r="D149" s="46" t="s">
        <v>5079</v>
      </c>
      <c r="E149" s="12" t="s">
        <v>972</v>
      </c>
      <c r="F149" s="11" t="s">
        <v>47</v>
      </c>
      <c r="G149" s="11" t="s">
        <v>4774</v>
      </c>
      <c r="H149" s="12" t="str">
        <f>IFERROR(__xludf.DUMMYFUNCTION("IF(G149="""", """", IF(COUNTIFS(DADOS_RM_SECOES!A:A, E149, DADOS_RM_SECOES!B:B, F149, DADOS_RM_SECOES!C:C, G149&amp;"".*"")&gt;0, ""NÍVEL INCOMPLETO"", IFERROR(INDEX(FILTER(DADOS_RM_SECOES!D:D, DADOS_RM_SECOES!A:A=E149, DADOS_RM_SECOES!B:B=F149, DADOS_RM_SECOES!"&amp;"C:C=G149), 1), ""Não Encontrado"")))
"),"Não Encontrado")</f>
        <v>Não Encontrado</v>
      </c>
    </row>
    <row r="150" ht="15.75" customHeight="1">
      <c r="A150" s="12" t="s">
        <v>97</v>
      </c>
      <c r="B150" s="12" t="s">
        <v>97</v>
      </c>
      <c r="C150" s="12" t="s">
        <v>5081</v>
      </c>
      <c r="D150" s="46" t="s">
        <v>5082</v>
      </c>
      <c r="E150" s="12" t="s">
        <v>972</v>
      </c>
      <c r="F150" s="11" t="s">
        <v>47</v>
      </c>
      <c r="G150" s="11"/>
      <c r="H150" s="12" t="str">
        <f>IFERROR(__xludf.DUMMYFUNCTION("IF(G150="""", """", IF(COUNTIFS(DADOS_RM_SECOES!A:A, E150, DADOS_RM_SECOES!B:B, F150, DADOS_RM_SECOES!C:C, G150&amp;"".*"")&gt;0, ""NÍVEL INCOMPLETO"", IFERROR(INDEX(FILTER(DADOS_RM_SECOES!D:D, DADOS_RM_SECOES!A:A=E150, DADOS_RM_SECOES!B:B=F150, DADOS_RM_SECOES!"&amp;"C:C=G150), 1), ""Não Encontrado"")))
"),"")</f>
        <v/>
      </c>
    </row>
    <row r="151" ht="15.75" customHeight="1">
      <c r="A151" s="12" t="s">
        <v>97</v>
      </c>
      <c r="B151" s="12" t="s">
        <v>97</v>
      </c>
      <c r="C151" s="12" t="s">
        <v>5084</v>
      </c>
      <c r="D151" s="46" t="s">
        <v>4875</v>
      </c>
      <c r="E151" s="12" t="s">
        <v>972</v>
      </c>
      <c r="F151" s="11" t="s">
        <v>47</v>
      </c>
      <c r="G151" s="12"/>
      <c r="H151" s="12" t="str">
        <f>IFERROR(__xludf.DUMMYFUNCTION("IF(G151="""", """", IF(COUNTIFS(DADOS_RM_SECOES!A:A, E151, DADOS_RM_SECOES!B:B, F151, DADOS_RM_SECOES!C:C, G151&amp;"".*"")&gt;0, ""NÍVEL INCOMPLETO"", IFERROR(INDEX(FILTER(DADOS_RM_SECOES!D:D, DADOS_RM_SECOES!A:A=E151, DADOS_RM_SECOES!B:B=F151, DADOS_RM_SECOES!"&amp;"C:C=G151), 1), ""Não Encontrado"")))
"),"")</f>
        <v/>
      </c>
    </row>
    <row r="152" ht="15.75" customHeight="1">
      <c r="A152" s="12" t="s">
        <v>97</v>
      </c>
      <c r="B152" s="12" t="s">
        <v>97</v>
      </c>
      <c r="C152" s="12" t="s">
        <v>5085</v>
      </c>
      <c r="D152" s="46" t="s">
        <v>5086</v>
      </c>
      <c r="E152" s="12" t="s">
        <v>972</v>
      </c>
      <c r="F152" s="11" t="s">
        <v>47</v>
      </c>
      <c r="G152" s="11" t="s">
        <v>5057</v>
      </c>
      <c r="H152" s="12" t="str">
        <f>IFERROR(__xludf.DUMMYFUNCTION("IF(G152="""", """", IF(COUNTIFS(DADOS_RM_SECOES!A:A, E152, DADOS_RM_SECOES!B:B, F152, DADOS_RM_SECOES!C:C, G152&amp;"".*"")&gt;0, ""NÍVEL INCOMPLETO"", IFERROR(INDEX(FILTER(DADOS_RM_SECOES!D:D, DADOS_RM_SECOES!A:A=E152, DADOS_RM_SECOES!B:B=F152, DADOS_RM_SECOES!"&amp;"C:C=G152), 1), ""Não Encontrado"")))
"),"ADMINISTRACAO")</f>
        <v>ADMINISTRACAO</v>
      </c>
    </row>
    <row r="153" ht="15.75" customHeight="1">
      <c r="A153" s="12" t="s">
        <v>97</v>
      </c>
      <c r="B153" s="12" t="s">
        <v>97</v>
      </c>
      <c r="C153" s="12" t="s">
        <v>3835</v>
      </c>
      <c r="D153" s="46" t="s">
        <v>5087</v>
      </c>
      <c r="E153" s="12" t="s">
        <v>972</v>
      </c>
      <c r="F153" s="11" t="s">
        <v>47</v>
      </c>
      <c r="G153" s="12"/>
      <c r="H153" s="12" t="str">
        <f>IFERROR(__xludf.DUMMYFUNCTION("IF(G153="""", """", IF(COUNTIFS(DADOS_RM_SECOES!A:A, E153, DADOS_RM_SECOES!B:B, F153, DADOS_RM_SECOES!C:C, G153&amp;"".*"")&gt;0, ""NÍVEL INCOMPLETO"", IFERROR(INDEX(FILTER(DADOS_RM_SECOES!D:D, DADOS_RM_SECOES!A:A=E153, DADOS_RM_SECOES!B:B=F153, DADOS_RM_SECOES!"&amp;"C:C=G153), 1), ""Não Encontrado"")))
"),"")</f>
        <v/>
      </c>
    </row>
    <row r="154" ht="15.75" customHeight="1">
      <c r="A154" s="12" t="s">
        <v>97</v>
      </c>
      <c r="B154" s="12" t="s">
        <v>97</v>
      </c>
      <c r="C154" s="12" t="s">
        <v>4045</v>
      </c>
      <c r="D154" s="46" t="s">
        <v>5087</v>
      </c>
      <c r="E154" s="12" t="s">
        <v>972</v>
      </c>
      <c r="F154" s="11" t="s">
        <v>47</v>
      </c>
      <c r="G154" s="12"/>
      <c r="H154" s="12" t="str">
        <f>IFERROR(__xludf.DUMMYFUNCTION("IF(G154="""", """", IF(COUNTIFS(DADOS_RM_SECOES!A:A, E154, DADOS_RM_SECOES!B:B, F154, DADOS_RM_SECOES!C:C, G154&amp;"".*"")&gt;0, ""NÍVEL INCOMPLETO"", IFERROR(INDEX(FILTER(DADOS_RM_SECOES!D:D, DADOS_RM_SECOES!A:A=E154, DADOS_RM_SECOES!B:B=F154, DADOS_RM_SECOES!"&amp;"C:C=G154), 1), ""Não Encontrado"")))
"),"")</f>
        <v/>
      </c>
    </row>
    <row r="155" ht="15.75" customHeight="1">
      <c r="A155" s="12" t="s">
        <v>97</v>
      </c>
      <c r="B155" s="12" t="s">
        <v>97</v>
      </c>
      <c r="C155" s="12" t="s">
        <v>4573</v>
      </c>
      <c r="D155" s="46" t="s">
        <v>5087</v>
      </c>
      <c r="E155" s="12" t="s">
        <v>972</v>
      </c>
      <c r="F155" s="11" t="s">
        <v>47</v>
      </c>
      <c r="G155" s="12"/>
      <c r="H155" s="12" t="str">
        <f>IFERROR(__xludf.DUMMYFUNCTION("IF(G155="""", """", IF(COUNTIFS(DADOS_RM_SECOES!A:A, E155, DADOS_RM_SECOES!B:B, F155, DADOS_RM_SECOES!C:C, G155&amp;"".*"")&gt;0, ""NÍVEL INCOMPLETO"", IFERROR(INDEX(FILTER(DADOS_RM_SECOES!D:D, DADOS_RM_SECOES!A:A=E155, DADOS_RM_SECOES!B:B=F155, DADOS_RM_SECOES!"&amp;"C:C=G155), 1), ""Não Encontrado"")))
"),"")</f>
        <v/>
      </c>
    </row>
    <row r="156" ht="15.75" customHeight="1">
      <c r="A156" s="12" t="s">
        <v>97</v>
      </c>
      <c r="B156" s="12" t="s">
        <v>97</v>
      </c>
      <c r="C156" s="12" t="s">
        <v>4424</v>
      </c>
      <c r="D156" s="46" t="s">
        <v>5087</v>
      </c>
      <c r="E156" s="12" t="s">
        <v>972</v>
      </c>
      <c r="F156" s="11" t="s">
        <v>47</v>
      </c>
      <c r="G156" s="12"/>
      <c r="H156" s="12" t="str">
        <f>IFERROR(__xludf.DUMMYFUNCTION("IF(G156="""", """", IF(COUNTIFS(DADOS_RM_SECOES!A:A, E156, DADOS_RM_SECOES!B:B, F156, DADOS_RM_SECOES!C:C, G156&amp;"".*"")&gt;0, ""NÍVEL INCOMPLETO"", IFERROR(INDEX(FILTER(DADOS_RM_SECOES!D:D, DADOS_RM_SECOES!A:A=E156, DADOS_RM_SECOES!B:B=F156, DADOS_RM_SECOES!"&amp;"C:C=G156), 1), ""Não Encontrado"")))
"),"")</f>
        <v/>
      </c>
    </row>
    <row r="157" ht="15.75" customHeight="1">
      <c r="A157" s="12" t="s">
        <v>97</v>
      </c>
      <c r="B157" s="12" t="s">
        <v>97</v>
      </c>
      <c r="C157" s="12" t="s">
        <v>5095</v>
      </c>
      <c r="D157" s="46" t="s">
        <v>5087</v>
      </c>
      <c r="E157" s="12" t="s">
        <v>972</v>
      </c>
      <c r="F157" s="11" t="s">
        <v>47</v>
      </c>
      <c r="G157" s="12"/>
      <c r="H157" s="12" t="str">
        <f>IFERROR(__xludf.DUMMYFUNCTION("IF(G157="""", """", IF(COUNTIFS(DADOS_RM_SECOES!A:A, E157, DADOS_RM_SECOES!B:B, F157, DADOS_RM_SECOES!C:C, G157&amp;"".*"")&gt;0, ""NÍVEL INCOMPLETO"", IFERROR(INDEX(FILTER(DADOS_RM_SECOES!D:D, DADOS_RM_SECOES!A:A=E157, DADOS_RM_SECOES!B:B=F157, DADOS_RM_SECOES!"&amp;"C:C=G157), 1), ""Não Encontrado"")))
"),"")</f>
        <v/>
      </c>
    </row>
    <row r="158" ht="15.75" customHeight="1">
      <c r="A158" s="12" t="s">
        <v>97</v>
      </c>
      <c r="B158" s="12" t="s">
        <v>97</v>
      </c>
      <c r="C158" s="12" t="s">
        <v>3974</v>
      </c>
      <c r="D158" s="46" t="s">
        <v>5087</v>
      </c>
      <c r="E158" s="12" t="s">
        <v>972</v>
      </c>
      <c r="F158" s="11" t="s">
        <v>47</v>
      </c>
      <c r="G158" s="12"/>
      <c r="H158" s="12" t="str">
        <f>IFERROR(__xludf.DUMMYFUNCTION("IF(G158="""", """", IF(COUNTIFS(DADOS_RM_SECOES!A:A, E158, DADOS_RM_SECOES!B:B, F158, DADOS_RM_SECOES!C:C, G158&amp;"".*"")&gt;0, ""NÍVEL INCOMPLETO"", IFERROR(INDEX(FILTER(DADOS_RM_SECOES!D:D, DADOS_RM_SECOES!A:A=E158, DADOS_RM_SECOES!B:B=F158, DADOS_RM_SECOES!"&amp;"C:C=G158), 1), ""Não Encontrado"")))
"),"")</f>
        <v/>
      </c>
    </row>
    <row r="159" ht="15.75" customHeight="1">
      <c r="A159" s="12" t="s">
        <v>97</v>
      </c>
      <c r="B159" s="12" t="s">
        <v>97</v>
      </c>
      <c r="C159" s="12" t="s">
        <v>5098</v>
      </c>
      <c r="D159" s="46" t="s">
        <v>5087</v>
      </c>
      <c r="E159" s="12" t="s">
        <v>972</v>
      </c>
      <c r="F159" s="11" t="s">
        <v>47</v>
      </c>
      <c r="G159" s="12"/>
      <c r="H159" s="12" t="str">
        <f>IFERROR(__xludf.DUMMYFUNCTION("IF(G159="""", """", IF(COUNTIFS(DADOS_RM_SECOES!A:A, E159, DADOS_RM_SECOES!B:B, F159, DADOS_RM_SECOES!C:C, G159&amp;"".*"")&gt;0, ""NÍVEL INCOMPLETO"", IFERROR(INDEX(FILTER(DADOS_RM_SECOES!D:D, DADOS_RM_SECOES!A:A=E159, DADOS_RM_SECOES!B:B=F159, DADOS_RM_SECOES!"&amp;"C:C=G159), 1), ""Não Encontrado"")))
"),"")</f>
        <v/>
      </c>
    </row>
    <row r="160" ht="15.75" customHeight="1">
      <c r="A160" s="12" t="s">
        <v>97</v>
      </c>
      <c r="B160" s="12" t="s">
        <v>97</v>
      </c>
      <c r="C160" s="12" t="s">
        <v>4174</v>
      </c>
      <c r="D160" s="46" t="s">
        <v>5087</v>
      </c>
      <c r="E160" s="12" t="s">
        <v>972</v>
      </c>
      <c r="F160" s="11" t="s">
        <v>47</v>
      </c>
      <c r="G160" s="12"/>
      <c r="H160" s="12" t="str">
        <f>IFERROR(__xludf.DUMMYFUNCTION("IF(G160="""", """", IF(COUNTIFS(DADOS_RM_SECOES!A:A, E160, DADOS_RM_SECOES!B:B, F160, DADOS_RM_SECOES!C:C, G160&amp;"".*"")&gt;0, ""NÍVEL INCOMPLETO"", IFERROR(INDEX(FILTER(DADOS_RM_SECOES!D:D, DADOS_RM_SECOES!A:A=E160, DADOS_RM_SECOES!B:B=F160, DADOS_RM_SECOES!"&amp;"C:C=G160), 1), ""Não Encontrado"")))
"),"")</f>
        <v/>
      </c>
    </row>
    <row r="161" ht="15.75" customHeight="1">
      <c r="A161" s="12" t="s">
        <v>97</v>
      </c>
      <c r="B161" s="12" t="s">
        <v>97</v>
      </c>
      <c r="C161" s="12" t="s">
        <v>4184</v>
      </c>
      <c r="D161" s="46" t="s">
        <v>5087</v>
      </c>
      <c r="E161" s="12" t="s">
        <v>972</v>
      </c>
      <c r="F161" s="11" t="s">
        <v>47</v>
      </c>
      <c r="G161" s="12"/>
      <c r="H161" s="12" t="str">
        <f>IFERROR(__xludf.DUMMYFUNCTION("IF(G161="""", """", IF(COUNTIFS(DADOS_RM_SECOES!A:A, E161, DADOS_RM_SECOES!B:B, F161, DADOS_RM_SECOES!C:C, G161&amp;"".*"")&gt;0, ""NÍVEL INCOMPLETO"", IFERROR(INDEX(FILTER(DADOS_RM_SECOES!D:D, DADOS_RM_SECOES!A:A=E161, DADOS_RM_SECOES!B:B=F161, DADOS_RM_SECOES!"&amp;"C:C=G161), 1), ""Não Encontrado"")))
"),"")</f>
        <v/>
      </c>
    </row>
    <row r="162" ht="15.75" customHeight="1">
      <c r="A162" s="12" t="s">
        <v>97</v>
      </c>
      <c r="B162" s="12" t="s">
        <v>97</v>
      </c>
      <c r="C162" s="12" t="s">
        <v>5102</v>
      </c>
      <c r="D162" s="46" t="s">
        <v>5087</v>
      </c>
      <c r="E162" s="12" t="s">
        <v>972</v>
      </c>
      <c r="F162" s="11" t="s">
        <v>47</v>
      </c>
      <c r="G162" s="12"/>
      <c r="H162" s="12" t="str">
        <f>IFERROR(__xludf.DUMMYFUNCTION("IF(G162="""", """", IF(COUNTIFS(DADOS_RM_SECOES!A:A, E162, DADOS_RM_SECOES!B:B, F162, DADOS_RM_SECOES!C:C, G162&amp;"".*"")&gt;0, ""NÍVEL INCOMPLETO"", IFERROR(INDEX(FILTER(DADOS_RM_SECOES!D:D, DADOS_RM_SECOES!A:A=E162, DADOS_RM_SECOES!B:B=F162, DADOS_RM_SECOES!"&amp;"C:C=G162), 1), ""Não Encontrado"")))
"),"")</f>
        <v/>
      </c>
    </row>
    <row r="163" ht="15.75" customHeight="1">
      <c r="A163" s="12" t="s">
        <v>97</v>
      </c>
      <c r="B163" s="12" t="s">
        <v>97</v>
      </c>
      <c r="C163" s="12" t="s">
        <v>3642</v>
      </c>
      <c r="D163" s="46" t="s">
        <v>5087</v>
      </c>
      <c r="E163" s="12" t="s">
        <v>972</v>
      </c>
      <c r="F163" s="11" t="s">
        <v>47</v>
      </c>
      <c r="G163" s="12"/>
      <c r="H163" s="12" t="str">
        <f>IFERROR(__xludf.DUMMYFUNCTION("IF(G163="""", """", IF(COUNTIFS(DADOS_RM_SECOES!A:A, E163, DADOS_RM_SECOES!B:B, F163, DADOS_RM_SECOES!C:C, G163&amp;"".*"")&gt;0, ""NÍVEL INCOMPLETO"", IFERROR(INDEX(FILTER(DADOS_RM_SECOES!D:D, DADOS_RM_SECOES!A:A=E163, DADOS_RM_SECOES!B:B=F163, DADOS_RM_SECOES!"&amp;"C:C=G163), 1), ""Não Encontrado"")))
"),"")</f>
        <v/>
      </c>
    </row>
    <row r="164" ht="15.75" customHeight="1">
      <c r="A164" s="12" t="s">
        <v>97</v>
      </c>
      <c r="B164" s="12" t="s">
        <v>97</v>
      </c>
      <c r="C164" s="12" t="s">
        <v>4329</v>
      </c>
      <c r="D164" s="46" t="s">
        <v>5087</v>
      </c>
      <c r="E164" s="12" t="s">
        <v>972</v>
      </c>
      <c r="F164" s="11" t="s">
        <v>47</v>
      </c>
      <c r="G164" s="12"/>
      <c r="H164" s="12" t="str">
        <f>IFERROR(__xludf.DUMMYFUNCTION("IF(G164="""", """", IF(COUNTIFS(DADOS_RM_SECOES!A:A, E164, DADOS_RM_SECOES!B:B, F164, DADOS_RM_SECOES!C:C, G164&amp;"".*"")&gt;0, ""NÍVEL INCOMPLETO"", IFERROR(INDEX(FILTER(DADOS_RM_SECOES!D:D, DADOS_RM_SECOES!A:A=E164, DADOS_RM_SECOES!B:B=F164, DADOS_RM_SECOES!"&amp;"C:C=G164), 1), ""Não Encontrado"")))
"),"")</f>
        <v/>
      </c>
    </row>
    <row r="165" ht="15.75" customHeight="1">
      <c r="A165" s="12" t="s">
        <v>97</v>
      </c>
      <c r="B165" s="12" t="s">
        <v>97</v>
      </c>
      <c r="C165" s="12" t="s">
        <v>5109</v>
      </c>
      <c r="D165" s="46" t="s">
        <v>5110</v>
      </c>
      <c r="E165" s="12" t="s">
        <v>972</v>
      </c>
      <c r="F165" s="11" t="s">
        <v>47</v>
      </c>
      <c r="G165" s="11" t="s">
        <v>5093</v>
      </c>
      <c r="H165" s="12" t="str">
        <f>IFERROR(__xludf.DUMMYFUNCTION("IF(G165="""", """", IF(COUNTIFS(DADOS_RM_SECOES!A:A, E165, DADOS_RM_SECOES!B:B, F165, DADOS_RM_SECOES!C:C, G165&amp;"".*"")&gt;0, ""NÍVEL INCOMPLETO"", IFERROR(INDEX(FILTER(DADOS_RM_SECOES!D:D, DADOS_RM_SECOES!A:A=E165, DADOS_RM_SECOES!B:B=F165, DADOS_RM_SECOES!"&amp;"C:C=G165), 1), ""Não Encontrado"")))
"),"CREMATORIO")</f>
        <v>CREMATORIO</v>
      </c>
    </row>
    <row r="166" ht="15.75" customHeight="1">
      <c r="A166" s="12" t="s">
        <v>97</v>
      </c>
      <c r="B166" s="12" t="s">
        <v>97</v>
      </c>
      <c r="C166" s="12" t="s">
        <v>5112</v>
      </c>
      <c r="D166" s="46" t="s">
        <v>5087</v>
      </c>
      <c r="E166" s="12" t="s">
        <v>972</v>
      </c>
      <c r="F166" s="11" t="s">
        <v>47</v>
      </c>
      <c r="G166" s="12"/>
      <c r="H166" s="12" t="str">
        <f>IFERROR(__xludf.DUMMYFUNCTION("IF(G166="""", """", IF(COUNTIFS(DADOS_RM_SECOES!A:A, E166, DADOS_RM_SECOES!B:B, F166, DADOS_RM_SECOES!C:C, G166&amp;"".*"")&gt;0, ""NÍVEL INCOMPLETO"", IFERROR(INDEX(FILTER(DADOS_RM_SECOES!D:D, DADOS_RM_SECOES!A:A=E166, DADOS_RM_SECOES!B:B=F166, DADOS_RM_SECOES!"&amp;"C:C=G166), 1), ""Não Encontrado"")))
"),"")</f>
        <v/>
      </c>
    </row>
    <row r="167" ht="15.75" customHeight="1">
      <c r="A167" s="12" t="s">
        <v>142</v>
      </c>
      <c r="B167" s="12" t="s">
        <v>142</v>
      </c>
      <c r="C167" s="12" t="s">
        <v>4028</v>
      </c>
      <c r="D167" s="46" t="s">
        <v>4951</v>
      </c>
      <c r="E167" s="12" t="s">
        <v>985</v>
      </c>
      <c r="F167" s="11" t="s">
        <v>47</v>
      </c>
      <c r="G167" s="11" t="s">
        <v>4950</v>
      </c>
      <c r="H167" s="12" t="str">
        <f>IFERROR(__xludf.DUMMYFUNCTION("IF(G167="""", """", IF(COUNTIFS(DADOS_RM_SECOES!A:A, E167, DADOS_RM_SECOES!B:B, F167, DADOS_RM_SECOES!C:C, G167&amp;"".*"")&gt;0, ""NÍVEL INCOMPLETO"", IFERROR(INDEX(FILTER(DADOS_RM_SECOES!D:D, DADOS_RM_SECOES!A:A=E167, DADOS_RM_SECOES!B:B=F167, DADOS_RM_SECOES!"&amp;"C:C=G167), 1), ""Não Encontrado"")))
"),"NÍVEL INCOMPLETO")</f>
        <v>NÍVEL INCOMPLETO</v>
      </c>
    </row>
    <row r="168" ht="15.75" customHeight="1">
      <c r="A168" s="12" t="s">
        <v>142</v>
      </c>
      <c r="B168" s="12" t="s">
        <v>142</v>
      </c>
      <c r="C168" s="12" t="s">
        <v>4605</v>
      </c>
      <c r="D168" s="46" t="s">
        <v>5114</v>
      </c>
      <c r="E168" s="12" t="s">
        <v>985</v>
      </c>
      <c r="F168" s="11" t="s">
        <v>47</v>
      </c>
      <c r="G168" s="12"/>
      <c r="H168" s="12" t="str">
        <f>IFERROR(__xludf.DUMMYFUNCTION("IF(G168="""", """", IF(COUNTIFS(DADOS_RM_SECOES!A:A, E168, DADOS_RM_SECOES!B:B, F168, DADOS_RM_SECOES!C:C, G168&amp;"".*"")&gt;0, ""NÍVEL INCOMPLETO"", IFERROR(INDEX(FILTER(DADOS_RM_SECOES!D:D, DADOS_RM_SECOES!A:A=E168, DADOS_RM_SECOES!B:B=F168, DADOS_RM_SECOES!"&amp;"C:C=G168), 1), ""Não Encontrado"")))
"),"")</f>
        <v/>
      </c>
    </row>
    <row r="169" ht="15.75" customHeight="1">
      <c r="A169" s="12" t="s">
        <v>142</v>
      </c>
      <c r="B169" s="12" t="s">
        <v>142</v>
      </c>
      <c r="C169" s="12" t="s">
        <v>5115</v>
      </c>
      <c r="D169" s="46" t="s">
        <v>5116</v>
      </c>
      <c r="E169" s="12" t="s">
        <v>985</v>
      </c>
      <c r="F169" s="11" t="s">
        <v>47</v>
      </c>
      <c r="G169" s="12"/>
      <c r="H169" s="12" t="str">
        <f>IFERROR(__xludf.DUMMYFUNCTION("IF(G169="""", """", IF(COUNTIFS(DADOS_RM_SECOES!A:A, E169, DADOS_RM_SECOES!B:B, F169, DADOS_RM_SECOES!C:C, G169&amp;"".*"")&gt;0, ""NÍVEL INCOMPLETO"", IFERROR(INDEX(FILTER(DADOS_RM_SECOES!D:D, DADOS_RM_SECOES!A:A=E169, DADOS_RM_SECOES!B:B=F169, DADOS_RM_SECOES!"&amp;"C:C=G169), 1), ""Não Encontrado"")))
"),"")</f>
        <v/>
      </c>
    </row>
    <row r="170" ht="15.75" customHeight="1">
      <c r="A170" s="12" t="s">
        <v>142</v>
      </c>
      <c r="B170" s="12" t="s">
        <v>142</v>
      </c>
      <c r="C170" s="12" t="s">
        <v>3844</v>
      </c>
      <c r="D170" s="46" t="s">
        <v>5117</v>
      </c>
      <c r="E170" s="12" t="s">
        <v>985</v>
      </c>
      <c r="F170" s="11" t="s">
        <v>47</v>
      </c>
      <c r="G170" s="12"/>
      <c r="H170" s="12" t="str">
        <f>IFERROR(__xludf.DUMMYFUNCTION("IF(G170="""", """", IF(COUNTIFS(DADOS_RM_SECOES!A:A, E170, DADOS_RM_SECOES!B:B, F170, DADOS_RM_SECOES!C:C, G170&amp;"".*"")&gt;0, ""NÍVEL INCOMPLETO"", IFERROR(INDEX(FILTER(DADOS_RM_SECOES!D:D, DADOS_RM_SECOES!A:A=E170, DADOS_RM_SECOES!B:B=F170, DADOS_RM_SECOES!"&amp;"C:C=G170), 1), ""Não Encontrado"")))
"),"")</f>
        <v/>
      </c>
    </row>
    <row r="171" ht="15.75" customHeight="1">
      <c r="A171" s="12" t="s">
        <v>142</v>
      </c>
      <c r="B171" s="12" t="s">
        <v>142</v>
      </c>
      <c r="C171" s="12" t="s">
        <v>3835</v>
      </c>
      <c r="D171" s="46" t="s">
        <v>5086</v>
      </c>
      <c r="E171" s="12" t="s">
        <v>985</v>
      </c>
      <c r="F171" s="11" t="s">
        <v>47</v>
      </c>
      <c r="G171" s="11" t="s">
        <v>4894</v>
      </c>
      <c r="H171" s="12" t="str">
        <f>IFERROR(__xludf.DUMMYFUNCTION("IF(G171="""", """", IF(COUNTIFS(DADOS_RM_SECOES!A:A, E171, DADOS_RM_SECOES!B:B, F171, DADOS_RM_SECOES!C:C, G171&amp;"".*"")&gt;0, ""NÍVEL INCOMPLETO"", IFERROR(INDEX(FILTER(DADOS_RM_SECOES!D:D, DADOS_RM_SECOES!A:A=E171, DADOS_RM_SECOES!B:B=F171, DADOS_RM_SECOES!"&amp;"C:C=G171), 1), ""Não Encontrado"")))
"),"NÍVEL INCOMPLETO")</f>
        <v>NÍVEL INCOMPLETO</v>
      </c>
    </row>
    <row r="172" ht="15.75" customHeight="1">
      <c r="A172" s="12" t="s">
        <v>142</v>
      </c>
      <c r="B172" s="12" t="s">
        <v>142</v>
      </c>
      <c r="C172" s="12" t="s">
        <v>4045</v>
      </c>
      <c r="D172" s="46" t="s">
        <v>5119</v>
      </c>
      <c r="E172" s="12" t="s">
        <v>985</v>
      </c>
      <c r="F172" s="11" t="s">
        <v>47</v>
      </c>
      <c r="G172" s="11" t="s">
        <v>4950</v>
      </c>
      <c r="H172" s="12" t="str">
        <f>IFERROR(__xludf.DUMMYFUNCTION("IF(G172="""", """", IF(COUNTIFS(DADOS_RM_SECOES!A:A, E172, DADOS_RM_SECOES!B:B, F172, DADOS_RM_SECOES!C:C, G172&amp;"".*"")&gt;0, ""NÍVEL INCOMPLETO"", IFERROR(INDEX(FILTER(DADOS_RM_SECOES!D:D, DADOS_RM_SECOES!A:A=E172, DADOS_RM_SECOES!B:B=F172, DADOS_RM_SECOES!"&amp;"C:C=G172), 1), ""Não Encontrado"")))
"),"NÍVEL INCOMPLETO")</f>
        <v>NÍVEL INCOMPLETO</v>
      </c>
    </row>
    <row r="173" ht="15.75" customHeight="1">
      <c r="A173" s="12" t="s">
        <v>142</v>
      </c>
      <c r="B173" s="12" t="s">
        <v>142</v>
      </c>
      <c r="C173" s="12" t="s">
        <v>4424</v>
      </c>
      <c r="D173" s="46" t="s">
        <v>5120</v>
      </c>
      <c r="E173" s="12" t="s">
        <v>985</v>
      </c>
      <c r="F173" s="11" t="s">
        <v>47</v>
      </c>
      <c r="G173" s="11" t="s">
        <v>4985</v>
      </c>
      <c r="H173" s="12" t="str">
        <f>IFERROR(__xludf.DUMMYFUNCTION("IF(G173="""", """", IF(COUNTIFS(DADOS_RM_SECOES!A:A, E173, DADOS_RM_SECOES!B:B, F173, DADOS_RM_SECOES!C:C, G173&amp;"".*"")&gt;0, ""NÍVEL INCOMPLETO"", IFERROR(INDEX(FILTER(DADOS_RM_SECOES!D:D, DADOS_RM_SECOES!A:A=E173, DADOS_RM_SECOES!B:B=F173, DADOS_RM_SECOES!"&amp;"C:C=G173), 1), ""Não Encontrado"")))
"),"Não Encontrado")</f>
        <v>Não Encontrado</v>
      </c>
    </row>
    <row r="174" ht="15.75" customHeight="1">
      <c r="A174" s="12" t="s">
        <v>142</v>
      </c>
      <c r="B174" s="12" t="s">
        <v>142</v>
      </c>
      <c r="C174" s="12" t="s">
        <v>5095</v>
      </c>
      <c r="D174" s="46" t="s">
        <v>5123</v>
      </c>
      <c r="E174" s="12" t="s">
        <v>985</v>
      </c>
      <c r="F174" s="11" t="s">
        <v>47</v>
      </c>
      <c r="G174" s="11" t="s">
        <v>5124</v>
      </c>
      <c r="H174" s="12" t="str">
        <f>IFERROR(__xludf.DUMMYFUNCTION("IF(G174="""", """", IF(COUNTIFS(DADOS_RM_SECOES!A:A, E174, DADOS_RM_SECOES!B:B, F174, DADOS_RM_SECOES!C:C, G174&amp;"".*"")&gt;0, ""NÍVEL INCOMPLETO"", IFERROR(INDEX(FILTER(DADOS_RM_SECOES!D:D, DADOS_RM_SECOES!A:A=E174, DADOS_RM_SECOES!B:B=F174, DADOS_RM_SECOES!"&amp;"C:C=G174), 1), ""Não Encontrado"")))
"),"Não Encontrado")</f>
        <v>Não Encontrado</v>
      </c>
    </row>
    <row r="175" ht="15.75" customHeight="1">
      <c r="A175" s="12" t="s">
        <v>115</v>
      </c>
      <c r="B175" s="12" t="s">
        <v>16</v>
      </c>
      <c r="C175" s="12" t="s">
        <v>5115</v>
      </c>
      <c r="D175" s="46" t="s">
        <v>5053</v>
      </c>
      <c r="E175" s="12" t="s">
        <v>121</v>
      </c>
      <c r="F175" s="11" t="s">
        <v>47</v>
      </c>
      <c r="G175" s="12"/>
      <c r="H175" s="12" t="str">
        <f>IFERROR(__xludf.DUMMYFUNCTION("IF(G175="""", """", IF(COUNTIFS(DADOS_RM_SECOES!A:A, E175, DADOS_RM_SECOES!B:B, F175, DADOS_RM_SECOES!C:C, G175&amp;"".*"")&gt;0, ""NÍVEL INCOMPLETO"", IFERROR(INDEX(FILTER(DADOS_RM_SECOES!D:D, DADOS_RM_SECOES!A:A=E175, DADOS_RM_SECOES!B:B=F175, DADOS_RM_SECOES!"&amp;"C:C=G175), 1), ""Não Encontrado"")))
"),"")</f>
        <v/>
      </c>
    </row>
    <row r="176" ht="15.75" customHeight="1">
      <c r="A176" s="12" t="s">
        <v>115</v>
      </c>
      <c r="B176" s="12" t="s">
        <v>16</v>
      </c>
      <c r="C176" s="12" t="s">
        <v>3835</v>
      </c>
      <c r="D176" s="46" t="s">
        <v>5125</v>
      </c>
      <c r="E176" s="12" t="s">
        <v>121</v>
      </c>
      <c r="F176" s="11" t="s">
        <v>47</v>
      </c>
      <c r="G176" s="12"/>
      <c r="H176" s="12" t="str">
        <f>IFERROR(__xludf.DUMMYFUNCTION("IF(G176="""", """", IF(COUNTIFS(DADOS_RM_SECOES!A:A, E176, DADOS_RM_SECOES!B:B, F176, DADOS_RM_SECOES!C:C, G176&amp;"".*"")&gt;0, ""NÍVEL INCOMPLETO"", IFERROR(INDEX(FILTER(DADOS_RM_SECOES!D:D, DADOS_RM_SECOES!A:A=E176, DADOS_RM_SECOES!B:B=F176, DADOS_RM_SECOES!"&amp;"C:C=G176), 1), ""Não Encontrado"")))
"),"")</f>
        <v/>
      </c>
    </row>
    <row r="177" ht="15.75" customHeight="1">
      <c r="A177" s="12" t="s">
        <v>115</v>
      </c>
      <c r="B177" s="12" t="s">
        <v>16</v>
      </c>
      <c r="C177" s="12" t="s">
        <v>5028</v>
      </c>
      <c r="D177" s="46" t="s">
        <v>5128</v>
      </c>
      <c r="E177" s="12" t="s">
        <v>121</v>
      </c>
      <c r="F177" s="11" t="s">
        <v>47</v>
      </c>
      <c r="G177" s="12"/>
      <c r="H177" s="12" t="str">
        <f>IFERROR(__xludf.DUMMYFUNCTION("IF(G177="""", """", IF(COUNTIFS(DADOS_RM_SECOES!A:A, E177, DADOS_RM_SECOES!B:B, F177, DADOS_RM_SECOES!C:C, G177&amp;"".*"")&gt;0, ""NÍVEL INCOMPLETO"", IFERROR(INDEX(FILTER(DADOS_RM_SECOES!D:D, DADOS_RM_SECOES!A:A=E177, DADOS_RM_SECOES!B:B=F177, DADOS_RM_SECOES!"&amp;"C:C=G177), 1), ""Não Encontrado"")))
"),"")</f>
        <v/>
      </c>
    </row>
    <row r="178" ht="15.75" customHeight="1">
      <c r="A178" s="12" t="s">
        <v>172</v>
      </c>
      <c r="B178" s="12" t="s">
        <v>16</v>
      </c>
      <c r="C178" s="12" t="s">
        <v>4605</v>
      </c>
      <c r="D178" s="46" t="s">
        <v>5129</v>
      </c>
      <c r="E178" s="12" t="s">
        <v>1029</v>
      </c>
      <c r="F178" s="11" t="s">
        <v>47</v>
      </c>
      <c r="G178" s="12"/>
      <c r="H178" s="12" t="str">
        <f>IFERROR(__xludf.DUMMYFUNCTION("IF(G178="""", """", IF(COUNTIFS(DADOS_RM_SECOES!A:A, E178, DADOS_RM_SECOES!B:B, F178, DADOS_RM_SECOES!C:C, G178&amp;"".*"")&gt;0, ""NÍVEL INCOMPLETO"", IFERROR(INDEX(FILTER(DADOS_RM_SECOES!D:D, DADOS_RM_SECOES!A:A=E178, DADOS_RM_SECOES!B:B=F178, DADOS_RM_SECOES!"&amp;"C:C=G178), 1), ""Não Encontrado"")))
"),"")</f>
        <v/>
      </c>
    </row>
    <row r="179" ht="15.75" customHeight="1">
      <c r="A179" s="12" t="s">
        <v>199</v>
      </c>
      <c r="B179" s="12" t="s">
        <v>16</v>
      </c>
      <c r="C179" s="12" t="s">
        <v>4028</v>
      </c>
      <c r="D179" s="46" t="s">
        <v>5130</v>
      </c>
      <c r="E179" s="12" t="s">
        <v>1074</v>
      </c>
      <c r="F179" s="11" t="s">
        <v>47</v>
      </c>
      <c r="G179" s="11" t="s">
        <v>4028</v>
      </c>
      <c r="H179" s="12" t="str">
        <f>IFERROR(__xludf.DUMMYFUNCTION("IF(G179="""", """", IF(COUNTIFS(DADOS_RM_SECOES!A:A, E179, DADOS_RM_SECOES!B:B, F179, DADOS_RM_SECOES!C:C, G179&amp;"".*"")&gt;0, ""NÍVEL INCOMPLETO"", IFERROR(INDEX(FILTER(DADOS_RM_SECOES!D:D, DADOS_RM_SECOES!A:A=E179, DADOS_RM_SECOES!B:B=F179, DADOS_RM_SECOES!"&amp;"C:C=G179), 1), ""Não Encontrado"")))
"),"NÍVEL INCOMPLETO")</f>
        <v>NÍVEL INCOMPLETO</v>
      </c>
    </row>
    <row r="180" ht="15.75" customHeight="1">
      <c r="A180" s="41"/>
      <c r="B180" s="41"/>
      <c r="C180" s="41"/>
      <c r="D180" s="41"/>
      <c r="E180" s="41"/>
      <c r="F180" s="41"/>
      <c r="G180" s="41"/>
      <c r="H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autoFilter ref="$A$1:$H$179"/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2.75"/>
    <col customWidth="1" min="2" max="2" width="8.75"/>
    <col customWidth="1" min="3" max="3" width="31.13"/>
    <col customWidth="1" min="4" max="4" width="32.75"/>
    <col customWidth="1" min="5" max="5" width="32.0"/>
    <col customWidth="1" min="6" max="6" width="36.63"/>
  </cols>
  <sheetData>
    <row r="1">
      <c r="A1" s="48" t="s">
        <v>4878</v>
      </c>
      <c r="B1" s="48" t="s">
        <v>4883</v>
      </c>
      <c r="C1" s="48" t="s">
        <v>4884</v>
      </c>
      <c r="D1" s="48" t="s">
        <v>4885</v>
      </c>
      <c r="E1" s="48" t="s">
        <v>3431</v>
      </c>
      <c r="F1" s="48" t="s">
        <v>4887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>
      <c r="A2" s="48" t="s">
        <v>47</v>
      </c>
      <c r="B2" s="48" t="s">
        <v>47</v>
      </c>
      <c r="C2" s="48" t="s">
        <v>3447</v>
      </c>
      <c r="D2" s="48" t="s">
        <v>3445</v>
      </c>
      <c r="E2" s="48" t="s">
        <v>3446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48" t="s">
        <v>47</v>
      </c>
      <c r="B3" s="48" t="s">
        <v>47</v>
      </c>
      <c r="C3" s="48" t="s">
        <v>4028</v>
      </c>
      <c r="D3" s="48" t="s">
        <v>3445</v>
      </c>
      <c r="E3" s="48" t="s">
        <v>3446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>
      <c r="A4" s="48" t="s">
        <v>47</v>
      </c>
      <c r="B4" s="48" t="s">
        <v>47</v>
      </c>
      <c r="C4" s="48" t="s">
        <v>4894</v>
      </c>
      <c r="D4" s="48" t="s">
        <v>4895</v>
      </c>
      <c r="E4" s="48" t="s">
        <v>3446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>
      <c r="A5" s="48" t="s">
        <v>47</v>
      </c>
      <c r="B5" s="48" t="s">
        <v>47</v>
      </c>
      <c r="C5" s="48" t="s">
        <v>4897</v>
      </c>
      <c r="D5" s="48" t="s">
        <v>4898</v>
      </c>
      <c r="E5" s="48" t="s">
        <v>3446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>
      <c r="A6" s="48" t="s">
        <v>47</v>
      </c>
      <c r="B6" s="48" t="s">
        <v>47</v>
      </c>
      <c r="C6" s="48" t="s">
        <v>4881</v>
      </c>
      <c r="D6" s="48" t="s">
        <v>4901</v>
      </c>
      <c r="E6" s="48" t="s">
        <v>3446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>
      <c r="A7" s="48" t="s">
        <v>47</v>
      </c>
      <c r="B7" s="48" t="s">
        <v>47</v>
      </c>
      <c r="C7" s="48" t="s">
        <v>4904</v>
      </c>
      <c r="D7" s="48" t="s">
        <v>4905</v>
      </c>
      <c r="E7" s="48" t="s">
        <v>3446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>
      <c r="A8" s="48" t="s">
        <v>47</v>
      </c>
      <c r="B8" s="48" t="s">
        <v>47</v>
      </c>
      <c r="C8" s="48" t="s">
        <v>4709</v>
      </c>
      <c r="D8" s="48" t="s">
        <v>4908</v>
      </c>
      <c r="E8" s="48" t="s">
        <v>3446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>
      <c r="A9" s="48" t="s">
        <v>47</v>
      </c>
      <c r="B9" s="48" t="s">
        <v>47</v>
      </c>
      <c r="C9" s="48" t="s">
        <v>4910</v>
      </c>
      <c r="D9" s="48" t="s">
        <v>4911</v>
      </c>
      <c r="E9" s="48" t="s">
        <v>3446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48" t="s">
        <v>47</v>
      </c>
      <c r="B10" s="48" t="s">
        <v>47</v>
      </c>
      <c r="C10" s="48" t="s">
        <v>4914</v>
      </c>
      <c r="D10" s="48" t="s">
        <v>4915</v>
      </c>
      <c r="E10" s="48" t="s">
        <v>3446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48" t="s">
        <v>47</v>
      </c>
      <c r="B11" s="48" t="s">
        <v>47</v>
      </c>
      <c r="C11" s="48" t="s">
        <v>4719</v>
      </c>
      <c r="D11" s="48" t="s">
        <v>4919</v>
      </c>
      <c r="E11" s="48" t="s">
        <v>3446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48" t="s">
        <v>47</v>
      </c>
      <c r="B12" s="48" t="s">
        <v>47</v>
      </c>
      <c r="C12" s="48" t="s">
        <v>4716</v>
      </c>
      <c r="D12" s="48" t="s">
        <v>4920</v>
      </c>
      <c r="E12" s="48" t="s">
        <v>3446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>
      <c r="A13" s="48" t="s">
        <v>47</v>
      </c>
      <c r="B13" s="48" t="s">
        <v>47</v>
      </c>
      <c r="C13" s="48" t="s">
        <v>4924</v>
      </c>
      <c r="D13" s="48" t="s">
        <v>4925</v>
      </c>
      <c r="E13" s="48" t="s">
        <v>3446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>
      <c r="A14" s="48" t="s">
        <v>47</v>
      </c>
      <c r="B14" s="48" t="s">
        <v>47</v>
      </c>
      <c r="C14" s="48" t="s">
        <v>4703</v>
      </c>
      <c r="D14" s="48" t="s">
        <v>4927</v>
      </c>
      <c r="E14" s="48" t="s">
        <v>3446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>
      <c r="A15" s="48" t="s">
        <v>47</v>
      </c>
      <c r="B15" s="48" t="s">
        <v>47</v>
      </c>
      <c r="C15" s="48" t="s">
        <v>4732</v>
      </c>
      <c r="D15" s="48" t="s">
        <v>3651</v>
      </c>
      <c r="E15" s="48" t="s">
        <v>3446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48" t="s">
        <v>47</v>
      </c>
      <c r="B16" s="48" t="s">
        <v>47</v>
      </c>
      <c r="C16" s="48" t="s">
        <v>4729</v>
      </c>
      <c r="D16" s="48" t="s">
        <v>4930</v>
      </c>
      <c r="E16" s="48" t="s">
        <v>3446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>
      <c r="A17" s="48" t="s">
        <v>47</v>
      </c>
      <c r="B17" s="48" t="s">
        <v>47</v>
      </c>
      <c r="C17" s="48" t="s">
        <v>4932</v>
      </c>
      <c r="D17" s="48" t="s">
        <v>4933</v>
      </c>
      <c r="E17" s="48" t="s">
        <v>3446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>
      <c r="A18" s="48" t="s">
        <v>47</v>
      </c>
      <c r="B18" s="48" t="s">
        <v>47</v>
      </c>
      <c r="C18" s="48" t="s">
        <v>4935</v>
      </c>
      <c r="D18" s="48" t="s">
        <v>4936</v>
      </c>
      <c r="E18" s="48" t="s">
        <v>3446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48" t="s">
        <v>47</v>
      </c>
      <c r="B19" s="48" t="s">
        <v>47</v>
      </c>
      <c r="C19" s="48" t="s">
        <v>4712</v>
      </c>
      <c r="D19" s="48" t="s">
        <v>4938</v>
      </c>
      <c r="E19" s="48" t="s">
        <v>3446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A20" s="48" t="s">
        <v>47</v>
      </c>
      <c r="B20" s="48" t="s">
        <v>47</v>
      </c>
      <c r="C20" s="48" t="s">
        <v>4941</v>
      </c>
      <c r="D20" s="48" t="s">
        <v>4942</v>
      </c>
      <c r="E20" s="48" t="s">
        <v>3446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>
      <c r="A21" s="48" t="s">
        <v>47</v>
      </c>
      <c r="B21" s="48" t="s">
        <v>47</v>
      </c>
      <c r="C21" s="48" t="s">
        <v>4777</v>
      </c>
      <c r="D21" s="48" t="s">
        <v>4943</v>
      </c>
      <c r="E21" s="48" t="s">
        <v>3446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48" t="s">
        <v>47</v>
      </c>
      <c r="B22" s="48" t="s">
        <v>47</v>
      </c>
      <c r="C22" s="48" t="s">
        <v>4945</v>
      </c>
      <c r="D22" s="48" t="s">
        <v>4946</v>
      </c>
      <c r="E22" s="48" t="s">
        <v>3446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48" t="s">
        <v>47</v>
      </c>
      <c r="B23" s="48" t="s">
        <v>47</v>
      </c>
      <c r="C23" s="48" t="s">
        <v>4947</v>
      </c>
      <c r="D23" s="48" t="s">
        <v>4948</v>
      </c>
      <c r="E23" s="48" t="s">
        <v>3446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>
      <c r="A24" s="48" t="s">
        <v>47</v>
      </c>
      <c r="B24" s="48" t="s">
        <v>47</v>
      </c>
      <c r="C24" s="48" t="s">
        <v>4950</v>
      </c>
      <c r="D24" s="48" t="s">
        <v>4951</v>
      </c>
      <c r="E24" s="48" t="s">
        <v>3446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>
      <c r="A25" s="48" t="s">
        <v>47</v>
      </c>
      <c r="B25" s="48" t="s">
        <v>47</v>
      </c>
      <c r="C25" s="48" t="s">
        <v>4953</v>
      </c>
      <c r="D25" s="48" t="s">
        <v>4955</v>
      </c>
      <c r="E25" s="48" t="s">
        <v>3446</v>
      </c>
      <c r="F25" s="48" t="s">
        <v>4956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>
      <c r="A26" s="48" t="s">
        <v>47</v>
      </c>
      <c r="B26" s="48" t="s">
        <v>47</v>
      </c>
      <c r="C26" s="48" t="s">
        <v>4957</v>
      </c>
      <c r="D26" s="48" t="s">
        <v>4901</v>
      </c>
      <c r="E26" s="48" t="s">
        <v>3446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>
      <c r="A27" s="48" t="s">
        <v>47</v>
      </c>
      <c r="B27" s="48" t="s">
        <v>47</v>
      </c>
      <c r="C27" s="48" t="s">
        <v>4958</v>
      </c>
      <c r="D27" s="48" t="s">
        <v>4959</v>
      </c>
      <c r="E27" s="48" t="s">
        <v>3446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>
      <c r="A28" s="48" t="s">
        <v>47</v>
      </c>
      <c r="B28" s="48" t="s">
        <v>47</v>
      </c>
      <c r="C28" s="48" t="s">
        <v>4961</v>
      </c>
      <c r="D28" s="48" t="s">
        <v>4962</v>
      </c>
      <c r="E28" s="48" t="s">
        <v>3446</v>
      </c>
      <c r="F28" s="48" t="s">
        <v>4963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>
      <c r="A29" s="48" t="s">
        <v>47</v>
      </c>
      <c r="B29" s="48" t="s">
        <v>47</v>
      </c>
      <c r="C29" s="48" t="s">
        <v>4964</v>
      </c>
      <c r="D29" s="48" t="s">
        <v>4901</v>
      </c>
      <c r="E29" s="48" t="s">
        <v>3446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>
      <c r="A30" s="48" t="s">
        <v>47</v>
      </c>
      <c r="B30" s="48" t="s">
        <v>47</v>
      </c>
      <c r="C30" s="48" t="s">
        <v>4967</v>
      </c>
      <c r="D30" s="48" t="s">
        <v>4959</v>
      </c>
      <c r="E30" s="48" t="s">
        <v>3446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>
      <c r="A31" s="48" t="s">
        <v>47</v>
      </c>
      <c r="B31" s="48" t="s">
        <v>47</v>
      </c>
      <c r="C31" s="48" t="s">
        <v>4969</v>
      </c>
      <c r="D31" s="48" t="s">
        <v>4970</v>
      </c>
      <c r="E31" s="48" t="s">
        <v>3446</v>
      </c>
      <c r="F31" s="48" t="s">
        <v>4972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>
      <c r="A32" s="48" t="s">
        <v>47</v>
      </c>
      <c r="B32" s="48" t="s">
        <v>47</v>
      </c>
      <c r="C32" s="48" t="s">
        <v>4973</v>
      </c>
      <c r="D32" s="48" t="s">
        <v>4901</v>
      </c>
      <c r="E32" s="48" t="s">
        <v>3446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>
      <c r="A33" s="48" t="s">
        <v>47</v>
      </c>
      <c r="B33" s="48" t="s">
        <v>47</v>
      </c>
      <c r="C33" s="48" t="s">
        <v>4975</v>
      </c>
      <c r="D33" s="48" t="s">
        <v>4959</v>
      </c>
      <c r="E33" s="48" t="s">
        <v>3446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>
      <c r="A34" s="48" t="s">
        <v>47</v>
      </c>
      <c r="B34" s="48" t="s">
        <v>47</v>
      </c>
      <c r="C34" s="48" t="s">
        <v>4977</v>
      </c>
      <c r="D34" s="48" t="s">
        <v>4978</v>
      </c>
      <c r="E34" s="48" t="s">
        <v>3446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>
      <c r="A35" s="48" t="s">
        <v>47</v>
      </c>
      <c r="B35" s="48" t="s">
        <v>47</v>
      </c>
      <c r="C35" s="48" t="s">
        <v>4981</v>
      </c>
      <c r="D35" s="48" t="s">
        <v>4901</v>
      </c>
      <c r="E35" s="48" t="s">
        <v>3446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>
      <c r="A36" s="48" t="s">
        <v>47</v>
      </c>
      <c r="B36" s="48" t="s">
        <v>47</v>
      </c>
      <c r="C36" s="48" t="s">
        <v>4983</v>
      </c>
      <c r="D36" s="48" t="s">
        <v>4959</v>
      </c>
      <c r="E36" s="48" t="s">
        <v>3446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>
      <c r="A37" s="48" t="s">
        <v>47</v>
      </c>
      <c r="B37" s="48" t="s">
        <v>47</v>
      </c>
      <c r="C37" s="48" t="s">
        <v>4985</v>
      </c>
      <c r="D37" s="48" t="s">
        <v>4987</v>
      </c>
      <c r="E37" s="48" t="s">
        <v>3446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>
      <c r="A38" s="48" t="s">
        <v>47</v>
      </c>
      <c r="B38" s="48" t="s">
        <v>47</v>
      </c>
      <c r="C38" s="48" t="s">
        <v>4988</v>
      </c>
      <c r="D38" s="48" t="s">
        <v>4989</v>
      </c>
      <c r="E38" s="48" t="s">
        <v>3446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>
      <c r="A39" s="48" t="s">
        <v>47</v>
      </c>
      <c r="B39" s="48" t="s">
        <v>47</v>
      </c>
      <c r="C39" s="48" t="s">
        <v>4991</v>
      </c>
      <c r="D39" s="48" t="s">
        <v>4901</v>
      </c>
      <c r="E39" s="48" t="s">
        <v>3446</v>
      </c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>
      <c r="A40" s="48" t="s">
        <v>47</v>
      </c>
      <c r="B40" s="48" t="s">
        <v>47</v>
      </c>
      <c r="C40" s="48" t="s">
        <v>4992</v>
      </c>
      <c r="D40" s="48" t="s">
        <v>4905</v>
      </c>
      <c r="E40" s="48" t="s">
        <v>3446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>
      <c r="A41" s="48" t="s">
        <v>47</v>
      </c>
      <c r="B41" s="48" t="s">
        <v>47</v>
      </c>
      <c r="C41" s="48" t="s">
        <v>4995</v>
      </c>
      <c r="D41" s="48" t="s">
        <v>4908</v>
      </c>
      <c r="E41" s="48" t="s">
        <v>3446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>
      <c r="A42" s="48" t="s">
        <v>47</v>
      </c>
      <c r="B42" s="48" t="s">
        <v>47</v>
      </c>
      <c r="C42" s="48" t="s">
        <v>4998</v>
      </c>
      <c r="D42" s="48" t="s">
        <v>4911</v>
      </c>
      <c r="E42" s="48" t="s">
        <v>3446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>
      <c r="A43" s="48" t="s">
        <v>47</v>
      </c>
      <c r="B43" s="48" t="s">
        <v>47</v>
      </c>
      <c r="C43" s="48" t="s">
        <v>5001</v>
      </c>
      <c r="D43" s="48" t="s">
        <v>4915</v>
      </c>
      <c r="E43" s="48" t="s">
        <v>3446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>
      <c r="A44" s="48" t="s">
        <v>47</v>
      </c>
      <c r="B44" s="48" t="s">
        <v>47</v>
      </c>
      <c r="C44" s="48" t="s">
        <v>5004</v>
      </c>
      <c r="D44" s="48" t="s">
        <v>4919</v>
      </c>
      <c r="E44" s="48" t="s">
        <v>3446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>
      <c r="A45" s="48" t="s">
        <v>47</v>
      </c>
      <c r="B45" s="48" t="s">
        <v>47</v>
      </c>
      <c r="C45" s="48" t="s">
        <v>5006</v>
      </c>
      <c r="D45" s="48" t="s">
        <v>4920</v>
      </c>
      <c r="E45" s="48" t="s">
        <v>3446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>
      <c r="A46" s="48" t="s">
        <v>47</v>
      </c>
      <c r="B46" s="48" t="s">
        <v>47</v>
      </c>
      <c r="C46" s="48" t="s">
        <v>5007</v>
      </c>
      <c r="D46" s="48" t="s">
        <v>4925</v>
      </c>
      <c r="E46" s="48" t="s">
        <v>3446</v>
      </c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>
      <c r="A47" s="48" t="s">
        <v>47</v>
      </c>
      <c r="B47" s="48" t="s">
        <v>47</v>
      </c>
      <c r="C47" s="48" t="s">
        <v>5009</v>
      </c>
      <c r="D47" s="48" t="s">
        <v>4927</v>
      </c>
      <c r="E47" s="48" t="s">
        <v>3446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>
      <c r="A48" s="48" t="s">
        <v>47</v>
      </c>
      <c r="B48" s="48" t="s">
        <v>47</v>
      </c>
      <c r="C48" s="48" t="s">
        <v>5012</v>
      </c>
      <c r="D48" s="48" t="s">
        <v>3651</v>
      </c>
      <c r="E48" s="48" t="s">
        <v>5013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>
      <c r="A49" s="48" t="s">
        <v>47</v>
      </c>
      <c r="B49" s="48" t="s">
        <v>47</v>
      </c>
      <c r="C49" s="48" t="s">
        <v>5016</v>
      </c>
      <c r="D49" s="48" t="s">
        <v>4930</v>
      </c>
      <c r="E49" s="48" t="s">
        <v>5017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>
      <c r="A50" s="48" t="s">
        <v>47</v>
      </c>
      <c r="B50" s="48" t="s">
        <v>47</v>
      </c>
      <c r="C50" s="48" t="s">
        <v>5018</v>
      </c>
      <c r="D50" s="48" t="s">
        <v>4933</v>
      </c>
      <c r="E50" s="48" t="s">
        <v>5019</v>
      </c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>
      <c r="A51" s="48" t="s">
        <v>47</v>
      </c>
      <c r="B51" s="48" t="s">
        <v>47</v>
      </c>
      <c r="C51" s="48" t="s">
        <v>5022</v>
      </c>
      <c r="D51" s="48" t="s">
        <v>4936</v>
      </c>
      <c r="E51" s="48" t="s">
        <v>5023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>
      <c r="A52" s="48" t="s">
        <v>47</v>
      </c>
      <c r="B52" s="48" t="s">
        <v>47</v>
      </c>
      <c r="C52" s="48" t="s">
        <v>5027</v>
      </c>
      <c r="D52" s="48" t="s">
        <v>4938</v>
      </c>
      <c r="E52" s="48" t="s">
        <v>5030</v>
      </c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>
      <c r="A53" s="48" t="s">
        <v>47</v>
      </c>
      <c r="B53" s="48" t="s">
        <v>47</v>
      </c>
      <c r="C53" s="48" t="s">
        <v>4740</v>
      </c>
      <c r="D53" s="48" t="s">
        <v>4959</v>
      </c>
      <c r="E53" s="48" t="s">
        <v>3446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>
      <c r="A54" s="48" t="s">
        <v>47</v>
      </c>
      <c r="B54" s="48" t="s">
        <v>47</v>
      </c>
      <c r="C54" s="48" t="s">
        <v>4743</v>
      </c>
      <c r="D54" s="48" t="s">
        <v>5032</v>
      </c>
      <c r="E54" s="48" t="s">
        <v>3446</v>
      </c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>
      <c r="A55" s="48" t="s">
        <v>47</v>
      </c>
      <c r="B55" s="48" t="s">
        <v>47</v>
      </c>
      <c r="C55" s="48" t="s">
        <v>4746</v>
      </c>
      <c r="D55" s="48" t="s">
        <v>5035</v>
      </c>
      <c r="E55" s="48" t="s">
        <v>3446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>
      <c r="A56" s="48" t="s">
        <v>47</v>
      </c>
      <c r="B56" s="48" t="s">
        <v>47</v>
      </c>
      <c r="C56" s="48" t="s">
        <v>4749</v>
      </c>
      <c r="D56" s="48" t="s">
        <v>5038</v>
      </c>
      <c r="E56" s="48" t="s">
        <v>3446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>
      <c r="A57" s="48" t="s">
        <v>47</v>
      </c>
      <c r="B57" s="48" t="s">
        <v>47</v>
      </c>
      <c r="C57" s="48" t="s">
        <v>4752</v>
      </c>
      <c r="D57" s="48" t="s">
        <v>5039</v>
      </c>
      <c r="E57" s="48" t="s">
        <v>3446</v>
      </c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>
      <c r="A58" s="48" t="s">
        <v>47</v>
      </c>
      <c r="B58" s="48" t="s">
        <v>47</v>
      </c>
      <c r="C58" s="48" t="s">
        <v>4755</v>
      </c>
      <c r="D58" s="48" t="s">
        <v>5040</v>
      </c>
      <c r="E58" s="48" t="s">
        <v>3446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>
      <c r="A59" s="48" t="s">
        <v>47</v>
      </c>
      <c r="B59" s="48" t="s">
        <v>47</v>
      </c>
      <c r="C59" s="48" t="s">
        <v>4758</v>
      </c>
      <c r="D59" s="48" t="s">
        <v>5041</v>
      </c>
      <c r="E59" s="48" t="s">
        <v>3446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>
      <c r="A60" s="48" t="s">
        <v>47</v>
      </c>
      <c r="B60" s="48" t="s">
        <v>47</v>
      </c>
      <c r="C60" s="48" t="s">
        <v>4774</v>
      </c>
      <c r="D60" s="48" t="s">
        <v>5043</v>
      </c>
      <c r="E60" s="48" t="s">
        <v>3446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48" t="s">
        <v>47</v>
      </c>
      <c r="B61" s="48" t="s">
        <v>47</v>
      </c>
      <c r="C61" s="48" t="s">
        <v>4771</v>
      </c>
      <c r="D61" s="48" t="s">
        <v>4770</v>
      </c>
      <c r="E61" s="48" t="s">
        <v>3446</v>
      </c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>
      <c r="A64" s="49"/>
      <c r="B64" s="49"/>
      <c r="C64" s="50"/>
      <c r="D64" s="50"/>
      <c r="E64" s="50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>
      <c r="A65" s="48" t="s">
        <v>121</v>
      </c>
      <c r="B65" s="48" t="s">
        <v>47</v>
      </c>
      <c r="C65" s="50">
        <v>0.0</v>
      </c>
      <c r="D65" s="51" t="s">
        <v>5050</v>
      </c>
      <c r="E65" s="50" t="s">
        <v>3456</v>
      </c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>
      <c r="A66" s="48" t="s">
        <v>121</v>
      </c>
      <c r="B66" s="48" t="s">
        <v>47</v>
      </c>
      <c r="C66" s="50" t="s">
        <v>4028</v>
      </c>
      <c r="D66" s="51" t="s">
        <v>3454</v>
      </c>
      <c r="E66" s="50" t="s">
        <v>3456</v>
      </c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>
      <c r="A67" s="48" t="s">
        <v>121</v>
      </c>
      <c r="B67" s="48" t="s">
        <v>47</v>
      </c>
      <c r="C67" s="50" t="s">
        <v>4894</v>
      </c>
      <c r="D67" s="51" t="s">
        <v>5053</v>
      </c>
      <c r="E67" s="50" t="s">
        <v>3456</v>
      </c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>
      <c r="A68" s="48" t="s">
        <v>121</v>
      </c>
      <c r="B68" s="48" t="s">
        <v>47</v>
      </c>
      <c r="C68" s="50" t="s">
        <v>5057</v>
      </c>
      <c r="D68" s="51" t="s">
        <v>4901</v>
      </c>
      <c r="E68" s="50" t="s">
        <v>3456</v>
      </c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>
      <c r="A69" s="48" t="s">
        <v>121</v>
      </c>
      <c r="B69" s="48" t="s">
        <v>47</v>
      </c>
      <c r="C69" s="50" t="s">
        <v>4950</v>
      </c>
      <c r="D69" s="51" t="s">
        <v>4959</v>
      </c>
      <c r="E69" s="50" t="s">
        <v>3456</v>
      </c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>
      <c r="A70" s="48" t="s">
        <v>121</v>
      </c>
      <c r="B70" s="48" t="s">
        <v>47</v>
      </c>
      <c r="C70" s="50" t="s">
        <v>5060</v>
      </c>
      <c r="D70" s="51" t="s">
        <v>5061</v>
      </c>
      <c r="E70" s="50" t="s">
        <v>3456</v>
      </c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>
      <c r="A71" s="49"/>
      <c r="B71" s="49"/>
      <c r="C71" s="50"/>
      <c r="D71" s="50"/>
      <c r="E71" s="50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>
      <c r="A72" s="49"/>
      <c r="B72" s="49"/>
      <c r="C72" s="50"/>
      <c r="D72" s="50"/>
      <c r="E72" s="50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>
      <c r="A73" s="49"/>
      <c r="B73" s="49"/>
      <c r="C73" s="50"/>
      <c r="D73" s="50"/>
      <c r="E73" s="50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>
      <c r="A74" s="49"/>
      <c r="B74" s="49"/>
      <c r="C74" s="50"/>
      <c r="D74" s="50"/>
      <c r="E74" s="50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>
      <c r="A75" s="48" t="s">
        <v>1029</v>
      </c>
      <c r="B75" s="48" t="s">
        <v>47</v>
      </c>
      <c r="C75" s="50">
        <v>0.0</v>
      </c>
      <c r="D75" s="51" t="s">
        <v>3459</v>
      </c>
      <c r="E75" s="50" t="s">
        <v>3461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>
      <c r="A76" s="48" t="s">
        <v>1029</v>
      </c>
      <c r="B76" s="48" t="s">
        <v>47</v>
      </c>
      <c r="C76" s="50" t="s">
        <v>4028</v>
      </c>
      <c r="D76" s="51" t="s">
        <v>3460</v>
      </c>
      <c r="E76" s="50" t="s">
        <v>3461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>
      <c r="A77" s="48" t="s">
        <v>1029</v>
      </c>
      <c r="B77" s="48" t="s">
        <v>47</v>
      </c>
      <c r="C77" s="50" t="s">
        <v>4894</v>
      </c>
      <c r="D77" s="51" t="s">
        <v>5053</v>
      </c>
      <c r="E77" s="50" t="s">
        <v>3461</v>
      </c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>
      <c r="A78" s="48" t="s">
        <v>1029</v>
      </c>
      <c r="B78" s="48" t="s">
        <v>47</v>
      </c>
      <c r="C78" s="50" t="s">
        <v>5057</v>
      </c>
      <c r="D78" s="51" t="s">
        <v>4901</v>
      </c>
      <c r="E78" s="50" t="s">
        <v>3461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>
      <c r="A79" s="48" t="s">
        <v>1029</v>
      </c>
      <c r="B79" s="48" t="s">
        <v>47</v>
      </c>
      <c r="C79" s="50" t="s">
        <v>5074</v>
      </c>
      <c r="D79" s="51" t="s">
        <v>3651</v>
      </c>
      <c r="E79" s="50" t="s">
        <v>5075</v>
      </c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>
      <c r="A80" s="48" t="s">
        <v>1029</v>
      </c>
      <c r="B80" s="48" t="s">
        <v>47</v>
      </c>
      <c r="C80" s="50" t="s">
        <v>4950</v>
      </c>
      <c r="D80" s="51" t="s">
        <v>4959</v>
      </c>
      <c r="E80" s="50" t="s">
        <v>3461</v>
      </c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>
      <c r="A81" s="48" t="s">
        <v>1029</v>
      </c>
      <c r="B81" s="48" t="s">
        <v>47</v>
      </c>
      <c r="C81" s="50" t="s">
        <v>5060</v>
      </c>
      <c r="D81" s="51" t="s">
        <v>5080</v>
      </c>
      <c r="E81" s="50" t="s">
        <v>3461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>
      <c r="A85" s="48" t="s">
        <v>972</v>
      </c>
      <c r="B85" s="48" t="s">
        <v>47</v>
      </c>
      <c r="C85" s="50" t="s">
        <v>3447</v>
      </c>
      <c r="D85" s="51" t="s">
        <v>3469</v>
      </c>
      <c r="E85" s="50" t="s">
        <v>3471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>
      <c r="A86" s="48" t="s">
        <v>972</v>
      </c>
      <c r="B86" s="48" t="s">
        <v>47</v>
      </c>
      <c r="C86" s="50" t="s">
        <v>4028</v>
      </c>
      <c r="D86" s="51" t="s">
        <v>3469</v>
      </c>
      <c r="E86" s="50" t="s">
        <v>3471</v>
      </c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>
      <c r="A87" s="48" t="s">
        <v>972</v>
      </c>
      <c r="B87" s="48" t="s">
        <v>47</v>
      </c>
      <c r="C87" s="50" t="s">
        <v>4894</v>
      </c>
      <c r="D87" s="51" t="s">
        <v>5053</v>
      </c>
      <c r="E87" s="50" t="s">
        <v>3471</v>
      </c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>
      <c r="A88" s="48" t="s">
        <v>972</v>
      </c>
      <c r="B88" s="48" t="s">
        <v>47</v>
      </c>
      <c r="C88" s="50" t="s">
        <v>5057</v>
      </c>
      <c r="D88" s="51" t="s">
        <v>4901</v>
      </c>
      <c r="E88" s="50" t="s">
        <v>3471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>
      <c r="A89" s="48" t="s">
        <v>972</v>
      </c>
      <c r="B89" s="48" t="s">
        <v>47</v>
      </c>
      <c r="C89" s="50" t="s">
        <v>5074</v>
      </c>
      <c r="D89" s="51" t="s">
        <v>5088</v>
      </c>
      <c r="E89" s="50" t="s">
        <v>3471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>
      <c r="A90" s="48" t="s">
        <v>972</v>
      </c>
      <c r="B90" s="48" t="s">
        <v>47</v>
      </c>
      <c r="C90" s="50" t="s">
        <v>4950</v>
      </c>
      <c r="D90" s="51" t="s">
        <v>5089</v>
      </c>
      <c r="E90" s="50" t="s">
        <v>3471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>
      <c r="A91" s="48" t="s">
        <v>972</v>
      </c>
      <c r="B91" s="48" t="s">
        <v>47</v>
      </c>
      <c r="C91" s="50" t="s">
        <v>5060</v>
      </c>
      <c r="D91" s="51" t="s">
        <v>5090</v>
      </c>
      <c r="E91" s="50" t="s">
        <v>3471</v>
      </c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>
      <c r="A92" s="48" t="s">
        <v>972</v>
      </c>
      <c r="B92" s="48" t="s">
        <v>47</v>
      </c>
      <c r="C92" s="50" t="s">
        <v>4985</v>
      </c>
      <c r="D92" s="51" t="s">
        <v>4959</v>
      </c>
      <c r="E92" s="50" t="s">
        <v>3471</v>
      </c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>
      <c r="A93" s="48" t="s">
        <v>972</v>
      </c>
      <c r="B93" s="48" t="s">
        <v>47</v>
      </c>
      <c r="C93" s="50" t="s">
        <v>5092</v>
      </c>
      <c r="D93" s="51" t="s">
        <v>4936</v>
      </c>
      <c r="E93" s="50" t="s">
        <v>3471</v>
      </c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>
      <c r="A94" s="48" t="s">
        <v>972</v>
      </c>
      <c r="B94" s="48" t="s">
        <v>47</v>
      </c>
      <c r="C94" s="50" t="s">
        <v>5093</v>
      </c>
      <c r="D94" s="51" t="s">
        <v>5094</v>
      </c>
      <c r="E94" s="50" t="s">
        <v>3471</v>
      </c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>
      <c r="A97" s="49"/>
      <c r="B97" s="49"/>
      <c r="C97" s="50"/>
      <c r="D97" s="50"/>
      <c r="E97" s="5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>
      <c r="A98" s="48" t="s">
        <v>985</v>
      </c>
      <c r="B98" s="48" t="s">
        <v>47</v>
      </c>
      <c r="C98" s="52">
        <v>0.0</v>
      </c>
      <c r="D98" s="51" t="s">
        <v>5097</v>
      </c>
      <c r="E98" s="50" t="s">
        <v>3479</v>
      </c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>
      <c r="A99" s="48" t="s">
        <v>985</v>
      </c>
      <c r="B99" s="48" t="s">
        <v>47</v>
      </c>
      <c r="C99" s="51" t="s">
        <v>4028</v>
      </c>
      <c r="D99" s="51" t="s">
        <v>5097</v>
      </c>
      <c r="E99" s="50" t="s">
        <v>3479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>
      <c r="A100" s="48" t="s">
        <v>985</v>
      </c>
      <c r="B100" s="48" t="s">
        <v>47</v>
      </c>
      <c r="C100" s="50" t="s">
        <v>4894</v>
      </c>
      <c r="D100" s="51" t="s">
        <v>5053</v>
      </c>
      <c r="E100" s="50" t="s">
        <v>3479</v>
      </c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>
      <c r="A101" s="48" t="s">
        <v>985</v>
      </c>
      <c r="B101" s="48" t="s">
        <v>47</v>
      </c>
      <c r="C101" s="51" t="s">
        <v>5057</v>
      </c>
      <c r="D101" s="51" t="s">
        <v>4901</v>
      </c>
      <c r="E101" s="50" t="s">
        <v>3479</v>
      </c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>
      <c r="A102" s="48" t="s">
        <v>985</v>
      </c>
      <c r="B102" s="48" t="s">
        <v>47</v>
      </c>
      <c r="C102" s="51" t="s">
        <v>5074</v>
      </c>
      <c r="D102" s="51" t="s">
        <v>4915</v>
      </c>
      <c r="E102" s="50" t="s">
        <v>3479</v>
      </c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>
      <c r="A103" s="48" t="s">
        <v>985</v>
      </c>
      <c r="B103" s="48" t="s">
        <v>47</v>
      </c>
      <c r="C103" s="50" t="s">
        <v>4950</v>
      </c>
      <c r="D103" s="51" t="s">
        <v>4959</v>
      </c>
      <c r="E103" s="50" t="s">
        <v>3479</v>
      </c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>
      <c r="A104" s="48" t="s">
        <v>985</v>
      </c>
      <c r="B104" s="48" t="s">
        <v>47</v>
      </c>
      <c r="C104" s="51" t="s">
        <v>5060</v>
      </c>
      <c r="D104" s="51" t="s">
        <v>5100</v>
      </c>
      <c r="E104" s="50" t="s">
        <v>3479</v>
      </c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>
      <c r="A105" s="49"/>
      <c r="B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>
      <c r="A106" s="49"/>
      <c r="B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>
      <c r="A107" s="48" t="s">
        <v>1074</v>
      </c>
      <c r="B107" s="48" t="s">
        <v>47</v>
      </c>
      <c r="C107" s="52">
        <v>0.0</v>
      </c>
      <c r="D107" s="51" t="s">
        <v>5103</v>
      </c>
      <c r="E107" s="50" t="s">
        <v>3486</v>
      </c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>
      <c r="A108" s="48" t="s">
        <v>1074</v>
      </c>
      <c r="B108" s="48" t="s">
        <v>47</v>
      </c>
      <c r="C108" s="51" t="s">
        <v>4028</v>
      </c>
      <c r="D108" s="51" t="s">
        <v>5103</v>
      </c>
      <c r="E108" s="50" t="s">
        <v>3486</v>
      </c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>
      <c r="A109" s="48" t="s">
        <v>1074</v>
      </c>
      <c r="B109" s="48" t="s">
        <v>47</v>
      </c>
      <c r="C109" s="50" t="s">
        <v>4894</v>
      </c>
      <c r="D109" s="51" t="s">
        <v>5053</v>
      </c>
      <c r="E109" s="50" t="s">
        <v>3486</v>
      </c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>
      <c r="A110" s="48" t="s">
        <v>1074</v>
      </c>
      <c r="B110" s="48" t="s">
        <v>47</v>
      </c>
      <c r="C110" s="51" t="s">
        <v>5057</v>
      </c>
      <c r="D110" s="51" t="s">
        <v>5107</v>
      </c>
      <c r="E110" s="50" t="s">
        <v>3486</v>
      </c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>
      <c r="A111" s="48" t="s">
        <v>1074</v>
      </c>
      <c r="B111" s="48" t="s">
        <v>47</v>
      </c>
      <c r="C111" s="31" t="s">
        <v>4950</v>
      </c>
      <c r="D111" s="31" t="s">
        <v>4959</v>
      </c>
      <c r="E111" s="50" t="s">
        <v>3486</v>
      </c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>
      <c r="A112" s="48" t="s">
        <v>1074</v>
      </c>
      <c r="B112" s="48" t="s">
        <v>47</v>
      </c>
      <c r="C112" s="51" t="s">
        <v>5060</v>
      </c>
      <c r="D112" s="51" t="s">
        <v>5108</v>
      </c>
      <c r="E112" s="50" t="s">
        <v>3486</v>
      </c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</row>
    <row r="1004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9.63"/>
    <col customWidth="1" min="3" max="3" width="21.5"/>
    <col customWidth="1" min="4" max="4" width="15.5"/>
    <col customWidth="1" min="5" max="5" width="18.25"/>
    <col customWidth="1" min="6" max="6" width="17.25"/>
    <col customWidth="1" min="7" max="7" width="31.0"/>
    <col customWidth="1" min="8" max="8" width="22.13"/>
    <col customWidth="1" min="9" max="9" width="24.0"/>
    <col customWidth="1" min="10" max="10" width="23.0"/>
  </cols>
  <sheetData>
    <row r="1">
      <c r="A1" s="40" t="s">
        <v>1</v>
      </c>
      <c r="B1" s="40" t="s">
        <v>5136</v>
      </c>
      <c r="C1" s="40" t="s">
        <v>5137</v>
      </c>
      <c r="D1" s="40" t="s">
        <v>5138</v>
      </c>
      <c r="E1" s="40" t="s">
        <v>5139</v>
      </c>
      <c r="F1" s="40" t="s">
        <v>5140</v>
      </c>
      <c r="G1" s="40" t="s">
        <v>5141</v>
      </c>
      <c r="H1" s="40" t="s">
        <v>5142</v>
      </c>
      <c r="I1" s="40" t="s">
        <v>5143</v>
      </c>
      <c r="J1" s="40" t="s">
        <v>5144</v>
      </c>
    </row>
    <row r="2">
      <c r="A2" s="12" t="s">
        <v>38</v>
      </c>
      <c r="B2" s="12" t="s">
        <v>4028</v>
      </c>
      <c r="C2" s="12" t="s">
        <v>5145</v>
      </c>
      <c r="D2" s="12" t="s">
        <v>4028</v>
      </c>
      <c r="E2" s="12" t="s">
        <v>5146</v>
      </c>
      <c r="F2" s="12" t="s">
        <v>5147</v>
      </c>
      <c r="G2" s="12" t="s">
        <v>5148</v>
      </c>
      <c r="H2" s="12" t="s">
        <v>4028</v>
      </c>
      <c r="I2" s="12" t="s">
        <v>5149</v>
      </c>
      <c r="J2" s="12" t="s">
        <v>972</v>
      </c>
    </row>
    <row r="3">
      <c r="A3" s="12" t="s">
        <v>38</v>
      </c>
      <c r="B3" s="12" t="s">
        <v>4028</v>
      </c>
      <c r="C3" s="12" t="s">
        <v>5150</v>
      </c>
      <c r="D3" s="12" t="s">
        <v>4028</v>
      </c>
      <c r="E3" s="12" t="s">
        <v>5146</v>
      </c>
      <c r="F3" s="12" t="s">
        <v>5151</v>
      </c>
      <c r="G3" s="12" t="s">
        <v>5152</v>
      </c>
      <c r="H3" s="12" t="s">
        <v>4028</v>
      </c>
      <c r="I3" s="12" t="s">
        <v>5153</v>
      </c>
      <c r="J3" s="12" t="s">
        <v>1029</v>
      </c>
    </row>
    <row r="4">
      <c r="A4" s="12" t="s">
        <v>38</v>
      </c>
      <c r="B4" s="12" t="s">
        <v>4028</v>
      </c>
      <c r="C4" s="12" t="s">
        <v>5154</v>
      </c>
      <c r="D4" s="12" t="s">
        <v>4028</v>
      </c>
      <c r="E4" s="12" t="s">
        <v>5146</v>
      </c>
      <c r="F4" s="12" t="s">
        <v>5155</v>
      </c>
      <c r="G4" s="12" t="s">
        <v>5156</v>
      </c>
      <c r="H4" s="12" t="s">
        <v>4028</v>
      </c>
      <c r="I4" s="12" t="s">
        <v>5154</v>
      </c>
      <c r="J4" s="12" t="s">
        <v>1074</v>
      </c>
    </row>
    <row r="5">
      <c r="A5" s="12" t="s">
        <v>38</v>
      </c>
      <c r="B5" s="12" t="s">
        <v>4028</v>
      </c>
      <c r="C5" s="12" t="s">
        <v>475</v>
      </c>
      <c r="D5" s="12" t="s">
        <v>4028</v>
      </c>
      <c r="E5" s="12" t="s">
        <v>5146</v>
      </c>
      <c r="F5" s="12" t="s">
        <v>5157</v>
      </c>
      <c r="G5" s="12" t="s">
        <v>5158</v>
      </c>
      <c r="H5" s="12" t="s">
        <v>4028</v>
      </c>
      <c r="I5" s="12" t="s">
        <v>475</v>
      </c>
      <c r="J5" s="12" t="s">
        <v>78</v>
      </c>
    </row>
    <row r="6">
      <c r="A6" s="12" t="s">
        <v>38</v>
      </c>
      <c r="B6" s="12" t="s">
        <v>4028</v>
      </c>
      <c r="C6" s="12" t="s">
        <v>5159</v>
      </c>
      <c r="D6" s="12" t="s">
        <v>4028</v>
      </c>
      <c r="E6" s="12" t="s">
        <v>5146</v>
      </c>
      <c r="F6" s="12" t="s">
        <v>5160</v>
      </c>
      <c r="G6" s="12" t="s">
        <v>5161</v>
      </c>
      <c r="H6" s="12" t="s">
        <v>4028</v>
      </c>
      <c r="I6" s="12" t="s">
        <v>5159</v>
      </c>
      <c r="J6" s="12" t="s">
        <v>1029</v>
      </c>
    </row>
    <row r="7">
      <c r="A7" s="12" t="s">
        <v>38</v>
      </c>
      <c r="B7" s="12" t="s">
        <v>4028</v>
      </c>
      <c r="C7" s="12" t="s">
        <v>1938</v>
      </c>
      <c r="D7" s="12" t="s">
        <v>4028</v>
      </c>
      <c r="E7" s="12" t="s">
        <v>5146</v>
      </c>
      <c r="F7" s="12" t="s">
        <v>5162</v>
      </c>
      <c r="G7" s="12" t="s">
        <v>5163</v>
      </c>
      <c r="H7" s="12" t="s">
        <v>4028</v>
      </c>
      <c r="I7" s="12" t="s">
        <v>2715</v>
      </c>
      <c r="J7" s="12" t="s">
        <v>972</v>
      </c>
    </row>
    <row r="8">
      <c r="A8" s="12" t="s">
        <v>38</v>
      </c>
      <c r="B8" s="12" t="s">
        <v>4028</v>
      </c>
      <c r="C8" s="12" t="s">
        <v>179</v>
      </c>
      <c r="D8" s="12" t="s">
        <v>4028</v>
      </c>
      <c r="E8" s="12" t="s">
        <v>5146</v>
      </c>
      <c r="F8" s="12" t="s">
        <v>5164</v>
      </c>
      <c r="G8" s="12" t="s">
        <v>5165</v>
      </c>
      <c r="H8" s="12" t="s">
        <v>4028</v>
      </c>
      <c r="I8" s="12" t="s">
        <v>5166</v>
      </c>
      <c r="J8" s="12" t="s">
        <v>3447</v>
      </c>
    </row>
    <row r="9">
      <c r="A9" s="12" t="s">
        <v>38</v>
      </c>
      <c r="B9" s="12" t="s">
        <v>4028</v>
      </c>
      <c r="C9" s="12" t="s">
        <v>5167</v>
      </c>
      <c r="D9" s="12" t="s">
        <v>4028</v>
      </c>
      <c r="E9" s="12" t="s">
        <v>5146</v>
      </c>
      <c r="F9" s="12" t="s">
        <v>5168</v>
      </c>
      <c r="G9" s="12" t="s">
        <v>5169</v>
      </c>
      <c r="H9" s="12" t="s">
        <v>4028</v>
      </c>
      <c r="I9" s="12" t="s">
        <v>5170</v>
      </c>
      <c r="J9" s="12" t="s">
        <v>985</v>
      </c>
    </row>
    <row r="10">
      <c r="A10" s="12" t="s">
        <v>38</v>
      </c>
      <c r="B10" s="12" t="s">
        <v>4028</v>
      </c>
      <c r="C10" s="12" t="s">
        <v>5171</v>
      </c>
      <c r="D10" s="12" t="s">
        <v>4028</v>
      </c>
      <c r="E10" s="12" t="s">
        <v>5146</v>
      </c>
      <c r="F10" s="12" t="s">
        <v>5172</v>
      </c>
      <c r="G10" s="12" t="s">
        <v>5173</v>
      </c>
      <c r="H10" s="12" t="s">
        <v>4028</v>
      </c>
      <c r="I10" s="12" t="s">
        <v>5174</v>
      </c>
      <c r="J10" s="12" t="s">
        <v>3447</v>
      </c>
    </row>
    <row r="11">
      <c r="A11" s="12" t="s">
        <v>38</v>
      </c>
      <c r="B11" s="12" t="s">
        <v>4184</v>
      </c>
      <c r="C11" s="12" t="s">
        <v>38</v>
      </c>
      <c r="D11" s="12" t="s">
        <v>4128</v>
      </c>
      <c r="E11" s="12" t="s">
        <v>5175</v>
      </c>
      <c r="F11" s="12" t="s">
        <v>5176</v>
      </c>
      <c r="G11" s="12" t="s">
        <v>5177</v>
      </c>
      <c r="H11" s="12" t="s">
        <v>4128</v>
      </c>
      <c r="I11" s="12" t="s">
        <v>5176</v>
      </c>
      <c r="J11" s="12"/>
    </row>
    <row r="12">
      <c r="A12" s="12" t="s">
        <v>38</v>
      </c>
      <c r="B12" s="12" t="s">
        <v>4028</v>
      </c>
      <c r="C12" s="12" t="s">
        <v>5178</v>
      </c>
      <c r="D12" s="12" t="s">
        <v>4028</v>
      </c>
      <c r="E12" s="12" t="s">
        <v>5146</v>
      </c>
      <c r="F12" s="12" t="s">
        <v>5179</v>
      </c>
      <c r="G12" s="12" t="s">
        <v>5180</v>
      </c>
      <c r="H12" s="12" t="s">
        <v>4028</v>
      </c>
      <c r="I12" s="12" t="s">
        <v>5181</v>
      </c>
      <c r="J12" s="12" t="s">
        <v>5182</v>
      </c>
    </row>
    <row r="13">
      <c r="A13" s="12" t="s">
        <v>38</v>
      </c>
      <c r="B13" s="12" t="s">
        <v>4028</v>
      </c>
      <c r="C13" s="12" t="s">
        <v>5183</v>
      </c>
      <c r="D13" s="12" t="s">
        <v>4028</v>
      </c>
      <c r="E13" s="12" t="s">
        <v>5146</v>
      </c>
      <c r="F13" s="12" t="s">
        <v>5184</v>
      </c>
      <c r="G13" s="12" t="s">
        <v>5185</v>
      </c>
      <c r="H13" s="12" t="s">
        <v>4028</v>
      </c>
      <c r="I13" s="12" t="s">
        <v>958</v>
      </c>
      <c r="J13" s="12" t="s">
        <v>5182</v>
      </c>
    </row>
    <row r="14">
      <c r="A14" s="12" t="s">
        <v>38</v>
      </c>
      <c r="B14" s="12" t="s">
        <v>4028</v>
      </c>
      <c r="C14" s="12" t="s">
        <v>501</v>
      </c>
      <c r="D14" s="12" t="s">
        <v>4028</v>
      </c>
      <c r="E14" s="12" t="s">
        <v>5146</v>
      </c>
      <c r="F14" s="12" t="s">
        <v>5186</v>
      </c>
      <c r="G14" s="12" t="s">
        <v>5187</v>
      </c>
      <c r="H14" s="12" t="s">
        <v>4028</v>
      </c>
      <c r="I14" s="12" t="s">
        <v>501</v>
      </c>
      <c r="J14" s="12" t="s">
        <v>5182</v>
      </c>
    </row>
    <row r="15">
      <c r="A15" s="12" t="s">
        <v>38</v>
      </c>
      <c r="B15" s="12" t="s">
        <v>5115</v>
      </c>
      <c r="C15" s="12" t="s">
        <v>5188</v>
      </c>
      <c r="D15" s="12" t="s">
        <v>5189</v>
      </c>
      <c r="E15" s="12" t="s">
        <v>5190</v>
      </c>
      <c r="F15" s="12" t="s">
        <v>5191</v>
      </c>
      <c r="G15" s="12" t="s">
        <v>5192</v>
      </c>
      <c r="H15" s="12" t="s">
        <v>5189</v>
      </c>
      <c r="I15" s="12" t="s">
        <v>5193</v>
      </c>
      <c r="J15" s="12"/>
    </row>
    <row r="16">
      <c r="A16" s="12" t="s">
        <v>38</v>
      </c>
      <c r="B16" s="12" t="s">
        <v>4028</v>
      </c>
      <c r="C16" s="12" t="s">
        <v>5194</v>
      </c>
      <c r="D16" s="12" t="s">
        <v>4028</v>
      </c>
      <c r="E16" s="12" t="s">
        <v>5146</v>
      </c>
      <c r="F16" s="12" t="s">
        <v>5195</v>
      </c>
      <c r="G16" s="12" t="s">
        <v>5196</v>
      </c>
      <c r="H16" s="12" t="s">
        <v>4028</v>
      </c>
      <c r="I16" s="12" t="s">
        <v>5197</v>
      </c>
      <c r="J16" s="12" t="s">
        <v>5182</v>
      </c>
    </row>
    <row r="17">
      <c r="A17" s="12" t="s">
        <v>38</v>
      </c>
      <c r="B17" s="12" t="s">
        <v>4028</v>
      </c>
      <c r="C17" s="12" t="s">
        <v>5198</v>
      </c>
      <c r="D17" s="12" t="s">
        <v>4028</v>
      </c>
      <c r="E17" s="12" t="s">
        <v>5146</v>
      </c>
      <c r="F17" s="12" t="s">
        <v>5199</v>
      </c>
      <c r="G17" s="12" t="s">
        <v>5200</v>
      </c>
      <c r="H17" s="12" t="s">
        <v>4028</v>
      </c>
      <c r="I17" s="12" t="s">
        <v>1376</v>
      </c>
      <c r="J17" s="12" t="s">
        <v>5201</v>
      </c>
    </row>
    <row r="18">
      <c r="A18" s="12" t="s">
        <v>38</v>
      </c>
      <c r="B18" s="12" t="s">
        <v>4028</v>
      </c>
      <c r="C18" s="12" t="s">
        <v>5202</v>
      </c>
      <c r="D18" s="12" t="s">
        <v>4028</v>
      </c>
      <c r="E18" s="12" t="s">
        <v>5146</v>
      </c>
      <c r="F18" s="12" t="s">
        <v>5203</v>
      </c>
      <c r="G18" s="12" t="s">
        <v>5204</v>
      </c>
      <c r="H18" s="12" t="s">
        <v>4028</v>
      </c>
      <c r="I18" s="12" t="s">
        <v>5205</v>
      </c>
      <c r="J18" s="12" t="s">
        <v>972</v>
      </c>
    </row>
    <row r="19">
      <c r="A19" s="12" t="s">
        <v>38</v>
      </c>
      <c r="B19" s="12" t="s">
        <v>5095</v>
      </c>
      <c r="C19" s="12" t="s">
        <v>38</v>
      </c>
      <c r="D19" s="12" t="s">
        <v>5206</v>
      </c>
      <c r="E19" s="12" t="s">
        <v>5207</v>
      </c>
      <c r="F19" s="12" t="s">
        <v>767</v>
      </c>
      <c r="G19" s="12" t="s">
        <v>5208</v>
      </c>
      <c r="H19" s="12" t="s">
        <v>5206</v>
      </c>
      <c r="I19" s="12" t="s">
        <v>767</v>
      </c>
      <c r="J19" s="12"/>
    </row>
    <row r="20">
      <c r="A20" s="12" t="s">
        <v>38</v>
      </c>
      <c r="B20" s="12" t="s">
        <v>4028</v>
      </c>
      <c r="C20" s="12" t="s">
        <v>5209</v>
      </c>
      <c r="D20" s="12" t="s">
        <v>4028</v>
      </c>
      <c r="E20" s="12" t="s">
        <v>5146</v>
      </c>
      <c r="F20" s="12" t="s">
        <v>5210</v>
      </c>
      <c r="G20" s="12" t="s">
        <v>5211</v>
      </c>
      <c r="H20" s="12" t="s">
        <v>4028</v>
      </c>
      <c r="I20" s="12" t="s">
        <v>5209</v>
      </c>
      <c r="J20" s="12" t="s">
        <v>1029</v>
      </c>
    </row>
    <row r="21" ht="15.75" customHeight="1">
      <c r="A21" s="12" t="s">
        <v>97</v>
      </c>
      <c r="B21" s="12" t="s">
        <v>4174</v>
      </c>
      <c r="C21" s="12" t="s">
        <v>2106</v>
      </c>
      <c r="D21" s="12" t="s">
        <v>4174</v>
      </c>
      <c r="E21" s="12" t="s">
        <v>5212</v>
      </c>
      <c r="F21" s="12" t="s">
        <v>5213</v>
      </c>
      <c r="G21" s="12" t="s">
        <v>5213</v>
      </c>
      <c r="H21" s="12" t="s">
        <v>4174</v>
      </c>
      <c r="I21" s="12" t="s">
        <v>2106</v>
      </c>
      <c r="J21" s="12" t="s">
        <v>5182</v>
      </c>
    </row>
    <row r="22" ht="15.75" customHeight="1">
      <c r="A22" s="12" t="s">
        <v>38</v>
      </c>
      <c r="B22" s="12" t="s">
        <v>4028</v>
      </c>
      <c r="C22" s="12" t="s">
        <v>5214</v>
      </c>
      <c r="D22" s="12" t="s">
        <v>4028</v>
      </c>
      <c r="E22" s="12" t="s">
        <v>5146</v>
      </c>
      <c r="F22" s="12" t="s">
        <v>5215</v>
      </c>
      <c r="G22" s="12" t="s">
        <v>5216</v>
      </c>
      <c r="H22" s="12" t="s">
        <v>4028</v>
      </c>
      <c r="I22" s="12" t="s">
        <v>3594</v>
      </c>
      <c r="J22" s="12" t="s">
        <v>5201</v>
      </c>
    </row>
    <row r="23" ht="15.75" customHeight="1">
      <c r="A23" s="12" t="s">
        <v>38</v>
      </c>
      <c r="B23" s="12" t="s">
        <v>4028</v>
      </c>
      <c r="C23" s="12" t="s">
        <v>137</v>
      </c>
      <c r="D23" s="12" t="s">
        <v>4028</v>
      </c>
      <c r="E23" s="12" t="s">
        <v>5146</v>
      </c>
      <c r="F23" s="12" t="s">
        <v>5217</v>
      </c>
      <c r="G23" s="12" t="s">
        <v>5218</v>
      </c>
      <c r="H23" s="12" t="s">
        <v>4028</v>
      </c>
      <c r="I23" s="12" t="s">
        <v>5219</v>
      </c>
      <c r="J23" s="12" t="s">
        <v>1074</v>
      </c>
    </row>
    <row r="24" ht="15.75" customHeight="1">
      <c r="A24" s="12" t="s">
        <v>38</v>
      </c>
      <c r="B24" s="12" t="s">
        <v>4028</v>
      </c>
      <c r="C24" s="12" t="s">
        <v>5220</v>
      </c>
      <c r="D24" s="12" t="s">
        <v>4028</v>
      </c>
      <c r="E24" s="12" t="s">
        <v>5146</v>
      </c>
      <c r="F24" s="12" t="s">
        <v>5221</v>
      </c>
      <c r="G24" s="12" t="s">
        <v>5222</v>
      </c>
      <c r="H24" s="12" t="s">
        <v>4028</v>
      </c>
      <c r="I24" s="12" t="s">
        <v>5223</v>
      </c>
      <c r="J24" s="12" t="s">
        <v>47</v>
      </c>
    </row>
    <row r="25" ht="15.75" customHeight="1">
      <c r="A25" s="12" t="s">
        <v>38</v>
      </c>
      <c r="B25" s="12" t="s">
        <v>4028</v>
      </c>
      <c r="C25" s="12" t="s">
        <v>5224</v>
      </c>
      <c r="D25" s="12" t="s">
        <v>4028</v>
      </c>
      <c r="E25" s="12" t="s">
        <v>5146</v>
      </c>
      <c r="F25" s="12" t="s">
        <v>5195</v>
      </c>
      <c r="G25" s="12" t="s">
        <v>5225</v>
      </c>
      <c r="H25" s="12" t="s">
        <v>4028</v>
      </c>
      <c r="I25" s="12" t="s">
        <v>5197</v>
      </c>
      <c r="J25" s="12" t="s">
        <v>5182</v>
      </c>
    </row>
    <row r="26" ht="15.75" customHeight="1">
      <c r="A26" s="12" t="s">
        <v>97</v>
      </c>
      <c r="B26" s="12" t="s">
        <v>4184</v>
      </c>
      <c r="C26" s="12" t="s">
        <v>84</v>
      </c>
      <c r="D26" s="12" t="s">
        <v>4128</v>
      </c>
      <c r="E26" s="12" t="s">
        <v>5175</v>
      </c>
      <c r="F26" s="12" t="s">
        <v>1179</v>
      </c>
      <c r="G26" s="12" t="s">
        <v>5226</v>
      </c>
      <c r="H26" s="12" t="s">
        <v>4128</v>
      </c>
      <c r="I26" s="12" t="s">
        <v>1179</v>
      </c>
      <c r="J26" s="12"/>
    </row>
    <row r="27" ht="15.75" customHeight="1">
      <c r="A27" s="12" t="s">
        <v>38</v>
      </c>
      <c r="B27" s="12" t="s">
        <v>4028</v>
      </c>
      <c r="C27" s="12" t="s">
        <v>106</v>
      </c>
      <c r="D27" s="12" t="s">
        <v>4028</v>
      </c>
      <c r="E27" s="12" t="s">
        <v>5146</v>
      </c>
      <c r="F27" s="12" t="s">
        <v>5227</v>
      </c>
      <c r="G27" s="12" t="s">
        <v>5228</v>
      </c>
      <c r="H27" s="12" t="s">
        <v>4028</v>
      </c>
      <c r="I27" s="12" t="s">
        <v>5229</v>
      </c>
      <c r="J27" s="12" t="s">
        <v>985</v>
      </c>
    </row>
    <row r="28" ht="15.75" customHeight="1">
      <c r="A28" s="12" t="s">
        <v>38</v>
      </c>
      <c r="B28" s="12" t="s">
        <v>4028</v>
      </c>
      <c r="C28" s="12" t="s">
        <v>5230</v>
      </c>
      <c r="D28" s="12" t="s">
        <v>4028</v>
      </c>
      <c r="E28" s="12" t="s">
        <v>5146</v>
      </c>
      <c r="F28" s="12" t="s">
        <v>5231</v>
      </c>
      <c r="G28" s="12" t="s">
        <v>5232</v>
      </c>
      <c r="H28" s="12" t="s">
        <v>4028</v>
      </c>
      <c r="I28" s="12" t="s">
        <v>5233</v>
      </c>
      <c r="J28" s="12" t="s">
        <v>121</v>
      </c>
    </row>
    <row r="29" ht="15.75" customHeight="1">
      <c r="A29" s="12" t="s">
        <v>38</v>
      </c>
      <c r="B29" s="12" t="s">
        <v>4184</v>
      </c>
      <c r="C29" s="12" t="s">
        <v>97</v>
      </c>
      <c r="D29" s="12" t="s">
        <v>4128</v>
      </c>
      <c r="E29" s="12" t="s">
        <v>5175</v>
      </c>
      <c r="F29" s="12" t="s">
        <v>5234</v>
      </c>
      <c r="G29" s="12" t="s">
        <v>5235</v>
      </c>
      <c r="H29" s="12" t="s">
        <v>4128</v>
      </c>
      <c r="I29" s="12" t="s">
        <v>5234</v>
      </c>
      <c r="J29" s="12"/>
    </row>
    <row r="30" ht="15.75" customHeight="1">
      <c r="A30" s="12" t="s">
        <v>38</v>
      </c>
      <c r="B30" s="12" t="s">
        <v>4028</v>
      </c>
      <c r="C30" s="12" t="s">
        <v>1976</v>
      </c>
      <c r="D30" s="12" t="s">
        <v>4028</v>
      </c>
      <c r="E30" s="12" t="s">
        <v>5146</v>
      </c>
      <c r="F30" s="12" t="s">
        <v>5236</v>
      </c>
      <c r="G30" s="12" t="s">
        <v>5236</v>
      </c>
      <c r="H30" s="12" t="s">
        <v>4028</v>
      </c>
      <c r="I30" s="12" t="s">
        <v>5229</v>
      </c>
      <c r="J30" s="12" t="s">
        <v>985</v>
      </c>
    </row>
    <row r="31" ht="15.75" customHeight="1">
      <c r="A31" s="12" t="s">
        <v>38</v>
      </c>
      <c r="B31" s="12" t="s">
        <v>4028</v>
      </c>
      <c r="C31" s="12" t="s">
        <v>5237</v>
      </c>
      <c r="D31" s="12" t="s">
        <v>4028</v>
      </c>
      <c r="E31" s="12" t="s">
        <v>5146</v>
      </c>
      <c r="F31" s="12" t="s">
        <v>5238</v>
      </c>
      <c r="G31" s="12" t="s">
        <v>5239</v>
      </c>
      <c r="H31" s="12" t="s">
        <v>4028</v>
      </c>
      <c r="I31" s="12" t="s">
        <v>5240</v>
      </c>
      <c r="J31" s="12" t="s">
        <v>5201</v>
      </c>
    </row>
    <row r="32" ht="15.75" customHeight="1">
      <c r="A32" s="12" t="s">
        <v>38</v>
      </c>
      <c r="B32" s="12" t="s">
        <v>4028</v>
      </c>
      <c r="C32" s="12" t="s">
        <v>5241</v>
      </c>
      <c r="D32" s="12" t="s">
        <v>4028</v>
      </c>
      <c r="E32" s="12" t="s">
        <v>5146</v>
      </c>
      <c r="F32" s="12" t="s">
        <v>5242</v>
      </c>
      <c r="G32" s="12" t="s">
        <v>5242</v>
      </c>
      <c r="H32" s="12" t="s">
        <v>4028</v>
      </c>
      <c r="I32" s="12" t="s">
        <v>5243</v>
      </c>
      <c r="J32" s="12" t="s">
        <v>972</v>
      </c>
    </row>
    <row r="33" ht="15.75" customHeight="1">
      <c r="A33" s="12" t="s">
        <v>38</v>
      </c>
      <c r="B33" s="12" t="s">
        <v>4028</v>
      </c>
      <c r="C33" s="12" t="s">
        <v>5244</v>
      </c>
      <c r="D33" s="12" t="s">
        <v>4028</v>
      </c>
      <c r="E33" s="12" t="s">
        <v>5146</v>
      </c>
      <c r="F33" s="12" t="s">
        <v>5245</v>
      </c>
      <c r="G33" s="12" t="s">
        <v>5161</v>
      </c>
      <c r="H33" s="12" t="s">
        <v>4028</v>
      </c>
      <c r="I33" s="12" t="s">
        <v>5244</v>
      </c>
      <c r="J33" s="12" t="s">
        <v>78</v>
      </c>
    </row>
    <row r="34" ht="15.75" customHeight="1">
      <c r="A34" s="12" t="s">
        <v>38</v>
      </c>
      <c r="B34" s="12" t="s">
        <v>4028</v>
      </c>
      <c r="C34" s="12" t="s">
        <v>147</v>
      </c>
      <c r="D34" s="12" t="s">
        <v>4028</v>
      </c>
      <c r="E34" s="12" t="s">
        <v>5146</v>
      </c>
      <c r="F34" s="12" t="s">
        <v>5246</v>
      </c>
      <c r="G34" s="12" t="s">
        <v>5247</v>
      </c>
      <c r="H34" s="12" t="s">
        <v>4028</v>
      </c>
      <c r="I34" s="12" t="s">
        <v>5248</v>
      </c>
      <c r="J34" s="12" t="s">
        <v>1029</v>
      </c>
    </row>
    <row r="35" ht="15.75" customHeight="1">
      <c r="A35" s="12" t="s">
        <v>38</v>
      </c>
      <c r="B35" s="12" t="s">
        <v>4028</v>
      </c>
      <c r="C35" s="12" t="s">
        <v>5249</v>
      </c>
      <c r="D35" s="12" t="s">
        <v>4028</v>
      </c>
      <c r="E35" s="12" t="s">
        <v>5146</v>
      </c>
      <c r="F35" s="12" t="s">
        <v>5250</v>
      </c>
      <c r="G35" s="12" t="s">
        <v>5250</v>
      </c>
      <c r="H35" s="12" t="s">
        <v>4028</v>
      </c>
      <c r="I35" s="12" t="s">
        <v>5249</v>
      </c>
      <c r="J35" s="12" t="s">
        <v>3447</v>
      </c>
    </row>
    <row r="36" ht="15.75" customHeight="1">
      <c r="A36" s="12" t="s">
        <v>38</v>
      </c>
      <c r="B36" s="12" t="s">
        <v>4028</v>
      </c>
      <c r="C36" s="12" t="s">
        <v>5251</v>
      </c>
      <c r="D36" s="12" t="s">
        <v>4028</v>
      </c>
      <c r="E36" s="12" t="s">
        <v>5146</v>
      </c>
      <c r="F36" s="12" t="s">
        <v>5252</v>
      </c>
      <c r="G36" s="12" t="s">
        <v>5253</v>
      </c>
      <c r="H36" s="12" t="s">
        <v>4028</v>
      </c>
      <c r="I36" s="12" t="s">
        <v>5254</v>
      </c>
      <c r="J36" s="12" t="s">
        <v>47</v>
      </c>
    </row>
    <row r="37" ht="15.75" customHeight="1">
      <c r="A37" s="12" t="s">
        <v>38</v>
      </c>
      <c r="B37" s="12" t="s">
        <v>4028</v>
      </c>
      <c r="C37" s="12" t="s">
        <v>5255</v>
      </c>
      <c r="D37" s="12" t="s">
        <v>4028</v>
      </c>
      <c r="E37" s="12" t="s">
        <v>5146</v>
      </c>
      <c r="F37" s="12" t="s">
        <v>5164</v>
      </c>
      <c r="G37" s="12" t="s">
        <v>5256</v>
      </c>
      <c r="H37" s="12" t="s">
        <v>4028</v>
      </c>
      <c r="I37" s="12" t="s">
        <v>5166</v>
      </c>
      <c r="J37" s="12" t="s">
        <v>3447</v>
      </c>
    </row>
    <row r="38" ht="15.75" customHeight="1">
      <c r="A38" s="12" t="s">
        <v>38</v>
      </c>
      <c r="B38" s="12" t="s">
        <v>4028</v>
      </c>
      <c r="C38" s="12" t="s">
        <v>5257</v>
      </c>
      <c r="D38" s="12" t="s">
        <v>4028</v>
      </c>
      <c r="E38" s="12" t="s">
        <v>5146</v>
      </c>
      <c r="F38" s="12" t="s">
        <v>5258</v>
      </c>
      <c r="G38" s="12" t="s">
        <v>5259</v>
      </c>
      <c r="H38" s="12" t="s">
        <v>4028</v>
      </c>
      <c r="I38" s="12" t="s">
        <v>5260</v>
      </c>
      <c r="J38" s="12" t="s">
        <v>3458</v>
      </c>
    </row>
    <row r="39" ht="15.75" customHeight="1">
      <c r="A39" s="12" t="s">
        <v>38</v>
      </c>
      <c r="B39" s="12" t="s">
        <v>4028</v>
      </c>
      <c r="C39" s="12" t="s">
        <v>5261</v>
      </c>
      <c r="D39" s="12" t="s">
        <v>4028</v>
      </c>
      <c r="E39" s="12" t="s">
        <v>5146</v>
      </c>
      <c r="F39" s="12" t="s">
        <v>5199</v>
      </c>
      <c r="G39" s="12" t="s">
        <v>5262</v>
      </c>
      <c r="H39" s="12" t="s">
        <v>4028</v>
      </c>
      <c r="I39" s="12" t="s">
        <v>1376</v>
      </c>
      <c r="J39" s="12" t="s">
        <v>5201</v>
      </c>
    </row>
    <row r="40" ht="15.75" customHeight="1">
      <c r="A40" s="12" t="s">
        <v>38</v>
      </c>
      <c r="B40" s="12" t="s">
        <v>4028</v>
      </c>
      <c r="C40" s="12" t="s">
        <v>5263</v>
      </c>
      <c r="D40" s="12" t="s">
        <v>4028</v>
      </c>
      <c r="E40" s="12" t="s">
        <v>5146</v>
      </c>
      <c r="F40" s="12" t="s">
        <v>5264</v>
      </c>
      <c r="G40" s="12" t="s">
        <v>5265</v>
      </c>
      <c r="H40" s="12" t="s">
        <v>4028</v>
      </c>
      <c r="I40" s="12" t="s">
        <v>5263</v>
      </c>
      <c r="J40" s="12" t="s">
        <v>5201</v>
      </c>
    </row>
    <row r="41" ht="15.75" customHeight="1">
      <c r="A41" s="12" t="s">
        <v>38</v>
      </c>
      <c r="B41" s="12" t="s">
        <v>4028</v>
      </c>
      <c r="C41" s="12" t="s">
        <v>5266</v>
      </c>
      <c r="D41" s="12" t="s">
        <v>4028</v>
      </c>
      <c r="E41" s="12" t="s">
        <v>5146</v>
      </c>
      <c r="F41" s="12" t="s">
        <v>5267</v>
      </c>
      <c r="G41" s="12" t="s">
        <v>5267</v>
      </c>
      <c r="H41" s="12" t="s">
        <v>4028</v>
      </c>
      <c r="I41" s="12" t="s">
        <v>5266</v>
      </c>
      <c r="J41" s="12" t="s">
        <v>1074</v>
      </c>
    </row>
    <row r="42" ht="15.75" customHeight="1">
      <c r="A42" s="12" t="s">
        <v>38</v>
      </c>
      <c r="B42" s="12" t="s">
        <v>4028</v>
      </c>
      <c r="C42" s="12" t="s">
        <v>5268</v>
      </c>
      <c r="D42" s="12" t="s">
        <v>4028</v>
      </c>
      <c r="E42" s="12" t="s">
        <v>5146</v>
      </c>
      <c r="F42" s="12" t="s">
        <v>5269</v>
      </c>
      <c r="G42" s="12" t="s">
        <v>5270</v>
      </c>
      <c r="H42" s="12" t="s">
        <v>4028</v>
      </c>
      <c r="I42" s="12" t="s">
        <v>2259</v>
      </c>
      <c r="J42" s="12" t="s">
        <v>121</v>
      </c>
    </row>
    <row r="43" ht="15.75" customHeight="1">
      <c r="A43" s="12" t="s">
        <v>38</v>
      </c>
      <c r="B43" s="12" t="s">
        <v>4028</v>
      </c>
      <c r="C43" s="12" t="s">
        <v>5271</v>
      </c>
      <c r="D43" s="12" t="s">
        <v>4028</v>
      </c>
      <c r="E43" s="12" t="s">
        <v>5146</v>
      </c>
      <c r="F43" s="12" t="s">
        <v>5272</v>
      </c>
      <c r="G43" s="12" t="s">
        <v>5273</v>
      </c>
      <c r="H43" s="12" t="s">
        <v>4028</v>
      </c>
      <c r="I43" s="12" t="s">
        <v>5271</v>
      </c>
      <c r="J43" s="12" t="s">
        <v>1074</v>
      </c>
    </row>
    <row r="44" ht="15.75" customHeight="1">
      <c r="A44" s="12" t="s">
        <v>38</v>
      </c>
      <c r="B44" s="12" t="s">
        <v>4028</v>
      </c>
      <c r="C44" s="12" t="s">
        <v>5274</v>
      </c>
      <c r="D44" s="12" t="s">
        <v>4028</v>
      </c>
      <c r="E44" s="12" t="s">
        <v>5146</v>
      </c>
      <c r="F44" s="12" t="s">
        <v>5275</v>
      </c>
      <c r="G44" s="12" t="s">
        <v>5276</v>
      </c>
      <c r="H44" s="12" t="s">
        <v>4028</v>
      </c>
      <c r="I44" s="12" t="s">
        <v>5277</v>
      </c>
      <c r="J44" s="12" t="s">
        <v>985</v>
      </c>
    </row>
    <row r="45" ht="15.75" customHeight="1">
      <c r="A45" s="12" t="s">
        <v>38</v>
      </c>
      <c r="B45" s="12" t="s">
        <v>4028</v>
      </c>
      <c r="C45" s="12" t="s">
        <v>5278</v>
      </c>
      <c r="D45" s="12" t="s">
        <v>4028</v>
      </c>
      <c r="E45" s="12" t="s">
        <v>5146</v>
      </c>
      <c r="F45" s="12" t="s">
        <v>5279</v>
      </c>
      <c r="G45" s="12" t="s">
        <v>5279</v>
      </c>
      <c r="H45" s="12" t="s">
        <v>4028</v>
      </c>
      <c r="I45" s="12" t="s">
        <v>5280</v>
      </c>
      <c r="J45" s="12" t="s">
        <v>5182</v>
      </c>
    </row>
    <row r="46" ht="15.75" customHeight="1">
      <c r="A46" s="12" t="s">
        <v>38</v>
      </c>
      <c r="B46" s="12" t="s">
        <v>4028</v>
      </c>
      <c r="C46" s="12" t="s">
        <v>5281</v>
      </c>
      <c r="D46" s="12" t="s">
        <v>4028</v>
      </c>
      <c r="E46" s="12" t="s">
        <v>5146</v>
      </c>
      <c r="F46" s="12" t="s">
        <v>5282</v>
      </c>
      <c r="G46" s="12" t="s">
        <v>5283</v>
      </c>
      <c r="H46" s="12" t="s">
        <v>4028</v>
      </c>
      <c r="I46" s="12" t="s">
        <v>5284</v>
      </c>
      <c r="J46" s="12" t="s">
        <v>1029</v>
      </c>
    </row>
    <row r="47" ht="15.75" customHeight="1">
      <c r="A47" s="12" t="s">
        <v>38</v>
      </c>
      <c r="B47" s="12" t="s">
        <v>4028</v>
      </c>
      <c r="C47" s="12" t="s">
        <v>5285</v>
      </c>
      <c r="D47" s="12" t="s">
        <v>4028</v>
      </c>
      <c r="E47" s="12" t="s">
        <v>5146</v>
      </c>
      <c r="F47" s="12" t="s">
        <v>5286</v>
      </c>
      <c r="G47" s="12" t="s">
        <v>5287</v>
      </c>
      <c r="H47" s="12" t="s">
        <v>4028</v>
      </c>
      <c r="I47" s="12" t="s">
        <v>5288</v>
      </c>
      <c r="J47" s="12" t="s">
        <v>3458</v>
      </c>
    </row>
    <row r="48" ht="15.75" customHeight="1">
      <c r="A48" s="12" t="s">
        <v>38</v>
      </c>
      <c r="B48" s="12" t="s">
        <v>4028</v>
      </c>
      <c r="C48" s="12" t="s">
        <v>5289</v>
      </c>
      <c r="D48" s="12" t="s">
        <v>4028</v>
      </c>
      <c r="E48" s="12" t="s">
        <v>5146</v>
      </c>
      <c r="F48" s="12" t="s">
        <v>5290</v>
      </c>
      <c r="G48" s="12" t="s">
        <v>5291</v>
      </c>
      <c r="H48" s="12" t="s">
        <v>4028</v>
      </c>
      <c r="I48" s="12" t="s">
        <v>5292</v>
      </c>
      <c r="J48" s="12" t="s">
        <v>5182</v>
      </c>
    </row>
    <row r="49" ht="15.75" customHeight="1">
      <c r="A49" s="12" t="s">
        <v>38</v>
      </c>
      <c r="B49" s="12" t="s">
        <v>4184</v>
      </c>
      <c r="C49" s="12" t="s">
        <v>84</v>
      </c>
      <c r="D49" s="12" t="s">
        <v>4128</v>
      </c>
      <c r="E49" s="12" t="s">
        <v>5175</v>
      </c>
      <c r="F49" s="12" t="s">
        <v>1179</v>
      </c>
      <c r="G49" s="12" t="s">
        <v>5226</v>
      </c>
      <c r="H49" s="12" t="s">
        <v>4128</v>
      </c>
      <c r="I49" s="12" t="s">
        <v>1179</v>
      </c>
      <c r="J49" s="12"/>
    </row>
    <row r="50" ht="15.75" customHeight="1">
      <c r="A50" s="12" t="s">
        <v>38</v>
      </c>
      <c r="B50" s="12" t="s">
        <v>4028</v>
      </c>
      <c r="C50" s="12" t="s">
        <v>5293</v>
      </c>
      <c r="D50" s="12" t="s">
        <v>4028</v>
      </c>
      <c r="E50" s="12" t="s">
        <v>5146</v>
      </c>
      <c r="F50" s="12" t="s">
        <v>5231</v>
      </c>
      <c r="G50" s="12" t="s">
        <v>5294</v>
      </c>
      <c r="H50" s="12" t="s">
        <v>4028</v>
      </c>
      <c r="I50" s="12" t="s">
        <v>5233</v>
      </c>
      <c r="J50" s="12" t="s">
        <v>121</v>
      </c>
    </row>
    <row r="51" ht="15.75" customHeight="1">
      <c r="A51" s="12" t="s">
        <v>38</v>
      </c>
      <c r="B51" s="12" t="s">
        <v>4028</v>
      </c>
      <c r="C51" s="12" t="s">
        <v>5295</v>
      </c>
      <c r="D51" s="12" t="s">
        <v>4028</v>
      </c>
      <c r="E51" s="12" t="s">
        <v>5146</v>
      </c>
      <c r="F51" s="12" t="s">
        <v>5296</v>
      </c>
      <c r="G51" s="12" t="s">
        <v>5296</v>
      </c>
      <c r="H51" s="12" t="s">
        <v>4028</v>
      </c>
      <c r="I51" s="12" t="s">
        <v>5297</v>
      </c>
      <c r="J51" s="12" t="s">
        <v>47</v>
      </c>
    </row>
    <row r="52" ht="15.75" customHeight="1">
      <c r="A52" s="12" t="s">
        <v>38</v>
      </c>
      <c r="B52" s="12" t="s">
        <v>4028</v>
      </c>
      <c r="C52" s="12" t="s">
        <v>5298</v>
      </c>
      <c r="D52" s="12" t="s">
        <v>4028</v>
      </c>
      <c r="E52" s="12" t="s">
        <v>5146</v>
      </c>
      <c r="F52" s="12" t="s">
        <v>5299</v>
      </c>
      <c r="G52" s="12" t="s">
        <v>5299</v>
      </c>
      <c r="H52" s="12" t="s">
        <v>4028</v>
      </c>
      <c r="I52" s="12" t="s">
        <v>5298</v>
      </c>
      <c r="J52" s="12" t="s">
        <v>5201</v>
      </c>
    </row>
    <row r="53" ht="15.75" customHeight="1">
      <c r="A53" s="12" t="s">
        <v>38</v>
      </c>
      <c r="B53" s="12" t="s">
        <v>4028</v>
      </c>
      <c r="C53" s="12" t="s">
        <v>5300</v>
      </c>
      <c r="D53" s="12" t="s">
        <v>4028</v>
      </c>
      <c r="E53" s="12" t="s">
        <v>5146</v>
      </c>
      <c r="F53" s="12" t="s">
        <v>5301</v>
      </c>
      <c r="G53" s="12" t="s">
        <v>5302</v>
      </c>
      <c r="H53" s="12" t="s">
        <v>4028</v>
      </c>
      <c r="I53" s="12" t="s">
        <v>5303</v>
      </c>
      <c r="J53" s="12" t="s">
        <v>47</v>
      </c>
    </row>
    <row r="54" ht="15.75" customHeight="1">
      <c r="A54" s="12" t="s">
        <v>38</v>
      </c>
      <c r="B54" s="12" t="s">
        <v>4028</v>
      </c>
      <c r="C54" s="12" t="s">
        <v>5304</v>
      </c>
      <c r="D54" s="12" t="s">
        <v>4028</v>
      </c>
      <c r="E54" s="12" t="s">
        <v>5146</v>
      </c>
      <c r="F54" s="12" t="s">
        <v>5305</v>
      </c>
      <c r="G54" s="12" t="s">
        <v>5306</v>
      </c>
      <c r="H54" s="12" t="s">
        <v>4028</v>
      </c>
      <c r="I54" s="12" t="s">
        <v>5307</v>
      </c>
      <c r="J54" s="12" t="s">
        <v>78</v>
      </c>
    </row>
    <row r="55" ht="15.75" customHeight="1">
      <c r="A55" s="12" t="s">
        <v>38</v>
      </c>
      <c r="B55" s="12" t="s">
        <v>4028</v>
      </c>
      <c r="C55" s="12" t="s">
        <v>5308</v>
      </c>
      <c r="D55" s="12" t="s">
        <v>4028</v>
      </c>
      <c r="E55" s="12" t="s">
        <v>5146</v>
      </c>
      <c r="F55" s="12" t="s">
        <v>5309</v>
      </c>
      <c r="G55" s="12" t="s">
        <v>5310</v>
      </c>
      <c r="H55" s="12" t="s">
        <v>4028</v>
      </c>
      <c r="I55" s="12" t="s">
        <v>5311</v>
      </c>
      <c r="J55" s="12" t="s">
        <v>1074</v>
      </c>
    </row>
    <row r="56" ht="15.75" customHeight="1">
      <c r="A56" s="12" t="s">
        <v>38</v>
      </c>
      <c r="B56" s="12" t="s">
        <v>4028</v>
      </c>
      <c r="C56" s="12" t="s">
        <v>1916</v>
      </c>
      <c r="D56" s="12" t="s">
        <v>4028</v>
      </c>
      <c r="E56" s="12" t="s">
        <v>5146</v>
      </c>
      <c r="F56" s="12" t="s">
        <v>5312</v>
      </c>
      <c r="G56" s="12" t="s">
        <v>5313</v>
      </c>
      <c r="H56" s="12" t="s">
        <v>4028</v>
      </c>
      <c r="I56" s="12" t="s">
        <v>5314</v>
      </c>
      <c r="J56" s="12" t="s">
        <v>1029</v>
      </c>
    </row>
    <row r="57" ht="15.75" customHeight="1">
      <c r="A57" s="12" t="s">
        <v>38</v>
      </c>
      <c r="B57" s="12" t="s">
        <v>4028</v>
      </c>
      <c r="C57" s="12" t="s">
        <v>5315</v>
      </c>
      <c r="D57" s="12" t="s">
        <v>4028</v>
      </c>
      <c r="E57" s="12" t="s">
        <v>5146</v>
      </c>
      <c r="F57" s="12" t="s">
        <v>5316</v>
      </c>
      <c r="G57" s="12" t="s">
        <v>5317</v>
      </c>
      <c r="H57" s="12" t="s">
        <v>4028</v>
      </c>
      <c r="I57" s="12" t="s">
        <v>526</v>
      </c>
      <c r="J57" s="12" t="s">
        <v>1029</v>
      </c>
    </row>
    <row r="58" ht="15.75" customHeight="1">
      <c r="A58" s="12" t="s">
        <v>38</v>
      </c>
      <c r="B58" s="12" t="s">
        <v>4028</v>
      </c>
      <c r="C58" s="12" t="s">
        <v>5318</v>
      </c>
      <c r="D58" s="12" t="s">
        <v>4028</v>
      </c>
      <c r="E58" s="12" t="s">
        <v>5146</v>
      </c>
      <c r="F58" s="12" t="s">
        <v>5319</v>
      </c>
      <c r="G58" s="12" t="s">
        <v>5320</v>
      </c>
      <c r="H58" s="12" t="s">
        <v>4028</v>
      </c>
      <c r="I58" s="12" t="s">
        <v>5321</v>
      </c>
      <c r="J58" s="12" t="s">
        <v>3447</v>
      </c>
    </row>
    <row r="59" ht="15.75" customHeight="1">
      <c r="A59" s="12" t="s">
        <v>38</v>
      </c>
      <c r="B59" s="12" t="s">
        <v>4028</v>
      </c>
      <c r="C59" s="12" t="s">
        <v>5322</v>
      </c>
      <c r="D59" s="12" t="s">
        <v>4028</v>
      </c>
      <c r="E59" s="12" t="s">
        <v>5146</v>
      </c>
      <c r="F59" s="12" t="s">
        <v>5323</v>
      </c>
      <c r="G59" s="12" t="s">
        <v>5323</v>
      </c>
      <c r="H59" s="12" t="s">
        <v>4028</v>
      </c>
      <c r="I59" s="12" t="s">
        <v>5322</v>
      </c>
      <c r="J59" s="12" t="s">
        <v>78</v>
      </c>
    </row>
    <row r="60" ht="15.75" customHeight="1">
      <c r="A60" s="12" t="s">
        <v>38</v>
      </c>
      <c r="B60" s="12" t="s">
        <v>4028</v>
      </c>
      <c r="C60" s="12" t="s">
        <v>5324</v>
      </c>
      <c r="D60" s="12" t="s">
        <v>4028</v>
      </c>
      <c r="E60" s="12" t="s">
        <v>5146</v>
      </c>
      <c r="F60" s="12" t="s">
        <v>5325</v>
      </c>
      <c r="G60" s="12" t="s">
        <v>5326</v>
      </c>
      <c r="H60" s="12" t="s">
        <v>4028</v>
      </c>
      <c r="I60" s="12" t="s">
        <v>5327</v>
      </c>
      <c r="J60" s="12" t="s">
        <v>1029</v>
      </c>
    </row>
    <row r="61" ht="15.75" customHeight="1">
      <c r="A61" s="12" t="s">
        <v>97</v>
      </c>
      <c r="B61" s="12" t="s">
        <v>5115</v>
      </c>
      <c r="C61" s="12" t="s">
        <v>5328</v>
      </c>
      <c r="D61" s="12" t="s">
        <v>5189</v>
      </c>
      <c r="E61" s="12" t="s">
        <v>5190</v>
      </c>
      <c r="F61" s="12" t="s">
        <v>5329</v>
      </c>
      <c r="G61" s="12" t="s">
        <v>5330</v>
      </c>
      <c r="H61" s="12" t="s">
        <v>5189</v>
      </c>
      <c r="I61" s="12" t="s">
        <v>5331</v>
      </c>
      <c r="J61" s="12"/>
    </row>
    <row r="62" ht="15.75" customHeight="1">
      <c r="A62" s="12" t="s">
        <v>38</v>
      </c>
      <c r="B62" s="12" t="s">
        <v>4028</v>
      </c>
      <c r="C62" s="12" t="s">
        <v>5332</v>
      </c>
      <c r="D62" s="12" t="s">
        <v>4028</v>
      </c>
      <c r="E62" s="12" t="s">
        <v>5146</v>
      </c>
      <c r="F62" s="12" t="s">
        <v>5333</v>
      </c>
      <c r="G62" s="12" t="s">
        <v>5334</v>
      </c>
      <c r="H62" s="12" t="s">
        <v>4028</v>
      </c>
      <c r="I62" s="12" t="s">
        <v>5335</v>
      </c>
      <c r="J62" s="12" t="s">
        <v>47</v>
      </c>
    </row>
    <row r="63" ht="15.75" customHeight="1">
      <c r="A63" s="12" t="s">
        <v>38</v>
      </c>
      <c r="B63" s="12" t="s">
        <v>4028</v>
      </c>
      <c r="C63" s="12" t="s">
        <v>5336</v>
      </c>
      <c r="D63" s="12" t="s">
        <v>4028</v>
      </c>
      <c r="E63" s="12" t="s">
        <v>5146</v>
      </c>
      <c r="F63" s="12" t="s">
        <v>5337</v>
      </c>
      <c r="G63" s="12" t="s">
        <v>5338</v>
      </c>
      <c r="H63" s="12" t="s">
        <v>4028</v>
      </c>
      <c r="I63" s="12" t="s">
        <v>64</v>
      </c>
      <c r="J63" s="12" t="s">
        <v>3458</v>
      </c>
    </row>
    <row r="64" ht="15.75" customHeight="1">
      <c r="A64" s="12" t="s">
        <v>38</v>
      </c>
      <c r="B64" s="12" t="s">
        <v>4028</v>
      </c>
      <c r="C64" s="12" t="s">
        <v>5339</v>
      </c>
      <c r="D64" s="12" t="s">
        <v>4028</v>
      </c>
      <c r="E64" s="12" t="s">
        <v>5146</v>
      </c>
      <c r="F64" s="12" t="s">
        <v>5340</v>
      </c>
      <c r="G64" s="12" t="s">
        <v>5341</v>
      </c>
      <c r="H64" s="12" t="s">
        <v>4028</v>
      </c>
      <c r="I64" s="12" t="s">
        <v>5342</v>
      </c>
      <c r="J64" s="12" t="s">
        <v>3458</v>
      </c>
    </row>
    <row r="65" ht="15.75" customHeight="1">
      <c r="A65" s="12" t="s">
        <v>38</v>
      </c>
      <c r="B65" s="12" t="s">
        <v>4028</v>
      </c>
      <c r="C65" s="12" t="s">
        <v>5343</v>
      </c>
      <c r="D65" s="12" t="s">
        <v>4028</v>
      </c>
      <c r="E65" s="12" t="s">
        <v>5146</v>
      </c>
      <c r="F65" s="12" t="s">
        <v>5344</v>
      </c>
      <c r="G65" s="12" t="s">
        <v>5345</v>
      </c>
      <c r="H65" s="12" t="s">
        <v>4028</v>
      </c>
      <c r="I65" s="12" t="s">
        <v>5346</v>
      </c>
      <c r="J65" s="12" t="s">
        <v>5201</v>
      </c>
    </row>
    <row r="66" ht="15.75" customHeight="1">
      <c r="A66" s="12" t="s">
        <v>38</v>
      </c>
      <c r="B66" s="12" t="s">
        <v>4028</v>
      </c>
      <c r="C66" s="12" t="s">
        <v>5347</v>
      </c>
      <c r="D66" s="12" t="s">
        <v>4028</v>
      </c>
      <c r="E66" s="12" t="s">
        <v>5146</v>
      </c>
      <c r="F66" s="12" t="s">
        <v>5151</v>
      </c>
      <c r="G66" s="12" t="s">
        <v>5348</v>
      </c>
      <c r="H66" s="12" t="s">
        <v>4028</v>
      </c>
      <c r="I66" s="12" t="s">
        <v>5153</v>
      </c>
      <c r="J66" s="12" t="s">
        <v>1029</v>
      </c>
    </row>
    <row r="67" ht="15.75" customHeight="1">
      <c r="A67" s="12" t="s">
        <v>38</v>
      </c>
      <c r="B67" s="12" t="s">
        <v>4028</v>
      </c>
      <c r="C67" s="12" t="s">
        <v>5349</v>
      </c>
      <c r="D67" s="12" t="s">
        <v>4028</v>
      </c>
      <c r="E67" s="12" t="s">
        <v>5146</v>
      </c>
      <c r="F67" s="12" t="s">
        <v>5350</v>
      </c>
      <c r="G67" s="12" t="s">
        <v>5351</v>
      </c>
      <c r="H67" s="12" t="s">
        <v>4028</v>
      </c>
      <c r="I67" s="12" t="s">
        <v>5352</v>
      </c>
      <c r="J67" s="12" t="s">
        <v>985</v>
      </c>
    </row>
    <row r="68" ht="15.75" customHeight="1">
      <c r="A68" s="12" t="s">
        <v>38</v>
      </c>
      <c r="B68" s="12" t="s">
        <v>4028</v>
      </c>
      <c r="C68" s="12" t="s">
        <v>1897</v>
      </c>
      <c r="D68" s="12" t="s">
        <v>4028</v>
      </c>
      <c r="E68" s="12" t="s">
        <v>5146</v>
      </c>
      <c r="F68" s="12" t="s">
        <v>5353</v>
      </c>
      <c r="G68" s="12" t="s">
        <v>5354</v>
      </c>
      <c r="H68" s="12" t="s">
        <v>4028</v>
      </c>
      <c r="I68" s="12" t="s">
        <v>5355</v>
      </c>
      <c r="J68" s="12" t="s">
        <v>47</v>
      </c>
    </row>
    <row r="69" ht="15.75" customHeight="1">
      <c r="A69" s="12" t="s">
        <v>38</v>
      </c>
      <c r="B69" s="12" t="s">
        <v>4028</v>
      </c>
      <c r="C69" s="12" t="s">
        <v>5356</v>
      </c>
      <c r="D69" s="12" t="s">
        <v>4028</v>
      </c>
      <c r="E69" s="12" t="s">
        <v>5146</v>
      </c>
      <c r="F69" s="12" t="s">
        <v>5357</v>
      </c>
      <c r="G69" s="12" t="s">
        <v>5358</v>
      </c>
      <c r="H69" s="12" t="s">
        <v>4028</v>
      </c>
      <c r="I69" s="12" t="s">
        <v>3497</v>
      </c>
      <c r="J69" s="12" t="s">
        <v>1029</v>
      </c>
    </row>
    <row r="70" ht="15.75" customHeight="1">
      <c r="A70" s="12" t="s">
        <v>38</v>
      </c>
      <c r="B70" s="12" t="s">
        <v>4028</v>
      </c>
      <c r="C70" s="12" t="s">
        <v>5359</v>
      </c>
      <c r="D70" s="12" t="s">
        <v>4028</v>
      </c>
      <c r="E70" s="12" t="s">
        <v>5146</v>
      </c>
      <c r="F70" s="12" t="s">
        <v>5360</v>
      </c>
      <c r="G70" s="12" t="s">
        <v>5361</v>
      </c>
      <c r="H70" s="12" t="s">
        <v>4028</v>
      </c>
      <c r="I70" s="12" t="s">
        <v>5362</v>
      </c>
      <c r="J70" s="12" t="s">
        <v>3458</v>
      </c>
    </row>
    <row r="71" ht="15.75" customHeight="1">
      <c r="A71" s="12" t="s">
        <v>38</v>
      </c>
      <c r="B71" s="12" t="s">
        <v>4028</v>
      </c>
      <c r="C71" s="12" t="s">
        <v>5363</v>
      </c>
      <c r="D71" s="12" t="s">
        <v>4028</v>
      </c>
      <c r="E71" s="12" t="s">
        <v>5146</v>
      </c>
      <c r="F71" s="12" t="s">
        <v>5364</v>
      </c>
      <c r="G71" s="12" t="s">
        <v>5365</v>
      </c>
      <c r="H71" s="12" t="s">
        <v>4028</v>
      </c>
      <c r="I71" s="12" t="s">
        <v>5366</v>
      </c>
      <c r="J71" s="12" t="s">
        <v>5201</v>
      </c>
    </row>
    <row r="72" ht="15.75" customHeight="1">
      <c r="A72" s="12" t="s">
        <v>38</v>
      </c>
      <c r="B72" s="12" t="s">
        <v>4028</v>
      </c>
      <c r="C72" s="12" t="s">
        <v>5367</v>
      </c>
      <c r="D72" s="12" t="s">
        <v>4028</v>
      </c>
      <c r="E72" s="12" t="s">
        <v>5146</v>
      </c>
      <c r="F72" s="12" t="s">
        <v>5368</v>
      </c>
      <c r="G72" s="12" t="s">
        <v>5369</v>
      </c>
      <c r="H72" s="12" t="s">
        <v>4028</v>
      </c>
      <c r="I72" s="12" t="s">
        <v>5370</v>
      </c>
      <c r="J72" s="12" t="s">
        <v>972</v>
      </c>
    </row>
    <row r="73" ht="15.75" customHeight="1">
      <c r="A73" s="12" t="s">
        <v>38</v>
      </c>
      <c r="B73" s="12" t="s">
        <v>5115</v>
      </c>
      <c r="C73" s="12" t="s">
        <v>5371</v>
      </c>
      <c r="D73" s="12" t="s">
        <v>5189</v>
      </c>
      <c r="E73" s="12" t="s">
        <v>5190</v>
      </c>
      <c r="F73" s="12" t="s">
        <v>5372</v>
      </c>
      <c r="G73" s="12" t="s">
        <v>5372</v>
      </c>
      <c r="H73" s="12" t="s">
        <v>5189</v>
      </c>
      <c r="I73" s="12" t="s">
        <v>5372</v>
      </c>
      <c r="J73" s="12"/>
    </row>
    <row r="74" ht="15.75" customHeight="1">
      <c r="A74" s="12" t="s">
        <v>38</v>
      </c>
      <c r="B74" s="12" t="s">
        <v>4028</v>
      </c>
      <c r="C74" s="12" t="s">
        <v>5373</v>
      </c>
      <c r="D74" s="12" t="s">
        <v>4028</v>
      </c>
      <c r="E74" s="12" t="s">
        <v>5146</v>
      </c>
      <c r="F74" s="12" t="s">
        <v>5199</v>
      </c>
      <c r="G74" s="12" t="s">
        <v>5374</v>
      </c>
      <c r="H74" s="12" t="s">
        <v>4028</v>
      </c>
      <c r="I74" s="12" t="s">
        <v>1376</v>
      </c>
      <c r="J74" s="12" t="s">
        <v>5201</v>
      </c>
    </row>
    <row r="75" ht="15.75" customHeight="1">
      <c r="A75" s="12" t="s">
        <v>38</v>
      </c>
      <c r="B75" s="12" t="s">
        <v>4028</v>
      </c>
      <c r="C75" s="12" t="s">
        <v>5375</v>
      </c>
      <c r="D75" s="12" t="s">
        <v>4028</v>
      </c>
      <c r="E75" s="12" t="s">
        <v>5146</v>
      </c>
      <c r="F75" s="12" t="s">
        <v>5376</v>
      </c>
      <c r="G75" s="12" t="s">
        <v>5377</v>
      </c>
      <c r="H75" s="12" t="s">
        <v>4028</v>
      </c>
      <c r="I75" s="12" t="s">
        <v>5378</v>
      </c>
      <c r="J75" s="12" t="s">
        <v>1029</v>
      </c>
    </row>
    <row r="76" ht="15.75" customHeight="1">
      <c r="A76" s="12" t="s">
        <v>38</v>
      </c>
      <c r="B76" s="12" t="s">
        <v>4028</v>
      </c>
      <c r="C76" s="12" t="s">
        <v>5379</v>
      </c>
      <c r="D76" s="12" t="s">
        <v>4028</v>
      </c>
      <c r="E76" s="12" t="s">
        <v>5146</v>
      </c>
      <c r="F76" s="12" t="s">
        <v>5380</v>
      </c>
      <c r="G76" s="12" t="s">
        <v>5381</v>
      </c>
      <c r="H76" s="12" t="s">
        <v>4028</v>
      </c>
      <c r="I76" s="12" t="s">
        <v>5379</v>
      </c>
      <c r="J76" s="12" t="s">
        <v>47</v>
      </c>
    </row>
    <row r="77" ht="15.75" customHeight="1">
      <c r="A77" s="12" t="s">
        <v>38</v>
      </c>
      <c r="B77" s="12" t="s">
        <v>4028</v>
      </c>
      <c r="C77" s="12" t="s">
        <v>5382</v>
      </c>
      <c r="D77" s="12" t="s">
        <v>4028</v>
      </c>
      <c r="E77" s="12" t="s">
        <v>5146</v>
      </c>
      <c r="F77" s="12" t="s">
        <v>5383</v>
      </c>
      <c r="G77" s="12" t="s">
        <v>5384</v>
      </c>
      <c r="H77" s="12" t="s">
        <v>4028</v>
      </c>
      <c r="I77" s="12" t="s">
        <v>5382</v>
      </c>
      <c r="J77" s="12" t="s">
        <v>5182</v>
      </c>
    </row>
    <row r="78" ht="15.75" customHeight="1">
      <c r="A78" s="12" t="s">
        <v>38</v>
      </c>
      <c r="B78" s="12" t="s">
        <v>4028</v>
      </c>
      <c r="C78" s="12" t="s">
        <v>5385</v>
      </c>
      <c r="D78" s="12" t="s">
        <v>4028</v>
      </c>
      <c r="E78" s="12" t="s">
        <v>5146</v>
      </c>
      <c r="F78" s="12" t="s">
        <v>5386</v>
      </c>
      <c r="G78" s="12" t="s">
        <v>5387</v>
      </c>
      <c r="H78" s="12" t="s">
        <v>4028</v>
      </c>
      <c r="I78" s="12" t="s">
        <v>5388</v>
      </c>
      <c r="J78" s="12" t="s">
        <v>121</v>
      </c>
    </row>
    <row r="79" ht="15.75" customHeight="1">
      <c r="A79" s="12" t="s">
        <v>97</v>
      </c>
      <c r="B79" s="12" t="s">
        <v>4028</v>
      </c>
      <c r="C79" s="12" t="s">
        <v>5389</v>
      </c>
      <c r="D79" s="12" t="s">
        <v>4028</v>
      </c>
      <c r="E79" s="12" t="s">
        <v>5146</v>
      </c>
      <c r="F79" s="12" t="s">
        <v>5390</v>
      </c>
      <c r="G79" s="12" t="s">
        <v>5391</v>
      </c>
      <c r="H79" s="12" t="s">
        <v>4028</v>
      </c>
      <c r="I79" s="12" t="s">
        <v>5392</v>
      </c>
      <c r="J79" s="12" t="s">
        <v>5201</v>
      </c>
    </row>
    <row r="80" ht="15.75" customHeight="1">
      <c r="A80" s="12" t="s">
        <v>38</v>
      </c>
      <c r="B80" s="12" t="s">
        <v>4028</v>
      </c>
      <c r="C80" s="12" t="s">
        <v>5393</v>
      </c>
      <c r="D80" s="12" t="s">
        <v>4028</v>
      </c>
      <c r="E80" s="12" t="s">
        <v>5146</v>
      </c>
      <c r="F80" s="12" t="s">
        <v>5394</v>
      </c>
      <c r="G80" s="12" t="s">
        <v>5394</v>
      </c>
      <c r="H80" s="12" t="s">
        <v>4028</v>
      </c>
      <c r="I80" s="12" t="s">
        <v>5395</v>
      </c>
      <c r="J80" s="12" t="s">
        <v>3447</v>
      </c>
    </row>
    <row r="81" ht="15.75" customHeight="1">
      <c r="A81" s="12" t="s">
        <v>38</v>
      </c>
      <c r="B81" s="12" t="s">
        <v>4028</v>
      </c>
      <c r="C81" s="12" t="s">
        <v>1986</v>
      </c>
      <c r="D81" s="12" t="s">
        <v>4028</v>
      </c>
      <c r="E81" s="12" t="s">
        <v>5146</v>
      </c>
      <c r="F81" s="12" t="s">
        <v>5396</v>
      </c>
      <c r="G81" s="12" t="s">
        <v>5396</v>
      </c>
      <c r="H81" s="12" t="s">
        <v>4028</v>
      </c>
      <c r="I81" s="12" t="s">
        <v>5397</v>
      </c>
      <c r="J81" s="12" t="s">
        <v>121</v>
      </c>
    </row>
    <row r="82" ht="15.75" customHeight="1">
      <c r="A82" s="12" t="s">
        <v>38</v>
      </c>
      <c r="B82" s="12" t="s">
        <v>4028</v>
      </c>
      <c r="C82" s="12" t="s">
        <v>5398</v>
      </c>
      <c r="D82" s="12" t="s">
        <v>4028</v>
      </c>
      <c r="E82" s="12" t="s">
        <v>5146</v>
      </c>
      <c r="F82" s="12" t="s">
        <v>5399</v>
      </c>
      <c r="G82" s="12" t="s">
        <v>5400</v>
      </c>
      <c r="H82" s="12" t="s">
        <v>4028</v>
      </c>
      <c r="I82" s="12" t="s">
        <v>5398</v>
      </c>
      <c r="J82" s="12" t="s">
        <v>121</v>
      </c>
    </row>
    <row r="83" ht="15.75" customHeight="1">
      <c r="A83" s="12" t="s">
        <v>38</v>
      </c>
      <c r="B83" s="12" t="s">
        <v>4028</v>
      </c>
      <c r="C83" s="12" t="s">
        <v>5401</v>
      </c>
      <c r="D83" s="12" t="s">
        <v>4028</v>
      </c>
      <c r="E83" s="12" t="s">
        <v>5146</v>
      </c>
      <c r="F83" s="12" t="s">
        <v>5199</v>
      </c>
      <c r="G83" s="12" t="s">
        <v>5402</v>
      </c>
      <c r="H83" s="12" t="s">
        <v>4028</v>
      </c>
      <c r="I83" s="12" t="s">
        <v>1376</v>
      </c>
      <c r="J83" s="12" t="s">
        <v>5201</v>
      </c>
    </row>
    <row r="84" ht="15.75" customHeight="1">
      <c r="A84" s="12" t="s">
        <v>97</v>
      </c>
      <c r="B84" s="12" t="s">
        <v>4028</v>
      </c>
      <c r="C84" s="12" t="s">
        <v>64</v>
      </c>
      <c r="D84" s="12" t="s">
        <v>4028</v>
      </c>
      <c r="E84" s="12" t="s">
        <v>5146</v>
      </c>
      <c r="F84" s="12" t="s">
        <v>5403</v>
      </c>
      <c r="G84" s="12" t="s">
        <v>5404</v>
      </c>
      <c r="H84" s="12" t="s">
        <v>4028</v>
      </c>
      <c r="I84" s="12" t="s">
        <v>5327</v>
      </c>
      <c r="J84" s="12" t="s">
        <v>1029</v>
      </c>
    </row>
    <row r="85" ht="15.75" customHeight="1">
      <c r="A85" s="12" t="s">
        <v>38</v>
      </c>
      <c r="B85" s="12" t="s">
        <v>4028</v>
      </c>
      <c r="C85" s="12" t="s">
        <v>64</v>
      </c>
      <c r="D85" s="12" t="s">
        <v>4028</v>
      </c>
      <c r="E85" s="12" t="s">
        <v>5146</v>
      </c>
      <c r="F85" s="12" t="s">
        <v>5403</v>
      </c>
      <c r="G85" s="12" t="s">
        <v>5404</v>
      </c>
      <c r="H85" s="12" t="s">
        <v>4028</v>
      </c>
      <c r="I85" s="12" t="s">
        <v>5327</v>
      </c>
      <c r="J85" s="12" t="s">
        <v>1029</v>
      </c>
    </row>
    <row r="86" ht="15.75" customHeight="1">
      <c r="A86" s="12" t="s">
        <v>38</v>
      </c>
      <c r="B86" s="12" t="s">
        <v>4028</v>
      </c>
      <c r="C86" s="12" t="s">
        <v>5405</v>
      </c>
      <c r="D86" s="12" t="s">
        <v>4028</v>
      </c>
      <c r="E86" s="12" t="s">
        <v>5146</v>
      </c>
      <c r="F86" s="12" t="s">
        <v>5406</v>
      </c>
      <c r="G86" s="12" t="s">
        <v>5407</v>
      </c>
      <c r="H86" s="12" t="s">
        <v>4028</v>
      </c>
      <c r="I86" s="12" t="s">
        <v>5321</v>
      </c>
      <c r="J86" s="12" t="s">
        <v>47</v>
      </c>
    </row>
    <row r="87" ht="15.75" customHeight="1">
      <c r="A87" s="12" t="s">
        <v>38</v>
      </c>
      <c r="B87" s="12" t="s">
        <v>4184</v>
      </c>
      <c r="C87" s="12" t="s">
        <v>102</v>
      </c>
      <c r="D87" s="12" t="s">
        <v>4128</v>
      </c>
      <c r="E87" s="12" t="s">
        <v>5175</v>
      </c>
      <c r="F87" s="12" t="s">
        <v>5408</v>
      </c>
      <c r="G87" s="12" t="s">
        <v>5409</v>
      </c>
      <c r="H87" s="12" t="s">
        <v>4128</v>
      </c>
      <c r="I87" s="12" t="s">
        <v>5408</v>
      </c>
      <c r="J87" s="12"/>
    </row>
    <row r="88" ht="15.75" customHeight="1">
      <c r="A88" s="12" t="s">
        <v>38</v>
      </c>
      <c r="B88" s="12" t="s">
        <v>4028</v>
      </c>
      <c r="C88" s="12" t="s">
        <v>5410</v>
      </c>
      <c r="D88" s="12" t="s">
        <v>4028</v>
      </c>
      <c r="E88" s="12" t="s">
        <v>5146</v>
      </c>
      <c r="F88" s="12" t="s">
        <v>5411</v>
      </c>
      <c r="G88" s="12" t="s">
        <v>5412</v>
      </c>
      <c r="H88" s="12" t="s">
        <v>4028</v>
      </c>
      <c r="I88" s="12" t="s">
        <v>5413</v>
      </c>
      <c r="J88" s="12" t="s">
        <v>1074</v>
      </c>
    </row>
    <row r="89" ht="15.75" customHeight="1">
      <c r="A89" s="12" t="s">
        <v>38</v>
      </c>
      <c r="B89" s="12" t="s">
        <v>4028</v>
      </c>
      <c r="C89" s="12" t="s">
        <v>5414</v>
      </c>
      <c r="D89" s="12" t="s">
        <v>4028</v>
      </c>
      <c r="E89" s="12" t="s">
        <v>5146</v>
      </c>
      <c r="F89" s="12" t="s">
        <v>5415</v>
      </c>
      <c r="G89" s="12" t="s">
        <v>5416</v>
      </c>
      <c r="H89" s="12" t="s">
        <v>4028</v>
      </c>
      <c r="I89" s="12" t="s">
        <v>5417</v>
      </c>
      <c r="J89" s="12" t="s">
        <v>47</v>
      </c>
    </row>
    <row r="90" ht="15.75" customHeight="1">
      <c r="A90" s="12" t="s">
        <v>38</v>
      </c>
      <c r="B90" s="12" t="s">
        <v>4184</v>
      </c>
      <c r="C90" s="12" t="s">
        <v>16</v>
      </c>
      <c r="D90" s="12" t="s">
        <v>4128</v>
      </c>
      <c r="E90" s="12" t="s">
        <v>5175</v>
      </c>
      <c r="F90" s="12" t="s">
        <v>5418</v>
      </c>
      <c r="G90" s="12" t="s">
        <v>5419</v>
      </c>
      <c r="H90" s="12" t="s">
        <v>4128</v>
      </c>
      <c r="I90" s="12" t="s">
        <v>5418</v>
      </c>
      <c r="J90" s="12"/>
    </row>
    <row r="91" ht="15.75" customHeight="1">
      <c r="A91" s="12" t="s">
        <v>38</v>
      </c>
      <c r="B91" s="12" t="s">
        <v>4028</v>
      </c>
      <c r="C91" s="12" t="s">
        <v>5420</v>
      </c>
      <c r="D91" s="12" t="s">
        <v>4028</v>
      </c>
      <c r="E91" s="12" t="s">
        <v>5146</v>
      </c>
      <c r="F91" s="12" t="s">
        <v>5421</v>
      </c>
      <c r="G91" s="12" t="s">
        <v>5422</v>
      </c>
      <c r="H91" s="12" t="s">
        <v>4028</v>
      </c>
      <c r="I91" s="12" t="s">
        <v>5423</v>
      </c>
      <c r="J91" s="12" t="s">
        <v>78</v>
      </c>
    </row>
    <row r="92" ht="15.75" customHeight="1">
      <c r="A92" s="12" t="s">
        <v>38</v>
      </c>
      <c r="B92" s="12" t="s">
        <v>4028</v>
      </c>
      <c r="C92" s="12" t="s">
        <v>1972</v>
      </c>
      <c r="D92" s="12" t="s">
        <v>4028</v>
      </c>
      <c r="E92" s="12" t="s">
        <v>5146</v>
      </c>
      <c r="F92" s="12" t="s">
        <v>5424</v>
      </c>
      <c r="G92" s="12" t="s">
        <v>5425</v>
      </c>
      <c r="H92" s="12" t="s">
        <v>4028</v>
      </c>
      <c r="I92" s="12" t="s">
        <v>2220</v>
      </c>
      <c r="J92" s="12" t="s">
        <v>3447</v>
      </c>
    </row>
    <row r="93" ht="15.75" customHeight="1">
      <c r="A93" s="12" t="s">
        <v>38</v>
      </c>
      <c r="B93" s="12" t="s">
        <v>4028</v>
      </c>
      <c r="C93" s="12" t="s">
        <v>5426</v>
      </c>
      <c r="D93" s="12" t="s">
        <v>4028</v>
      </c>
      <c r="E93" s="12" t="s">
        <v>5146</v>
      </c>
      <c r="F93" s="12" t="s">
        <v>5333</v>
      </c>
      <c r="G93" s="12" t="s">
        <v>5427</v>
      </c>
      <c r="H93" s="12" t="s">
        <v>4028</v>
      </c>
      <c r="I93" s="12" t="s">
        <v>5335</v>
      </c>
      <c r="J93" s="12" t="s">
        <v>47</v>
      </c>
    </row>
    <row r="94" ht="15.75" customHeight="1">
      <c r="A94" s="12" t="s">
        <v>38</v>
      </c>
      <c r="B94" s="12" t="s">
        <v>4028</v>
      </c>
      <c r="C94" s="12" t="s">
        <v>5428</v>
      </c>
      <c r="D94" s="12" t="s">
        <v>4028</v>
      </c>
      <c r="E94" s="12" t="s">
        <v>5146</v>
      </c>
      <c r="F94" s="12" t="s">
        <v>5429</v>
      </c>
      <c r="G94" s="12" t="s">
        <v>5429</v>
      </c>
      <c r="H94" s="12" t="s">
        <v>4028</v>
      </c>
      <c r="I94" s="12" t="s">
        <v>5428</v>
      </c>
      <c r="J94" s="12" t="s">
        <v>985</v>
      </c>
    </row>
    <row r="95" ht="15.75" customHeight="1">
      <c r="A95" s="12" t="s">
        <v>38</v>
      </c>
      <c r="B95" s="12" t="s">
        <v>4028</v>
      </c>
      <c r="C95" s="12" t="s">
        <v>5430</v>
      </c>
      <c r="D95" s="12" t="s">
        <v>4028</v>
      </c>
      <c r="E95" s="12" t="s">
        <v>5146</v>
      </c>
      <c r="F95" s="12" t="s">
        <v>5431</v>
      </c>
      <c r="G95" s="12" t="s">
        <v>5432</v>
      </c>
      <c r="H95" s="12" t="s">
        <v>4028</v>
      </c>
      <c r="I95" s="12" t="s">
        <v>5433</v>
      </c>
      <c r="J95" s="12" t="s">
        <v>1029</v>
      </c>
    </row>
    <row r="96" ht="15.75" customHeight="1">
      <c r="A96" s="12" t="s">
        <v>38</v>
      </c>
      <c r="B96" s="12" t="s">
        <v>4028</v>
      </c>
      <c r="C96" s="12" t="s">
        <v>5434</v>
      </c>
      <c r="D96" s="12" t="s">
        <v>4028</v>
      </c>
      <c r="E96" s="12" t="s">
        <v>5146</v>
      </c>
      <c r="F96" s="12" t="s">
        <v>5435</v>
      </c>
      <c r="G96" s="12" t="s">
        <v>5436</v>
      </c>
      <c r="H96" s="12" t="s">
        <v>4028</v>
      </c>
      <c r="I96" s="12" t="s">
        <v>5437</v>
      </c>
      <c r="J96" s="12" t="s">
        <v>78</v>
      </c>
    </row>
    <row r="97" ht="15.75" customHeight="1">
      <c r="A97" s="12" t="s">
        <v>38</v>
      </c>
      <c r="B97" s="12" t="s">
        <v>4028</v>
      </c>
      <c r="C97" s="12" t="s">
        <v>5438</v>
      </c>
      <c r="D97" s="12" t="s">
        <v>4028</v>
      </c>
      <c r="E97" s="12" t="s">
        <v>5146</v>
      </c>
      <c r="F97" s="12" t="s">
        <v>5439</v>
      </c>
      <c r="G97" s="12" t="s">
        <v>5440</v>
      </c>
      <c r="H97" s="12" t="s">
        <v>4028</v>
      </c>
      <c r="I97" s="12" t="s">
        <v>2708</v>
      </c>
      <c r="J97" s="12" t="s">
        <v>5201</v>
      </c>
    </row>
    <row r="98" ht="15.75" customHeight="1">
      <c r="A98" s="12" t="s">
        <v>38</v>
      </c>
      <c r="B98" s="12" t="s">
        <v>4028</v>
      </c>
      <c r="C98" s="12" t="s">
        <v>5441</v>
      </c>
      <c r="D98" s="12" t="s">
        <v>4028</v>
      </c>
      <c r="E98" s="12" t="s">
        <v>5146</v>
      </c>
      <c r="F98" s="12" t="s">
        <v>5442</v>
      </c>
      <c r="G98" s="12" t="s">
        <v>5442</v>
      </c>
      <c r="H98" s="12" t="s">
        <v>4028</v>
      </c>
      <c r="I98" s="12" t="s">
        <v>5443</v>
      </c>
      <c r="J98" s="12" t="s">
        <v>121</v>
      </c>
    </row>
    <row r="99" ht="15.75" customHeight="1">
      <c r="A99" s="12" t="s">
        <v>38</v>
      </c>
      <c r="B99" s="12" t="s">
        <v>4028</v>
      </c>
      <c r="C99" s="12" t="s">
        <v>5444</v>
      </c>
      <c r="D99" s="12" t="s">
        <v>4028</v>
      </c>
      <c r="E99" s="12" t="s">
        <v>5146</v>
      </c>
      <c r="F99" s="12" t="s">
        <v>5445</v>
      </c>
      <c r="G99" s="12" t="s">
        <v>5446</v>
      </c>
      <c r="H99" s="12" t="s">
        <v>4028</v>
      </c>
      <c r="I99" s="12" t="s">
        <v>5444</v>
      </c>
      <c r="J99" s="12" t="s">
        <v>5182</v>
      </c>
    </row>
    <row r="100" ht="15.75" customHeight="1">
      <c r="A100" s="12" t="s">
        <v>38</v>
      </c>
      <c r="B100" s="12" t="s">
        <v>4028</v>
      </c>
      <c r="C100" s="12" t="s">
        <v>5447</v>
      </c>
      <c r="D100" s="12" t="s">
        <v>4028</v>
      </c>
      <c r="E100" s="12" t="s">
        <v>5146</v>
      </c>
      <c r="F100" s="12" t="s">
        <v>5448</v>
      </c>
      <c r="G100" s="12" t="s">
        <v>5449</v>
      </c>
      <c r="H100" s="12" t="s">
        <v>4028</v>
      </c>
      <c r="I100" s="12" t="s">
        <v>5450</v>
      </c>
      <c r="J100" s="12" t="s">
        <v>47</v>
      </c>
    </row>
    <row r="101" ht="15.75" customHeight="1">
      <c r="A101" s="12" t="s">
        <v>38</v>
      </c>
      <c r="B101" s="12" t="s">
        <v>4028</v>
      </c>
      <c r="C101" s="12" t="s">
        <v>5451</v>
      </c>
      <c r="D101" s="12" t="s">
        <v>4028</v>
      </c>
      <c r="E101" s="12" t="s">
        <v>5146</v>
      </c>
      <c r="F101" s="12" t="s">
        <v>5452</v>
      </c>
      <c r="G101" s="12" t="s">
        <v>5453</v>
      </c>
      <c r="H101" s="12" t="s">
        <v>4028</v>
      </c>
      <c r="I101" s="12" t="s">
        <v>5454</v>
      </c>
      <c r="J101" s="12" t="s">
        <v>3447</v>
      </c>
    </row>
    <row r="102" ht="15.75" customHeight="1">
      <c r="A102" s="12" t="s">
        <v>38</v>
      </c>
      <c r="B102" s="12" t="s">
        <v>4028</v>
      </c>
      <c r="C102" s="12" t="s">
        <v>5455</v>
      </c>
      <c r="D102" s="12" t="s">
        <v>4028</v>
      </c>
      <c r="E102" s="12" t="s">
        <v>5146</v>
      </c>
      <c r="F102" s="12" t="s">
        <v>5456</v>
      </c>
      <c r="G102" s="12" t="s">
        <v>5402</v>
      </c>
      <c r="H102" s="12" t="s">
        <v>4028</v>
      </c>
      <c r="I102" s="12" t="s">
        <v>427</v>
      </c>
      <c r="J102" s="12" t="s">
        <v>5201</v>
      </c>
    </row>
    <row r="103" ht="15.75" customHeight="1">
      <c r="A103" s="12" t="s">
        <v>38</v>
      </c>
      <c r="B103" s="12" t="s">
        <v>4028</v>
      </c>
      <c r="C103" s="12" t="s">
        <v>5457</v>
      </c>
      <c r="D103" s="12" t="s">
        <v>4028</v>
      </c>
      <c r="E103" s="12" t="s">
        <v>5146</v>
      </c>
      <c r="F103" s="12" t="s">
        <v>5458</v>
      </c>
      <c r="G103" s="12" t="s">
        <v>5459</v>
      </c>
      <c r="H103" s="12" t="s">
        <v>4028</v>
      </c>
      <c r="I103" s="12" t="s">
        <v>5460</v>
      </c>
      <c r="J103" s="12" t="s">
        <v>3458</v>
      </c>
    </row>
    <row r="104" ht="15.75" customHeight="1">
      <c r="A104" s="12" t="s">
        <v>38</v>
      </c>
      <c r="B104" s="12" t="s">
        <v>4028</v>
      </c>
      <c r="C104" s="12" t="s">
        <v>5170</v>
      </c>
      <c r="D104" s="12" t="s">
        <v>4028</v>
      </c>
      <c r="E104" s="12" t="s">
        <v>5146</v>
      </c>
      <c r="F104" s="12" t="s">
        <v>5160</v>
      </c>
      <c r="G104" s="12" t="s">
        <v>5461</v>
      </c>
      <c r="H104" s="12" t="s">
        <v>4028</v>
      </c>
      <c r="I104" s="12" t="s">
        <v>5159</v>
      </c>
      <c r="J104" s="12" t="s">
        <v>1029</v>
      </c>
    </row>
    <row r="105" ht="15.75" customHeight="1">
      <c r="A105" s="12" t="s">
        <v>38</v>
      </c>
      <c r="B105" s="12" t="s">
        <v>4028</v>
      </c>
      <c r="C105" s="12" t="s">
        <v>5462</v>
      </c>
      <c r="D105" s="12" t="s">
        <v>4028</v>
      </c>
      <c r="E105" s="12" t="s">
        <v>5146</v>
      </c>
      <c r="F105" s="12" t="s">
        <v>5463</v>
      </c>
      <c r="G105" s="12" t="s">
        <v>5463</v>
      </c>
      <c r="H105" s="12" t="s">
        <v>4028</v>
      </c>
      <c r="I105" s="12" t="s">
        <v>5462</v>
      </c>
      <c r="J105" s="12" t="s">
        <v>1074</v>
      </c>
    </row>
    <row r="106" ht="15.75" customHeight="1">
      <c r="A106" s="12" t="s">
        <v>38</v>
      </c>
      <c r="B106" s="12" t="s">
        <v>4028</v>
      </c>
      <c r="C106" s="12" t="s">
        <v>5464</v>
      </c>
      <c r="D106" s="12" t="s">
        <v>4028</v>
      </c>
      <c r="E106" s="12" t="s">
        <v>5146</v>
      </c>
      <c r="F106" s="12" t="s">
        <v>5465</v>
      </c>
      <c r="G106" s="12" t="s">
        <v>5465</v>
      </c>
      <c r="H106" s="12" t="s">
        <v>4028</v>
      </c>
      <c r="I106" s="12" t="s">
        <v>5464</v>
      </c>
      <c r="J106" s="12" t="s">
        <v>985</v>
      </c>
    </row>
    <row r="107" ht="15.75" customHeight="1">
      <c r="A107" s="12" t="s">
        <v>38</v>
      </c>
      <c r="B107" s="12" t="s">
        <v>4028</v>
      </c>
      <c r="C107" s="12" t="s">
        <v>5466</v>
      </c>
      <c r="D107" s="12" t="s">
        <v>4028</v>
      </c>
      <c r="E107" s="12" t="s">
        <v>5146</v>
      </c>
      <c r="F107" s="12" t="s">
        <v>5467</v>
      </c>
      <c r="G107" s="12" t="s">
        <v>5468</v>
      </c>
      <c r="H107" s="12" t="s">
        <v>4028</v>
      </c>
      <c r="I107" s="12" t="s">
        <v>5469</v>
      </c>
      <c r="J107" s="12" t="s">
        <v>985</v>
      </c>
    </row>
    <row r="108" ht="15.75" customHeight="1">
      <c r="A108" s="12" t="s">
        <v>38</v>
      </c>
      <c r="B108" s="12" t="s">
        <v>4028</v>
      </c>
      <c r="C108" s="12" t="s">
        <v>5470</v>
      </c>
      <c r="D108" s="12" t="s">
        <v>4028</v>
      </c>
      <c r="E108" s="12" t="s">
        <v>5146</v>
      </c>
      <c r="F108" s="12" t="s">
        <v>5471</v>
      </c>
      <c r="G108" s="12" t="s">
        <v>5472</v>
      </c>
      <c r="H108" s="12" t="s">
        <v>4028</v>
      </c>
      <c r="I108" s="12" t="s">
        <v>5473</v>
      </c>
      <c r="J108" s="12" t="s">
        <v>121</v>
      </c>
    </row>
    <row r="109" ht="15.75" customHeight="1">
      <c r="A109" s="12" t="s">
        <v>38</v>
      </c>
      <c r="B109" s="12" t="s">
        <v>4028</v>
      </c>
      <c r="C109" s="12" t="s">
        <v>5474</v>
      </c>
      <c r="D109" s="12" t="s">
        <v>4028</v>
      </c>
      <c r="E109" s="12" t="s">
        <v>5146</v>
      </c>
      <c r="F109" s="12" t="s">
        <v>5475</v>
      </c>
      <c r="G109" s="12" t="s">
        <v>5475</v>
      </c>
      <c r="H109" s="12" t="s">
        <v>4028</v>
      </c>
      <c r="I109" s="12" t="s">
        <v>1784</v>
      </c>
      <c r="J109" s="12" t="s">
        <v>3447</v>
      </c>
    </row>
    <row r="110" ht="15.75" customHeight="1">
      <c r="A110" s="12" t="s">
        <v>38</v>
      </c>
      <c r="B110" s="12" t="s">
        <v>4028</v>
      </c>
      <c r="C110" s="12" t="s">
        <v>5476</v>
      </c>
      <c r="D110" s="12" t="s">
        <v>4028</v>
      </c>
      <c r="E110" s="12" t="s">
        <v>5146</v>
      </c>
      <c r="F110" s="12" t="s">
        <v>5477</v>
      </c>
      <c r="G110" s="12" t="s">
        <v>5477</v>
      </c>
      <c r="H110" s="12" t="s">
        <v>4028</v>
      </c>
      <c r="I110" s="12" t="s">
        <v>5478</v>
      </c>
      <c r="J110" s="12" t="s">
        <v>1074</v>
      </c>
    </row>
    <row r="111" ht="15.75" customHeight="1">
      <c r="A111" s="12" t="s">
        <v>97</v>
      </c>
      <c r="B111" s="12" t="s">
        <v>4028</v>
      </c>
      <c r="C111" s="12" t="s">
        <v>5444</v>
      </c>
      <c r="D111" s="12" t="s">
        <v>4028</v>
      </c>
      <c r="E111" s="12" t="s">
        <v>5146</v>
      </c>
      <c r="F111" s="12" t="s">
        <v>5445</v>
      </c>
      <c r="G111" s="12" t="s">
        <v>5446</v>
      </c>
      <c r="H111" s="12" t="s">
        <v>4028</v>
      </c>
      <c r="I111" s="12" t="s">
        <v>5444</v>
      </c>
      <c r="J111" s="12" t="s">
        <v>5182</v>
      </c>
    </row>
    <row r="112" ht="15.75" customHeight="1">
      <c r="A112" s="12" t="s">
        <v>38</v>
      </c>
      <c r="B112" s="12" t="s">
        <v>4028</v>
      </c>
      <c r="C112" s="12" t="s">
        <v>5479</v>
      </c>
      <c r="D112" s="12" t="s">
        <v>4028</v>
      </c>
      <c r="E112" s="12" t="s">
        <v>5146</v>
      </c>
      <c r="F112" s="12" t="s">
        <v>5480</v>
      </c>
      <c r="G112" s="12" t="s">
        <v>5481</v>
      </c>
      <c r="H112" s="12" t="s">
        <v>4028</v>
      </c>
      <c r="I112" s="12" t="s">
        <v>5479</v>
      </c>
      <c r="J112" s="12" t="s">
        <v>5182</v>
      </c>
    </row>
    <row r="113" ht="15.75" customHeight="1">
      <c r="A113" s="12" t="s">
        <v>38</v>
      </c>
      <c r="B113" s="12" t="s">
        <v>4028</v>
      </c>
      <c r="C113" s="12" t="s">
        <v>5482</v>
      </c>
      <c r="D113" s="12" t="s">
        <v>4028</v>
      </c>
      <c r="E113" s="12" t="s">
        <v>5146</v>
      </c>
      <c r="F113" s="12" t="s">
        <v>5483</v>
      </c>
      <c r="G113" s="12" t="s">
        <v>5484</v>
      </c>
      <c r="H113" s="12" t="s">
        <v>4028</v>
      </c>
      <c r="I113" s="12" t="s">
        <v>5485</v>
      </c>
      <c r="J113" s="12" t="s">
        <v>5201</v>
      </c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</row>
    <row r="159" ht="15.75" customHeight="1">
      <c r="A159" s="41"/>
      <c r="B159" s="41"/>
      <c r="C159" s="41"/>
      <c r="D159" s="41"/>
      <c r="E159" s="41"/>
      <c r="F159" s="41"/>
      <c r="G159" s="53"/>
      <c r="H159" s="41"/>
      <c r="I159" s="41"/>
      <c r="J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2.25"/>
    <col customWidth="1" min="2" max="2" width="51.25"/>
    <col customWidth="1" min="3" max="3" width="23.63"/>
    <col customWidth="1" min="4" max="4" width="18.63"/>
    <col customWidth="1" min="5" max="5" width="30.63"/>
    <col customWidth="1" min="6" max="7" width="28.5"/>
  </cols>
  <sheetData>
    <row r="1">
      <c r="A1" s="40" t="s">
        <v>5</v>
      </c>
      <c r="B1" s="45" t="s">
        <v>9</v>
      </c>
      <c r="C1" s="6" t="s">
        <v>5486</v>
      </c>
      <c r="D1" s="6" t="s">
        <v>5487</v>
      </c>
      <c r="E1" s="6" t="s">
        <v>5488</v>
      </c>
      <c r="F1" s="6" t="s">
        <v>5489</v>
      </c>
      <c r="G1" s="54"/>
    </row>
    <row r="2">
      <c r="A2" s="12" t="s">
        <v>3344</v>
      </c>
      <c r="B2" s="46" t="s">
        <v>34</v>
      </c>
      <c r="C2" s="55" t="s">
        <v>32</v>
      </c>
      <c r="D2" s="55" t="s">
        <v>3350</v>
      </c>
      <c r="E2" s="55" t="s">
        <v>12</v>
      </c>
      <c r="F2" s="55" t="s">
        <v>3352</v>
      </c>
      <c r="G2" s="12"/>
    </row>
    <row r="3">
      <c r="A3" s="12" t="s">
        <v>3346</v>
      </c>
      <c r="B3" s="46" t="s">
        <v>5490</v>
      </c>
      <c r="C3" s="55" t="s">
        <v>27</v>
      </c>
      <c r="D3" s="55" t="s">
        <v>3360</v>
      </c>
      <c r="E3" s="55" t="s">
        <v>12</v>
      </c>
      <c r="F3" s="55" t="s">
        <v>3401</v>
      </c>
      <c r="G3" s="12"/>
    </row>
    <row r="4">
      <c r="A4" s="12" t="s">
        <v>3350</v>
      </c>
      <c r="B4" s="46" t="s">
        <v>5491</v>
      </c>
      <c r="C4" s="11" t="s">
        <v>57</v>
      </c>
      <c r="D4" s="11" t="s">
        <v>3405</v>
      </c>
      <c r="E4" s="11" t="s">
        <v>12</v>
      </c>
      <c r="F4" s="11" t="s">
        <v>3401</v>
      </c>
      <c r="G4" s="12"/>
    </row>
    <row r="5">
      <c r="A5" s="12" t="s">
        <v>3352</v>
      </c>
      <c r="B5" s="46" t="s">
        <v>5492</v>
      </c>
      <c r="C5" s="11" t="s">
        <v>67</v>
      </c>
      <c r="D5" s="11" t="s">
        <v>3416</v>
      </c>
      <c r="E5" s="11" t="s">
        <v>12</v>
      </c>
      <c r="F5" s="11" t="s">
        <v>3401</v>
      </c>
      <c r="G5" s="12"/>
    </row>
    <row r="6">
      <c r="A6" s="12" t="s">
        <v>5493</v>
      </c>
      <c r="B6" s="46" t="s">
        <v>5494</v>
      </c>
      <c r="C6" s="11" t="s">
        <v>50</v>
      </c>
      <c r="D6" s="11" t="s">
        <v>3413</v>
      </c>
      <c r="E6" s="11" t="s">
        <v>12</v>
      </c>
      <c r="F6" s="11" t="s">
        <v>3401</v>
      </c>
      <c r="G6" s="12"/>
    </row>
    <row r="7">
      <c r="A7" s="12" t="s">
        <v>3354</v>
      </c>
      <c r="B7" s="46" t="s">
        <v>5495</v>
      </c>
      <c r="C7" s="11" t="s">
        <v>46</v>
      </c>
      <c r="D7" s="11" t="s">
        <v>3413</v>
      </c>
      <c r="E7" s="11" t="s">
        <v>12</v>
      </c>
      <c r="F7" s="11" t="s">
        <v>3401</v>
      </c>
      <c r="G7" s="12"/>
    </row>
    <row r="8">
      <c r="A8" s="12" t="s">
        <v>3368</v>
      </c>
      <c r="B8" s="46" t="s">
        <v>5496</v>
      </c>
      <c r="C8" s="11" t="s">
        <v>67</v>
      </c>
      <c r="D8" s="11" t="s">
        <v>3416</v>
      </c>
      <c r="E8" s="11" t="s">
        <v>12</v>
      </c>
      <c r="F8" s="11" t="s">
        <v>3401</v>
      </c>
      <c r="G8" s="12"/>
    </row>
    <row r="9">
      <c r="A9" s="12" t="s">
        <v>3370</v>
      </c>
      <c r="B9" s="46" t="s">
        <v>5497</v>
      </c>
      <c r="C9" s="11" t="s">
        <v>57</v>
      </c>
      <c r="D9" s="11" t="s">
        <v>3413</v>
      </c>
      <c r="E9" s="11" t="s">
        <v>12</v>
      </c>
      <c r="F9" s="11" t="s">
        <v>3401</v>
      </c>
      <c r="G9" s="12"/>
    </row>
    <row r="10">
      <c r="A10" s="12" t="s">
        <v>5498</v>
      </c>
      <c r="B10" s="46" t="s">
        <v>5499</v>
      </c>
      <c r="C10" s="11" t="s">
        <v>61</v>
      </c>
      <c r="D10" s="11" t="s">
        <v>3403</v>
      </c>
      <c r="E10" s="11" t="s">
        <v>12</v>
      </c>
      <c r="F10" s="11" t="s">
        <v>3401</v>
      </c>
      <c r="G10" s="12"/>
    </row>
    <row r="11">
      <c r="A11" s="12" t="s">
        <v>5500</v>
      </c>
      <c r="B11" s="46" t="s">
        <v>5501</v>
      </c>
      <c r="C11" s="11" t="s">
        <v>61</v>
      </c>
      <c r="D11" s="11" t="s">
        <v>3409</v>
      </c>
      <c r="E11" s="11" t="s">
        <v>12</v>
      </c>
      <c r="F11" s="11" t="s">
        <v>3401</v>
      </c>
      <c r="G11" s="12"/>
    </row>
    <row r="12">
      <c r="A12" s="12" t="s">
        <v>5502</v>
      </c>
      <c r="B12" s="46" t="s">
        <v>5503</v>
      </c>
      <c r="C12" s="11" t="s">
        <v>39</v>
      </c>
      <c r="D12" s="11" t="s">
        <v>3413</v>
      </c>
      <c r="E12" s="12"/>
      <c r="F12" s="12"/>
      <c r="G12" s="12"/>
    </row>
    <row r="13">
      <c r="A13" s="12" t="s">
        <v>5504</v>
      </c>
      <c r="B13" s="46" t="s">
        <v>82</v>
      </c>
      <c r="C13" s="11" t="s">
        <v>81</v>
      </c>
      <c r="D13" s="11" t="s">
        <v>3387</v>
      </c>
      <c r="E13" s="11" t="s">
        <v>12</v>
      </c>
      <c r="F13" s="11" t="s">
        <v>3413</v>
      </c>
      <c r="G13" s="12"/>
    </row>
    <row r="14">
      <c r="A14" s="12" t="s">
        <v>5505</v>
      </c>
      <c r="B14" s="46" t="s">
        <v>5506</v>
      </c>
      <c r="C14" s="11" t="s">
        <v>61</v>
      </c>
      <c r="D14" s="11" t="s">
        <v>3413</v>
      </c>
      <c r="E14" s="11" t="s">
        <v>12</v>
      </c>
      <c r="F14" s="11" t="s">
        <v>3401</v>
      </c>
      <c r="G14" s="12"/>
    </row>
    <row r="15">
      <c r="A15" s="12" t="s">
        <v>5507</v>
      </c>
      <c r="B15" s="46" t="s">
        <v>5508</v>
      </c>
      <c r="C15" s="11" t="s">
        <v>54</v>
      </c>
      <c r="D15" s="11" t="s">
        <v>3397</v>
      </c>
      <c r="E15" s="11" t="s">
        <v>12</v>
      </c>
      <c r="F15" s="11" t="s">
        <v>3401</v>
      </c>
      <c r="G15" s="12"/>
    </row>
    <row r="16">
      <c r="A16" s="12" t="s">
        <v>5509</v>
      </c>
      <c r="B16" s="46" t="s">
        <v>5510</v>
      </c>
      <c r="C16" s="11" t="s">
        <v>61</v>
      </c>
      <c r="D16" s="11" t="s">
        <v>3403</v>
      </c>
      <c r="E16" s="11" t="s">
        <v>12</v>
      </c>
      <c r="F16" s="11" t="s">
        <v>3401</v>
      </c>
      <c r="G16" s="12"/>
    </row>
    <row r="17">
      <c r="A17" s="12" t="s">
        <v>5511</v>
      </c>
      <c r="B17" s="46" t="s">
        <v>5512</v>
      </c>
      <c r="C17" s="11" t="s">
        <v>61</v>
      </c>
      <c r="D17" s="11" t="s">
        <v>3409</v>
      </c>
      <c r="E17" s="11" t="s">
        <v>12</v>
      </c>
      <c r="F17" s="11" t="s">
        <v>3401</v>
      </c>
      <c r="G17" s="12"/>
    </row>
    <row r="18">
      <c r="A18" s="12" t="s">
        <v>5513</v>
      </c>
      <c r="B18" s="46" t="s">
        <v>5091</v>
      </c>
      <c r="C18" s="11" t="s">
        <v>71</v>
      </c>
      <c r="D18" s="11" t="s">
        <v>3378</v>
      </c>
      <c r="E18" s="11" t="s">
        <v>12</v>
      </c>
      <c r="F18" s="11" t="s">
        <v>3401</v>
      </c>
      <c r="G18" s="12"/>
    </row>
    <row r="19">
      <c r="A19" s="12" t="s">
        <v>5514</v>
      </c>
      <c r="B19" s="46" t="s">
        <v>5515</v>
      </c>
      <c r="C19" s="11" t="s">
        <v>71</v>
      </c>
      <c r="D19" s="11" t="s">
        <v>3384</v>
      </c>
      <c r="E19" s="11" t="s">
        <v>12</v>
      </c>
      <c r="F19" s="11" t="s">
        <v>3401</v>
      </c>
      <c r="G19" s="12"/>
    </row>
    <row r="20">
      <c r="A20" s="12" t="s">
        <v>5516</v>
      </c>
      <c r="B20" s="46" t="s">
        <v>5517</v>
      </c>
      <c r="C20" s="11" t="s">
        <v>59</v>
      </c>
      <c r="D20" s="11" t="s">
        <v>3373</v>
      </c>
      <c r="E20" s="11" t="s">
        <v>12</v>
      </c>
      <c r="F20" s="11" t="s">
        <v>3401</v>
      </c>
      <c r="G20" s="12"/>
    </row>
    <row r="21" ht="15.75" customHeight="1">
      <c r="A21" s="41"/>
      <c r="B21" s="46"/>
      <c r="C21" s="41"/>
      <c r="D21" s="41"/>
      <c r="E21" s="41"/>
      <c r="F21" s="41"/>
      <c r="G21" s="41"/>
    </row>
    <row r="22" ht="15.75" customHeight="1">
      <c r="A22" s="41"/>
      <c r="B22" s="56" t="s">
        <v>12</v>
      </c>
      <c r="C22" s="56" t="s">
        <v>15</v>
      </c>
      <c r="D22" s="41"/>
      <c r="E22" s="56" t="s">
        <v>3344</v>
      </c>
      <c r="F22" s="56" t="s">
        <v>3345</v>
      </c>
      <c r="G22" s="57"/>
    </row>
    <row r="23" ht="15.75" customHeight="1">
      <c r="A23" s="41"/>
      <c r="B23" s="58" t="s">
        <v>17</v>
      </c>
      <c r="C23" s="58" t="s">
        <v>21</v>
      </c>
      <c r="D23" s="41"/>
      <c r="E23" s="58" t="s">
        <v>3346</v>
      </c>
      <c r="F23" s="58" t="s">
        <v>3348</v>
      </c>
      <c r="G23" s="57"/>
    </row>
    <row r="24" ht="15.75" customHeight="1">
      <c r="A24" s="41"/>
      <c r="B24" s="56" t="s">
        <v>23</v>
      </c>
      <c r="C24" s="56" t="s">
        <v>25</v>
      </c>
      <c r="D24" s="41"/>
      <c r="E24" s="56" t="s">
        <v>3350</v>
      </c>
      <c r="F24" s="56" t="s">
        <v>3351</v>
      </c>
      <c r="G24" s="57"/>
    </row>
    <row r="25" ht="15.75" customHeight="1">
      <c r="A25" s="41"/>
      <c r="B25" s="58" t="s">
        <v>27</v>
      </c>
      <c r="C25" s="58" t="s">
        <v>30</v>
      </c>
      <c r="D25" s="41"/>
      <c r="E25" s="58" t="s">
        <v>3352</v>
      </c>
      <c r="F25" s="58" t="s">
        <v>3353</v>
      </c>
      <c r="G25" s="57"/>
    </row>
    <row r="26" ht="15.75" customHeight="1">
      <c r="A26" s="41"/>
      <c r="B26" s="56" t="s">
        <v>32</v>
      </c>
      <c r="C26" s="56" t="s">
        <v>34</v>
      </c>
      <c r="D26" s="41"/>
      <c r="E26" s="56" t="s">
        <v>3354</v>
      </c>
      <c r="F26" s="56" t="s">
        <v>3355</v>
      </c>
      <c r="G26" s="57"/>
    </row>
    <row r="27" ht="15.75" customHeight="1">
      <c r="A27" s="41"/>
      <c r="B27" s="58" t="s">
        <v>35</v>
      </c>
      <c r="C27" s="58" t="s">
        <v>37</v>
      </c>
      <c r="D27" s="41"/>
      <c r="E27" s="58" t="s">
        <v>3356</v>
      </c>
      <c r="F27" s="58" t="s">
        <v>3357</v>
      </c>
      <c r="G27" s="57"/>
    </row>
    <row r="28" ht="15.75" customHeight="1">
      <c r="A28" s="41"/>
      <c r="B28" s="56" t="s">
        <v>39</v>
      </c>
      <c r="C28" s="56" t="s">
        <v>40</v>
      </c>
      <c r="D28" s="41"/>
      <c r="E28" s="56" t="s">
        <v>3358</v>
      </c>
      <c r="F28" s="56" t="s">
        <v>3359</v>
      </c>
      <c r="G28" s="57"/>
    </row>
    <row r="29" ht="15.75" customHeight="1">
      <c r="A29" s="41"/>
      <c r="B29" s="58" t="s">
        <v>42</v>
      </c>
      <c r="C29" s="58" t="s">
        <v>45</v>
      </c>
      <c r="D29" s="41"/>
      <c r="E29" s="58" t="s">
        <v>3360</v>
      </c>
      <c r="F29" s="58" t="s">
        <v>3361</v>
      </c>
      <c r="G29" s="57"/>
    </row>
    <row r="30" ht="15.75" customHeight="1">
      <c r="A30" s="41"/>
      <c r="B30" s="56" t="s">
        <v>46</v>
      </c>
      <c r="C30" s="56" t="s">
        <v>48</v>
      </c>
      <c r="D30" s="41"/>
      <c r="E30" s="56" t="s">
        <v>3363</v>
      </c>
      <c r="F30" s="56" t="s">
        <v>3364</v>
      </c>
      <c r="G30" s="57"/>
    </row>
    <row r="31" ht="15.75" customHeight="1">
      <c r="A31" s="41"/>
      <c r="B31" s="58" t="s">
        <v>50</v>
      </c>
      <c r="C31" s="58" t="s">
        <v>51</v>
      </c>
      <c r="D31" s="41"/>
      <c r="E31" s="58" t="s">
        <v>3366</v>
      </c>
      <c r="F31" s="58" t="s">
        <v>3367</v>
      </c>
      <c r="G31" s="57"/>
    </row>
    <row r="32" ht="15.75" customHeight="1">
      <c r="A32" s="41"/>
      <c r="B32" s="56" t="s">
        <v>52</v>
      </c>
      <c r="C32" s="56" t="s">
        <v>53</v>
      </c>
      <c r="D32" s="41"/>
      <c r="E32" s="56" t="s">
        <v>3368</v>
      </c>
      <c r="F32" s="56" t="s">
        <v>3369</v>
      </c>
      <c r="G32" s="57"/>
    </row>
    <row r="33" ht="15.75" customHeight="1">
      <c r="A33" s="41"/>
      <c r="B33" s="58" t="s">
        <v>54</v>
      </c>
      <c r="C33" s="58" t="s">
        <v>56</v>
      </c>
      <c r="D33" s="41"/>
      <c r="E33" s="58" t="s">
        <v>3370</v>
      </c>
      <c r="F33" s="58" t="s">
        <v>3371</v>
      </c>
      <c r="G33" s="57"/>
    </row>
    <row r="34" ht="15.75" customHeight="1">
      <c r="A34" s="41"/>
      <c r="B34" s="56" t="s">
        <v>57</v>
      </c>
      <c r="C34" s="56" t="s">
        <v>58</v>
      </c>
      <c r="D34" s="41"/>
      <c r="E34" s="56" t="s">
        <v>3373</v>
      </c>
      <c r="F34" s="56" t="s">
        <v>3375</v>
      </c>
      <c r="G34" s="57"/>
    </row>
    <row r="35" ht="15.75" customHeight="1">
      <c r="A35" s="41"/>
      <c r="B35" s="58" t="s">
        <v>59</v>
      </c>
      <c r="C35" s="58" t="s">
        <v>60</v>
      </c>
      <c r="D35" s="41"/>
      <c r="E35" s="58" t="s">
        <v>3376</v>
      </c>
      <c r="F35" s="58" t="s">
        <v>3377</v>
      </c>
      <c r="G35" s="57"/>
    </row>
    <row r="36" ht="15.75" customHeight="1">
      <c r="A36" s="41"/>
      <c r="B36" s="56" t="s">
        <v>61</v>
      </c>
      <c r="C36" s="56" t="s">
        <v>62</v>
      </c>
      <c r="D36" s="41"/>
      <c r="E36" s="56" t="s">
        <v>3378</v>
      </c>
      <c r="F36" s="56" t="s">
        <v>3379</v>
      </c>
      <c r="G36" s="57"/>
    </row>
    <row r="37" ht="15.75" customHeight="1">
      <c r="A37" s="41"/>
      <c r="B37" s="58" t="s">
        <v>65</v>
      </c>
      <c r="C37" s="58" t="s">
        <v>66</v>
      </c>
      <c r="D37" s="41"/>
      <c r="E37" s="58" t="s">
        <v>3381</v>
      </c>
      <c r="F37" s="58" t="s">
        <v>3383</v>
      </c>
      <c r="G37" s="57"/>
    </row>
    <row r="38" ht="15.75" customHeight="1">
      <c r="A38" s="41"/>
      <c r="B38" s="56" t="s">
        <v>67</v>
      </c>
      <c r="C38" s="56" t="s">
        <v>69</v>
      </c>
      <c r="D38" s="41"/>
      <c r="E38" s="56" t="s">
        <v>3384</v>
      </c>
      <c r="F38" s="56" t="s">
        <v>3385</v>
      </c>
      <c r="G38" s="57"/>
    </row>
    <row r="39" ht="15.75" customHeight="1">
      <c r="A39" s="41"/>
      <c r="B39" s="58" t="s">
        <v>71</v>
      </c>
      <c r="C39" s="58" t="s">
        <v>72</v>
      </c>
      <c r="D39" s="41"/>
      <c r="E39" s="58" t="s">
        <v>3387</v>
      </c>
      <c r="F39" s="58" t="s">
        <v>3388</v>
      </c>
      <c r="G39" s="57"/>
    </row>
    <row r="40" ht="15.75" customHeight="1">
      <c r="A40" s="41"/>
      <c r="B40" s="56" t="s">
        <v>73</v>
      </c>
      <c r="C40" s="56" t="s">
        <v>75</v>
      </c>
      <c r="D40" s="41"/>
      <c r="E40" s="56" t="s">
        <v>3389</v>
      </c>
      <c r="F40" s="56" t="s">
        <v>3391</v>
      </c>
      <c r="G40" s="57"/>
    </row>
    <row r="41" ht="15.75" customHeight="1">
      <c r="A41" s="41"/>
      <c r="B41" s="58" t="s">
        <v>76</v>
      </c>
      <c r="C41" s="58" t="s">
        <v>77</v>
      </c>
      <c r="D41" s="41"/>
      <c r="E41" s="58" t="s">
        <v>3393</v>
      </c>
      <c r="F41" s="58" t="s">
        <v>3394</v>
      </c>
      <c r="G41" s="57"/>
    </row>
    <row r="42" ht="15.75" customHeight="1">
      <c r="A42" s="41"/>
      <c r="B42" s="56" t="s">
        <v>78</v>
      </c>
      <c r="C42" s="56" t="s">
        <v>79</v>
      </c>
      <c r="D42" s="41"/>
      <c r="E42" s="56" t="s">
        <v>3395</v>
      </c>
      <c r="F42" s="56" t="s">
        <v>3396</v>
      </c>
      <c r="G42" s="57"/>
    </row>
    <row r="43" ht="15.75" customHeight="1">
      <c r="A43" s="41"/>
      <c r="B43" s="58" t="s">
        <v>81</v>
      </c>
      <c r="C43" s="58" t="s">
        <v>82</v>
      </c>
      <c r="D43" s="41"/>
      <c r="E43" s="58" t="s">
        <v>3397</v>
      </c>
      <c r="F43" s="58" t="s">
        <v>3399</v>
      </c>
      <c r="G43" s="57"/>
    </row>
    <row r="44" ht="15.75" customHeight="1">
      <c r="A44" s="41"/>
      <c r="B44" s="56" t="s">
        <v>83</v>
      </c>
      <c r="C44" s="56" t="s">
        <v>85</v>
      </c>
      <c r="D44" s="41"/>
      <c r="E44" s="56" t="s">
        <v>3401</v>
      </c>
      <c r="F44" s="56" t="s">
        <v>3402</v>
      </c>
      <c r="G44" s="57"/>
    </row>
    <row r="45" ht="15.75" customHeight="1">
      <c r="A45" s="41"/>
      <c r="B45" s="46"/>
      <c r="C45" s="41"/>
      <c r="D45" s="41"/>
      <c r="E45" s="58" t="s">
        <v>3403</v>
      </c>
      <c r="F45" s="58" t="s">
        <v>3404</v>
      </c>
      <c r="G45" s="57"/>
    </row>
    <row r="46" ht="15.75" customHeight="1">
      <c r="A46" s="41"/>
      <c r="B46" s="46"/>
      <c r="C46" s="41"/>
      <c r="D46" s="41"/>
      <c r="E46" s="56" t="s">
        <v>3405</v>
      </c>
      <c r="F46" s="56" t="s">
        <v>3408</v>
      </c>
      <c r="G46" s="57"/>
    </row>
    <row r="47" ht="15.75" customHeight="1">
      <c r="A47" s="41"/>
      <c r="B47" s="46"/>
      <c r="C47" s="41"/>
      <c r="D47" s="41"/>
      <c r="E47" s="58" t="s">
        <v>3409</v>
      </c>
      <c r="F47" s="58" t="s">
        <v>3410</v>
      </c>
      <c r="G47" s="57"/>
    </row>
    <row r="48" ht="15.75" customHeight="1">
      <c r="A48" s="41"/>
      <c r="B48" s="46"/>
      <c r="C48" s="41"/>
      <c r="D48" s="41"/>
      <c r="E48" s="56" t="s">
        <v>3411</v>
      </c>
      <c r="F48" s="56" t="s">
        <v>3412</v>
      </c>
      <c r="G48" s="57"/>
    </row>
    <row r="49" ht="15.75" customHeight="1">
      <c r="A49" s="41"/>
      <c r="B49" s="46"/>
      <c r="C49" s="41"/>
      <c r="D49" s="41"/>
      <c r="E49" s="58" t="s">
        <v>3413</v>
      </c>
      <c r="F49" s="58" t="s">
        <v>3414</v>
      </c>
      <c r="G49" s="57"/>
    </row>
    <row r="50" ht="15.75" customHeight="1">
      <c r="A50" s="41"/>
      <c r="B50" s="46"/>
      <c r="C50" s="41"/>
      <c r="D50" s="41"/>
      <c r="E50" s="56" t="s">
        <v>3416</v>
      </c>
      <c r="F50" s="56" t="s">
        <v>3417</v>
      </c>
      <c r="G50" s="57"/>
    </row>
    <row r="51" ht="15.75" customHeight="1">
      <c r="A51" s="41"/>
      <c r="B51" s="46"/>
      <c r="C51" s="41"/>
      <c r="D51" s="41"/>
      <c r="E51" s="58" t="s">
        <v>3419</v>
      </c>
      <c r="F51" s="58" t="s">
        <v>3420</v>
      </c>
      <c r="G51" s="57"/>
    </row>
    <row r="52" ht="15.75" customHeight="1">
      <c r="A52" s="41"/>
      <c r="B52" s="46"/>
      <c r="C52" s="41"/>
      <c r="D52" s="41"/>
      <c r="E52" s="56" t="s">
        <v>3421</v>
      </c>
      <c r="F52" s="56" t="s">
        <v>3422</v>
      </c>
      <c r="G52" s="57"/>
    </row>
    <row r="53" ht="15.75" customHeight="1">
      <c r="A53" s="41"/>
      <c r="B53" s="46"/>
      <c r="C53" s="41"/>
      <c r="D53" s="41"/>
      <c r="E53" s="41"/>
      <c r="F53" s="41"/>
      <c r="G53" s="41"/>
    </row>
    <row r="54" ht="15.75" customHeight="1">
      <c r="A54" s="41"/>
      <c r="B54" s="46"/>
      <c r="C54" s="41"/>
      <c r="D54" s="41"/>
      <c r="E54" s="41"/>
      <c r="F54" s="41"/>
      <c r="G54" s="41"/>
    </row>
    <row r="55" ht="15.75" customHeight="1">
      <c r="A55" s="41"/>
      <c r="B55" s="46"/>
      <c r="C55" s="41"/>
      <c r="D55" s="41"/>
      <c r="E55" s="41"/>
      <c r="F55" s="41"/>
      <c r="G55" s="41"/>
    </row>
    <row r="56" ht="15.75" customHeight="1">
      <c r="A56" s="41"/>
      <c r="B56" s="46"/>
      <c r="C56" s="41"/>
      <c r="D56" s="41"/>
      <c r="E56" s="41"/>
      <c r="F56" s="41"/>
      <c r="G56" s="41"/>
    </row>
    <row r="57" ht="15.75" customHeight="1">
      <c r="A57" s="41"/>
      <c r="B57" s="46"/>
      <c r="C57" s="41"/>
      <c r="D57" s="41"/>
      <c r="E57" s="41"/>
      <c r="F57" s="41"/>
      <c r="G57" s="41"/>
    </row>
    <row r="58" ht="15.75" customHeight="1">
      <c r="A58" s="41"/>
      <c r="B58" s="46"/>
      <c r="C58" s="41"/>
      <c r="D58" s="41"/>
      <c r="E58" s="41"/>
      <c r="F58" s="41"/>
      <c r="G58" s="41"/>
    </row>
    <row r="59" ht="15.75" customHeight="1">
      <c r="A59" s="41"/>
      <c r="B59" s="46"/>
      <c r="C59" s="41"/>
      <c r="D59" s="41"/>
      <c r="E59" s="41"/>
      <c r="F59" s="41"/>
      <c r="G59" s="41"/>
    </row>
    <row r="60" ht="15.75" customHeight="1">
      <c r="A60" s="41"/>
      <c r="B60" s="46"/>
      <c r="C60" s="41"/>
      <c r="D60" s="41"/>
      <c r="E60" s="41"/>
      <c r="F60" s="41"/>
      <c r="G60" s="41"/>
    </row>
    <row r="61" ht="15.75" customHeight="1">
      <c r="A61" s="41"/>
      <c r="B61" s="46"/>
      <c r="C61" s="41"/>
      <c r="D61" s="41"/>
      <c r="E61" s="41"/>
      <c r="F61" s="41"/>
      <c r="G61" s="41"/>
    </row>
    <row r="62" ht="15.75" customHeight="1">
      <c r="A62" s="41"/>
      <c r="B62" s="46"/>
      <c r="C62" s="41"/>
      <c r="D62" s="41"/>
      <c r="E62" s="41"/>
      <c r="F62" s="41"/>
      <c r="G62" s="41"/>
    </row>
    <row r="63" ht="15.75" customHeight="1">
      <c r="A63" s="41"/>
      <c r="B63" s="46"/>
      <c r="C63" s="41"/>
      <c r="D63" s="41"/>
      <c r="E63" s="41"/>
      <c r="F63" s="41"/>
      <c r="G63" s="41"/>
    </row>
    <row r="64" ht="15.75" customHeight="1">
      <c r="A64" s="41"/>
      <c r="B64" s="46"/>
      <c r="C64" s="41"/>
      <c r="D64" s="41"/>
      <c r="E64" s="41"/>
      <c r="F64" s="41"/>
      <c r="G64" s="41"/>
    </row>
    <row r="65" ht="15.75" customHeight="1">
      <c r="A65" s="41"/>
      <c r="B65" s="46"/>
      <c r="C65" s="41"/>
      <c r="D65" s="41"/>
      <c r="E65" s="41"/>
      <c r="F65" s="41"/>
      <c r="G65" s="41"/>
    </row>
    <row r="66" ht="15.75" customHeight="1">
      <c r="A66" s="41"/>
      <c r="B66" s="46"/>
      <c r="C66" s="41"/>
      <c r="D66" s="41"/>
      <c r="E66" s="41"/>
      <c r="F66" s="41"/>
      <c r="G66" s="41"/>
    </row>
    <row r="67" ht="15.75" customHeight="1">
      <c r="A67" s="41"/>
      <c r="B67" s="46"/>
      <c r="C67" s="41"/>
      <c r="D67" s="41"/>
      <c r="E67" s="41"/>
      <c r="F67" s="41"/>
      <c r="G67" s="41"/>
    </row>
    <row r="68" ht="15.75" customHeight="1">
      <c r="A68" s="41"/>
      <c r="B68" s="46"/>
      <c r="C68" s="41"/>
      <c r="D68" s="41"/>
      <c r="E68" s="41"/>
      <c r="F68" s="41"/>
      <c r="G68" s="41"/>
    </row>
    <row r="69" ht="15.75" customHeight="1">
      <c r="A69" s="41"/>
      <c r="B69" s="46"/>
      <c r="C69" s="41"/>
      <c r="D69" s="41"/>
      <c r="E69" s="41"/>
      <c r="F69" s="41"/>
      <c r="G69" s="41"/>
    </row>
    <row r="70" ht="15.75" customHeight="1">
      <c r="A70" s="41"/>
      <c r="B70" s="46"/>
      <c r="C70" s="41"/>
      <c r="D70" s="41"/>
      <c r="E70" s="41"/>
      <c r="F70" s="41"/>
      <c r="G70" s="41"/>
    </row>
    <row r="71" ht="15.75" customHeight="1">
      <c r="A71" s="41"/>
      <c r="B71" s="46"/>
      <c r="C71" s="41"/>
      <c r="D71" s="41"/>
      <c r="E71" s="41"/>
      <c r="F71" s="41"/>
      <c r="G71" s="41"/>
    </row>
    <row r="72" ht="15.75" customHeight="1">
      <c r="A72" s="41"/>
      <c r="B72" s="46"/>
      <c r="C72" s="41"/>
      <c r="D72" s="41"/>
      <c r="E72" s="41"/>
      <c r="F72" s="41"/>
      <c r="G72" s="41"/>
    </row>
    <row r="73" ht="15.75" customHeight="1">
      <c r="A73" s="41"/>
      <c r="B73" s="46"/>
      <c r="C73" s="41"/>
      <c r="D73" s="41"/>
      <c r="E73" s="41"/>
      <c r="F73" s="41"/>
      <c r="G73" s="41"/>
    </row>
    <row r="74" ht="15.75" customHeight="1">
      <c r="A74" s="41"/>
      <c r="B74" s="46"/>
      <c r="C74" s="41"/>
      <c r="D74" s="41"/>
      <c r="E74" s="41"/>
      <c r="F74" s="41"/>
      <c r="G74" s="41"/>
    </row>
    <row r="75" ht="15.75" customHeight="1">
      <c r="A75" s="41"/>
      <c r="B75" s="46"/>
      <c r="C75" s="41"/>
      <c r="D75" s="41"/>
      <c r="E75" s="41"/>
      <c r="F75" s="41"/>
      <c r="G75" s="41"/>
    </row>
    <row r="76" ht="15.75" customHeight="1">
      <c r="A76" s="41"/>
      <c r="B76" s="46"/>
      <c r="C76" s="41"/>
      <c r="D76" s="41"/>
      <c r="E76" s="41"/>
      <c r="F76" s="41"/>
      <c r="G76" s="41"/>
    </row>
    <row r="77" ht="15.75" customHeight="1">
      <c r="A77" s="41"/>
      <c r="B77" s="46"/>
      <c r="C77" s="41"/>
      <c r="D77" s="41"/>
      <c r="E77" s="41"/>
      <c r="F77" s="41"/>
      <c r="G77" s="41"/>
    </row>
    <row r="78" ht="15.75" customHeight="1">
      <c r="A78" s="41"/>
      <c r="B78" s="46"/>
      <c r="C78" s="41"/>
      <c r="D78" s="41"/>
      <c r="E78" s="41"/>
      <c r="F78" s="41"/>
      <c r="G78" s="41"/>
    </row>
    <row r="79" ht="15.75" customHeight="1">
      <c r="A79" s="41"/>
      <c r="B79" s="46"/>
      <c r="C79" s="41"/>
      <c r="D79" s="41"/>
      <c r="E79" s="41"/>
      <c r="F79" s="41"/>
      <c r="G79" s="41"/>
    </row>
    <row r="80" ht="15.75" customHeight="1">
      <c r="A80" s="41"/>
      <c r="B80" s="46"/>
      <c r="C80" s="41"/>
      <c r="D80" s="41"/>
      <c r="E80" s="41"/>
      <c r="F80" s="41"/>
      <c r="G80" s="41"/>
    </row>
    <row r="81" ht="15.75" customHeight="1">
      <c r="A81" s="41"/>
      <c r="B81" s="46"/>
      <c r="C81" s="41"/>
      <c r="D81" s="41"/>
      <c r="E81" s="41"/>
      <c r="F81" s="41"/>
      <c r="G81" s="41"/>
    </row>
    <row r="82" ht="15.75" customHeight="1">
      <c r="A82" s="41"/>
      <c r="B82" s="46"/>
      <c r="C82" s="41"/>
      <c r="D82" s="41"/>
      <c r="E82" s="41"/>
      <c r="F82" s="41"/>
      <c r="G82" s="41"/>
    </row>
    <row r="83" ht="15.75" customHeight="1">
      <c r="A83" s="41"/>
      <c r="B83" s="46"/>
      <c r="C83" s="41"/>
      <c r="D83" s="41"/>
      <c r="E83" s="41"/>
      <c r="F83" s="41"/>
      <c r="G83" s="41"/>
    </row>
    <row r="84" ht="15.75" customHeight="1">
      <c r="A84" s="41"/>
      <c r="B84" s="46"/>
      <c r="C84" s="41"/>
      <c r="D84" s="41"/>
      <c r="E84" s="41"/>
      <c r="F84" s="41"/>
      <c r="G84" s="41"/>
    </row>
    <row r="85" ht="15.75" customHeight="1">
      <c r="A85" s="41"/>
      <c r="B85" s="46"/>
      <c r="C85" s="41"/>
      <c r="D85" s="41"/>
      <c r="E85" s="41"/>
      <c r="F85" s="41"/>
      <c r="G85" s="41"/>
    </row>
    <row r="86" ht="15.75" customHeight="1">
      <c r="A86" s="41"/>
      <c r="B86" s="46"/>
      <c r="C86" s="41"/>
      <c r="D86" s="41"/>
      <c r="E86" s="41"/>
      <c r="F86" s="41"/>
      <c r="G86" s="41"/>
    </row>
    <row r="87" ht="15.75" customHeight="1">
      <c r="A87" s="41"/>
      <c r="B87" s="46"/>
      <c r="C87" s="41"/>
      <c r="D87" s="41"/>
      <c r="E87" s="41"/>
      <c r="F87" s="41"/>
      <c r="G87" s="41"/>
    </row>
    <row r="88" ht="15.75" customHeight="1">
      <c r="A88" s="41"/>
      <c r="B88" s="46"/>
      <c r="C88" s="41"/>
      <c r="D88" s="41"/>
      <c r="E88" s="41"/>
      <c r="F88" s="41"/>
      <c r="G88" s="41"/>
    </row>
    <row r="89" ht="15.75" customHeight="1">
      <c r="A89" s="41"/>
      <c r="B89" s="46"/>
      <c r="C89" s="41"/>
      <c r="D89" s="41"/>
      <c r="E89" s="41"/>
      <c r="F89" s="41"/>
      <c r="G89" s="41"/>
    </row>
    <row r="90" ht="15.75" customHeight="1">
      <c r="A90" s="41"/>
      <c r="B90" s="46"/>
      <c r="C90" s="41"/>
      <c r="D90" s="41"/>
      <c r="E90" s="41"/>
      <c r="F90" s="41"/>
      <c r="G90" s="41"/>
    </row>
    <row r="91" ht="15.75" customHeight="1">
      <c r="A91" s="41"/>
      <c r="B91" s="46"/>
      <c r="C91" s="41"/>
      <c r="D91" s="41"/>
      <c r="E91" s="41"/>
      <c r="F91" s="41"/>
      <c r="G91" s="41"/>
    </row>
    <row r="92" ht="15.75" customHeight="1">
      <c r="A92" s="41"/>
      <c r="B92" s="46"/>
      <c r="C92" s="41"/>
      <c r="D92" s="41"/>
      <c r="E92" s="41"/>
      <c r="F92" s="41"/>
      <c r="G92" s="41"/>
    </row>
    <row r="93" ht="15.75" customHeight="1">
      <c r="A93" s="41"/>
      <c r="B93" s="46"/>
      <c r="C93" s="41"/>
      <c r="D93" s="41"/>
      <c r="E93" s="41"/>
      <c r="F93" s="41"/>
      <c r="G93" s="41"/>
    </row>
    <row r="94" ht="15.75" customHeight="1">
      <c r="A94" s="41"/>
      <c r="B94" s="46"/>
      <c r="C94" s="41"/>
      <c r="D94" s="41"/>
      <c r="E94" s="41"/>
      <c r="F94" s="41"/>
      <c r="G94" s="41"/>
    </row>
    <row r="95" ht="15.75" customHeight="1">
      <c r="A95" s="41"/>
      <c r="B95" s="46"/>
      <c r="C95" s="41"/>
      <c r="D95" s="41"/>
      <c r="E95" s="41"/>
      <c r="F95" s="41"/>
      <c r="G95" s="41"/>
    </row>
    <row r="96" ht="15.75" customHeight="1">
      <c r="A96" s="41"/>
      <c r="B96" s="46"/>
      <c r="C96" s="41"/>
      <c r="D96" s="41"/>
      <c r="E96" s="41"/>
      <c r="F96" s="41"/>
      <c r="G96" s="41"/>
    </row>
    <row r="97" ht="15.75" customHeight="1">
      <c r="A97" s="41"/>
      <c r="B97" s="46"/>
      <c r="C97" s="41"/>
      <c r="D97" s="41"/>
      <c r="E97" s="41"/>
      <c r="F97" s="41"/>
      <c r="G97" s="41"/>
    </row>
    <row r="98" ht="15.75" customHeight="1">
      <c r="A98" s="41"/>
      <c r="B98" s="46"/>
      <c r="C98" s="41"/>
      <c r="D98" s="41"/>
      <c r="E98" s="41"/>
      <c r="F98" s="41"/>
      <c r="G98" s="41"/>
    </row>
    <row r="99" ht="15.75" customHeight="1">
      <c r="A99" s="41"/>
      <c r="B99" s="46"/>
      <c r="C99" s="41"/>
      <c r="D99" s="41"/>
      <c r="E99" s="41"/>
      <c r="F99" s="41"/>
      <c r="G99" s="41"/>
    </row>
    <row r="100" ht="15.75" customHeight="1">
      <c r="A100" s="41"/>
      <c r="B100" s="46"/>
      <c r="C100" s="41"/>
      <c r="D100" s="41"/>
      <c r="E100" s="41"/>
      <c r="F100" s="41"/>
      <c r="G100" s="41"/>
    </row>
    <row r="101" ht="15.75" customHeight="1">
      <c r="A101" s="41"/>
      <c r="B101" s="46"/>
      <c r="C101" s="41"/>
      <c r="D101" s="41"/>
      <c r="E101" s="41"/>
      <c r="F101" s="41"/>
      <c r="G101" s="41"/>
    </row>
    <row r="102" ht="15.75" customHeight="1">
      <c r="A102" s="41"/>
      <c r="B102" s="46"/>
      <c r="C102" s="41"/>
      <c r="D102" s="41"/>
      <c r="E102" s="41"/>
      <c r="F102" s="41"/>
      <c r="G102" s="41"/>
    </row>
    <row r="103" ht="15.75" customHeight="1">
      <c r="A103" s="41"/>
      <c r="B103" s="46"/>
      <c r="C103" s="41"/>
      <c r="D103" s="41"/>
      <c r="E103" s="41"/>
      <c r="F103" s="41"/>
      <c r="G103" s="41"/>
    </row>
    <row r="104" ht="15.75" customHeight="1">
      <c r="A104" s="41"/>
      <c r="B104" s="46"/>
      <c r="C104" s="41"/>
      <c r="D104" s="41"/>
      <c r="E104" s="41"/>
      <c r="F104" s="41"/>
      <c r="G104" s="41"/>
    </row>
    <row r="105" ht="15.75" customHeight="1">
      <c r="A105" s="41"/>
      <c r="B105" s="46"/>
      <c r="C105" s="41"/>
      <c r="D105" s="41"/>
      <c r="E105" s="41"/>
      <c r="F105" s="41"/>
      <c r="G105" s="41"/>
    </row>
    <row r="106" ht="15.75" customHeight="1">
      <c r="A106" s="41"/>
      <c r="B106" s="46"/>
      <c r="C106" s="41"/>
      <c r="D106" s="41"/>
      <c r="E106" s="41"/>
      <c r="F106" s="41"/>
      <c r="G106" s="41"/>
    </row>
    <row r="107" ht="15.75" customHeight="1">
      <c r="A107" s="41"/>
      <c r="B107" s="46"/>
      <c r="C107" s="41"/>
      <c r="D107" s="41"/>
      <c r="E107" s="41"/>
      <c r="F107" s="41"/>
      <c r="G107" s="41"/>
    </row>
    <row r="108" ht="15.75" customHeight="1">
      <c r="A108" s="41"/>
      <c r="B108" s="46"/>
      <c r="C108" s="41"/>
      <c r="D108" s="41"/>
      <c r="E108" s="41"/>
      <c r="F108" s="41"/>
      <c r="G108" s="41"/>
    </row>
    <row r="109" ht="15.75" customHeight="1">
      <c r="A109" s="41"/>
      <c r="B109" s="46"/>
      <c r="C109" s="41"/>
      <c r="D109" s="41"/>
      <c r="E109" s="41"/>
      <c r="F109" s="41"/>
      <c r="G109" s="41"/>
    </row>
    <row r="110" ht="15.75" customHeight="1">
      <c r="A110" s="41"/>
      <c r="B110" s="46"/>
      <c r="C110" s="41"/>
      <c r="D110" s="41"/>
      <c r="E110" s="41"/>
      <c r="F110" s="41"/>
      <c r="G110" s="41"/>
    </row>
    <row r="111" ht="15.75" customHeight="1">
      <c r="A111" s="41"/>
      <c r="B111" s="46"/>
      <c r="C111" s="41"/>
      <c r="D111" s="41"/>
      <c r="E111" s="41"/>
      <c r="F111" s="41"/>
      <c r="G111" s="41"/>
    </row>
    <row r="112" ht="15.75" customHeight="1">
      <c r="A112" s="41"/>
      <c r="B112" s="46"/>
      <c r="C112" s="41"/>
      <c r="D112" s="41"/>
      <c r="E112" s="41"/>
      <c r="F112" s="41"/>
      <c r="G112" s="41"/>
    </row>
    <row r="113" ht="15.75" customHeight="1">
      <c r="A113" s="41"/>
      <c r="B113" s="46"/>
      <c r="C113" s="41"/>
      <c r="D113" s="41"/>
      <c r="E113" s="41"/>
      <c r="F113" s="41"/>
      <c r="G113" s="41"/>
    </row>
    <row r="114" ht="15.75" customHeight="1">
      <c r="A114" s="41"/>
      <c r="B114" s="46"/>
      <c r="C114" s="41"/>
      <c r="D114" s="41"/>
      <c r="E114" s="41"/>
      <c r="F114" s="41"/>
      <c r="G114" s="41"/>
    </row>
    <row r="115" ht="15.75" customHeight="1">
      <c r="A115" s="41"/>
      <c r="B115" s="46"/>
      <c r="C115" s="41"/>
      <c r="D115" s="41"/>
      <c r="E115" s="41"/>
      <c r="F115" s="41"/>
      <c r="G115" s="41"/>
    </row>
    <row r="116" ht="15.75" customHeight="1">
      <c r="A116" s="41"/>
      <c r="B116" s="46"/>
      <c r="C116" s="41"/>
      <c r="D116" s="41"/>
      <c r="E116" s="41"/>
      <c r="F116" s="41"/>
      <c r="G116" s="41"/>
    </row>
    <row r="117" ht="15.75" customHeight="1">
      <c r="A117" s="41"/>
      <c r="B117" s="46"/>
      <c r="C117" s="41"/>
      <c r="D117" s="41"/>
      <c r="E117" s="41"/>
      <c r="F117" s="41"/>
      <c r="G117" s="41"/>
    </row>
    <row r="118" ht="15.75" customHeight="1">
      <c r="A118" s="41"/>
      <c r="B118" s="46"/>
      <c r="C118" s="41"/>
      <c r="D118" s="41"/>
      <c r="E118" s="41"/>
      <c r="F118" s="41"/>
      <c r="G118" s="41"/>
    </row>
    <row r="119" ht="15.75" customHeight="1">
      <c r="A119" s="41"/>
      <c r="B119" s="46"/>
      <c r="C119" s="41"/>
      <c r="D119" s="41"/>
      <c r="E119" s="41"/>
      <c r="F119" s="41"/>
      <c r="G119" s="41"/>
    </row>
    <row r="120" ht="15.75" customHeight="1">
      <c r="A120" s="41"/>
      <c r="B120" s="46"/>
      <c r="C120" s="41"/>
      <c r="D120" s="41"/>
      <c r="E120" s="41"/>
      <c r="F120" s="41"/>
      <c r="G120" s="41"/>
    </row>
    <row r="121" ht="15.75" customHeight="1">
      <c r="A121" s="41"/>
      <c r="B121" s="46"/>
      <c r="C121" s="41"/>
      <c r="D121" s="41"/>
      <c r="E121" s="41"/>
      <c r="F121" s="41"/>
      <c r="G121" s="41"/>
    </row>
    <row r="122" ht="15.75" customHeight="1">
      <c r="A122" s="41"/>
      <c r="B122" s="46"/>
      <c r="C122" s="41"/>
      <c r="D122" s="41"/>
      <c r="E122" s="41"/>
      <c r="F122" s="41"/>
      <c r="G122" s="41"/>
    </row>
    <row r="123" ht="15.75" customHeight="1">
      <c r="A123" s="41"/>
      <c r="B123" s="46"/>
      <c r="C123" s="41"/>
      <c r="D123" s="41"/>
      <c r="E123" s="41"/>
      <c r="F123" s="41"/>
      <c r="G123" s="41"/>
    </row>
    <row r="124" ht="15.75" customHeight="1">
      <c r="A124" s="41"/>
      <c r="B124" s="46"/>
      <c r="C124" s="41"/>
      <c r="D124" s="41"/>
      <c r="E124" s="41"/>
      <c r="F124" s="41"/>
      <c r="G124" s="41"/>
    </row>
    <row r="125" ht="15.75" customHeight="1">
      <c r="A125" s="41"/>
      <c r="B125" s="46"/>
      <c r="C125" s="41"/>
      <c r="D125" s="41"/>
      <c r="E125" s="41"/>
      <c r="F125" s="41"/>
      <c r="G125" s="41"/>
    </row>
    <row r="126" ht="15.75" customHeight="1">
      <c r="A126" s="41"/>
      <c r="B126" s="46"/>
      <c r="C126" s="41"/>
      <c r="D126" s="41"/>
      <c r="E126" s="41"/>
      <c r="F126" s="41"/>
      <c r="G126" s="41"/>
    </row>
    <row r="127" ht="15.75" customHeight="1">
      <c r="A127" s="41"/>
      <c r="B127" s="46"/>
      <c r="C127" s="41"/>
      <c r="D127" s="41"/>
      <c r="E127" s="41"/>
      <c r="F127" s="41"/>
      <c r="G127" s="41"/>
    </row>
    <row r="128" ht="15.75" customHeight="1">
      <c r="A128" s="41"/>
      <c r="B128" s="46"/>
      <c r="C128" s="41"/>
      <c r="D128" s="41"/>
      <c r="E128" s="41"/>
      <c r="F128" s="41"/>
      <c r="G128" s="41"/>
    </row>
    <row r="129" ht="15.75" customHeight="1">
      <c r="A129" s="41"/>
      <c r="B129" s="46"/>
      <c r="C129" s="41"/>
      <c r="D129" s="41"/>
      <c r="E129" s="41"/>
      <c r="F129" s="41"/>
      <c r="G129" s="41"/>
    </row>
    <row r="130" ht="15.75" customHeight="1">
      <c r="A130" s="41"/>
      <c r="B130" s="46"/>
      <c r="C130" s="41"/>
      <c r="D130" s="41"/>
      <c r="E130" s="41"/>
      <c r="F130" s="41"/>
      <c r="G130" s="41"/>
    </row>
    <row r="131" ht="15.75" customHeight="1">
      <c r="A131" s="41"/>
      <c r="B131" s="46"/>
      <c r="C131" s="41"/>
      <c r="D131" s="41"/>
      <c r="E131" s="41"/>
      <c r="F131" s="41"/>
      <c r="G131" s="41"/>
    </row>
    <row r="132" ht="15.75" customHeight="1">
      <c r="A132" s="41"/>
      <c r="B132" s="46"/>
      <c r="C132" s="41"/>
      <c r="D132" s="41"/>
      <c r="E132" s="41"/>
      <c r="F132" s="41"/>
      <c r="G132" s="41"/>
    </row>
    <row r="133" ht="15.75" customHeight="1">
      <c r="A133" s="41"/>
      <c r="B133" s="46"/>
      <c r="C133" s="41"/>
      <c r="D133" s="41"/>
      <c r="E133" s="41"/>
      <c r="F133" s="41"/>
      <c r="G133" s="41"/>
    </row>
    <row r="134" ht="15.75" customHeight="1">
      <c r="A134" s="41"/>
      <c r="B134" s="46"/>
      <c r="C134" s="41"/>
      <c r="D134" s="41"/>
      <c r="E134" s="41"/>
      <c r="F134" s="41"/>
      <c r="G134" s="41"/>
    </row>
    <row r="135" ht="15.75" customHeight="1">
      <c r="A135" s="41"/>
      <c r="B135" s="46"/>
      <c r="C135" s="41"/>
      <c r="D135" s="41"/>
      <c r="E135" s="41"/>
      <c r="F135" s="41"/>
      <c r="G135" s="41"/>
    </row>
    <row r="136" ht="15.75" customHeight="1">
      <c r="A136" s="41"/>
      <c r="B136" s="46"/>
      <c r="C136" s="41"/>
      <c r="D136" s="41"/>
      <c r="E136" s="41"/>
      <c r="F136" s="41"/>
      <c r="G136" s="41"/>
    </row>
    <row r="137" ht="15.75" customHeight="1">
      <c r="A137" s="41"/>
      <c r="B137" s="46"/>
      <c r="C137" s="41"/>
      <c r="D137" s="41"/>
      <c r="E137" s="41"/>
      <c r="F137" s="41"/>
      <c r="G137" s="41"/>
    </row>
    <row r="138" ht="15.75" customHeight="1">
      <c r="A138" s="41"/>
      <c r="B138" s="46"/>
      <c r="C138" s="41"/>
      <c r="D138" s="41"/>
      <c r="E138" s="41"/>
      <c r="F138" s="41"/>
      <c r="G138" s="41"/>
    </row>
    <row r="139" ht="15.75" customHeight="1">
      <c r="A139" s="41"/>
      <c r="B139" s="46"/>
      <c r="C139" s="41"/>
      <c r="D139" s="41"/>
      <c r="E139" s="41"/>
      <c r="F139" s="41"/>
      <c r="G139" s="41"/>
    </row>
    <row r="140" ht="15.75" customHeight="1">
      <c r="A140" s="41"/>
      <c r="B140" s="46"/>
      <c r="C140" s="41"/>
      <c r="D140" s="41"/>
      <c r="E140" s="41"/>
      <c r="F140" s="41"/>
      <c r="G140" s="41"/>
    </row>
    <row r="141" ht="15.75" customHeight="1">
      <c r="A141" s="41"/>
      <c r="B141" s="46"/>
      <c r="C141" s="41"/>
      <c r="D141" s="41"/>
      <c r="E141" s="41"/>
      <c r="F141" s="41"/>
      <c r="G141" s="41"/>
    </row>
    <row r="142" ht="15.75" customHeight="1">
      <c r="A142" s="41"/>
      <c r="B142" s="46"/>
      <c r="C142" s="41"/>
      <c r="D142" s="41"/>
      <c r="E142" s="41"/>
      <c r="F142" s="41"/>
      <c r="G142" s="41"/>
    </row>
    <row r="143" ht="15.75" customHeight="1">
      <c r="A143" s="41"/>
      <c r="B143" s="46"/>
      <c r="C143" s="41"/>
      <c r="D143" s="41"/>
      <c r="E143" s="41"/>
      <c r="F143" s="41"/>
      <c r="G143" s="41"/>
    </row>
    <row r="144" ht="15.75" customHeight="1">
      <c r="A144" s="41"/>
      <c r="B144" s="46"/>
      <c r="C144" s="41"/>
      <c r="D144" s="41"/>
      <c r="E144" s="41"/>
      <c r="F144" s="41"/>
      <c r="G144" s="41"/>
    </row>
    <row r="145" ht="15.75" customHeight="1">
      <c r="A145" s="41"/>
      <c r="B145" s="46"/>
      <c r="C145" s="41"/>
      <c r="D145" s="41"/>
      <c r="E145" s="41"/>
      <c r="F145" s="41"/>
      <c r="G145" s="41"/>
    </row>
    <row r="146" ht="15.75" customHeight="1">
      <c r="A146" s="41"/>
      <c r="B146" s="46"/>
      <c r="C146" s="41"/>
      <c r="D146" s="41"/>
      <c r="E146" s="41"/>
      <c r="F146" s="41"/>
      <c r="G146" s="41"/>
    </row>
    <row r="147" ht="15.75" customHeight="1">
      <c r="A147" s="41"/>
      <c r="B147" s="46"/>
      <c r="C147" s="41"/>
      <c r="D147" s="41"/>
      <c r="E147" s="41"/>
      <c r="F147" s="41"/>
      <c r="G147" s="41"/>
    </row>
    <row r="148" ht="15.75" customHeight="1">
      <c r="A148" s="41"/>
      <c r="B148" s="46"/>
      <c r="C148" s="41"/>
      <c r="D148" s="41"/>
      <c r="E148" s="41"/>
      <c r="F148" s="41"/>
      <c r="G148" s="41"/>
    </row>
    <row r="149" ht="15.75" customHeight="1">
      <c r="A149" s="41"/>
      <c r="B149" s="46"/>
      <c r="C149" s="41"/>
      <c r="D149" s="41"/>
      <c r="E149" s="41"/>
      <c r="F149" s="41"/>
      <c r="G149" s="41"/>
    </row>
    <row r="150" ht="15.75" customHeight="1">
      <c r="A150" s="41"/>
      <c r="B150" s="46"/>
      <c r="C150" s="41"/>
      <c r="D150" s="41"/>
      <c r="E150" s="41"/>
      <c r="F150" s="41"/>
      <c r="G150" s="41"/>
    </row>
    <row r="151" ht="15.75" customHeight="1">
      <c r="A151" s="41"/>
      <c r="B151" s="46"/>
      <c r="C151" s="41"/>
      <c r="D151" s="41"/>
      <c r="E151" s="41"/>
      <c r="F151" s="41"/>
      <c r="G151" s="41"/>
    </row>
    <row r="152" ht="15.75" customHeight="1">
      <c r="A152" s="41"/>
      <c r="B152" s="46"/>
      <c r="C152" s="41"/>
      <c r="D152" s="41"/>
      <c r="E152" s="41"/>
      <c r="F152" s="41"/>
      <c r="G152" s="41"/>
    </row>
    <row r="153" ht="15.75" customHeight="1">
      <c r="A153" s="41"/>
      <c r="B153" s="46"/>
      <c r="C153" s="41"/>
      <c r="D153" s="41"/>
      <c r="E153" s="41"/>
      <c r="F153" s="41"/>
      <c r="G153" s="41"/>
    </row>
    <row r="154" ht="15.75" customHeight="1">
      <c r="A154" s="41"/>
      <c r="B154" s="46"/>
      <c r="C154" s="41"/>
      <c r="D154" s="41"/>
      <c r="E154" s="41"/>
      <c r="F154" s="41"/>
      <c r="G154" s="41"/>
    </row>
    <row r="155" ht="15.75" customHeight="1">
      <c r="A155" s="41"/>
      <c r="B155" s="46"/>
      <c r="C155" s="41"/>
      <c r="D155" s="41"/>
      <c r="E155" s="41"/>
      <c r="F155" s="41"/>
      <c r="G155" s="41"/>
    </row>
    <row r="156" ht="15.75" customHeight="1">
      <c r="A156" s="41"/>
      <c r="B156" s="46"/>
      <c r="C156" s="41"/>
      <c r="D156" s="41"/>
      <c r="E156" s="41"/>
      <c r="F156" s="41"/>
      <c r="G156" s="41"/>
    </row>
    <row r="157" ht="15.75" customHeight="1">
      <c r="A157" s="41"/>
      <c r="B157" s="46"/>
      <c r="C157" s="41"/>
      <c r="D157" s="41"/>
      <c r="E157" s="41"/>
      <c r="F157" s="41"/>
      <c r="G157" s="41"/>
    </row>
    <row r="158" ht="15.75" customHeight="1">
      <c r="A158" s="41"/>
      <c r="B158" s="46"/>
      <c r="C158" s="41"/>
      <c r="D158" s="41"/>
      <c r="E158" s="41"/>
      <c r="F158" s="41"/>
      <c r="G158" s="41"/>
    </row>
    <row r="159" ht="15.75" customHeight="1">
      <c r="A159" s="41"/>
      <c r="B159" s="46"/>
      <c r="C159" s="41"/>
      <c r="D159" s="41"/>
      <c r="E159" s="41"/>
      <c r="F159" s="41"/>
      <c r="G159" s="41"/>
    </row>
    <row r="160" ht="15.75" customHeight="1">
      <c r="A160" s="41"/>
      <c r="B160" s="46"/>
      <c r="C160" s="41"/>
      <c r="D160" s="41"/>
      <c r="E160" s="41"/>
      <c r="F160" s="41"/>
      <c r="G160" s="41"/>
    </row>
    <row r="161" ht="15.75" customHeight="1">
      <c r="A161" s="41"/>
      <c r="B161" s="46"/>
      <c r="C161" s="41"/>
      <c r="D161" s="41"/>
      <c r="E161" s="41"/>
      <c r="F161" s="41"/>
      <c r="G161" s="41"/>
    </row>
    <row r="162" ht="15.75" customHeight="1">
      <c r="A162" s="41"/>
      <c r="B162" s="46"/>
      <c r="C162" s="41"/>
      <c r="D162" s="41"/>
      <c r="E162" s="41"/>
      <c r="F162" s="41"/>
      <c r="G162" s="41"/>
    </row>
    <row r="163" ht="15.75" customHeight="1">
      <c r="A163" s="41"/>
      <c r="B163" s="46"/>
      <c r="C163" s="41"/>
      <c r="D163" s="41"/>
      <c r="E163" s="41"/>
      <c r="F163" s="41"/>
      <c r="G163" s="41"/>
    </row>
    <row r="164" ht="15.75" customHeight="1">
      <c r="A164" s="41"/>
      <c r="B164" s="46"/>
      <c r="C164" s="41"/>
      <c r="D164" s="41"/>
      <c r="E164" s="41"/>
      <c r="F164" s="41"/>
      <c r="G164" s="41"/>
    </row>
    <row r="165" ht="15.75" customHeight="1">
      <c r="A165" s="41"/>
      <c r="B165" s="46"/>
      <c r="C165" s="41"/>
      <c r="D165" s="41"/>
      <c r="E165" s="41"/>
      <c r="F165" s="41"/>
      <c r="G165" s="41"/>
    </row>
    <row r="166" ht="15.75" customHeight="1">
      <c r="A166" s="41"/>
      <c r="B166" s="46"/>
      <c r="C166" s="41"/>
      <c r="D166" s="41"/>
      <c r="E166" s="41"/>
      <c r="F166" s="41"/>
      <c r="G166" s="41"/>
    </row>
    <row r="167" ht="15.75" customHeight="1">
      <c r="A167" s="41"/>
      <c r="B167" s="46"/>
      <c r="C167" s="41"/>
      <c r="D167" s="41"/>
      <c r="E167" s="41"/>
      <c r="F167" s="41"/>
      <c r="G167" s="41"/>
    </row>
    <row r="168" ht="15.75" customHeight="1">
      <c r="A168" s="41"/>
      <c r="B168" s="46"/>
      <c r="C168" s="41"/>
      <c r="D168" s="41"/>
      <c r="E168" s="41"/>
      <c r="F168" s="41"/>
      <c r="G168" s="41"/>
    </row>
    <row r="169" ht="15.75" customHeight="1">
      <c r="A169" s="41"/>
      <c r="B169" s="46"/>
      <c r="C169" s="41"/>
      <c r="D169" s="41"/>
      <c r="E169" s="41"/>
      <c r="F169" s="41"/>
      <c r="G169" s="41"/>
    </row>
    <row r="170" ht="15.75" customHeight="1">
      <c r="A170" s="41"/>
      <c r="B170" s="46"/>
      <c r="C170" s="41"/>
      <c r="D170" s="41"/>
      <c r="E170" s="41"/>
      <c r="F170" s="41"/>
      <c r="G170" s="41"/>
    </row>
    <row r="171" ht="15.75" customHeight="1">
      <c r="A171" s="41"/>
      <c r="B171" s="46"/>
      <c r="C171" s="41"/>
      <c r="D171" s="41"/>
      <c r="E171" s="41"/>
      <c r="F171" s="41"/>
      <c r="G171" s="41"/>
    </row>
    <row r="172" ht="15.75" customHeight="1">
      <c r="A172" s="41"/>
      <c r="B172" s="46"/>
      <c r="C172" s="41"/>
      <c r="D172" s="41"/>
      <c r="E172" s="41"/>
      <c r="F172" s="41"/>
      <c r="G172" s="41"/>
    </row>
    <row r="173" ht="15.75" customHeight="1">
      <c r="A173" s="41"/>
      <c r="B173" s="46"/>
      <c r="C173" s="41"/>
      <c r="D173" s="41"/>
      <c r="E173" s="41"/>
      <c r="F173" s="41"/>
      <c r="G173" s="41"/>
    </row>
    <row r="174" ht="15.75" customHeight="1">
      <c r="A174" s="41"/>
      <c r="B174" s="46"/>
      <c r="C174" s="41"/>
      <c r="D174" s="41"/>
      <c r="E174" s="41"/>
      <c r="F174" s="41"/>
      <c r="G174" s="41"/>
    </row>
    <row r="175" ht="15.75" customHeight="1">
      <c r="A175" s="41"/>
      <c r="B175" s="46"/>
      <c r="C175" s="41"/>
      <c r="D175" s="41"/>
      <c r="E175" s="41"/>
      <c r="F175" s="41"/>
      <c r="G175" s="41"/>
    </row>
    <row r="176" ht="15.75" customHeight="1">
      <c r="A176" s="41"/>
      <c r="B176" s="46"/>
      <c r="C176" s="41"/>
      <c r="D176" s="41"/>
      <c r="E176" s="41"/>
      <c r="F176" s="41"/>
      <c r="G176" s="41"/>
    </row>
    <row r="177" ht="15.75" customHeight="1">
      <c r="A177" s="41"/>
      <c r="B177" s="46"/>
      <c r="C177" s="41"/>
      <c r="D177" s="41"/>
      <c r="E177" s="41"/>
      <c r="F177" s="41"/>
      <c r="G177" s="41"/>
    </row>
    <row r="178" ht="15.75" customHeight="1">
      <c r="A178" s="41"/>
      <c r="B178" s="46"/>
      <c r="C178" s="41"/>
      <c r="D178" s="41"/>
      <c r="E178" s="41"/>
      <c r="F178" s="41"/>
      <c r="G178" s="41"/>
    </row>
    <row r="179" ht="15.75" customHeight="1">
      <c r="A179" s="41"/>
      <c r="B179" s="46"/>
      <c r="C179" s="41"/>
      <c r="D179" s="41"/>
      <c r="E179" s="41"/>
      <c r="F179" s="41"/>
      <c r="G179" s="41"/>
    </row>
    <row r="180" ht="15.75" customHeight="1">
      <c r="A180" s="41"/>
      <c r="B180" s="46"/>
      <c r="C180" s="41"/>
      <c r="D180" s="41"/>
      <c r="E180" s="41"/>
      <c r="F180" s="41"/>
      <c r="G180" s="41"/>
    </row>
    <row r="181" ht="15.75" customHeight="1">
      <c r="A181" s="41"/>
      <c r="B181" s="46"/>
      <c r="C181" s="41"/>
      <c r="D181" s="41"/>
      <c r="E181" s="41"/>
      <c r="F181" s="41"/>
      <c r="G181" s="41"/>
    </row>
    <row r="182" ht="15.75" customHeight="1">
      <c r="A182" s="41"/>
      <c r="B182" s="46"/>
      <c r="C182" s="41"/>
      <c r="D182" s="41"/>
      <c r="E182" s="41"/>
      <c r="F182" s="41"/>
      <c r="G182" s="41"/>
    </row>
    <row r="183" ht="15.75" customHeight="1">
      <c r="A183" s="41"/>
      <c r="B183" s="46"/>
      <c r="C183" s="41"/>
      <c r="D183" s="41"/>
      <c r="E183" s="41"/>
      <c r="F183" s="41"/>
      <c r="G183" s="41"/>
    </row>
    <row r="184" ht="15.75" customHeight="1">
      <c r="A184" s="41"/>
      <c r="B184" s="46"/>
      <c r="C184" s="41"/>
      <c r="D184" s="41"/>
      <c r="E184" s="41"/>
      <c r="F184" s="41"/>
      <c r="G184" s="41"/>
    </row>
    <row r="185" ht="15.75" customHeight="1">
      <c r="A185" s="41"/>
      <c r="B185" s="46"/>
      <c r="C185" s="41"/>
      <c r="D185" s="41"/>
      <c r="E185" s="41"/>
      <c r="F185" s="41"/>
      <c r="G185" s="41"/>
    </row>
    <row r="186" ht="15.75" customHeight="1">
      <c r="A186" s="41"/>
      <c r="B186" s="46"/>
      <c r="C186" s="41"/>
      <c r="D186" s="41"/>
      <c r="E186" s="41"/>
      <c r="F186" s="41"/>
      <c r="G186" s="41"/>
    </row>
    <row r="187" ht="15.75" customHeight="1">
      <c r="A187" s="41"/>
      <c r="B187" s="46"/>
      <c r="C187" s="41"/>
      <c r="D187" s="41"/>
      <c r="E187" s="41"/>
      <c r="F187" s="41"/>
      <c r="G187" s="41"/>
    </row>
    <row r="188" ht="15.75" customHeight="1">
      <c r="A188" s="41"/>
      <c r="B188" s="46"/>
      <c r="C188" s="41"/>
      <c r="D188" s="41"/>
      <c r="E188" s="41"/>
      <c r="F188" s="41"/>
      <c r="G188" s="41"/>
    </row>
    <row r="189" ht="15.75" customHeight="1">
      <c r="A189" s="41"/>
      <c r="B189" s="46"/>
      <c r="C189" s="41"/>
      <c r="D189" s="41"/>
      <c r="E189" s="41"/>
      <c r="F189" s="41"/>
      <c r="G189" s="41"/>
    </row>
    <row r="190" ht="15.75" customHeight="1">
      <c r="A190" s="41"/>
      <c r="B190" s="46"/>
      <c r="C190" s="41"/>
      <c r="D190" s="41"/>
      <c r="E190" s="41"/>
      <c r="F190" s="41"/>
      <c r="G190" s="41"/>
    </row>
    <row r="191" ht="15.75" customHeight="1">
      <c r="A191" s="41"/>
      <c r="B191" s="46"/>
      <c r="C191" s="41"/>
      <c r="D191" s="41"/>
      <c r="E191" s="41"/>
      <c r="F191" s="41"/>
      <c r="G191" s="41"/>
    </row>
    <row r="192" ht="15.75" customHeight="1">
      <c r="A192" s="41"/>
      <c r="B192" s="46"/>
      <c r="C192" s="41"/>
      <c r="D192" s="41"/>
      <c r="E192" s="41"/>
      <c r="F192" s="41"/>
      <c r="G192" s="41"/>
    </row>
    <row r="193" ht="15.75" customHeight="1">
      <c r="A193" s="41"/>
      <c r="B193" s="46"/>
      <c r="C193" s="41"/>
      <c r="D193" s="41"/>
      <c r="E193" s="41"/>
      <c r="F193" s="41"/>
      <c r="G193" s="41"/>
    </row>
    <row r="194" ht="15.75" customHeight="1">
      <c r="A194" s="41"/>
      <c r="B194" s="46"/>
      <c r="C194" s="41"/>
      <c r="D194" s="41"/>
      <c r="E194" s="41"/>
      <c r="F194" s="41"/>
      <c r="G194" s="41"/>
    </row>
    <row r="195" ht="15.75" customHeight="1">
      <c r="A195" s="41"/>
      <c r="B195" s="46"/>
      <c r="C195" s="41"/>
      <c r="D195" s="41"/>
      <c r="E195" s="41"/>
      <c r="F195" s="41"/>
      <c r="G195" s="41"/>
    </row>
    <row r="196" ht="15.75" customHeight="1">
      <c r="A196" s="41"/>
      <c r="B196" s="46"/>
      <c r="C196" s="41"/>
      <c r="D196" s="41"/>
      <c r="E196" s="41"/>
      <c r="F196" s="41"/>
      <c r="G196" s="41"/>
    </row>
    <row r="197" ht="15.75" customHeight="1">
      <c r="A197" s="41"/>
      <c r="B197" s="46"/>
      <c r="C197" s="41"/>
      <c r="D197" s="41"/>
      <c r="E197" s="41"/>
      <c r="F197" s="41"/>
      <c r="G197" s="41"/>
    </row>
    <row r="198" ht="15.75" customHeight="1">
      <c r="A198" s="41"/>
      <c r="B198" s="46"/>
      <c r="C198" s="41"/>
      <c r="D198" s="41"/>
      <c r="E198" s="41"/>
      <c r="F198" s="41"/>
      <c r="G198" s="41"/>
    </row>
    <row r="199" ht="15.75" customHeight="1">
      <c r="A199" s="41"/>
      <c r="B199" s="46"/>
      <c r="C199" s="41"/>
      <c r="D199" s="41"/>
      <c r="E199" s="41"/>
      <c r="F199" s="41"/>
      <c r="G199" s="41"/>
    </row>
    <row r="200" ht="15.75" customHeight="1">
      <c r="A200" s="41"/>
      <c r="B200" s="46"/>
      <c r="C200" s="41"/>
      <c r="D200" s="41"/>
      <c r="E200" s="41"/>
      <c r="F200" s="41"/>
      <c r="G200" s="41"/>
    </row>
    <row r="201" ht="15.75" customHeight="1">
      <c r="A201" s="41"/>
      <c r="B201" s="46"/>
      <c r="C201" s="41"/>
      <c r="D201" s="41"/>
      <c r="E201" s="41"/>
      <c r="F201" s="41"/>
      <c r="G201" s="41"/>
    </row>
    <row r="202" ht="15.75" customHeight="1">
      <c r="A202" s="41"/>
      <c r="B202" s="46"/>
      <c r="C202" s="41"/>
      <c r="D202" s="41"/>
      <c r="E202" s="41"/>
      <c r="F202" s="41"/>
      <c r="G202" s="41"/>
    </row>
    <row r="203" ht="15.75" customHeight="1">
      <c r="A203" s="41"/>
      <c r="B203" s="46"/>
      <c r="C203" s="41"/>
      <c r="D203" s="41"/>
      <c r="E203" s="41"/>
      <c r="F203" s="41"/>
      <c r="G203" s="41"/>
    </row>
    <row r="204" ht="15.75" customHeight="1">
      <c r="A204" s="41"/>
      <c r="B204" s="46"/>
      <c r="C204" s="41"/>
      <c r="D204" s="41"/>
      <c r="E204" s="41"/>
      <c r="F204" s="41"/>
      <c r="G204" s="41"/>
    </row>
    <row r="205" ht="15.75" customHeight="1">
      <c r="A205" s="41"/>
      <c r="B205" s="46"/>
      <c r="C205" s="41"/>
      <c r="D205" s="41"/>
      <c r="E205" s="41"/>
      <c r="F205" s="41"/>
      <c r="G205" s="41"/>
    </row>
    <row r="206" ht="15.75" customHeight="1">
      <c r="A206" s="41"/>
      <c r="B206" s="46"/>
      <c r="C206" s="41"/>
      <c r="D206" s="41"/>
      <c r="E206" s="41"/>
      <c r="F206" s="41"/>
      <c r="G206" s="41"/>
    </row>
    <row r="207" ht="15.75" customHeight="1">
      <c r="A207" s="41"/>
      <c r="B207" s="46"/>
      <c r="C207" s="41"/>
      <c r="D207" s="41"/>
      <c r="E207" s="41"/>
      <c r="F207" s="41"/>
      <c r="G207" s="41"/>
    </row>
    <row r="208" ht="15.75" customHeight="1">
      <c r="A208" s="41"/>
      <c r="B208" s="46"/>
      <c r="C208" s="41"/>
      <c r="D208" s="41"/>
      <c r="E208" s="41"/>
      <c r="F208" s="41"/>
      <c r="G208" s="41"/>
    </row>
    <row r="209" ht="15.75" customHeight="1">
      <c r="A209" s="41"/>
      <c r="B209" s="46"/>
      <c r="C209" s="41"/>
      <c r="D209" s="41"/>
      <c r="E209" s="41"/>
      <c r="F209" s="41"/>
      <c r="G209" s="41"/>
    </row>
    <row r="210" ht="15.75" customHeight="1">
      <c r="A210" s="41"/>
      <c r="B210" s="46"/>
      <c r="C210" s="41"/>
      <c r="D210" s="41"/>
      <c r="E210" s="41"/>
      <c r="F210" s="41"/>
      <c r="G210" s="41"/>
    </row>
    <row r="211" ht="15.75" customHeight="1">
      <c r="A211" s="41"/>
      <c r="B211" s="46"/>
      <c r="C211" s="41"/>
      <c r="D211" s="41"/>
      <c r="E211" s="41"/>
      <c r="F211" s="41"/>
      <c r="G211" s="41"/>
    </row>
    <row r="212" ht="15.75" customHeight="1">
      <c r="A212" s="41"/>
      <c r="B212" s="46"/>
      <c r="C212" s="41"/>
      <c r="D212" s="41"/>
      <c r="E212" s="41"/>
      <c r="F212" s="41"/>
      <c r="G212" s="41"/>
    </row>
    <row r="213" ht="15.75" customHeight="1">
      <c r="A213" s="41"/>
      <c r="B213" s="46"/>
      <c r="C213" s="41"/>
      <c r="D213" s="41"/>
      <c r="E213" s="41"/>
      <c r="F213" s="41"/>
      <c r="G213" s="41"/>
    </row>
    <row r="214" ht="15.75" customHeight="1">
      <c r="A214" s="41"/>
      <c r="B214" s="46"/>
      <c r="C214" s="41"/>
      <c r="D214" s="41"/>
      <c r="E214" s="41"/>
      <c r="F214" s="41"/>
      <c r="G214" s="41"/>
    </row>
    <row r="215" ht="15.75" customHeight="1">
      <c r="A215" s="41"/>
      <c r="B215" s="46"/>
      <c r="C215" s="41"/>
      <c r="D215" s="41"/>
      <c r="E215" s="41"/>
      <c r="F215" s="41"/>
      <c r="G215" s="41"/>
    </row>
    <row r="216" ht="15.75" customHeight="1">
      <c r="A216" s="41"/>
      <c r="B216" s="46"/>
      <c r="C216" s="41"/>
      <c r="D216" s="41"/>
      <c r="E216" s="41"/>
      <c r="F216" s="41"/>
      <c r="G216" s="41"/>
    </row>
    <row r="217" ht="15.75" customHeight="1">
      <c r="A217" s="41"/>
      <c r="B217" s="46"/>
      <c r="C217" s="41"/>
      <c r="D217" s="41"/>
      <c r="E217" s="41"/>
      <c r="F217" s="41"/>
      <c r="G217" s="41"/>
    </row>
    <row r="218" ht="15.75" customHeight="1">
      <c r="A218" s="41"/>
      <c r="B218" s="46"/>
      <c r="C218" s="41"/>
      <c r="D218" s="41"/>
      <c r="E218" s="41"/>
      <c r="F218" s="41"/>
      <c r="G218" s="41"/>
    </row>
    <row r="219" ht="15.75" customHeight="1">
      <c r="A219" s="41"/>
      <c r="B219" s="46"/>
      <c r="C219" s="41"/>
      <c r="D219" s="41"/>
      <c r="E219" s="41"/>
      <c r="F219" s="41"/>
      <c r="G219" s="41"/>
    </row>
    <row r="220" ht="15.75" customHeight="1">
      <c r="A220" s="41"/>
      <c r="B220" s="46"/>
      <c r="C220" s="41"/>
      <c r="D220" s="41"/>
      <c r="E220" s="41"/>
      <c r="F220" s="41"/>
      <c r="G220" s="41"/>
    </row>
    <row r="221" ht="15.75" customHeight="1">
      <c r="A221" s="41"/>
      <c r="B221" s="46"/>
      <c r="C221" s="41"/>
      <c r="D221" s="41"/>
      <c r="E221" s="41"/>
      <c r="F221" s="41"/>
      <c r="G221" s="41"/>
    </row>
    <row r="222" ht="15.75" customHeight="1">
      <c r="A222" s="41"/>
      <c r="B222" s="46"/>
      <c r="C222" s="41"/>
      <c r="D222" s="41"/>
      <c r="E222" s="41"/>
      <c r="F222" s="41"/>
      <c r="G222" s="41"/>
    </row>
    <row r="223" ht="15.75" customHeight="1">
      <c r="A223" s="41"/>
      <c r="B223" s="46"/>
      <c r="C223" s="41"/>
      <c r="D223" s="41"/>
      <c r="E223" s="41"/>
      <c r="F223" s="41"/>
      <c r="G223" s="41"/>
    </row>
    <row r="224" ht="15.75" customHeight="1">
      <c r="A224" s="41"/>
      <c r="B224" s="46"/>
      <c r="C224" s="41"/>
      <c r="D224" s="41"/>
      <c r="E224" s="41"/>
      <c r="F224" s="41"/>
      <c r="G224" s="41"/>
    </row>
    <row r="225" ht="15.75" customHeight="1">
      <c r="A225" s="41"/>
      <c r="B225" s="46"/>
      <c r="C225" s="41"/>
      <c r="D225" s="41"/>
      <c r="E225" s="41"/>
      <c r="F225" s="41"/>
      <c r="G225" s="41"/>
    </row>
    <row r="226" ht="15.75" customHeight="1">
      <c r="A226" s="41"/>
      <c r="B226" s="46"/>
      <c r="C226" s="41"/>
      <c r="D226" s="41"/>
      <c r="E226" s="41"/>
      <c r="F226" s="41"/>
      <c r="G226" s="41"/>
    </row>
    <row r="227" ht="15.75" customHeight="1">
      <c r="A227" s="41"/>
      <c r="B227" s="46"/>
      <c r="C227" s="41"/>
      <c r="D227" s="41"/>
      <c r="E227" s="41"/>
      <c r="F227" s="41"/>
      <c r="G227" s="41"/>
    </row>
    <row r="228" ht="15.75" customHeight="1">
      <c r="A228" s="41"/>
      <c r="B228" s="46"/>
      <c r="C228" s="41"/>
      <c r="D228" s="41"/>
      <c r="E228" s="41"/>
      <c r="F228" s="41"/>
      <c r="G228" s="41"/>
    </row>
    <row r="229" ht="15.75" customHeight="1">
      <c r="A229" s="41"/>
      <c r="B229" s="46"/>
      <c r="C229" s="41"/>
      <c r="D229" s="41"/>
      <c r="E229" s="41"/>
      <c r="F229" s="41"/>
      <c r="G229" s="41"/>
    </row>
    <row r="230" ht="15.75" customHeight="1">
      <c r="A230" s="41"/>
      <c r="B230" s="46"/>
      <c r="C230" s="41"/>
      <c r="D230" s="41"/>
      <c r="E230" s="41"/>
      <c r="F230" s="41"/>
      <c r="G230" s="41"/>
    </row>
    <row r="231" ht="15.75" customHeight="1">
      <c r="A231" s="41"/>
      <c r="B231" s="46"/>
      <c r="C231" s="41"/>
      <c r="D231" s="41"/>
      <c r="E231" s="41"/>
      <c r="F231" s="41"/>
      <c r="G231" s="41"/>
    </row>
    <row r="232" ht="15.75" customHeight="1">
      <c r="A232" s="41"/>
      <c r="B232" s="46"/>
      <c r="C232" s="41"/>
      <c r="D232" s="41"/>
      <c r="E232" s="41"/>
      <c r="F232" s="41"/>
      <c r="G232" s="41"/>
    </row>
    <row r="233" ht="15.75" customHeight="1">
      <c r="A233" s="41"/>
      <c r="B233" s="46"/>
      <c r="C233" s="41"/>
      <c r="D233" s="41"/>
      <c r="E233" s="41"/>
      <c r="F233" s="41"/>
      <c r="G233" s="41"/>
    </row>
    <row r="234" ht="15.75" customHeight="1">
      <c r="A234" s="41"/>
      <c r="B234" s="46"/>
      <c r="C234" s="41"/>
      <c r="D234" s="41"/>
      <c r="E234" s="41"/>
      <c r="F234" s="41"/>
      <c r="G234" s="41"/>
    </row>
    <row r="235" ht="15.75" customHeight="1">
      <c r="A235" s="41"/>
      <c r="B235" s="46"/>
      <c r="C235" s="41"/>
      <c r="D235" s="41"/>
      <c r="E235" s="41"/>
      <c r="F235" s="41"/>
      <c r="G235" s="41"/>
    </row>
    <row r="236" ht="15.75" customHeight="1">
      <c r="A236" s="41"/>
      <c r="B236" s="46"/>
      <c r="C236" s="41"/>
      <c r="D236" s="41"/>
      <c r="E236" s="41"/>
      <c r="F236" s="41"/>
      <c r="G236" s="41"/>
    </row>
    <row r="237" ht="15.75" customHeight="1">
      <c r="A237" s="41"/>
      <c r="B237" s="46"/>
      <c r="C237" s="41"/>
      <c r="D237" s="41"/>
      <c r="E237" s="41"/>
      <c r="F237" s="41"/>
      <c r="G237" s="41"/>
    </row>
    <row r="238" ht="15.75" customHeight="1">
      <c r="A238" s="41"/>
      <c r="B238" s="46"/>
      <c r="C238" s="41"/>
      <c r="D238" s="41"/>
      <c r="E238" s="41"/>
      <c r="F238" s="41"/>
      <c r="G238" s="41"/>
    </row>
    <row r="239" ht="15.75" customHeight="1">
      <c r="A239" s="41"/>
      <c r="B239" s="46"/>
      <c r="C239" s="41"/>
      <c r="D239" s="41"/>
      <c r="E239" s="41"/>
      <c r="F239" s="41"/>
      <c r="G239" s="41"/>
    </row>
    <row r="240" ht="15.75" customHeight="1">
      <c r="A240" s="41"/>
      <c r="B240" s="46"/>
      <c r="C240" s="41"/>
      <c r="D240" s="41"/>
      <c r="E240" s="41"/>
      <c r="F240" s="41"/>
      <c r="G240" s="41"/>
    </row>
    <row r="241" ht="15.75" customHeight="1">
      <c r="A241" s="41"/>
      <c r="B241" s="46"/>
      <c r="C241" s="41"/>
      <c r="D241" s="41"/>
      <c r="E241" s="41"/>
      <c r="F241" s="41"/>
      <c r="G241" s="41"/>
    </row>
    <row r="242" ht="15.75" customHeight="1">
      <c r="A242" s="41"/>
      <c r="B242" s="46"/>
      <c r="C242" s="41"/>
      <c r="D242" s="41"/>
      <c r="E242" s="41"/>
      <c r="F242" s="41"/>
      <c r="G242" s="41"/>
    </row>
    <row r="243" ht="15.75" customHeight="1">
      <c r="A243" s="41"/>
      <c r="B243" s="46"/>
      <c r="C243" s="41"/>
      <c r="D243" s="41"/>
      <c r="E243" s="41"/>
      <c r="F243" s="41"/>
      <c r="G243" s="41"/>
    </row>
    <row r="244" ht="15.75" customHeight="1">
      <c r="A244" s="41"/>
      <c r="B244" s="46"/>
      <c r="C244" s="41"/>
      <c r="D244" s="41"/>
      <c r="E244" s="41"/>
      <c r="F244" s="41"/>
      <c r="G244" s="41"/>
    </row>
    <row r="245" ht="15.75" customHeight="1">
      <c r="A245" s="41"/>
      <c r="B245" s="46"/>
      <c r="C245" s="41"/>
      <c r="D245" s="41"/>
      <c r="E245" s="41"/>
      <c r="F245" s="41"/>
      <c r="G245" s="41"/>
    </row>
    <row r="246" ht="15.75" customHeight="1">
      <c r="A246" s="41"/>
      <c r="B246" s="46"/>
      <c r="C246" s="41"/>
      <c r="D246" s="41"/>
      <c r="E246" s="41"/>
      <c r="F246" s="41"/>
      <c r="G246" s="41"/>
    </row>
    <row r="247" ht="15.75" customHeight="1">
      <c r="A247" s="41"/>
      <c r="B247" s="46"/>
      <c r="C247" s="41"/>
      <c r="D247" s="41"/>
      <c r="E247" s="41"/>
      <c r="F247" s="41"/>
      <c r="G247" s="41"/>
    </row>
    <row r="248" ht="15.75" customHeight="1">
      <c r="A248" s="41"/>
      <c r="B248" s="46"/>
      <c r="C248" s="41"/>
      <c r="D248" s="41"/>
      <c r="E248" s="41"/>
      <c r="F248" s="41"/>
      <c r="G248" s="41"/>
    </row>
    <row r="249" ht="15.75" customHeight="1">
      <c r="A249" s="41"/>
      <c r="B249" s="46"/>
      <c r="C249" s="41"/>
      <c r="D249" s="41"/>
      <c r="E249" s="41"/>
      <c r="F249" s="41"/>
      <c r="G249" s="41"/>
    </row>
    <row r="250" ht="15.75" customHeight="1">
      <c r="A250" s="41"/>
      <c r="B250" s="46"/>
      <c r="C250" s="41"/>
      <c r="D250" s="41"/>
      <c r="E250" s="41"/>
      <c r="F250" s="41"/>
      <c r="G250" s="41"/>
    </row>
    <row r="251" ht="15.75" customHeight="1">
      <c r="A251" s="41"/>
      <c r="B251" s="46"/>
      <c r="C251" s="41"/>
      <c r="D251" s="41"/>
      <c r="E251" s="41"/>
      <c r="F251" s="41"/>
      <c r="G251" s="41"/>
    </row>
    <row r="252" ht="15.75" customHeight="1">
      <c r="A252" s="41"/>
      <c r="B252" s="46"/>
      <c r="C252" s="41"/>
      <c r="D252" s="41"/>
      <c r="E252" s="41"/>
      <c r="F252" s="41"/>
      <c r="G252" s="41"/>
    </row>
    <row r="253" ht="15.75" customHeight="1">
      <c r="A253" s="41"/>
      <c r="B253" s="46"/>
      <c r="C253" s="41"/>
      <c r="D253" s="41"/>
      <c r="E253" s="41"/>
      <c r="F253" s="41"/>
      <c r="G253" s="41"/>
    </row>
    <row r="254" ht="15.75" customHeight="1">
      <c r="A254" s="41"/>
      <c r="B254" s="46"/>
      <c r="C254" s="41"/>
      <c r="D254" s="41"/>
      <c r="E254" s="41"/>
      <c r="F254" s="41"/>
      <c r="G254" s="41"/>
    </row>
    <row r="255" ht="15.75" customHeight="1">
      <c r="A255" s="41"/>
      <c r="B255" s="46"/>
      <c r="C255" s="41"/>
      <c r="D255" s="41"/>
      <c r="E255" s="41"/>
      <c r="F255" s="41"/>
      <c r="G255" s="41"/>
    </row>
    <row r="256" ht="15.75" customHeight="1">
      <c r="A256" s="41"/>
      <c r="B256" s="46"/>
      <c r="C256" s="41"/>
      <c r="D256" s="41"/>
      <c r="E256" s="41"/>
      <c r="F256" s="41"/>
      <c r="G256" s="41"/>
    </row>
    <row r="257" ht="15.75" customHeight="1">
      <c r="A257" s="41"/>
      <c r="B257" s="46"/>
      <c r="C257" s="41"/>
      <c r="D257" s="41"/>
      <c r="E257" s="41"/>
      <c r="F257" s="41"/>
      <c r="G257" s="41"/>
    </row>
    <row r="258" ht="15.75" customHeight="1">
      <c r="A258" s="41"/>
      <c r="B258" s="46"/>
      <c r="C258" s="41"/>
      <c r="D258" s="41"/>
      <c r="E258" s="41"/>
      <c r="F258" s="41"/>
      <c r="G258" s="41"/>
    </row>
    <row r="259" ht="15.75" customHeight="1">
      <c r="A259" s="41"/>
      <c r="B259" s="46"/>
      <c r="C259" s="41"/>
      <c r="D259" s="41"/>
      <c r="E259" s="41"/>
      <c r="F259" s="41"/>
      <c r="G259" s="41"/>
    </row>
    <row r="260" ht="15.75" customHeight="1">
      <c r="A260" s="41"/>
      <c r="B260" s="46"/>
      <c r="C260" s="41"/>
      <c r="D260" s="41"/>
      <c r="E260" s="41"/>
      <c r="F260" s="41"/>
      <c r="G260" s="41"/>
    </row>
    <row r="261" ht="15.75" customHeight="1">
      <c r="A261" s="41"/>
      <c r="B261" s="46"/>
      <c r="C261" s="41"/>
      <c r="D261" s="41"/>
      <c r="E261" s="41"/>
      <c r="F261" s="41"/>
      <c r="G261" s="41"/>
    </row>
    <row r="262" ht="15.75" customHeight="1">
      <c r="A262" s="41"/>
      <c r="B262" s="46"/>
      <c r="C262" s="41"/>
      <c r="D262" s="41"/>
      <c r="E262" s="41"/>
      <c r="F262" s="41"/>
      <c r="G262" s="41"/>
    </row>
    <row r="263" ht="15.75" customHeight="1">
      <c r="A263" s="41"/>
      <c r="B263" s="46"/>
      <c r="C263" s="41"/>
      <c r="D263" s="41"/>
      <c r="E263" s="41"/>
      <c r="F263" s="41"/>
      <c r="G263" s="41"/>
    </row>
    <row r="264" ht="15.75" customHeight="1">
      <c r="A264" s="41"/>
      <c r="B264" s="46"/>
      <c r="C264" s="41"/>
      <c r="D264" s="41"/>
      <c r="E264" s="41"/>
      <c r="F264" s="41"/>
      <c r="G264" s="41"/>
    </row>
    <row r="265" ht="15.75" customHeight="1">
      <c r="A265" s="41"/>
      <c r="B265" s="46"/>
      <c r="C265" s="41"/>
      <c r="D265" s="41"/>
      <c r="E265" s="41"/>
      <c r="F265" s="41"/>
      <c r="G265" s="41"/>
    </row>
    <row r="266" ht="15.75" customHeight="1">
      <c r="A266" s="41"/>
      <c r="B266" s="46"/>
      <c r="C266" s="41"/>
      <c r="D266" s="41"/>
      <c r="E266" s="41"/>
      <c r="F266" s="41"/>
      <c r="G266" s="41"/>
    </row>
    <row r="267" ht="15.75" customHeight="1">
      <c r="A267" s="41"/>
      <c r="B267" s="46"/>
      <c r="C267" s="41"/>
      <c r="D267" s="41"/>
      <c r="E267" s="41"/>
      <c r="F267" s="41"/>
      <c r="G267" s="41"/>
    </row>
    <row r="268" ht="15.75" customHeight="1">
      <c r="A268" s="41"/>
      <c r="B268" s="46"/>
      <c r="C268" s="41"/>
      <c r="D268" s="41"/>
      <c r="E268" s="41"/>
      <c r="F268" s="41"/>
      <c r="G268" s="41"/>
    </row>
    <row r="269" ht="15.75" customHeight="1">
      <c r="A269" s="41"/>
      <c r="B269" s="46"/>
      <c r="C269" s="41"/>
      <c r="D269" s="41"/>
      <c r="E269" s="41"/>
      <c r="F269" s="41"/>
      <c r="G269" s="41"/>
    </row>
    <row r="270" ht="15.75" customHeight="1">
      <c r="A270" s="41"/>
      <c r="B270" s="46"/>
      <c r="C270" s="41"/>
      <c r="D270" s="41"/>
      <c r="E270" s="41"/>
      <c r="F270" s="41"/>
      <c r="G270" s="41"/>
    </row>
    <row r="271" ht="15.75" customHeight="1">
      <c r="A271" s="41"/>
      <c r="B271" s="46"/>
      <c r="C271" s="41"/>
      <c r="D271" s="41"/>
      <c r="E271" s="41"/>
      <c r="F271" s="41"/>
      <c r="G271" s="41"/>
    </row>
    <row r="272" ht="15.75" customHeight="1">
      <c r="A272" s="41"/>
      <c r="B272" s="46"/>
      <c r="C272" s="41"/>
      <c r="D272" s="41"/>
      <c r="E272" s="41"/>
      <c r="F272" s="41"/>
      <c r="G272" s="41"/>
    </row>
    <row r="273" ht="15.75" customHeight="1">
      <c r="A273" s="41"/>
      <c r="B273" s="46"/>
      <c r="C273" s="41"/>
      <c r="D273" s="41"/>
      <c r="E273" s="41"/>
      <c r="F273" s="41"/>
      <c r="G273" s="41"/>
    </row>
    <row r="274" ht="15.75" customHeight="1">
      <c r="A274" s="41"/>
      <c r="B274" s="46"/>
      <c r="C274" s="41"/>
      <c r="D274" s="41"/>
      <c r="E274" s="41"/>
      <c r="F274" s="41"/>
      <c r="G274" s="41"/>
    </row>
    <row r="275" ht="15.75" customHeight="1">
      <c r="A275" s="41"/>
      <c r="B275" s="46"/>
      <c r="C275" s="41"/>
      <c r="D275" s="41"/>
      <c r="E275" s="41"/>
      <c r="F275" s="41"/>
      <c r="G275" s="41"/>
    </row>
    <row r="276" ht="15.75" customHeight="1">
      <c r="A276" s="41"/>
      <c r="B276" s="46"/>
      <c r="C276" s="41"/>
      <c r="D276" s="41"/>
      <c r="E276" s="41"/>
      <c r="F276" s="41"/>
      <c r="G276" s="41"/>
    </row>
    <row r="277" ht="15.75" customHeight="1">
      <c r="A277" s="41"/>
      <c r="B277" s="46"/>
      <c r="C277" s="41"/>
      <c r="D277" s="41"/>
      <c r="E277" s="41"/>
      <c r="F277" s="41"/>
      <c r="G277" s="41"/>
    </row>
    <row r="278" ht="15.75" customHeight="1">
      <c r="A278" s="41"/>
      <c r="B278" s="46"/>
      <c r="C278" s="41"/>
      <c r="D278" s="41"/>
      <c r="E278" s="41"/>
      <c r="F278" s="41"/>
      <c r="G278" s="41"/>
    </row>
    <row r="279" ht="15.75" customHeight="1">
      <c r="A279" s="41"/>
      <c r="B279" s="46"/>
      <c r="C279" s="41"/>
      <c r="D279" s="41"/>
      <c r="E279" s="41"/>
      <c r="F279" s="41"/>
      <c r="G279" s="41"/>
    </row>
    <row r="280" ht="15.75" customHeight="1">
      <c r="A280" s="41"/>
      <c r="B280" s="46"/>
      <c r="C280" s="41"/>
      <c r="D280" s="41"/>
      <c r="E280" s="41"/>
      <c r="F280" s="41"/>
      <c r="G280" s="41"/>
    </row>
    <row r="281" ht="15.75" customHeight="1">
      <c r="A281" s="41"/>
      <c r="B281" s="46"/>
      <c r="C281" s="41"/>
      <c r="D281" s="41"/>
      <c r="E281" s="41"/>
      <c r="F281" s="41"/>
      <c r="G281" s="41"/>
    </row>
    <row r="282" ht="15.75" customHeight="1">
      <c r="A282" s="41"/>
      <c r="B282" s="46"/>
      <c r="C282" s="41"/>
      <c r="D282" s="41"/>
      <c r="E282" s="41"/>
      <c r="F282" s="41"/>
      <c r="G282" s="41"/>
    </row>
    <row r="283" ht="15.75" customHeight="1">
      <c r="A283" s="41"/>
      <c r="B283" s="46"/>
      <c r="C283" s="41"/>
      <c r="D283" s="41"/>
      <c r="E283" s="41"/>
      <c r="F283" s="41"/>
      <c r="G283" s="41"/>
    </row>
    <row r="284" ht="15.75" customHeight="1">
      <c r="A284" s="41"/>
      <c r="B284" s="46"/>
      <c r="C284" s="41"/>
      <c r="D284" s="41"/>
      <c r="E284" s="41"/>
      <c r="F284" s="41"/>
      <c r="G284" s="41"/>
    </row>
    <row r="285" ht="15.75" customHeight="1">
      <c r="A285" s="41"/>
      <c r="B285" s="46"/>
      <c r="C285" s="41"/>
      <c r="D285" s="41"/>
      <c r="E285" s="41"/>
      <c r="F285" s="41"/>
      <c r="G285" s="41"/>
    </row>
    <row r="286" ht="15.75" customHeight="1">
      <c r="A286" s="41"/>
      <c r="B286" s="46"/>
      <c r="C286" s="41"/>
      <c r="D286" s="41"/>
      <c r="E286" s="41"/>
      <c r="F286" s="41"/>
      <c r="G286" s="41"/>
    </row>
    <row r="287" ht="15.75" customHeight="1">
      <c r="A287" s="41"/>
      <c r="B287" s="46"/>
      <c r="C287" s="41"/>
      <c r="D287" s="41"/>
      <c r="E287" s="41"/>
      <c r="F287" s="41"/>
      <c r="G287" s="41"/>
    </row>
    <row r="288" ht="15.75" customHeight="1">
      <c r="A288" s="41"/>
      <c r="B288" s="46"/>
      <c r="C288" s="41"/>
      <c r="D288" s="41"/>
      <c r="E288" s="41"/>
      <c r="F288" s="41"/>
      <c r="G288" s="41"/>
    </row>
    <row r="289" ht="15.75" customHeight="1">
      <c r="A289" s="41"/>
      <c r="B289" s="46"/>
      <c r="C289" s="41"/>
      <c r="D289" s="41"/>
      <c r="E289" s="41"/>
      <c r="F289" s="41"/>
      <c r="G289" s="41"/>
    </row>
    <row r="290" ht="15.75" customHeight="1">
      <c r="A290" s="41"/>
      <c r="B290" s="46"/>
      <c r="C290" s="41"/>
      <c r="D290" s="41"/>
      <c r="E290" s="41"/>
      <c r="F290" s="41"/>
      <c r="G290" s="41"/>
    </row>
    <row r="291" ht="15.75" customHeight="1">
      <c r="A291" s="41"/>
      <c r="B291" s="46"/>
      <c r="C291" s="41"/>
      <c r="D291" s="41"/>
      <c r="E291" s="41"/>
      <c r="F291" s="41"/>
      <c r="G291" s="41"/>
    </row>
    <row r="292" ht="15.75" customHeight="1">
      <c r="A292" s="41"/>
      <c r="B292" s="46"/>
      <c r="C292" s="41"/>
      <c r="D292" s="41"/>
      <c r="E292" s="41"/>
      <c r="F292" s="41"/>
      <c r="G292" s="41"/>
    </row>
    <row r="293" ht="15.75" customHeight="1">
      <c r="A293" s="41"/>
      <c r="B293" s="46"/>
      <c r="C293" s="41"/>
      <c r="D293" s="41"/>
      <c r="E293" s="41"/>
      <c r="F293" s="41"/>
      <c r="G293" s="41"/>
    </row>
    <row r="294" ht="15.75" customHeight="1">
      <c r="A294" s="41"/>
      <c r="B294" s="46"/>
      <c r="C294" s="41"/>
      <c r="D294" s="41"/>
      <c r="E294" s="41"/>
      <c r="F294" s="41"/>
      <c r="G294" s="41"/>
    </row>
    <row r="295" ht="15.75" customHeight="1">
      <c r="A295" s="41"/>
      <c r="B295" s="46"/>
      <c r="C295" s="41"/>
      <c r="D295" s="41"/>
      <c r="E295" s="41"/>
      <c r="F295" s="41"/>
      <c r="G295" s="41"/>
    </row>
    <row r="296" ht="15.75" customHeight="1">
      <c r="A296" s="41"/>
      <c r="B296" s="46"/>
      <c r="C296" s="41"/>
      <c r="D296" s="41"/>
      <c r="E296" s="41"/>
      <c r="F296" s="41"/>
      <c r="G296" s="41"/>
    </row>
    <row r="297" ht="15.75" customHeight="1">
      <c r="A297" s="41"/>
      <c r="B297" s="46"/>
      <c r="C297" s="41"/>
      <c r="D297" s="41"/>
      <c r="E297" s="41"/>
      <c r="F297" s="41"/>
      <c r="G297" s="41"/>
    </row>
    <row r="298" ht="15.75" customHeight="1">
      <c r="A298" s="41"/>
      <c r="B298" s="46"/>
      <c r="C298" s="41"/>
      <c r="D298" s="41"/>
      <c r="E298" s="41"/>
      <c r="F298" s="41"/>
      <c r="G298" s="41"/>
    </row>
    <row r="299" ht="15.75" customHeight="1">
      <c r="A299" s="41"/>
      <c r="B299" s="46"/>
      <c r="C299" s="41"/>
      <c r="D299" s="41"/>
      <c r="E299" s="41"/>
      <c r="F299" s="41"/>
      <c r="G299" s="41"/>
    </row>
    <row r="300" ht="15.75" customHeight="1">
      <c r="A300" s="41"/>
      <c r="B300" s="46"/>
      <c r="C300" s="41"/>
      <c r="D300" s="41"/>
      <c r="E300" s="41"/>
      <c r="F300" s="41"/>
      <c r="G300" s="41"/>
    </row>
    <row r="301" ht="15.75" customHeight="1">
      <c r="A301" s="41"/>
      <c r="B301" s="46"/>
      <c r="C301" s="41"/>
      <c r="D301" s="41"/>
      <c r="E301" s="41"/>
      <c r="F301" s="41"/>
      <c r="G301" s="41"/>
    </row>
    <row r="302" ht="15.75" customHeight="1">
      <c r="A302" s="41"/>
      <c r="B302" s="46"/>
      <c r="C302" s="41"/>
      <c r="D302" s="41"/>
      <c r="E302" s="41"/>
      <c r="F302" s="41"/>
      <c r="G302" s="41"/>
    </row>
    <row r="303" ht="15.75" customHeight="1">
      <c r="A303" s="41"/>
      <c r="B303" s="46"/>
      <c r="C303" s="41"/>
      <c r="D303" s="41"/>
      <c r="E303" s="41"/>
      <c r="F303" s="41"/>
      <c r="G303" s="41"/>
    </row>
    <row r="304" ht="15.75" customHeight="1">
      <c r="A304" s="41"/>
      <c r="B304" s="46"/>
      <c r="C304" s="41"/>
      <c r="D304" s="41"/>
      <c r="E304" s="41"/>
      <c r="F304" s="41"/>
      <c r="G304" s="41"/>
    </row>
    <row r="305" ht="15.75" customHeight="1">
      <c r="A305" s="41"/>
      <c r="B305" s="46"/>
      <c r="C305" s="41"/>
      <c r="D305" s="41"/>
      <c r="E305" s="41"/>
      <c r="F305" s="41"/>
      <c r="G305" s="41"/>
    </row>
    <row r="306" ht="15.75" customHeight="1">
      <c r="A306" s="41"/>
      <c r="B306" s="46"/>
      <c r="C306" s="41"/>
      <c r="D306" s="41"/>
      <c r="E306" s="41"/>
      <c r="F306" s="41"/>
      <c r="G306" s="41"/>
    </row>
    <row r="307" ht="15.75" customHeight="1">
      <c r="A307" s="41"/>
      <c r="B307" s="46"/>
      <c r="C307" s="41"/>
      <c r="D307" s="41"/>
      <c r="E307" s="41"/>
      <c r="F307" s="41"/>
      <c r="G307" s="41"/>
    </row>
    <row r="308" ht="15.75" customHeight="1">
      <c r="A308" s="41"/>
      <c r="B308" s="46"/>
      <c r="C308" s="41"/>
      <c r="D308" s="41"/>
      <c r="E308" s="41"/>
      <c r="F308" s="41"/>
      <c r="G308" s="41"/>
    </row>
    <row r="309" ht="15.75" customHeight="1">
      <c r="A309" s="41"/>
      <c r="B309" s="46"/>
      <c r="C309" s="41"/>
      <c r="D309" s="41"/>
      <c r="E309" s="41"/>
      <c r="F309" s="41"/>
      <c r="G309" s="41"/>
    </row>
    <row r="310" ht="15.75" customHeight="1">
      <c r="A310" s="41"/>
      <c r="B310" s="46"/>
      <c r="C310" s="41"/>
      <c r="D310" s="41"/>
      <c r="E310" s="41"/>
      <c r="F310" s="41"/>
      <c r="G310" s="41"/>
    </row>
    <row r="311" ht="15.75" customHeight="1">
      <c r="A311" s="41"/>
      <c r="B311" s="46"/>
      <c r="C311" s="41"/>
      <c r="D311" s="41"/>
      <c r="E311" s="41"/>
      <c r="F311" s="41"/>
      <c r="G311" s="41"/>
    </row>
    <row r="312" ht="15.75" customHeight="1">
      <c r="A312" s="41"/>
      <c r="B312" s="46"/>
      <c r="C312" s="41"/>
      <c r="D312" s="41"/>
      <c r="E312" s="41"/>
      <c r="F312" s="41"/>
      <c r="G312" s="41"/>
    </row>
    <row r="313" ht="15.75" customHeight="1">
      <c r="A313" s="41"/>
      <c r="B313" s="46"/>
      <c r="C313" s="41"/>
      <c r="D313" s="41"/>
      <c r="E313" s="41"/>
      <c r="F313" s="41"/>
      <c r="G313" s="41"/>
    </row>
    <row r="314" ht="15.75" customHeight="1">
      <c r="A314" s="41"/>
      <c r="B314" s="46"/>
      <c r="C314" s="41"/>
      <c r="D314" s="41"/>
      <c r="E314" s="41"/>
      <c r="F314" s="41"/>
      <c r="G314" s="41"/>
    </row>
    <row r="315" ht="15.75" customHeight="1">
      <c r="A315" s="41"/>
      <c r="B315" s="46"/>
      <c r="C315" s="41"/>
      <c r="D315" s="41"/>
      <c r="E315" s="41"/>
      <c r="F315" s="41"/>
      <c r="G315" s="41"/>
    </row>
    <row r="316" ht="15.75" customHeight="1">
      <c r="A316" s="41"/>
      <c r="B316" s="46"/>
      <c r="C316" s="41"/>
      <c r="D316" s="41"/>
      <c r="E316" s="41"/>
      <c r="F316" s="41"/>
      <c r="G316" s="41"/>
    </row>
    <row r="317" ht="15.75" customHeight="1">
      <c r="A317" s="41"/>
      <c r="B317" s="46"/>
      <c r="C317" s="41"/>
      <c r="D317" s="41"/>
      <c r="E317" s="41"/>
      <c r="F317" s="41"/>
      <c r="G317" s="41"/>
    </row>
    <row r="318" ht="15.75" customHeight="1">
      <c r="A318" s="41"/>
      <c r="B318" s="46"/>
      <c r="C318" s="41"/>
      <c r="D318" s="41"/>
      <c r="E318" s="41"/>
      <c r="F318" s="41"/>
      <c r="G318" s="41"/>
    </row>
    <row r="319" ht="15.75" customHeight="1">
      <c r="A319" s="41"/>
      <c r="B319" s="46"/>
      <c r="C319" s="41"/>
      <c r="D319" s="41"/>
      <c r="E319" s="41"/>
      <c r="F319" s="41"/>
      <c r="G319" s="41"/>
    </row>
    <row r="320" ht="15.75" customHeight="1">
      <c r="A320" s="41"/>
      <c r="B320" s="46"/>
      <c r="C320" s="41"/>
      <c r="D320" s="41"/>
      <c r="E320" s="41"/>
      <c r="F320" s="41"/>
      <c r="G320" s="41"/>
    </row>
    <row r="321" ht="15.75" customHeight="1">
      <c r="A321" s="41"/>
      <c r="B321" s="46"/>
      <c r="C321" s="41"/>
      <c r="D321" s="41"/>
      <c r="E321" s="41"/>
      <c r="F321" s="41"/>
      <c r="G321" s="41"/>
    </row>
    <row r="322" ht="15.75" customHeight="1">
      <c r="A322" s="41"/>
      <c r="B322" s="46"/>
      <c r="C322" s="41"/>
      <c r="D322" s="41"/>
      <c r="E322" s="41"/>
      <c r="F322" s="41"/>
      <c r="G322" s="41"/>
    </row>
    <row r="323" ht="15.75" customHeight="1">
      <c r="A323" s="41"/>
      <c r="B323" s="46"/>
      <c r="C323" s="41"/>
      <c r="D323" s="41"/>
      <c r="E323" s="41"/>
      <c r="F323" s="41"/>
      <c r="G323" s="41"/>
    </row>
    <row r="324" ht="15.75" customHeight="1">
      <c r="A324" s="41"/>
      <c r="B324" s="46"/>
      <c r="C324" s="41"/>
      <c r="D324" s="41"/>
      <c r="E324" s="41"/>
      <c r="F324" s="41"/>
      <c r="G324" s="41"/>
    </row>
    <row r="325" ht="15.75" customHeight="1">
      <c r="A325" s="41"/>
      <c r="B325" s="46"/>
      <c r="C325" s="41"/>
      <c r="D325" s="41"/>
      <c r="E325" s="41"/>
      <c r="F325" s="41"/>
      <c r="G325" s="41"/>
    </row>
    <row r="326" ht="15.75" customHeight="1">
      <c r="A326" s="41"/>
      <c r="B326" s="46"/>
      <c r="C326" s="41"/>
      <c r="D326" s="41"/>
      <c r="E326" s="41"/>
      <c r="F326" s="41"/>
      <c r="G326" s="41"/>
    </row>
    <row r="327" ht="15.75" customHeight="1">
      <c r="A327" s="41"/>
      <c r="B327" s="46"/>
      <c r="C327" s="41"/>
      <c r="D327" s="41"/>
      <c r="E327" s="41"/>
      <c r="F327" s="41"/>
      <c r="G327" s="41"/>
    </row>
    <row r="328" ht="15.75" customHeight="1">
      <c r="A328" s="41"/>
      <c r="B328" s="46"/>
      <c r="C328" s="41"/>
      <c r="D328" s="41"/>
      <c r="E328" s="41"/>
      <c r="F328" s="41"/>
      <c r="G328" s="41"/>
    </row>
    <row r="329" ht="15.75" customHeight="1">
      <c r="A329" s="41"/>
      <c r="B329" s="46"/>
      <c r="C329" s="41"/>
      <c r="D329" s="41"/>
      <c r="E329" s="41"/>
      <c r="F329" s="41"/>
      <c r="G329" s="41"/>
    </row>
    <row r="330" ht="15.75" customHeight="1">
      <c r="A330" s="41"/>
      <c r="B330" s="46"/>
      <c r="C330" s="41"/>
      <c r="D330" s="41"/>
      <c r="E330" s="41"/>
      <c r="F330" s="41"/>
      <c r="G330" s="41"/>
    </row>
    <row r="331" ht="15.75" customHeight="1">
      <c r="A331" s="41"/>
      <c r="B331" s="46"/>
      <c r="C331" s="41"/>
      <c r="D331" s="41"/>
      <c r="E331" s="41"/>
      <c r="F331" s="41"/>
      <c r="G331" s="41"/>
    </row>
    <row r="332" ht="15.75" customHeight="1">
      <c r="A332" s="41"/>
      <c r="B332" s="46"/>
      <c r="C332" s="41"/>
      <c r="D332" s="41"/>
      <c r="E332" s="41"/>
      <c r="F332" s="41"/>
      <c r="G332" s="41"/>
    </row>
    <row r="333" ht="15.75" customHeight="1">
      <c r="A333" s="41"/>
      <c r="B333" s="46"/>
      <c r="C333" s="41"/>
      <c r="D333" s="41"/>
      <c r="E333" s="41"/>
      <c r="F333" s="41"/>
      <c r="G333" s="41"/>
    </row>
    <row r="334" ht="15.75" customHeight="1">
      <c r="A334" s="41"/>
      <c r="B334" s="46"/>
      <c r="C334" s="41"/>
      <c r="D334" s="41"/>
      <c r="E334" s="41"/>
      <c r="F334" s="41"/>
      <c r="G334" s="41"/>
    </row>
    <row r="335" ht="15.75" customHeight="1">
      <c r="A335" s="41"/>
      <c r="B335" s="46"/>
      <c r="C335" s="41"/>
      <c r="D335" s="41"/>
      <c r="E335" s="41"/>
      <c r="F335" s="41"/>
      <c r="G335" s="41"/>
    </row>
    <row r="336" ht="15.75" customHeight="1">
      <c r="A336" s="41"/>
      <c r="B336" s="46"/>
      <c r="C336" s="41"/>
      <c r="D336" s="41"/>
      <c r="E336" s="41"/>
      <c r="F336" s="41"/>
      <c r="G336" s="41"/>
    </row>
    <row r="337" ht="15.75" customHeight="1">
      <c r="A337" s="41"/>
      <c r="B337" s="46"/>
      <c r="C337" s="41"/>
      <c r="D337" s="41"/>
      <c r="E337" s="41"/>
      <c r="F337" s="41"/>
      <c r="G337" s="41"/>
    </row>
    <row r="338" ht="15.75" customHeight="1">
      <c r="A338" s="41"/>
      <c r="B338" s="46"/>
      <c r="C338" s="41"/>
      <c r="D338" s="41"/>
      <c r="E338" s="41"/>
      <c r="F338" s="41"/>
      <c r="G338" s="41"/>
    </row>
    <row r="339" ht="15.75" customHeight="1">
      <c r="A339" s="41"/>
      <c r="B339" s="46"/>
      <c r="C339" s="41"/>
      <c r="D339" s="41"/>
      <c r="E339" s="41"/>
      <c r="F339" s="41"/>
      <c r="G339" s="41"/>
    </row>
    <row r="340" ht="15.75" customHeight="1">
      <c r="A340" s="41"/>
      <c r="B340" s="46"/>
      <c r="C340" s="41"/>
      <c r="D340" s="41"/>
      <c r="E340" s="41"/>
      <c r="F340" s="41"/>
      <c r="G340" s="41"/>
    </row>
    <row r="341" ht="15.75" customHeight="1">
      <c r="A341" s="41"/>
      <c r="B341" s="46"/>
      <c r="C341" s="41"/>
      <c r="D341" s="41"/>
      <c r="E341" s="41"/>
      <c r="F341" s="41"/>
      <c r="G341" s="41"/>
    </row>
    <row r="342" ht="15.75" customHeight="1">
      <c r="A342" s="41"/>
      <c r="B342" s="46"/>
      <c r="C342" s="41"/>
      <c r="D342" s="41"/>
      <c r="E342" s="41"/>
      <c r="F342" s="41"/>
      <c r="G342" s="41"/>
    </row>
    <row r="343" ht="15.75" customHeight="1">
      <c r="A343" s="41"/>
      <c r="B343" s="46"/>
      <c r="C343" s="41"/>
      <c r="D343" s="41"/>
      <c r="E343" s="41"/>
      <c r="F343" s="41"/>
      <c r="G343" s="41"/>
    </row>
    <row r="344" ht="15.75" customHeight="1">
      <c r="A344" s="41"/>
      <c r="B344" s="46"/>
      <c r="C344" s="41"/>
      <c r="D344" s="41"/>
      <c r="E344" s="41"/>
      <c r="F344" s="41"/>
      <c r="G344" s="41"/>
    </row>
    <row r="345" ht="15.75" customHeight="1">
      <c r="A345" s="41"/>
      <c r="B345" s="46"/>
      <c r="C345" s="41"/>
      <c r="D345" s="41"/>
      <c r="E345" s="41"/>
      <c r="F345" s="41"/>
      <c r="G345" s="41"/>
    </row>
    <row r="346" ht="15.75" customHeight="1">
      <c r="A346" s="41"/>
      <c r="B346" s="46"/>
      <c r="C346" s="41"/>
      <c r="D346" s="41"/>
      <c r="E346" s="41"/>
      <c r="F346" s="41"/>
      <c r="G346" s="41"/>
    </row>
    <row r="347" ht="15.75" customHeight="1">
      <c r="A347" s="41"/>
      <c r="B347" s="46"/>
      <c r="C347" s="41"/>
      <c r="D347" s="41"/>
      <c r="E347" s="41"/>
      <c r="F347" s="41"/>
      <c r="G347" s="41"/>
    </row>
    <row r="348" ht="15.75" customHeight="1">
      <c r="A348" s="41"/>
      <c r="B348" s="46"/>
      <c r="C348" s="41"/>
      <c r="D348" s="41"/>
      <c r="E348" s="41"/>
      <c r="F348" s="41"/>
      <c r="G348" s="41"/>
    </row>
    <row r="349" ht="15.75" customHeight="1">
      <c r="A349" s="41"/>
      <c r="B349" s="46"/>
      <c r="C349" s="41"/>
      <c r="D349" s="41"/>
      <c r="E349" s="41"/>
      <c r="F349" s="41"/>
      <c r="G349" s="41"/>
    </row>
    <row r="350" ht="15.75" customHeight="1">
      <c r="A350" s="41"/>
      <c r="B350" s="46"/>
      <c r="C350" s="41"/>
      <c r="D350" s="41"/>
      <c r="E350" s="41"/>
      <c r="F350" s="41"/>
      <c r="G350" s="41"/>
    </row>
    <row r="351" ht="15.75" customHeight="1">
      <c r="A351" s="41"/>
      <c r="B351" s="46"/>
      <c r="C351" s="41"/>
      <c r="D351" s="41"/>
      <c r="E351" s="41"/>
      <c r="F351" s="41"/>
      <c r="G351" s="41"/>
    </row>
    <row r="352" ht="15.75" customHeight="1">
      <c r="A352" s="41"/>
      <c r="B352" s="46"/>
      <c r="C352" s="41"/>
      <c r="D352" s="41"/>
      <c r="E352" s="41"/>
      <c r="F352" s="41"/>
      <c r="G352" s="41"/>
    </row>
    <row r="353" ht="15.75" customHeight="1">
      <c r="A353" s="41"/>
      <c r="B353" s="46"/>
      <c r="C353" s="41"/>
      <c r="D353" s="41"/>
      <c r="E353" s="41"/>
      <c r="F353" s="41"/>
      <c r="G353" s="41"/>
    </row>
    <row r="354" ht="15.75" customHeight="1">
      <c r="A354" s="41"/>
      <c r="B354" s="46"/>
      <c r="C354" s="41"/>
      <c r="D354" s="41"/>
      <c r="E354" s="41"/>
      <c r="F354" s="41"/>
      <c r="G354" s="41"/>
    </row>
    <row r="355" ht="15.75" customHeight="1">
      <c r="A355" s="41"/>
      <c r="B355" s="46"/>
      <c r="C355" s="41"/>
      <c r="D355" s="41"/>
      <c r="E355" s="41"/>
      <c r="F355" s="41"/>
      <c r="G355" s="41"/>
    </row>
    <row r="356" ht="15.75" customHeight="1">
      <c r="A356" s="41"/>
      <c r="B356" s="46"/>
      <c r="C356" s="41"/>
      <c r="D356" s="41"/>
      <c r="E356" s="41"/>
      <c r="F356" s="41"/>
      <c r="G356" s="41"/>
    </row>
    <row r="357" ht="15.75" customHeight="1">
      <c r="A357" s="41"/>
      <c r="B357" s="46"/>
      <c r="C357" s="41"/>
      <c r="D357" s="41"/>
      <c r="E357" s="41"/>
      <c r="F357" s="41"/>
      <c r="G357" s="41"/>
    </row>
    <row r="358" ht="15.75" customHeight="1">
      <c r="A358" s="41"/>
      <c r="B358" s="46"/>
      <c r="C358" s="41"/>
      <c r="D358" s="41"/>
      <c r="E358" s="41"/>
      <c r="F358" s="41"/>
      <c r="G358" s="41"/>
    </row>
    <row r="359" ht="15.75" customHeight="1">
      <c r="A359" s="41"/>
      <c r="B359" s="46"/>
      <c r="C359" s="41"/>
      <c r="D359" s="41"/>
      <c r="E359" s="41"/>
      <c r="F359" s="41"/>
      <c r="G359" s="41"/>
    </row>
    <row r="360" ht="15.75" customHeight="1">
      <c r="A360" s="41"/>
      <c r="B360" s="46"/>
      <c r="C360" s="41"/>
      <c r="D360" s="41"/>
      <c r="E360" s="41"/>
      <c r="F360" s="41"/>
      <c r="G360" s="41"/>
    </row>
    <row r="361" ht="15.75" customHeight="1">
      <c r="A361" s="41"/>
      <c r="B361" s="46"/>
      <c r="C361" s="41"/>
      <c r="D361" s="41"/>
      <c r="E361" s="41"/>
      <c r="F361" s="41"/>
      <c r="G361" s="41"/>
    </row>
    <row r="362" ht="15.75" customHeight="1">
      <c r="A362" s="41"/>
      <c r="B362" s="46"/>
      <c r="C362" s="41"/>
      <c r="D362" s="41"/>
      <c r="E362" s="41"/>
      <c r="F362" s="41"/>
      <c r="G362" s="41"/>
    </row>
    <row r="363" ht="15.75" customHeight="1">
      <c r="A363" s="41"/>
      <c r="B363" s="46"/>
      <c r="C363" s="41"/>
      <c r="D363" s="41"/>
      <c r="E363" s="41"/>
      <c r="F363" s="41"/>
      <c r="G363" s="41"/>
    </row>
    <row r="364" ht="15.75" customHeight="1">
      <c r="A364" s="41"/>
      <c r="B364" s="46"/>
      <c r="C364" s="41"/>
      <c r="D364" s="41"/>
      <c r="E364" s="41"/>
      <c r="F364" s="41"/>
      <c r="G364" s="41"/>
    </row>
    <row r="365" ht="15.75" customHeight="1">
      <c r="A365" s="41"/>
      <c r="B365" s="46"/>
      <c r="C365" s="41"/>
      <c r="D365" s="41"/>
      <c r="E365" s="41"/>
      <c r="F365" s="41"/>
      <c r="G365" s="41"/>
    </row>
    <row r="366" ht="15.75" customHeight="1">
      <c r="A366" s="41"/>
      <c r="B366" s="46"/>
      <c r="C366" s="41"/>
      <c r="D366" s="41"/>
      <c r="E366" s="41"/>
      <c r="F366" s="41"/>
      <c r="G366" s="41"/>
    </row>
    <row r="367" ht="15.75" customHeight="1">
      <c r="A367" s="41"/>
      <c r="B367" s="46"/>
      <c r="C367" s="41"/>
      <c r="D367" s="41"/>
      <c r="E367" s="41"/>
      <c r="F367" s="41"/>
      <c r="G367" s="41"/>
    </row>
    <row r="368" ht="15.75" customHeight="1">
      <c r="A368" s="41"/>
      <c r="B368" s="46"/>
      <c r="C368" s="41"/>
      <c r="D368" s="41"/>
      <c r="E368" s="41"/>
      <c r="F368" s="41"/>
      <c r="G368" s="41"/>
    </row>
    <row r="369" ht="15.75" customHeight="1">
      <c r="A369" s="41"/>
      <c r="B369" s="46"/>
      <c r="C369" s="41"/>
      <c r="D369" s="41"/>
      <c r="E369" s="41"/>
      <c r="F369" s="41"/>
      <c r="G369" s="41"/>
    </row>
    <row r="370" ht="15.75" customHeight="1">
      <c r="A370" s="41"/>
      <c r="B370" s="46"/>
      <c r="C370" s="41"/>
      <c r="D370" s="41"/>
      <c r="E370" s="41"/>
      <c r="F370" s="41"/>
      <c r="G370" s="41"/>
    </row>
    <row r="371" ht="15.75" customHeight="1">
      <c r="A371" s="41"/>
      <c r="B371" s="46"/>
      <c r="C371" s="41"/>
      <c r="D371" s="41"/>
      <c r="E371" s="41"/>
      <c r="F371" s="41"/>
      <c r="G371" s="41"/>
    </row>
    <row r="372" ht="15.75" customHeight="1">
      <c r="A372" s="41"/>
      <c r="B372" s="46"/>
      <c r="C372" s="41"/>
      <c r="D372" s="41"/>
      <c r="E372" s="41"/>
      <c r="F372" s="41"/>
      <c r="G372" s="41"/>
    </row>
    <row r="373" ht="15.75" customHeight="1">
      <c r="A373" s="41"/>
      <c r="B373" s="46"/>
      <c r="C373" s="41"/>
      <c r="D373" s="41"/>
      <c r="E373" s="41"/>
      <c r="F373" s="41"/>
      <c r="G373" s="41"/>
    </row>
    <row r="374" ht="15.75" customHeight="1">
      <c r="A374" s="41"/>
      <c r="B374" s="46"/>
      <c r="C374" s="41"/>
      <c r="D374" s="41"/>
      <c r="E374" s="41"/>
      <c r="F374" s="41"/>
      <c r="G374" s="41"/>
    </row>
    <row r="375" ht="15.75" customHeight="1">
      <c r="A375" s="41"/>
      <c r="B375" s="46"/>
      <c r="C375" s="41"/>
      <c r="D375" s="41"/>
      <c r="E375" s="41"/>
      <c r="F375" s="41"/>
      <c r="G375" s="41"/>
    </row>
    <row r="376" ht="15.75" customHeight="1">
      <c r="A376" s="41"/>
      <c r="B376" s="46"/>
      <c r="C376" s="41"/>
      <c r="D376" s="41"/>
      <c r="E376" s="41"/>
      <c r="F376" s="41"/>
      <c r="G376" s="41"/>
    </row>
    <row r="377" ht="15.75" customHeight="1">
      <c r="A377" s="41"/>
      <c r="B377" s="46"/>
      <c r="C377" s="41"/>
      <c r="D377" s="41"/>
      <c r="E377" s="41"/>
      <c r="F377" s="41"/>
      <c r="G377" s="41"/>
    </row>
    <row r="378" ht="15.75" customHeight="1">
      <c r="A378" s="41"/>
      <c r="B378" s="46"/>
      <c r="C378" s="41"/>
      <c r="D378" s="41"/>
      <c r="E378" s="41"/>
      <c r="F378" s="41"/>
      <c r="G378" s="41"/>
    </row>
    <row r="379" ht="15.75" customHeight="1">
      <c r="A379" s="41"/>
      <c r="B379" s="46"/>
      <c r="C379" s="41"/>
      <c r="D379" s="41"/>
      <c r="E379" s="41"/>
      <c r="F379" s="41"/>
      <c r="G379" s="41"/>
    </row>
    <row r="380" ht="15.75" customHeight="1">
      <c r="A380" s="41"/>
      <c r="B380" s="46"/>
      <c r="C380" s="41"/>
      <c r="D380" s="41"/>
      <c r="E380" s="41"/>
      <c r="F380" s="41"/>
      <c r="G380" s="41"/>
    </row>
    <row r="381" ht="15.75" customHeight="1">
      <c r="A381" s="41"/>
      <c r="B381" s="46"/>
      <c r="C381" s="41"/>
      <c r="D381" s="41"/>
      <c r="E381" s="41"/>
      <c r="F381" s="41"/>
      <c r="G381" s="41"/>
    </row>
    <row r="382" ht="15.75" customHeight="1">
      <c r="A382" s="41"/>
      <c r="B382" s="46"/>
      <c r="C382" s="41"/>
      <c r="D382" s="41"/>
      <c r="E382" s="41"/>
      <c r="F382" s="41"/>
      <c r="G382" s="41"/>
    </row>
    <row r="383" ht="15.75" customHeight="1">
      <c r="A383" s="41"/>
      <c r="B383" s="46"/>
      <c r="C383" s="41"/>
      <c r="D383" s="41"/>
      <c r="E383" s="41"/>
      <c r="F383" s="41"/>
      <c r="G383" s="41"/>
    </row>
    <row r="384" ht="15.75" customHeight="1">
      <c r="A384" s="41"/>
      <c r="B384" s="46"/>
      <c r="C384" s="41"/>
      <c r="D384" s="41"/>
      <c r="E384" s="41"/>
      <c r="F384" s="41"/>
      <c r="G384" s="41"/>
    </row>
    <row r="385" ht="15.75" customHeight="1">
      <c r="A385" s="41"/>
      <c r="B385" s="46"/>
      <c r="C385" s="41"/>
      <c r="D385" s="41"/>
      <c r="E385" s="41"/>
      <c r="F385" s="41"/>
      <c r="G385" s="41"/>
    </row>
    <row r="386" ht="15.75" customHeight="1">
      <c r="A386" s="41"/>
      <c r="B386" s="46"/>
      <c r="C386" s="41"/>
      <c r="D386" s="41"/>
      <c r="E386" s="41"/>
      <c r="F386" s="41"/>
      <c r="G386" s="41"/>
    </row>
    <row r="387" ht="15.75" customHeight="1">
      <c r="A387" s="41"/>
      <c r="B387" s="46"/>
      <c r="C387" s="41"/>
      <c r="D387" s="41"/>
      <c r="E387" s="41"/>
      <c r="F387" s="41"/>
      <c r="G387" s="41"/>
    </row>
    <row r="388" ht="15.75" customHeight="1">
      <c r="A388" s="41"/>
      <c r="B388" s="46"/>
      <c r="C388" s="41"/>
      <c r="D388" s="41"/>
      <c r="E388" s="41"/>
      <c r="F388" s="41"/>
      <c r="G388" s="41"/>
    </row>
    <row r="389" ht="15.75" customHeight="1">
      <c r="A389" s="41"/>
      <c r="B389" s="46"/>
      <c r="C389" s="41"/>
      <c r="D389" s="41"/>
      <c r="E389" s="41"/>
      <c r="F389" s="41"/>
      <c r="G389" s="41"/>
    </row>
    <row r="390" ht="15.75" customHeight="1">
      <c r="A390" s="41"/>
      <c r="B390" s="46"/>
      <c r="C390" s="41"/>
      <c r="D390" s="41"/>
      <c r="E390" s="41"/>
      <c r="F390" s="41"/>
      <c r="G390" s="41"/>
    </row>
    <row r="391" ht="15.75" customHeight="1">
      <c r="A391" s="41"/>
      <c r="B391" s="46"/>
      <c r="C391" s="41"/>
      <c r="D391" s="41"/>
      <c r="E391" s="41"/>
      <c r="F391" s="41"/>
      <c r="G391" s="41"/>
    </row>
    <row r="392" ht="15.75" customHeight="1">
      <c r="A392" s="41"/>
      <c r="B392" s="46"/>
      <c r="C392" s="41"/>
      <c r="D392" s="41"/>
      <c r="E392" s="41"/>
      <c r="F392" s="41"/>
      <c r="G392" s="41"/>
    </row>
    <row r="393" ht="15.75" customHeight="1">
      <c r="A393" s="41"/>
      <c r="B393" s="46"/>
      <c r="C393" s="41"/>
      <c r="D393" s="41"/>
      <c r="E393" s="41"/>
      <c r="F393" s="41"/>
      <c r="G393" s="41"/>
    </row>
    <row r="394" ht="15.75" customHeight="1">
      <c r="A394" s="41"/>
      <c r="B394" s="46"/>
      <c r="C394" s="41"/>
      <c r="D394" s="41"/>
      <c r="E394" s="41"/>
      <c r="F394" s="41"/>
      <c r="G394" s="41"/>
    </row>
    <row r="395" ht="15.75" customHeight="1">
      <c r="A395" s="41"/>
      <c r="B395" s="46"/>
      <c r="C395" s="41"/>
      <c r="D395" s="41"/>
      <c r="E395" s="41"/>
      <c r="F395" s="41"/>
      <c r="G395" s="41"/>
    </row>
    <row r="396" ht="15.75" customHeight="1">
      <c r="A396" s="41"/>
      <c r="B396" s="46"/>
      <c r="C396" s="41"/>
      <c r="D396" s="41"/>
      <c r="E396" s="41"/>
      <c r="F396" s="41"/>
      <c r="G396" s="41"/>
    </row>
    <row r="397" ht="15.75" customHeight="1">
      <c r="A397" s="41"/>
      <c r="B397" s="46"/>
      <c r="C397" s="41"/>
      <c r="D397" s="41"/>
      <c r="E397" s="41"/>
      <c r="F397" s="41"/>
      <c r="G397" s="41"/>
    </row>
    <row r="398" ht="15.75" customHeight="1">
      <c r="A398" s="41"/>
      <c r="B398" s="46"/>
      <c r="C398" s="41"/>
      <c r="D398" s="41"/>
      <c r="E398" s="41"/>
      <c r="F398" s="41"/>
      <c r="G398" s="41"/>
    </row>
    <row r="399" ht="15.75" customHeight="1">
      <c r="A399" s="41"/>
      <c r="B399" s="46"/>
      <c r="C399" s="41"/>
      <c r="D399" s="41"/>
      <c r="E399" s="41"/>
      <c r="F399" s="41"/>
      <c r="G399" s="41"/>
    </row>
    <row r="400" ht="15.75" customHeight="1">
      <c r="A400" s="41"/>
      <c r="B400" s="46"/>
      <c r="C400" s="41"/>
      <c r="D400" s="41"/>
      <c r="E400" s="41"/>
      <c r="F400" s="41"/>
      <c r="G400" s="41"/>
    </row>
    <row r="401" ht="15.75" customHeight="1">
      <c r="A401" s="41"/>
      <c r="B401" s="46"/>
      <c r="C401" s="41"/>
      <c r="D401" s="41"/>
      <c r="E401" s="41"/>
      <c r="F401" s="41"/>
      <c r="G401" s="41"/>
    </row>
    <row r="402" ht="15.75" customHeight="1">
      <c r="A402" s="41"/>
      <c r="B402" s="46"/>
      <c r="C402" s="41"/>
      <c r="D402" s="41"/>
      <c r="E402" s="41"/>
      <c r="F402" s="41"/>
      <c r="G402" s="41"/>
    </row>
    <row r="403" ht="15.75" customHeight="1">
      <c r="A403" s="41"/>
      <c r="B403" s="46"/>
      <c r="C403" s="41"/>
      <c r="D403" s="41"/>
      <c r="E403" s="41"/>
      <c r="F403" s="41"/>
      <c r="G403" s="41"/>
    </row>
    <row r="404" ht="15.75" customHeight="1">
      <c r="A404" s="41"/>
      <c r="B404" s="46"/>
      <c r="C404" s="41"/>
      <c r="D404" s="41"/>
      <c r="E404" s="41"/>
      <c r="F404" s="41"/>
      <c r="G404" s="41"/>
    </row>
    <row r="405" ht="15.75" customHeight="1">
      <c r="A405" s="41"/>
      <c r="B405" s="46"/>
      <c r="C405" s="41"/>
      <c r="D405" s="41"/>
      <c r="E405" s="41"/>
      <c r="F405" s="41"/>
      <c r="G405" s="41"/>
    </row>
    <row r="406" ht="15.75" customHeight="1">
      <c r="A406" s="41"/>
      <c r="B406" s="46"/>
      <c r="C406" s="41"/>
      <c r="D406" s="41"/>
      <c r="E406" s="41"/>
      <c r="F406" s="41"/>
      <c r="G406" s="41"/>
    </row>
    <row r="407" ht="15.75" customHeight="1">
      <c r="A407" s="41"/>
      <c r="B407" s="46"/>
      <c r="C407" s="41"/>
      <c r="D407" s="41"/>
      <c r="E407" s="41"/>
      <c r="F407" s="41"/>
      <c r="G407" s="41"/>
    </row>
    <row r="408" ht="15.75" customHeight="1">
      <c r="A408" s="41"/>
      <c r="B408" s="46"/>
      <c r="C408" s="41"/>
      <c r="D408" s="41"/>
      <c r="E408" s="41"/>
      <c r="F408" s="41"/>
      <c r="G408" s="41"/>
    </row>
    <row r="409" ht="15.75" customHeight="1">
      <c r="A409" s="41"/>
      <c r="B409" s="46"/>
      <c r="C409" s="41"/>
      <c r="D409" s="41"/>
      <c r="E409" s="41"/>
      <c r="F409" s="41"/>
      <c r="G409" s="41"/>
    </row>
    <row r="410" ht="15.75" customHeight="1">
      <c r="A410" s="41"/>
      <c r="B410" s="46"/>
      <c r="C410" s="41"/>
      <c r="D410" s="41"/>
      <c r="E410" s="41"/>
      <c r="F410" s="41"/>
      <c r="G410" s="41"/>
    </row>
    <row r="411" ht="15.75" customHeight="1">
      <c r="A411" s="41"/>
      <c r="B411" s="46"/>
      <c r="C411" s="41"/>
      <c r="D411" s="41"/>
      <c r="E411" s="41"/>
      <c r="F411" s="41"/>
      <c r="G411" s="41"/>
    </row>
    <row r="412" ht="15.75" customHeight="1">
      <c r="A412" s="41"/>
      <c r="B412" s="46"/>
      <c r="C412" s="41"/>
      <c r="D412" s="41"/>
      <c r="E412" s="41"/>
      <c r="F412" s="41"/>
      <c r="G412" s="41"/>
    </row>
    <row r="413" ht="15.75" customHeight="1">
      <c r="A413" s="41"/>
      <c r="B413" s="46"/>
      <c r="C413" s="41"/>
      <c r="D413" s="41"/>
      <c r="E413" s="41"/>
      <c r="F413" s="41"/>
      <c r="G413" s="41"/>
    </row>
    <row r="414" ht="15.75" customHeight="1">
      <c r="A414" s="41"/>
      <c r="B414" s="46"/>
      <c r="C414" s="41"/>
      <c r="D414" s="41"/>
      <c r="E414" s="41"/>
      <c r="F414" s="41"/>
      <c r="G414" s="41"/>
    </row>
    <row r="415" ht="15.75" customHeight="1">
      <c r="A415" s="41"/>
      <c r="B415" s="46"/>
      <c r="C415" s="41"/>
      <c r="D415" s="41"/>
      <c r="E415" s="41"/>
      <c r="F415" s="41"/>
      <c r="G415" s="41"/>
    </row>
    <row r="416" ht="15.75" customHeight="1">
      <c r="A416" s="41"/>
      <c r="B416" s="46"/>
      <c r="C416" s="41"/>
      <c r="D416" s="41"/>
      <c r="E416" s="41"/>
      <c r="F416" s="41"/>
      <c r="G416" s="41"/>
    </row>
    <row r="417" ht="15.75" customHeight="1">
      <c r="A417" s="41"/>
      <c r="B417" s="46"/>
      <c r="C417" s="41"/>
      <c r="D417" s="41"/>
      <c r="E417" s="41"/>
      <c r="F417" s="41"/>
      <c r="G417" s="41"/>
    </row>
    <row r="418" ht="15.75" customHeight="1">
      <c r="A418" s="41"/>
      <c r="B418" s="46"/>
      <c r="C418" s="41"/>
      <c r="D418" s="41"/>
      <c r="E418" s="41"/>
      <c r="F418" s="41"/>
      <c r="G418" s="41"/>
    </row>
    <row r="419" ht="15.75" customHeight="1">
      <c r="A419" s="41"/>
      <c r="B419" s="46"/>
      <c r="C419" s="41"/>
      <c r="D419" s="41"/>
      <c r="E419" s="41"/>
      <c r="F419" s="41"/>
      <c r="G419" s="41"/>
    </row>
    <row r="420" ht="15.75" customHeight="1">
      <c r="A420" s="41"/>
      <c r="B420" s="46"/>
      <c r="C420" s="41"/>
      <c r="D420" s="41"/>
      <c r="E420" s="41"/>
      <c r="F420" s="41"/>
      <c r="G420" s="41"/>
    </row>
    <row r="421" ht="15.75" customHeight="1">
      <c r="A421" s="41"/>
      <c r="B421" s="46"/>
      <c r="C421" s="41"/>
      <c r="D421" s="41"/>
      <c r="E421" s="41"/>
      <c r="F421" s="41"/>
      <c r="G421" s="41"/>
    </row>
    <row r="422" ht="15.75" customHeight="1">
      <c r="A422" s="41"/>
      <c r="B422" s="46"/>
      <c r="C422" s="41"/>
      <c r="D422" s="41"/>
      <c r="E422" s="41"/>
      <c r="F422" s="41"/>
      <c r="G422" s="41"/>
    </row>
    <row r="423" ht="15.75" customHeight="1">
      <c r="A423" s="41"/>
      <c r="B423" s="46"/>
      <c r="C423" s="41"/>
      <c r="D423" s="41"/>
      <c r="E423" s="41"/>
      <c r="F423" s="41"/>
      <c r="G423" s="41"/>
    </row>
    <row r="424" ht="15.75" customHeight="1">
      <c r="A424" s="41"/>
      <c r="B424" s="46"/>
      <c r="C424" s="41"/>
      <c r="D424" s="41"/>
      <c r="E424" s="41"/>
      <c r="F424" s="41"/>
      <c r="G424" s="41"/>
    </row>
    <row r="425" ht="15.75" customHeight="1">
      <c r="A425" s="41"/>
      <c r="B425" s="46"/>
      <c r="C425" s="41"/>
      <c r="D425" s="41"/>
      <c r="E425" s="41"/>
      <c r="F425" s="41"/>
      <c r="G425" s="41"/>
    </row>
    <row r="426" ht="15.75" customHeight="1">
      <c r="A426" s="41"/>
      <c r="B426" s="46"/>
      <c r="C426" s="41"/>
      <c r="D426" s="41"/>
      <c r="E426" s="41"/>
      <c r="F426" s="41"/>
      <c r="G426" s="41"/>
    </row>
    <row r="427" ht="15.75" customHeight="1">
      <c r="A427" s="41"/>
      <c r="B427" s="46"/>
      <c r="C427" s="41"/>
      <c r="D427" s="41"/>
      <c r="E427" s="41"/>
      <c r="F427" s="41"/>
      <c r="G427" s="41"/>
    </row>
    <row r="428" ht="15.75" customHeight="1">
      <c r="A428" s="41"/>
      <c r="B428" s="46"/>
      <c r="C428" s="41"/>
      <c r="D428" s="41"/>
      <c r="E428" s="41"/>
      <c r="F428" s="41"/>
      <c r="G428" s="41"/>
    </row>
    <row r="429" ht="15.75" customHeight="1">
      <c r="A429" s="41"/>
      <c r="B429" s="46"/>
      <c r="C429" s="41"/>
      <c r="D429" s="41"/>
      <c r="E429" s="41"/>
      <c r="F429" s="41"/>
      <c r="G429" s="41"/>
    </row>
    <row r="430" ht="15.75" customHeight="1">
      <c r="A430" s="41"/>
      <c r="B430" s="46"/>
      <c r="C430" s="41"/>
      <c r="D430" s="41"/>
      <c r="E430" s="41"/>
      <c r="F430" s="41"/>
      <c r="G430" s="41"/>
    </row>
    <row r="431" ht="15.75" customHeight="1">
      <c r="A431" s="41"/>
      <c r="B431" s="46"/>
      <c r="C431" s="41"/>
      <c r="D431" s="41"/>
      <c r="E431" s="41"/>
      <c r="F431" s="41"/>
      <c r="G431" s="41"/>
    </row>
    <row r="432" ht="15.75" customHeight="1">
      <c r="A432" s="41"/>
      <c r="B432" s="46"/>
      <c r="C432" s="41"/>
      <c r="D432" s="41"/>
      <c r="E432" s="41"/>
      <c r="F432" s="41"/>
      <c r="G432" s="41"/>
    </row>
    <row r="433" ht="15.75" customHeight="1">
      <c r="A433" s="41"/>
      <c r="B433" s="46"/>
      <c r="C433" s="41"/>
      <c r="D433" s="41"/>
      <c r="E433" s="41"/>
      <c r="F433" s="41"/>
      <c r="G433" s="41"/>
    </row>
    <row r="434" ht="15.75" customHeight="1">
      <c r="A434" s="41"/>
      <c r="B434" s="46"/>
      <c r="C434" s="41"/>
      <c r="D434" s="41"/>
      <c r="E434" s="41"/>
      <c r="F434" s="41"/>
      <c r="G434" s="41"/>
    </row>
    <row r="435" ht="15.75" customHeight="1">
      <c r="A435" s="41"/>
      <c r="B435" s="46"/>
      <c r="C435" s="41"/>
      <c r="D435" s="41"/>
      <c r="E435" s="41"/>
      <c r="F435" s="41"/>
      <c r="G435" s="41"/>
    </row>
    <row r="436" ht="15.75" customHeight="1">
      <c r="A436" s="41"/>
      <c r="B436" s="46"/>
      <c r="C436" s="41"/>
      <c r="D436" s="41"/>
      <c r="E436" s="41"/>
      <c r="F436" s="41"/>
      <c r="G436" s="41"/>
    </row>
    <row r="437" ht="15.75" customHeight="1">
      <c r="A437" s="41"/>
      <c r="B437" s="46"/>
      <c r="C437" s="41"/>
      <c r="D437" s="41"/>
      <c r="E437" s="41"/>
      <c r="F437" s="41"/>
      <c r="G437" s="41"/>
    </row>
    <row r="438" ht="15.75" customHeight="1">
      <c r="A438" s="41"/>
      <c r="B438" s="46"/>
      <c r="C438" s="41"/>
      <c r="D438" s="41"/>
      <c r="E438" s="41"/>
      <c r="F438" s="41"/>
      <c r="G438" s="41"/>
    </row>
    <row r="439" ht="15.75" customHeight="1">
      <c r="A439" s="41"/>
      <c r="B439" s="46"/>
      <c r="C439" s="41"/>
      <c r="D439" s="41"/>
      <c r="E439" s="41"/>
      <c r="F439" s="41"/>
      <c r="G439" s="41"/>
    </row>
    <row r="440" ht="15.75" customHeight="1">
      <c r="A440" s="41"/>
      <c r="B440" s="46"/>
      <c r="C440" s="41"/>
      <c r="D440" s="41"/>
      <c r="E440" s="41"/>
      <c r="F440" s="41"/>
      <c r="G440" s="41"/>
    </row>
    <row r="441" ht="15.75" customHeight="1">
      <c r="A441" s="41"/>
      <c r="B441" s="46"/>
      <c r="C441" s="41"/>
      <c r="D441" s="41"/>
      <c r="E441" s="41"/>
      <c r="F441" s="41"/>
      <c r="G441" s="41"/>
    </row>
    <row r="442" ht="15.75" customHeight="1">
      <c r="A442" s="41"/>
      <c r="B442" s="46"/>
      <c r="C442" s="41"/>
      <c r="D442" s="41"/>
      <c r="E442" s="41"/>
      <c r="F442" s="41"/>
      <c r="G442" s="41"/>
    </row>
    <row r="443" ht="15.75" customHeight="1">
      <c r="A443" s="41"/>
      <c r="B443" s="46"/>
      <c r="C443" s="41"/>
      <c r="D443" s="41"/>
      <c r="E443" s="41"/>
      <c r="F443" s="41"/>
      <c r="G443" s="41"/>
    </row>
    <row r="444" ht="15.75" customHeight="1">
      <c r="A444" s="41"/>
      <c r="B444" s="46"/>
      <c r="C444" s="41"/>
      <c r="D444" s="41"/>
      <c r="E444" s="41"/>
      <c r="F444" s="41"/>
      <c r="G444" s="41"/>
    </row>
    <row r="445" ht="15.75" customHeight="1">
      <c r="A445" s="41"/>
      <c r="B445" s="46"/>
      <c r="C445" s="41"/>
      <c r="D445" s="41"/>
      <c r="E445" s="41"/>
      <c r="F445" s="41"/>
      <c r="G445" s="41"/>
    </row>
    <row r="446" ht="15.75" customHeight="1">
      <c r="A446" s="41"/>
      <c r="B446" s="46"/>
      <c r="C446" s="41"/>
      <c r="D446" s="41"/>
      <c r="E446" s="41"/>
      <c r="F446" s="41"/>
      <c r="G446" s="41"/>
    </row>
    <row r="447" ht="15.75" customHeight="1">
      <c r="A447" s="41"/>
      <c r="B447" s="46"/>
      <c r="C447" s="41"/>
      <c r="D447" s="41"/>
      <c r="E447" s="41"/>
      <c r="F447" s="41"/>
      <c r="G447" s="41"/>
    </row>
    <row r="448" ht="15.75" customHeight="1">
      <c r="A448" s="41"/>
      <c r="B448" s="46"/>
      <c r="C448" s="41"/>
      <c r="D448" s="41"/>
      <c r="E448" s="41"/>
      <c r="F448" s="41"/>
      <c r="G448" s="41"/>
    </row>
    <row r="449" ht="15.75" customHeight="1">
      <c r="A449" s="41"/>
      <c r="B449" s="46"/>
      <c r="C449" s="41"/>
      <c r="D449" s="41"/>
      <c r="E449" s="41"/>
      <c r="F449" s="41"/>
      <c r="G449" s="41"/>
    </row>
    <row r="450" ht="15.75" customHeight="1">
      <c r="A450" s="41"/>
      <c r="B450" s="46"/>
      <c r="C450" s="41"/>
      <c r="D450" s="41"/>
      <c r="E450" s="41"/>
      <c r="F450" s="41"/>
      <c r="G450" s="41"/>
    </row>
    <row r="451" ht="15.75" customHeight="1">
      <c r="A451" s="41"/>
      <c r="B451" s="46"/>
      <c r="C451" s="41"/>
      <c r="D451" s="41"/>
      <c r="E451" s="41"/>
      <c r="F451" s="41"/>
      <c r="G451" s="41"/>
    </row>
    <row r="452" ht="15.75" customHeight="1">
      <c r="A452" s="41"/>
      <c r="B452" s="46"/>
      <c r="C452" s="41"/>
      <c r="D452" s="41"/>
      <c r="E452" s="41"/>
      <c r="F452" s="41"/>
      <c r="G452" s="41"/>
    </row>
    <row r="453" ht="15.75" customHeight="1">
      <c r="A453" s="41"/>
      <c r="B453" s="46"/>
      <c r="C453" s="41"/>
      <c r="D453" s="41"/>
      <c r="E453" s="41"/>
      <c r="F453" s="41"/>
      <c r="G453" s="41"/>
    </row>
    <row r="454" ht="15.75" customHeight="1">
      <c r="A454" s="41"/>
      <c r="B454" s="46"/>
      <c r="C454" s="41"/>
      <c r="D454" s="41"/>
      <c r="E454" s="41"/>
      <c r="F454" s="41"/>
      <c r="G454" s="41"/>
    </row>
    <row r="455" ht="15.75" customHeight="1">
      <c r="A455" s="41"/>
      <c r="B455" s="46"/>
      <c r="C455" s="41"/>
      <c r="D455" s="41"/>
      <c r="E455" s="41"/>
      <c r="F455" s="41"/>
      <c r="G455" s="41"/>
    </row>
    <row r="456" ht="15.75" customHeight="1">
      <c r="A456" s="41"/>
      <c r="B456" s="46"/>
      <c r="C456" s="41"/>
      <c r="D456" s="41"/>
      <c r="E456" s="41"/>
      <c r="F456" s="41"/>
      <c r="G456" s="41"/>
    </row>
    <row r="457" ht="15.75" customHeight="1">
      <c r="A457" s="41"/>
      <c r="B457" s="46"/>
      <c r="C457" s="41"/>
      <c r="D457" s="41"/>
      <c r="E457" s="41"/>
      <c r="F457" s="41"/>
      <c r="G457" s="41"/>
    </row>
    <row r="458" ht="15.75" customHeight="1">
      <c r="A458" s="41"/>
      <c r="B458" s="46"/>
      <c r="C458" s="41"/>
      <c r="D458" s="41"/>
      <c r="E458" s="41"/>
      <c r="F458" s="41"/>
      <c r="G458" s="41"/>
    </row>
    <row r="459" ht="15.75" customHeight="1">
      <c r="A459" s="41"/>
      <c r="B459" s="46"/>
      <c r="C459" s="41"/>
      <c r="D459" s="41"/>
      <c r="E459" s="41"/>
      <c r="F459" s="41"/>
      <c r="G459" s="41"/>
    </row>
    <row r="460" ht="15.75" customHeight="1">
      <c r="A460" s="41"/>
      <c r="B460" s="46"/>
      <c r="C460" s="41"/>
      <c r="D460" s="41"/>
      <c r="E460" s="41"/>
      <c r="F460" s="41"/>
      <c r="G460" s="41"/>
    </row>
    <row r="461" ht="15.75" customHeight="1">
      <c r="A461" s="41"/>
      <c r="B461" s="46"/>
      <c r="C461" s="41"/>
      <c r="D461" s="41"/>
      <c r="E461" s="41"/>
      <c r="F461" s="41"/>
      <c r="G461" s="41"/>
    </row>
    <row r="462" ht="15.75" customHeight="1">
      <c r="A462" s="41"/>
      <c r="B462" s="46"/>
      <c r="C462" s="41"/>
      <c r="D462" s="41"/>
      <c r="E462" s="41"/>
      <c r="F462" s="41"/>
      <c r="G462" s="41"/>
    </row>
    <row r="463" ht="15.75" customHeight="1">
      <c r="A463" s="41"/>
      <c r="B463" s="46"/>
      <c r="C463" s="41"/>
      <c r="D463" s="41"/>
      <c r="E463" s="41"/>
      <c r="F463" s="41"/>
      <c r="G463" s="41"/>
    </row>
    <row r="464" ht="15.75" customHeight="1">
      <c r="A464" s="41"/>
      <c r="B464" s="46"/>
      <c r="C464" s="41"/>
      <c r="D464" s="41"/>
      <c r="E464" s="41"/>
      <c r="F464" s="41"/>
      <c r="G464" s="41"/>
    </row>
    <row r="465" ht="15.75" customHeight="1">
      <c r="A465" s="41"/>
      <c r="B465" s="46"/>
      <c r="C465" s="41"/>
      <c r="D465" s="41"/>
      <c r="E465" s="41"/>
      <c r="F465" s="41"/>
      <c r="G465" s="41"/>
    </row>
    <row r="466" ht="15.75" customHeight="1">
      <c r="A466" s="41"/>
      <c r="B466" s="46"/>
      <c r="C466" s="41"/>
      <c r="D466" s="41"/>
      <c r="E466" s="41"/>
      <c r="F466" s="41"/>
      <c r="G466" s="41"/>
    </row>
    <row r="467" ht="15.75" customHeight="1">
      <c r="A467" s="41"/>
      <c r="B467" s="46"/>
      <c r="C467" s="41"/>
      <c r="D467" s="41"/>
      <c r="E467" s="41"/>
      <c r="F467" s="41"/>
      <c r="G467" s="41"/>
    </row>
    <row r="468" ht="15.75" customHeight="1">
      <c r="A468" s="41"/>
      <c r="B468" s="46"/>
      <c r="C468" s="41"/>
      <c r="D468" s="41"/>
      <c r="E468" s="41"/>
      <c r="F468" s="41"/>
      <c r="G468" s="41"/>
    </row>
    <row r="469" ht="15.75" customHeight="1">
      <c r="A469" s="41"/>
      <c r="B469" s="46"/>
      <c r="C469" s="41"/>
      <c r="D469" s="41"/>
      <c r="E469" s="41"/>
      <c r="F469" s="41"/>
      <c r="G469" s="41"/>
    </row>
    <row r="470" ht="15.75" customHeight="1">
      <c r="A470" s="41"/>
      <c r="B470" s="46"/>
      <c r="C470" s="41"/>
      <c r="D470" s="41"/>
      <c r="E470" s="41"/>
      <c r="F470" s="41"/>
      <c r="G470" s="41"/>
    </row>
    <row r="471" ht="15.75" customHeight="1">
      <c r="A471" s="41"/>
      <c r="B471" s="46"/>
      <c r="C471" s="41"/>
      <c r="D471" s="41"/>
      <c r="E471" s="41"/>
      <c r="F471" s="41"/>
      <c r="G471" s="41"/>
    </row>
    <row r="472" ht="15.75" customHeight="1">
      <c r="A472" s="41"/>
      <c r="B472" s="46"/>
      <c r="C472" s="41"/>
      <c r="D472" s="41"/>
      <c r="E472" s="41"/>
      <c r="F472" s="41"/>
      <c r="G472" s="41"/>
    </row>
    <row r="473" ht="15.75" customHeight="1">
      <c r="A473" s="41"/>
      <c r="B473" s="46"/>
      <c r="C473" s="41"/>
      <c r="D473" s="41"/>
      <c r="E473" s="41"/>
      <c r="F473" s="41"/>
      <c r="G473" s="41"/>
    </row>
    <row r="474" ht="15.75" customHeight="1">
      <c r="A474" s="41"/>
      <c r="B474" s="46"/>
      <c r="C474" s="41"/>
      <c r="D474" s="41"/>
      <c r="E474" s="41"/>
      <c r="F474" s="41"/>
      <c r="G474" s="41"/>
    </row>
    <row r="475" ht="15.75" customHeight="1">
      <c r="A475" s="41"/>
      <c r="B475" s="46"/>
      <c r="C475" s="41"/>
      <c r="D475" s="41"/>
      <c r="E475" s="41"/>
      <c r="F475" s="41"/>
      <c r="G475" s="41"/>
    </row>
    <row r="476" ht="15.75" customHeight="1">
      <c r="A476" s="41"/>
      <c r="B476" s="46"/>
      <c r="C476" s="41"/>
      <c r="D476" s="41"/>
      <c r="E476" s="41"/>
      <c r="F476" s="41"/>
      <c r="G476" s="41"/>
    </row>
    <row r="477" ht="15.75" customHeight="1">
      <c r="A477" s="41"/>
      <c r="B477" s="46"/>
      <c r="C477" s="41"/>
      <c r="D477" s="41"/>
      <c r="E477" s="41"/>
      <c r="F477" s="41"/>
      <c r="G477" s="41"/>
    </row>
    <row r="478" ht="15.75" customHeight="1">
      <c r="A478" s="41"/>
      <c r="B478" s="46"/>
      <c r="C478" s="41"/>
      <c r="D478" s="41"/>
      <c r="E478" s="41"/>
      <c r="F478" s="41"/>
      <c r="G478" s="41"/>
    </row>
    <row r="479" ht="15.75" customHeight="1">
      <c r="A479" s="41"/>
      <c r="B479" s="46"/>
      <c r="C479" s="41"/>
      <c r="D479" s="41"/>
      <c r="E479" s="41"/>
      <c r="F479" s="41"/>
      <c r="G479" s="41"/>
    </row>
    <row r="480" ht="15.75" customHeight="1">
      <c r="A480" s="41"/>
      <c r="B480" s="46"/>
      <c r="C480" s="41"/>
      <c r="D480" s="41"/>
      <c r="E480" s="41"/>
      <c r="F480" s="41"/>
      <c r="G480" s="41"/>
    </row>
    <row r="481" ht="15.75" customHeight="1">
      <c r="A481" s="41"/>
      <c r="B481" s="46"/>
      <c r="C481" s="41"/>
      <c r="D481" s="41"/>
      <c r="E481" s="41"/>
      <c r="F481" s="41"/>
      <c r="G481" s="41"/>
    </row>
    <row r="482" ht="15.75" customHeight="1">
      <c r="A482" s="41"/>
      <c r="B482" s="46"/>
      <c r="C482" s="41"/>
      <c r="D482" s="41"/>
      <c r="E482" s="41"/>
      <c r="F482" s="41"/>
      <c r="G482" s="41"/>
    </row>
    <row r="483" ht="15.75" customHeight="1">
      <c r="A483" s="41"/>
      <c r="B483" s="46"/>
      <c r="C483" s="41"/>
      <c r="D483" s="41"/>
      <c r="E483" s="41"/>
      <c r="F483" s="41"/>
      <c r="G483" s="41"/>
    </row>
    <row r="484" ht="15.75" customHeight="1">
      <c r="A484" s="41"/>
      <c r="B484" s="46"/>
      <c r="C484" s="41"/>
      <c r="D484" s="41"/>
      <c r="E484" s="41"/>
      <c r="F484" s="41"/>
      <c r="G484" s="41"/>
    </row>
    <row r="485" ht="15.75" customHeight="1">
      <c r="A485" s="41"/>
      <c r="B485" s="46"/>
      <c r="C485" s="41"/>
      <c r="D485" s="41"/>
      <c r="E485" s="41"/>
      <c r="F485" s="41"/>
      <c r="G485" s="41"/>
    </row>
    <row r="486" ht="15.75" customHeight="1">
      <c r="A486" s="41"/>
      <c r="B486" s="46"/>
      <c r="C486" s="41"/>
      <c r="D486" s="41"/>
      <c r="E486" s="41"/>
      <c r="F486" s="41"/>
      <c r="G486" s="41"/>
    </row>
    <row r="487" ht="15.75" customHeight="1">
      <c r="A487" s="41"/>
      <c r="B487" s="46"/>
      <c r="C487" s="41"/>
      <c r="D487" s="41"/>
      <c r="E487" s="41"/>
      <c r="F487" s="41"/>
      <c r="G487" s="41"/>
    </row>
    <row r="488" ht="15.75" customHeight="1">
      <c r="A488" s="41"/>
      <c r="B488" s="46"/>
      <c r="C488" s="41"/>
      <c r="D488" s="41"/>
      <c r="E488" s="41"/>
      <c r="F488" s="41"/>
      <c r="G488" s="41"/>
    </row>
    <row r="489" ht="15.75" customHeight="1">
      <c r="A489" s="41"/>
      <c r="B489" s="46"/>
      <c r="C489" s="41"/>
      <c r="D489" s="41"/>
      <c r="E489" s="41"/>
      <c r="F489" s="41"/>
      <c r="G489" s="41"/>
    </row>
    <row r="490" ht="15.75" customHeight="1">
      <c r="A490" s="41"/>
      <c r="B490" s="46"/>
      <c r="C490" s="41"/>
      <c r="D490" s="41"/>
      <c r="E490" s="41"/>
      <c r="F490" s="41"/>
      <c r="G490" s="41"/>
    </row>
    <row r="491" ht="15.75" customHeight="1">
      <c r="A491" s="41"/>
      <c r="B491" s="46"/>
      <c r="C491" s="41"/>
      <c r="D491" s="41"/>
      <c r="E491" s="41"/>
      <c r="F491" s="41"/>
      <c r="G491" s="41"/>
    </row>
    <row r="492" ht="15.75" customHeight="1">
      <c r="A492" s="41"/>
      <c r="B492" s="46"/>
      <c r="C492" s="41"/>
      <c r="D492" s="41"/>
      <c r="E492" s="41"/>
      <c r="F492" s="41"/>
      <c r="G492" s="41"/>
    </row>
    <row r="493" ht="15.75" customHeight="1">
      <c r="A493" s="41"/>
      <c r="B493" s="46"/>
      <c r="C493" s="41"/>
      <c r="D493" s="41"/>
      <c r="E493" s="41"/>
      <c r="F493" s="41"/>
      <c r="G493" s="41"/>
    </row>
    <row r="494" ht="15.75" customHeight="1">
      <c r="A494" s="41"/>
      <c r="B494" s="46"/>
      <c r="C494" s="41"/>
      <c r="D494" s="41"/>
      <c r="E494" s="41"/>
      <c r="F494" s="41"/>
      <c r="G494" s="41"/>
    </row>
    <row r="495" ht="15.75" customHeight="1">
      <c r="A495" s="41"/>
      <c r="B495" s="46"/>
      <c r="C495" s="41"/>
      <c r="D495" s="41"/>
      <c r="E495" s="41"/>
      <c r="F495" s="41"/>
      <c r="G495" s="41"/>
    </row>
    <row r="496" ht="15.75" customHeight="1">
      <c r="A496" s="41"/>
      <c r="B496" s="46"/>
      <c r="C496" s="41"/>
      <c r="D496" s="41"/>
      <c r="E496" s="41"/>
      <c r="F496" s="41"/>
      <c r="G496" s="41"/>
    </row>
    <row r="497" ht="15.75" customHeight="1">
      <c r="A497" s="41"/>
      <c r="B497" s="46"/>
      <c r="C497" s="41"/>
      <c r="D497" s="41"/>
      <c r="E497" s="41"/>
      <c r="F497" s="41"/>
      <c r="G497" s="41"/>
    </row>
    <row r="498" ht="15.75" customHeight="1">
      <c r="A498" s="41"/>
      <c r="B498" s="46"/>
      <c r="C498" s="41"/>
      <c r="D498" s="41"/>
      <c r="E498" s="41"/>
      <c r="F498" s="41"/>
      <c r="G498" s="41"/>
    </row>
    <row r="499" ht="15.75" customHeight="1">
      <c r="A499" s="41"/>
      <c r="B499" s="46"/>
      <c r="C499" s="41"/>
      <c r="D499" s="41"/>
      <c r="E499" s="41"/>
      <c r="F499" s="41"/>
      <c r="G499" s="41"/>
    </row>
    <row r="500" ht="15.75" customHeight="1">
      <c r="A500" s="41"/>
      <c r="B500" s="46"/>
      <c r="C500" s="41"/>
      <c r="D500" s="41"/>
      <c r="E500" s="41"/>
      <c r="F500" s="41"/>
      <c r="G500" s="41"/>
    </row>
    <row r="501" ht="15.75" customHeight="1">
      <c r="A501" s="41"/>
      <c r="B501" s="46"/>
      <c r="C501" s="41"/>
      <c r="D501" s="41"/>
      <c r="E501" s="41"/>
      <c r="F501" s="41"/>
      <c r="G501" s="41"/>
    </row>
    <row r="502" ht="15.75" customHeight="1">
      <c r="A502" s="41"/>
      <c r="B502" s="46"/>
      <c r="C502" s="41"/>
      <c r="D502" s="41"/>
      <c r="E502" s="41"/>
      <c r="F502" s="41"/>
      <c r="G502" s="41"/>
    </row>
    <row r="503" ht="15.75" customHeight="1">
      <c r="A503" s="41"/>
      <c r="B503" s="46"/>
      <c r="C503" s="41"/>
      <c r="D503" s="41"/>
      <c r="E503" s="41"/>
      <c r="F503" s="41"/>
      <c r="G503" s="41"/>
    </row>
    <row r="504" ht="15.75" customHeight="1">
      <c r="A504" s="41"/>
      <c r="B504" s="46"/>
      <c r="C504" s="41"/>
      <c r="D504" s="41"/>
      <c r="E504" s="41"/>
      <c r="F504" s="41"/>
      <c r="G504" s="41"/>
    </row>
    <row r="505" ht="15.75" customHeight="1">
      <c r="A505" s="41"/>
      <c r="B505" s="46"/>
      <c r="C505" s="41"/>
      <c r="D505" s="41"/>
      <c r="E505" s="41"/>
      <c r="F505" s="41"/>
      <c r="G505" s="41"/>
    </row>
    <row r="506" ht="15.75" customHeight="1">
      <c r="A506" s="41"/>
      <c r="B506" s="46"/>
      <c r="C506" s="41"/>
      <c r="D506" s="41"/>
      <c r="E506" s="41"/>
      <c r="F506" s="41"/>
      <c r="G506" s="41"/>
    </row>
    <row r="507" ht="15.75" customHeight="1">
      <c r="A507" s="41"/>
      <c r="B507" s="46"/>
      <c r="C507" s="41"/>
      <c r="D507" s="41"/>
      <c r="E507" s="41"/>
      <c r="F507" s="41"/>
      <c r="G507" s="41"/>
    </row>
    <row r="508" ht="15.75" customHeight="1">
      <c r="A508" s="41"/>
      <c r="B508" s="46"/>
      <c r="C508" s="41"/>
      <c r="D508" s="41"/>
      <c r="E508" s="41"/>
      <c r="F508" s="41"/>
      <c r="G508" s="41"/>
    </row>
    <row r="509" ht="15.75" customHeight="1">
      <c r="A509" s="41"/>
      <c r="B509" s="46"/>
      <c r="C509" s="41"/>
      <c r="D509" s="41"/>
      <c r="E509" s="41"/>
      <c r="F509" s="41"/>
      <c r="G509" s="41"/>
    </row>
    <row r="510" ht="15.75" customHeight="1">
      <c r="A510" s="41"/>
      <c r="B510" s="46"/>
      <c r="C510" s="41"/>
      <c r="D510" s="41"/>
      <c r="E510" s="41"/>
      <c r="F510" s="41"/>
      <c r="G510" s="41"/>
    </row>
    <row r="511" ht="15.75" customHeight="1">
      <c r="A511" s="41"/>
      <c r="B511" s="46"/>
      <c r="C511" s="41"/>
      <c r="D511" s="41"/>
      <c r="E511" s="41"/>
      <c r="F511" s="41"/>
      <c r="G511" s="41"/>
    </row>
    <row r="512" ht="15.75" customHeight="1">
      <c r="A512" s="41"/>
      <c r="B512" s="46"/>
      <c r="C512" s="41"/>
      <c r="D512" s="41"/>
      <c r="E512" s="41"/>
      <c r="F512" s="41"/>
      <c r="G512" s="41"/>
    </row>
    <row r="513" ht="15.75" customHeight="1">
      <c r="A513" s="41"/>
      <c r="B513" s="46"/>
      <c r="C513" s="41"/>
      <c r="D513" s="41"/>
      <c r="E513" s="41"/>
      <c r="F513" s="41"/>
      <c r="G513" s="41"/>
    </row>
    <row r="514" ht="15.75" customHeight="1">
      <c r="A514" s="41"/>
      <c r="B514" s="46"/>
      <c r="C514" s="41"/>
      <c r="D514" s="41"/>
      <c r="E514" s="41"/>
      <c r="F514" s="41"/>
      <c r="G514" s="41"/>
    </row>
    <row r="515" ht="15.75" customHeight="1">
      <c r="A515" s="41"/>
      <c r="B515" s="46"/>
      <c r="C515" s="41"/>
      <c r="D515" s="41"/>
      <c r="E515" s="41"/>
      <c r="F515" s="41"/>
      <c r="G515" s="41"/>
    </row>
    <row r="516" ht="15.75" customHeight="1">
      <c r="A516" s="41"/>
      <c r="B516" s="46"/>
      <c r="C516" s="41"/>
      <c r="D516" s="41"/>
      <c r="E516" s="41"/>
      <c r="F516" s="41"/>
      <c r="G516" s="41"/>
    </row>
    <row r="517" ht="15.75" customHeight="1">
      <c r="A517" s="41"/>
      <c r="B517" s="46"/>
      <c r="C517" s="41"/>
      <c r="D517" s="41"/>
      <c r="E517" s="41"/>
      <c r="F517" s="41"/>
      <c r="G517" s="41"/>
    </row>
    <row r="518" ht="15.75" customHeight="1">
      <c r="A518" s="41"/>
      <c r="B518" s="46"/>
      <c r="C518" s="41"/>
      <c r="D518" s="41"/>
      <c r="E518" s="41"/>
      <c r="F518" s="41"/>
      <c r="G518" s="41"/>
    </row>
    <row r="519" ht="15.75" customHeight="1">
      <c r="A519" s="41"/>
      <c r="B519" s="46"/>
      <c r="C519" s="41"/>
      <c r="D519" s="41"/>
      <c r="E519" s="41"/>
      <c r="F519" s="41"/>
      <c r="G519" s="41"/>
    </row>
    <row r="520" ht="15.75" customHeight="1">
      <c r="A520" s="41"/>
      <c r="B520" s="46"/>
      <c r="C520" s="41"/>
      <c r="D520" s="41"/>
      <c r="E520" s="41"/>
      <c r="F520" s="41"/>
      <c r="G520" s="41"/>
    </row>
    <row r="521" ht="15.75" customHeight="1">
      <c r="A521" s="41"/>
      <c r="B521" s="46"/>
      <c r="C521" s="41"/>
      <c r="D521" s="41"/>
      <c r="E521" s="41"/>
      <c r="F521" s="41"/>
      <c r="G521" s="41"/>
    </row>
    <row r="522" ht="15.75" customHeight="1">
      <c r="A522" s="41"/>
      <c r="B522" s="46"/>
      <c r="C522" s="41"/>
      <c r="D522" s="41"/>
      <c r="E522" s="41"/>
      <c r="F522" s="41"/>
      <c r="G522" s="41"/>
    </row>
    <row r="523" ht="15.75" customHeight="1">
      <c r="A523" s="41"/>
      <c r="B523" s="46"/>
      <c r="C523" s="41"/>
      <c r="D523" s="41"/>
      <c r="E523" s="41"/>
      <c r="F523" s="41"/>
      <c r="G523" s="41"/>
    </row>
    <row r="524" ht="15.75" customHeight="1">
      <c r="A524" s="41"/>
      <c r="B524" s="46"/>
      <c r="C524" s="41"/>
      <c r="D524" s="41"/>
      <c r="E524" s="41"/>
      <c r="F524" s="41"/>
      <c r="G524" s="41"/>
    </row>
    <row r="525" ht="15.75" customHeight="1">
      <c r="A525" s="41"/>
      <c r="B525" s="46"/>
      <c r="C525" s="41"/>
      <c r="D525" s="41"/>
      <c r="E525" s="41"/>
      <c r="F525" s="41"/>
      <c r="G525" s="41"/>
    </row>
    <row r="526" ht="15.75" customHeight="1">
      <c r="A526" s="41"/>
      <c r="B526" s="46"/>
      <c r="C526" s="41"/>
      <c r="D526" s="41"/>
      <c r="E526" s="41"/>
      <c r="F526" s="41"/>
      <c r="G526" s="41"/>
    </row>
    <row r="527" ht="15.75" customHeight="1">
      <c r="A527" s="41"/>
      <c r="B527" s="46"/>
      <c r="C527" s="41"/>
      <c r="D527" s="41"/>
      <c r="E527" s="41"/>
      <c r="F527" s="41"/>
      <c r="G527" s="41"/>
    </row>
    <row r="528" ht="15.75" customHeight="1">
      <c r="A528" s="41"/>
      <c r="B528" s="46"/>
      <c r="C528" s="41"/>
      <c r="D528" s="41"/>
      <c r="E528" s="41"/>
      <c r="F528" s="41"/>
      <c r="G528" s="41"/>
    </row>
    <row r="529" ht="15.75" customHeight="1">
      <c r="A529" s="41"/>
      <c r="B529" s="46"/>
      <c r="C529" s="41"/>
      <c r="D529" s="41"/>
      <c r="E529" s="41"/>
      <c r="F529" s="41"/>
      <c r="G529" s="41"/>
    </row>
    <row r="530" ht="15.75" customHeight="1">
      <c r="A530" s="41"/>
      <c r="B530" s="46"/>
      <c r="C530" s="41"/>
      <c r="D530" s="41"/>
      <c r="E530" s="41"/>
      <c r="F530" s="41"/>
      <c r="G530" s="41"/>
    </row>
    <row r="531" ht="15.75" customHeight="1">
      <c r="A531" s="41"/>
      <c r="B531" s="46"/>
      <c r="C531" s="41"/>
      <c r="D531" s="41"/>
      <c r="E531" s="41"/>
      <c r="F531" s="41"/>
      <c r="G531" s="41"/>
    </row>
    <row r="532" ht="15.75" customHeight="1">
      <c r="A532" s="41"/>
      <c r="B532" s="46"/>
      <c r="C532" s="41"/>
      <c r="D532" s="41"/>
      <c r="E532" s="41"/>
      <c r="F532" s="41"/>
      <c r="G532" s="41"/>
    </row>
    <row r="533" ht="15.75" customHeight="1">
      <c r="A533" s="41"/>
      <c r="B533" s="46"/>
      <c r="C533" s="41"/>
      <c r="D533" s="41"/>
      <c r="E533" s="41"/>
      <c r="F533" s="41"/>
      <c r="G533" s="41"/>
    </row>
    <row r="534" ht="15.75" customHeight="1">
      <c r="A534" s="41"/>
      <c r="B534" s="46"/>
      <c r="C534" s="41"/>
      <c r="D534" s="41"/>
      <c r="E534" s="41"/>
      <c r="F534" s="41"/>
      <c r="G534" s="41"/>
    </row>
    <row r="535" ht="15.75" customHeight="1">
      <c r="A535" s="41"/>
      <c r="B535" s="46"/>
      <c r="C535" s="41"/>
      <c r="D535" s="41"/>
      <c r="E535" s="41"/>
      <c r="F535" s="41"/>
      <c r="G535" s="41"/>
    </row>
    <row r="536" ht="15.75" customHeight="1">
      <c r="A536" s="41"/>
      <c r="B536" s="46"/>
      <c r="C536" s="41"/>
      <c r="D536" s="41"/>
      <c r="E536" s="41"/>
      <c r="F536" s="41"/>
      <c r="G536" s="41"/>
    </row>
    <row r="537" ht="15.75" customHeight="1">
      <c r="A537" s="41"/>
      <c r="B537" s="46"/>
      <c r="C537" s="41"/>
      <c r="D537" s="41"/>
      <c r="E537" s="41"/>
      <c r="F537" s="41"/>
      <c r="G537" s="41"/>
    </row>
    <row r="538" ht="15.75" customHeight="1">
      <c r="A538" s="41"/>
      <c r="B538" s="46"/>
      <c r="C538" s="41"/>
      <c r="D538" s="41"/>
      <c r="E538" s="41"/>
      <c r="F538" s="41"/>
      <c r="G538" s="41"/>
    </row>
    <row r="539" ht="15.75" customHeight="1">
      <c r="A539" s="41"/>
      <c r="B539" s="46"/>
      <c r="C539" s="41"/>
      <c r="D539" s="41"/>
      <c r="E539" s="41"/>
      <c r="F539" s="41"/>
      <c r="G539" s="41"/>
    </row>
    <row r="540" ht="15.75" customHeight="1">
      <c r="A540" s="41"/>
      <c r="B540" s="46"/>
      <c r="C540" s="41"/>
      <c r="D540" s="41"/>
      <c r="E540" s="41"/>
      <c r="F540" s="41"/>
      <c r="G540" s="41"/>
    </row>
    <row r="541" ht="15.75" customHeight="1">
      <c r="A541" s="41"/>
      <c r="B541" s="46"/>
      <c r="C541" s="41"/>
      <c r="D541" s="41"/>
      <c r="E541" s="41"/>
      <c r="F541" s="41"/>
      <c r="G541" s="41"/>
    </row>
    <row r="542" ht="15.75" customHeight="1">
      <c r="A542" s="41"/>
      <c r="B542" s="46"/>
      <c r="C542" s="41"/>
      <c r="D542" s="41"/>
      <c r="E542" s="41"/>
      <c r="F542" s="41"/>
      <c r="G542" s="41"/>
    </row>
    <row r="543" ht="15.75" customHeight="1">
      <c r="A543" s="41"/>
      <c r="B543" s="46"/>
      <c r="C543" s="41"/>
      <c r="D543" s="41"/>
      <c r="E543" s="41"/>
      <c r="F543" s="41"/>
      <c r="G543" s="41"/>
    </row>
    <row r="544" ht="15.75" customHeight="1">
      <c r="A544" s="41"/>
      <c r="B544" s="46"/>
      <c r="C544" s="41"/>
      <c r="D544" s="41"/>
      <c r="E544" s="41"/>
      <c r="F544" s="41"/>
      <c r="G544" s="41"/>
    </row>
    <row r="545" ht="15.75" customHeight="1">
      <c r="A545" s="41"/>
      <c r="B545" s="46"/>
      <c r="C545" s="41"/>
      <c r="D545" s="41"/>
      <c r="E545" s="41"/>
      <c r="F545" s="41"/>
      <c r="G545" s="41"/>
    </row>
    <row r="546" ht="15.75" customHeight="1">
      <c r="A546" s="41"/>
      <c r="B546" s="46"/>
      <c r="C546" s="41"/>
      <c r="D546" s="41"/>
      <c r="E546" s="41"/>
      <c r="F546" s="41"/>
      <c r="G546" s="41"/>
    </row>
    <row r="547" ht="15.75" customHeight="1">
      <c r="A547" s="41"/>
      <c r="B547" s="46"/>
      <c r="C547" s="41"/>
      <c r="D547" s="41"/>
      <c r="E547" s="41"/>
      <c r="F547" s="41"/>
      <c r="G547" s="41"/>
    </row>
    <row r="548" ht="15.75" customHeight="1">
      <c r="A548" s="41"/>
      <c r="B548" s="46"/>
      <c r="C548" s="41"/>
      <c r="D548" s="41"/>
      <c r="E548" s="41"/>
      <c r="F548" s="41"/>
      <c r="G548" s="41"/>
    </row>
    <row r="549" ht="15.75" customHeight="1">
      <c r="A549" s="41"/>
      <c r="B549" s="46"/>
      <c r="C549" s="41"/>
      <c r="D549" s="41"/>
      <c r="E549" s="41"/>
      <c r="F549" s="41"/>
      <c r="G549" s="41"/>
    </row>
    <row r="550" ht="15.75" customHeight="1">
      <c r="A550" s="41"/>
      <c r="B550" s="46"/>
      <c r="C550" s="41"/>
      <c r="D550" s="41"/>
      <c r="E550" s="41"/>
      <c r="F550" s="41"/>
      <c r="G550" s="41"/>
    </row>
    <row r="551" ht="15.75" customHeight="1">
      <c r="A551" s="41"/>
      <c r="B551" s="46"/>
      <c r="C551" s="41"/>
      <c r="D551" s="41"/>
      <c r="E551" s="41"/>
      <c r="F551" s="41"/>
      <c r="G551" s="41"/>
    </row>
    <row r="552" ht="15.75" customHeight="1">
      <c r="A552" s="41"/>
      <c r="B552" s="46"/>
      <c r="C552" s="41"/>
      <c r="D552" s="41"/>
      <c r="E552" s="41"/>
      <c r="F552" s="41"/>
      <c r="G552" s="41"/>
    </row>
    <row r="553" ht="15.75" customHeight="1">
      <c r="A553" s="41"/>
      <c r="B553" s="46"/>
      <c r="C553" s="41"/>
      <c r="D553" s="41"/>
      <c r="E553" s="41"/>
      <c r="F553" s="41"/>
      <c r="G553" s="41"/>
    </row>
    <row r="554" ht="15.75" customHeight="1">
      <c r="A554" s="41"/>
      <c r="B554" s="46"/>
      <c r="C554" s="41"/>
      <c r="D554" s="41"/>
      <c r="E554" s="41"/>
      <c r="F554" s="41"/>
      <c r="G554" s="41"/>
    </row>
    <row r="555" ht="15.75" customHeight="1">
      <c r="A555" s="41"/>
      <c r="B555" s="46"/>
      <c r="C555" s="41"/>
      <c r="D555" s="41"/>
      <c r="E555" s="41"/>
      <c r="F555" s="41"/>
      <c r="G555" s="41"/>
    </row>
    <row r="556" ht="15.75" customHeight="1">
      <c r="A556" s="41"/>
      <c r="B556" s="46"/>
      <c r="C556" s="41"/>
      <c r="D556" s="41"/>
      <c r="E556" s="41"/>
      <c r="F556" s="41"/>
      <c r="G556" s="41"/>
    </row>
    <row r="557" ht="15.75" customHeight="1">
      <c r="A557" s="41"/>
      <c r="B557" s="46"/>
      <c r="C557" s="41"/>
      <c r="D557" s="41"/>
      <c r="E557" s="41"/>
      <c r="F557" s="41"/>
      <c r="G557" s="41"/>
    </row>
    <row r="558" ht="15.75" customHeight="1">
      <c r="A558" s="41"/>
      <c r="B558" s="46"/>
      <c r="C558" s="41"/>
      <c r="D558" s="41"/>
      <c r="E558" s="41"/>
      <c r="F558" s="41"/>
      <c r="G558" s="41"/>
    </row>
    <row r="559" ht="15.75" customHeight="1">
      <c r="A559" s="41"/>
      <c r="B559" s="46"/>
      <c r="C559" s="41"/>
      <c r="D559" s="41"/>
      <c r="E559" s="41"/>
      <c r="F559" s="41"/>
      <c r="G559" s="41"/>
    </row>
    <row r="560" ht="15.75" customHeight="1">
      <c r="A560" s="41"/>
      <c r="B560" s="46"/>
      <c r="C560" s="41"/>
      <c r="D560" s="41"/>
      <c r="E560" s="41"/>
      <c r="F560" s="41"/>
      <c r="G560" s="41"/>
    </row>
    <row r="561" ht="15.75" customHeight="1">
      <c r="A561" s="41"/>
      <c r="B561" s="46"/>
      <c r="C561" s="41"/>
      <c r="D561" s="41"/>
      <c r="E561" s="41"/>
      <c r="F561" s="41"/>
      <c r="G561" s="41"/>
    </row>
    <row r="562" ht="15.75" customHeight="1">
      <c r="A562" s="41"/>
      <c r="B562" s="46"/>
      <c r="C562" s="41"/>
      <c r="D562" s="41"/>
      <c r="E562" s="41"/>
      <c r="F562" s="41"/>
      <c r="G562" s="41"/>
    </row>
    <row r="563" ht="15.75" customHeight="1">
      <c r="A563" s="41"/>
      <c r="B563" s="46"/>
      <c r="C563" s="41"/>
      <c r="D563" s="41"/>
      <c r="E563" s="41"/>
      <c r="F563" s="41"/>
      <c r="G563" s="41"/>
    </row>
    <row r="564" ht="15.75" customHeight="1">
      <c r="A564" s="41"/>
      <c r="B564" s="46"/>
      <c r="C564" s="41"/>
      <c r="D564" s="41"/>
      <c r="E564" s="41"/>
      <c r="F564" s="41"/>
      <c r="G564" s="41"/>
    </row>
    <row r="565" ht="15.75" customHeight="1">
      <c r="A565" s="41"/>
      <c r="B565" s="46"/>
      <c r="C565" s="41"/>
      <c r="D565" s="41"/>
      <c r="E565" s="41"/>
      <c r="F565" s="41"/>
      <c r="G565" s="41"/>
    </row>
    <row r="566" ht="15.75" customHeight="1">
      <c r="A566" s="41"/>
      <c r="B566" s="46"/>
      <c r="C566" s="41"/>
      <c r="D566" s="41"/>
      <c r="E566" s="41"/>
      <c r="F566" s="41"/>
      <c r="G566" s="41"/>
    </row>
    <row r="567" ht="15.75" customHeight="1">
      <c r="A567" s="41"/>
      <c r="B567" s="46"/>
      <c r="C567" s="41"/>
      <c r="D567" s="41"/>
      <c r="E567" s="41"/>
      <c r="F567" s="41"/>
      <c r="G567" s="41"/>
    </row>
    <row r="568" ht="15.75" customHeight="1">
      <c r="A568" s="41"/>
      <c r="B568" s="46"/>
      <c r="C568" s="41"/>
      <c r="D568" s="41"/>
      <c r="E568" s="41"/>
      <c r="F568" s="41"/>
      <c r="G568" s="41"/>
    </row>
    <row r="569" ht="15.75" customHeight="1">
      <c r="A569" s="41"/>
      <c r="B569" s="46"/>
      <c r="C569" s="41"/>
      <c r="D569" s="41"/>
      <c r="E569" s="41"/>
      <c r="F569" s="41"/>
      <c r="G569" s="41"/>
    </row>
    <row r="570" ht="15.75" customHeight="1">
      <c r="A570" s="41"/>
      <c r="B570" s="46"/>
      <c r="C570" s="41"/>
      <c r="D570" s="41"/>
      <c r="E570" s="41"/>
      <c r="F570" s="41"/>
      <c r="G570" s="41"/>
    </row>
    <row r="571" ht="15.75" customHeight="1">
      <c r="A571" s="41"/>
      <c r="B571" s="46"/>
      <c r="C571" s="41"/>
      <c r="D571" s="41"/>
      <c r="E571" s="41"/>
      <c r="F571" s="41"/>
      <c r="G571" s="41"/>
    </row>
    <row r="572" ht="15.75" customHeight="1">
      <c r="A572" s="41"/>
      <c r="B572" s="46"/>
      <c r="C572" s="41"/>
      <c r="D572" s="41"/>
      <c r="E572" s="41"/>
      <c r="F572" s="41"/>
      <c r="G572" s="41"/>
    </row>
    <row r="573" ht="15.75" customHeight="1">
      <c r="A573" s="41"/>
      <c r="B573" s="46"/>
      <c r="C573" s="41"/>
      <c r="D573" s="41"/>
      <c r="E573" s="41"/>
      <c r="F573" s="41"/>
      <c r="G573" s="41"/>
    </row>
    <row r="574" ht="15.75" customHeight="1">
      <c r="A574" s="41"/>
      <c r="B574" s="46"/>
      <c r="C574" s="41"/>
      <c r="D574" s="41"/>
      <c r="E574" s="41"/>
      <c r="F574" s="41"/>
      <c r="G574" s="41"/>
    </row>
    <row r="575" ht="15.75" customHeight="1">
      <c r="A575" s="41"/>
      <c r="B575" s="46"/>
      <c r="C575" s="41"/>
      <c r="D575" s="41"/>
      <c r="E575" s="41"/>
      <c r="F575" s="41"/>
      <c r="G575" s="41"/>
    </row>
    <row r="576" ht="15.75" customHeight="1">
      <c r="A576" s="41"/>
      <c r="B576" s="46"/>
      <c r="C576" s="41"/>
      <c r="D576" s="41"/>
      <c r="E576" s="41"/>
      <c r="F576" s="41"/>
      <c r="G576" s="41"/>
    </row>
    <row r="577" ht="15.75" customHeight="1">
      <c r="A577" s="41"/>
      <c r="B577" s="46"/>
      <c r="C577" s="41"/>
      <c r="D577" s="41"/>
      <c r="E577" s="41"/>
      <c r="F577" s="41"/>
      <c r="G577" s="41"/>
    </row>
    <row r="578" ht="15.75" customHeight="1">
      <c r="A578" s="41"/>
      <c r="B578" s="46"/>
      <c r="C578" s="41"/>
      <c r="D578" s="41"/>
      <c r="E578" s="41"/>
      <c r="F578" s="41"/>
      <c r="G578" s="41"/>
    </row>
    <row r="579" ht="15.75" customHeight="1">
      <c r="A579" s="41"/>
      <c r="B579" s="46"/>
      <c r="C579" s="41"/>
      <c r="D579" s="41"/>
      <c r="E579" s="41"/>
      <c r="F579" s="41"/>
      <c r="G579" s="41"/>
    </row>
    <row r="580" ht="15.75" customHeight="1">
      <c r="A580" s="41"/>
      <c r="B580" s="46"/>
      <c r="C580" s="41"/>
      <c r="D580" s="41"/>
      <c r="E580" s="41"/>
      <c r="F580" s="41"/>
      <c r="G580" s="41"/>
    </row>
    <row r="581" ht="15.75" customHeight="1">
      <c r="A581" s="41"/>
      <c r="B581" s="46"/>
      <c r="C581" s="41"/>
      <c r="D581" s="41"/>
      <c r="E581" s="41"/>
      <c r="F581" s="41"/>
      <c r="G581" s="41"/>
    </row>
    <row r="582" ht="15.75" customHeight="1">
      <c r="A582" s="41"/>
      <c r="B582" s="46"/>
      <c r="C582" s="41"/>
      <c r="D582" s="41"/>
      <c r="E582" s="41"/>
      <c r="F582" s="41"/>
      <c r="G582" s="41"/>
    </row>
    <row r="583" ht="15.75" customHeight="1">
      <c r="A583" s="41"/>
      <c r="B583" s="46"/>
      <c r="C583" s="41"/>
      <c r="D583" s="41"/>
      <c r="E583" s="41"/>
      <c r="F583" s="41"/>
      <c r="G583" s="41"/>
    </row>
    <row r="584" ht="15.75" customHeight="1">
      <c r="A584" s="41"/>
      <c r="B584" s="46"/>
      <c r="C584" s="41"/>
      <c r="D584" s="41"/>
      <c r="E584" s="41"/>
      <c r="F584" s="41"/>
      <c r="G584" s="41"/>
    </row>
    <row r="585" ht="15.75" customHeight="1">
      <c r="A585" s="41"/>
      <c r="B585" s="46"/>
      <c r="C585" s="41"/>
      <c r="D585" s="41"/>
      <c r="E585" s="41"/>
      <c r="F585" s="41"/>
      <c r="G585" s="41"/>
    </row>
    <row r="586" ht="15.75" customHeight="1">
      <c r="A586" s="41"/>
      <c r="B586" s="46"/>
      <c r="C586" s="41"/>
      <c r="D586" s="41"/>
      <c r="E586" s="41"/>
      <c r="F586" s="41"/>
      <c r="G586" s="41"/>
    </row>
    <row r="587" ht="15.75" customHeight="1">
      <c r="A587" s="41"/>
      <c r="B587" s="46"/>
      <c r="C587" s="41"/>
      <c r="D587" s="41"/>
      <c r="E587" s="41"/>
      <c r="F587" s="41"/>
      <c r="G587" s="41"/>
    </row>
    <row r="588" ht="15.75" customHeight="1">
      <c r="A588" s="41"/>
      <c r="B588" s="46"/>
      <c r="C588" s="41"/>
      <c r="D588" s="41"/>
      <c r="E588" s="41"/>
      <c r="F588" s="41"/>
      <c r="G588" s="41"/>
    </row>
    <row r="589" ht="15.75" customHeight="1">
      <c r="A589" s="41"/>
      <c r="B589" s="46"/>
      <c r="C589" s="41"/>
      <c r="D589" s="41"/>
      <c r="E589" s="41"/>
      <c r="F589" s="41"/>
      <c r="G589" s="41"/>
    </row>
    <row r="590" ht="15.75" customHeight="1">
      <c r="A590" s="41"/>
      <c r="B590" s="46"/>
      <c r="C590" s="41"/>
      <c r="D590" s="41"/>
      <c r="E590" s="41"/>
      <c r="F590" s="41"/>
      <c r="G590" s="41"/>
    </row>
    <row r="591" ht="15.75" customHeight="1">
      <c r="A591" s="41"/>
      <c r="B591" s="46"/>
      <c r="C591" s="41"/>
      <c r="D591" s="41"/>
      <c r="E591" s="41"/>
      <c r="F591" s="41"/>
      <c r="G591" s="41"/>
    </row>
    <row r="592" ht="15.75" customHeight="1">
      <c r="A592" s="41"/>
      <c r="B592" s="46"/>
      <c r="C592" s="41"/>
      <c r="D592" s="41"/>
      <c r="E592" s="41"/>
      <c r="F592" s="41"/>
      <c r="G592" s="41"/>
    </row>
    <row r="593" ht="15.75" customHeight="1">
      <c r="A593" s="41"/>
      <c r="B593" s="46"/>
      <c r="C593" s="41"/>
      <c r="D593" s="41"/>
      <c r="E593" s="41"/>
      <c r="F593" s="41"/>
      <c r="G593" s="41"/>
    </row>
    <row r="594" ht="15.75" customHeight="1">
      <c r="A594" s="41"/>
      <c r="B594" s="46"/>
      <c r="C594" s="41"/>
      <c r="D594" s="41"/>
      <c r="E594" s="41"/>
      <c r="F594" s="41"/>
      <c r="G594" s="41"/>
    </row>
    <row r="595" ht="15.75" customHeight="1">
      <c r="A595" s="41"/>
      <c r="B595" s="46"/>
      <c r="C595" s="41"/>
      <c r="D595" s="41"/>
      <c r="E595" s="41"/>
      <c r="F595" s="41"/>
      <c r="G595" s="41"/>
    </row>
    <row r="596" ht="15.75" customHeight="1">
      <c r="A596" s="41"/>
      <c r="B596" s="46"/>
      <c r="C596" s="41"/>
      <c r="D596" s="41"/>
      <c r="E596" s="41"/>
      <c r="F596" s="41"/>
      <c r="G596" s="41"/>
    </row>
    <row r="597" ht="15.75" customHeight="1">
      <c r="A597" s="41"/>
      <c r="B597" s="46"/>
      <c r="C597" s="41"/>
      <c r="D597" s="41"/>
      <c r="E597" s="41"/>
      <c r="F597" s="41"/>
      <c r="G597" s="41"/>
    </row>
    <row r="598" ht="15.75" customHeight="1">
      <c r="A598" s="41"/>
      <c r="B598" s="46"/>
      <c r="C598" s="41"/>
      <c r="D598" s="41"/>
      <c r="E598" s="41"/>
      <c r="F598" s="41"/>
      <c r="G598" s="41"/>
    </row>
    <row r="599" ht="15.75" customHeight="1">
      <c r="A599" s="41"/>
      <c r="B599" s="46"/>
      <c r="C599" s="41"/>
      <c r="D599" s="41"/>
      <c r="E599" s="41"/>
      <c r="F599" s="41"/>
      <c r="G599" s="41"/>
    </row>
    <row r="600" ht="15.75" customHeight="1">
      <c r="A600" s="41"/>
      <c r="B600" s="46"/>
      <c r="C600" s="41"/>
      <c r="D600" s="41"/>
      <c r="E600" s="41"/>
      <c r="F600" s="41"/>
      <c r="G600" s="41"/>
    </row>
    <row r="601" ht="15.75" customHeight="1">
      <c r="A601" s="41"/>
      <c r="B601" s="46"/>
      <c r="C601" s="41"/>
      <c r="D601" s="41"/>
      <c r="E601" s="41"/>
      <c r="F601" s="41"/>
      <c r="G601" s="41"/>
    </row>
    <row r="602" ht="15.75" customHeight="1">
      <c r="A602" s="41"/>
      <c r="B602" s="46"/>
      <c r="C602" s="41"/>
      <c r="D602" s="41"/>
      <c r="E602" s="41"/>
      <c r="F602" s="41"/>
      <c r="G602" s="41"/>
    </row>
    <row r="603" ht="15.75" customHeight="1">
      <c r="A603" s="41"/>
      <c r="B603" s="46"/>
      <c r="C603" s="41"/>
      <c r="D603" s="41"/>
      <c r="E603" s="41"/>
      <c r="F603" s="41"/>
      <c r="G603" s="41"/>
    </row>
    <row r="604" ht="15.75" customHeight="1">
      <c r="A604" s="41"/>
      <c r="B604" s="46"/>
      <c r="C604" s="41"/>
      <c r="D604" s="41"/>
      <c r="E604" s="41"/>
      <c r="F604" s="41"/>
      <c r="G604" s="41"/>
    </row>
    <row r="605" ht="15.75" customHeight="1">
      <c r="A605" s="41"/>
      <c r="B605" s="46"/>
      <c r="C605" s="41"/>
      <c r="D605" s="41"/>
      <c r="E605" s="41"/>
      <c r="F605" s="41"/>
      <c r="G605" s="41"/>
    </row>
    <row r="606" ht="15.75" customHeight="1">
      <c r="A606" s="41"/>
      <c r="B606" s="46"/>
      <c r="C606" s="41"/>
      <c r="D606" s="41"/>
      <c r="E606" s="41"/>
      <c r="F606" s="41"/>
      <c r="G606" s="41"/>
    </row>
    <row r="607" ht="15.75" customHeight="1">
      <c r="A607" s="41"/>
      <c r="B607" s="46"/>
      <c r="C607" s="41"/>
      <c r="D607" s="41"/>
      <c r="E607" s="41"/>
      <c r="F607" s="41"/>
      <c r="G607" s="41"/>
    </row>
    <row r="608" ht="15.75" customHeight="1">
      <c r="A608" s="41"/>
      <c r="B608" s="46"/>
      <c r="C608" s="41"/>
      <c r="D608" s="41"/>
      <c r="E608" s="41"/>
      <c r="F608" s="41"/>
      <c r="G608" s="41"/>
    </row>
    <row r="609" ht="15.75" customHeight="1">
      <c r="A609" s="41"/>
      <c r="B609" s="46"/>
      <c r="C609" s="41"/>
      <c r="D609" s="41"/>
      <c r="E609" s="41"/>
      <c r="F609" s="41"/>
      <c r="G609" s="41"/>
    </row>
    <row r="610" ht="15.75" customHeight="1">
      <c r="A610" s="41"/>
      <c r="B610" s="46"/>
      <c r="C610" s="41"/>
      <c r="D610" s="41"/>
      <c r="E610" s="41"/>
      <c r="F610" s="41"/>
      <c r="G610" s="41"/>
    </row>
    <row r="611" ht="15.75" customHeight="1">
      <c r="A611" s="41"/>
      <c r="B611" s="46"/>
      <c r="C611" s="41"/>
      <c r="D611" s="41"/>
      <c r="E611" s="41"/>
      <c r="F611" s="41"/>
      <c r="G611" s="41"/>
    </row>
    <row r="612" ht="15.75" customHeight="1">
      <c r="A612" s="41"/>
      <c r="B612" s="46"/>
      <c r="C612" s="41"/>
      <c r="D612" s="41"/>
      <c r="E612" s="41"/>
      <c r="F612" s="41"/>
      <c r="G612" s="41"/>
    </row>
    <row r="613" ht="15.75" customHeight="1">
      <c r="A613" s="41"/>
      <c r="B613" s="46"/>
      <c r="C613" s="41"/>
      <c r="D613" s="41"/>
      <c r="E613" s="41"/>
      <c r="F613" s="41"/>
      <c r="G613" s="41"/>
    </row>
    <row r="614" ht="15.75" customHeight="1">
      <c r="A614" s="41"/>
      <c r="B614" s="46"/>
      <c r="C614" s="41"/>
      <c r="D614" s="41"/>
      <c r="E614" s="41"/>
      <c r="F614" s="41"/>
      <c r="G614" s="41"/>
    </row>
    <row r="615" ht="15.75" customHeight="1">
      <c r="A615" s="41"/>
      <c r="B615" s="46"/>
      <c r="C615" s="41"/>
      <c r="D615" s="41"/>
      <c r="E615" s="41"/>
      <c r="F615" s="41"/>
      <c r="G615" s="41"/>
    </row>
    <row r="616" ht="15.75" customHeight="1">
      <c r="A616" s="41"/>
      <c r="B616" s="46"/>
      <c r="C616" s="41"/>
      <c r="D616" s="41"/>
      <c r="E616" s="41"/>
      <c r="F616" s="41"/>
      <c r="G616" s="41"/>
    </row>
    <row r="617" ht="15.75" customHeight="1">
      <c r="A617" s="41"/>
      <c r="B617" s="46"/>
      <c r="C617" s="41"/>
      <c r="D617" s="41"/>
      <c r="E617" s="41"/>
      <c r="F617" s="41"/>
      <c r="G617" s="41"/>
    </row>
    <row r="618" ht="15.75" customHeight="1">
      <c r="A618" s="41"/>
      <c r="B618" s="46"/>
      <c r="C618" s="41"/>
      <c r="D618" s="41"/>
      <c r="E618" s="41"/>
      <c r="F618" s="41"/>
      <c r="G618" s="41"/>
    </row>
    <row r="619" ht="15.75" customHeight="1">
      <c r="A619" s="41"/>
      <c r="B619" s="46"/>
      <c r="C619" s="41"/>
      <c r="D619" s="41"/>
      <c r="E619" s="41"/>
      <c r="F619" s="41"/>
      <c r="G619" s="41"/>
    </row>
    <row r="620" ht="15.75" customHeight="1">
      <c r="A620" s="41"/>
      <c r="B620" s="46"/>
      <c r="C620" s="41"/>
      <c r="D620" s="41"/>
      <c r="E620" s="41"/>
      <c r="F620" s="41"/>
      <c r="G620" s="41"/>
    </row>
    <row r="621" ht="15.75" customHeight="1">
      <c r="A621" s="41"/>
      <c r="B621" s="46"/>
      <c r="C621" s="41"/>
      <c r="D621" s="41"/>
      <c r="E621" s="41"/>
      <c r="F621" s="41"/>
      <c r="G621" s="41"/>
    </row>
    <row r="622" ht="15.75" customHeight="1">
      <c r="A622" s="41"/>
      <c r="B622" s="46"/>
      <c r="C622" s="41"/>
      <c r="D622" s="41"/>
      <c r="E622" s="41"/>
      <c r="F622" s="41"/>
      <c r="G622" s="41"/>
    </row>
    <row r="623" ht="15.75" customHeight="1">
      <c r="A623" s="41"/>
      <c r="B623" s="46"/>
      <c r="C623" s="41"/>
      <c r="D623" s="41"/>
      <c r="E623" s="41"/>
      <c r="F623" s="41"/>
      <c r="G623" s="41"/>
    </row>
    <row r="624" ht="15.75" customHeight="1">
      <c r="A624" s="41"/>
      <c r="B624" s="46"/>
      <c r="C624" s="41"/>
      <c r="D624" s="41"/>
      <c r="E624" s="41"/>
      <c r="F624" s="41"/>
      <c r="G624" s="41"/>
    </row>
    <row r="625" ht="15.75" customHeight="1">
      <c r="A625" s="41"/>
      <c r="B625" s="46"/>
      <c r="C625" s="41"/>
      <c r="D625" s="41"/>
      <c r="E625" s="41"/>
      <c r="F625" s="41"/>
      <c r="G625" s="41"/>
    </row>
    <row r="626" ht="15.75" customHeight="1">
      <c r="A626" s="41"/>
      <c r="B626" s="46"/>
      <c r="C626" s="41"/>
      <c r="D626" s="41"/>
      <c r="E626" s="41"/>
      <c r="F626" s="41"/>
      <c r="G626" s="41"/>
    </row>
    <row r="627" ht="15.75" customHeight="1">
      <c r="A627" s="41"/>
      <c r="B627" s="46"/>
      <c r="C627" s="41"/>
      <c r="D627" s="41"/>
      <c r="E627" s="41"/>
      <c r="F627" s="41"/>
      <c r="G627" s="41"/>
    </row>
    <row r="628" ht="15.75" customHeight="1">
      <c r="A628" s="41"/>
      <c r="B628" s="46"/>
      <c r="C628" s="41"/>
      <c r="D628" s="41"/>
      <c r="E628" s="41"/>
      <c r="F628" s="41"/>
      <c r="G628" s="41"/>
    </row>
    <row r="629" ht="15.75" customHeight="1">
      <c r="A629" s="41"/>
      <c r="B629" s="46"/>
      <c r="C629" s="41"/>
      <c r="D629" s="41"/>
      <c r="E629" s="41"/>
      <c r="F629" s="41"/>
      <c r="G629" s="41"/>
    </row>
    <row r="630" ht="15.75" customHeight="1">
      <c r="A630" s="41"/>
      <c r="B630" s="46"/>
      <c r="C630" s="41"/>
      <c r="D630" s="41"/>
      <c r="E630" s="41"/>
      <c r="F630" s="41"/>
      <c r="G630" s="41"/>
    </row>
    <row r="631" ht="15.75" customHeight="1">
      <c r="A631" s="41"/>
      <c r="B631" s="46"/>
      <c r="C631" s="41"/>
      <c r="D631" s="41"/>
      <c r="E631" s="41"/>
      <c r="F631" s="41"/>
      <c r="G631" s="41"/>
    </row>
    <row r="632" ht="15.75" customHeight="1">
      <c r="A632" s="41"/>
      <c r="B632" s="46"/>
      <c r="C632" s="41"/>
      <c r="D632" s="41"/>
      <c r="E632" s="41"/>
      <c r="F632" s="41"/>
      <c r="G632" s="41"/>
    </row>
    <row r="633" ht="15.75" customHeight="1">
      <c r="A633" s="41"/>
      <c r="B633" s="46"/>
      <c r="C633" s="41"/>
      <c r="D633" s="41"/>
      <c r="E633" s="41"/>
      <c r="F633" s="41"/>
      <c r="G633" s="41"/>
    </row>
    <row r="634" ht="15.75" customHeight="1">
      <c r="A634" s="41"/>
      <c r="B634" s="46"/>
      <c r="C634" s="41"/>
      <c r="D634" s="41"/>
      <c r="E634" s="41"/>
      <c r="F634" s="41"/>
      <c r="G634" s="41"/>
    </row>
    <row r="635" ht="15.75" customHeight="1">
      <c r="A635" s="41"/>
      <c r="B635" s="46"/>
      <c r="C635" s="41"/>
      <c r="D635" s="41"/>
      <c r="E635" s="41"/>
      <c r="F635" s="41"/>
      <c r="G635" s="41"/>
    </row>
    <row r="636" ht="15.75" customHeight="1">
      <c r="A636" s="41"/>
      <c r="B636" s="46"/>
      <c r="C636" s="41"/>
      <c r="D636" s="41"/>
      <c r="E636" s="41"/>
      <c r="F636" s="41"/>
      <c r="G636" s="41"/>
    </row>
    <row r="637" ht="15.75" customHeight="1">
      <c r="A637" s="41"/>
      <c r="B637" s="46"/>
      <c r="C637" s="41"/>
      <c r="D637" s="41"/>
      <c r="E637" s="41"/>
      <c r="F637" s="41"/>
      <c r="G637" s="41"/>
    </row>
    <row r="638" ht="15.75" customHeight="1">
      <c r="A638" s="41"/>
      <c r="B638" s="46"/>
      <c r="C638" s="41"/>
      <c r="D638" s="41"/>
      <c r="E638" s="41"/>
      <c r="F638" s="41"/>
      <c r="G638" s="41"/>
    </row>
    <row r="639" ht="15.75" customHeight="1">
      <c r="A639" s="41"/>
      <c r="B639" s="46"/>
      <c r="C639" s="41"/>
      <c r="D639" s="41"/>
      <c r="E639" s="41"/>
      <c r="F639" s="41"/>
      <c r="G639" s="41"/>
    </row>
    <row r="640" ht="15.75" customHeight="1">
      <c r="A640" s="41"/>
      <c r="B640" s="46"/>
      <c r="C640" s="41"/>
      <c r="D640" s="41"/>
      <c r="E640" s="41"/>
      <c r="F640" s="41"/>
      <c r="G640" s="41"/>
    </row>
    <row r="641" ht="15.75" customHeight="1">
      <c r="A641" s="41"/>
      <c r="B641" s="46"/>
      <c r="C641" s="41"/>
      <c r="D641" s="41"/>
      <c r="E641" s="41"/>
      <c r="F641" s="41"/>
      <c r="G641" s="41"/>
    </row>
    <row r="642" ht="15.75" customHeight="1">
      <c r="A642" s="41"/>
      <c r="B642" s="46"/>
      <c r="C642" s="41"/>
      <c r="D642" s="41"/>
      <c r="E642" s="41"/>
      <c r="F642" s="41"/>
      <c r="G642" s="41"/>
    </row>
    <row r="643" ht="15.75" customHeight="1">
      <c r="A643" s="41"/>
      <c r="B643" s="46"/>
      <c r="C643" s="41"/>
      <c r="D643" s="41"/>
      <c r="E643" s="41"/>
      <c r="F643" s="41"/>
      <c r="G643" s="41"/>
    </row>
    <row r="644" ht="15.75" customHeight="1">
      <c r="A644" s="41"/>
      <c r="B644" s="46"/>
      <c r="C644" s="41"/>
      <c r="D644" s="41"/>
      <c r="E644" s="41"/>
      <c r="F644" s="41"/>
      <c r="G644" s="41"/>
    </row>
    <row r="645" ht="15.75" customHeight="1">
      <c r="A645" s="41"/>
      <c r="B645" s="46"/>
      <c r="C645" s="41"/>
      <c r="D645" s="41"/>
      <c r="E645" s="41"/>
      <c r="F645" s="41"/>
      <c r="G645" s="41"/>
    </row>
    <row r="646" ht="15.75" customHeight="1">
      <c r="A646" s="41"/>
      <c r="B646" s="46"/>
      <c r="C646" s="41"/>
      <c r="D646" s="41"/>
      <c r="E646" s="41"/>
      <c r="F646" s="41"/>
      <c r="G646" s="41"/>
    </row>
    <row r="647" ht="15.75" customHeight="1">
      <c r="A647" s="41"/>
      <c r="B647" s="46"/>
      <c r="C647" s="41"/>
      <c r="D647" s="41"/>
      <c r="E647" s="41"/>
      <c r="F647" s="41"/>
      <c r="G647" s="41"/>
    </row>
    <row r="648" ht="15.75" customHeight="1">
      <c r="A648" s="41"/>
      <c r="B648" s="46"/>
      <c r="C648" s="41"/>
      <c r="D648" s="41"/>
      <c r="E648" s="41"/>
      <c r="F648" s="41"/>
      <c r="G648" s="41"/>
    </row>
    <row r="649" ht="15.75" customHeight="1">
      <c r="A649" s="41"/>
      <c r="B649" s="46"/>
      <c r="C649" s="41"/>
      <c r="D649" s="41"/>
      <c r="E649" s="41"/>
      <c r="F649" s="41"/>
      <c r="G649" s="41"/>
    </row>
    <row r="650" ht="15.75" customHeight="1">
      <c r="A650" s="41"/>
      <c r="B650" s="46"/>
      <c r="C650" s="41"/>
      <c r="D650" s="41"/>
      <c r="E650" s="41"/>
      <c r="F650" s="41"/>
      <c r="G650" s="41"/>
    </row>
    <row r="651" ht="15.75" customHeight="1">
      <c r="A651" s="41"/>
      <c r="B651" s="46"/>
      <c r="C651" s="41"/>
      <c r="D651" s="41"/>
      <c r="E651" s="41"/>
      <c r="F651" s="41"/>
      <c r="G651" s="41"/>
    </row>
    <row r="652" ht="15.75" customHeight="1">
      <c r="A652" s="41"/>
      <c r="B652" s="46"/>
      <c r="C652" s="41"/>
      <c r="D652" s="41"/>
      <c r="E652" s="41"/>
      <c r="F652" s="41"/>
      <c r="G652" s="41"/>
    </row>
    <row r="653" ht="15.75" customHeight="1">
      <c r="A653" s="41"/>
      <c r="B653" s="46"/>
      <c r="C653" s="41"/>
      <c r="D653" s="41"/>
      <c r="E653" s="41"/>
      <c r="F653" s="41"/>
      <c r="G653" s="41"/>
    </row>
    <row r="654" ht="15.75" customHeight="1">
      <c r="A654" s="41"/>
      <c r="B654" s="46"/>
      <c r="C654" s="41"/>
      <c r="D654" s="41"/>
      <c r="E654" s="41"/>
      <c r="F654" s="41"/>
      <c r="G654" s="41"/>
    </row>
    <row r="655" ht="15.75" customHeight="1">
      <c r="A655" s="41"/>
      <c r="B655" s="46"/>
      <c r="C655" s="41"/>
      <c r="D655" s="41"/>
      <c r="E655" s="41"/>
      <c r="F655" s="41"/>
      <c r="G655" s="41"/>
    </row>
    <row r="656" ht="15.75" customHeight="1">
      <c r="A656" s="41"/>
      <c r="B656" s="46"/>
      <c r="C656" s="41"/>
      <c r="D656" s="41"/>
      <c r="E656" s="41"/>
      <c r="F656" s="41"/>
      <c r="G656" s="41"/>
    </row>
    <row r="657" ht="15.75" customHeight="1">
      <c r="A657" s="41"/>
      <c r="B657" s="46"/>
      <c r="C657" s="41"/>
      <c r="D657" s="41"/>
      <c r="E657" s="41"/>
      <c r="F657" s="41"/>
      <c r="G657" s="41"/>
    </row>
    <row r="658" ht="15.75" customHeight="1">
      <c r="A658" s="41"/>
      <c r="B658" s="46"/>
      <c r="C658" s="41"/>
      <c r="D658" s="41"/>
      <c r="E658" s="41"/>
      <c r="F658" s="41"/>
      <c r="G658" s="41"/>
    </row>
    <row r="659" ht="15.75" customHeight="1">
      <c r="A659" s="41"/>
      <c r="B659" s="46"/>
      <c r="C659" s="41"/>
      <c r="D659" s="41"/>
      <c r="E659" s="41"/>
      <c r="F659" s="41"/>
      <c r="G659" s="41"/>
    </row>
    <row r="660" ht="15.75" customHeight="1">
      <c r="A660" s="41"/>
      <c r="B660" s="46"/>
      <c r="C660" s="41"/>
      <c r="D660" s="41"/>
      <c r="E660" s="41"/>
      <c r="F660" s="41"/>
      <c r="G660" s="41"/>
    </row>
    <row r="661" ht="15.75" customHeight="1">
      <c r="A661" s="41"/>
      <c r="B661" s="46"/>
      <c r="C661" s="41"/>
      <c r="D661" s="41"/>
      <c r="E661" s="41"/>
      <c r="F661" s="41"/>
      <c r="G661" s="41"/>
    </row>
    <row r="662" ht="15.75" customHeight="1">
      <c r="A662" s="41"/>
      <c r="B662" s="46"/>
      <c r="C662" s="41"/>
      <c r="D662" s="41"/>
      <c r="E662" s="41"/>
      <c r="F662" s="41"/>
      <c r="G662" s="41"/>
    </row>
    <row r="663" ht="15.75" customHeight="1">
      <c r="A663" s="41"/>
      <c r="B663" s="46"/>
      <c r="C663" s="41"/>
      <c r="D663" s="41"/>
      <c r="E663" s="41"/>
      <c r="F663" s="41"/>
      <c r="G663" s="41"/>
    </row>
    <row r="664" ht="15.75" customHeight="1">
      <c r="A664" s="41"/>
      <c r="B664" s="46"/>
      <c r="C664" s="41"/>
      <c r="D664" s="41"/>
      <c r="E664" s="41"/>
      <c r="F664" s="41"/>
      <c r="G664" s="41"/>
    </row>
    <row r="665" ht="15.75" customHeight="1">
      <c r="A665" s="41"/>
      <c r="B665" s="46"/>
      <c r="C665" s="41"/>
      <c r="D665" s="41"/>
      <c r="E665" s="41"/>
      <c r="F665" s="41"/>
      <c r="G665" s="41"/>
    </row>
    <row r="666" ht="15.75" customHeight="1">
      <c r="A666" s="41"/>
      <c r="B666" s="46"/>
      <c r="C666" s="41"/>
      <c r="D666" s="41"/>
      <c r="E666" s="41"/>
      <c r="F666" s="41"/>
      <c r="G666" s="41"/>
    </row>
    <row r="667" ht="15.75" customHeight="1">
      <c r="A667" s="41"/>
      <c r="B667" s="46"/>
      <c r="C667" s="41"/>
      <c r="D667" s="41"/>
      <c r="E667" s="41"/>
      <c r="F667" s="41"/>
      <c r="G667" s="41"/>
    </row>
    <row r="668" ht="15.75" customHeight="1">
      <c r="A668" s="41"/>
      <c r="B668" s="46"/>
      <c r="C668" s="41"/>
      <c r="D668" s="41"/>
      <c r="E668" s="41"/>
      <c r="F668" s="41"/>
      <c r="G668" s="41"/>
    </row>
    <row r="669" ht="15.75" customHeight="1">
      <c r="A669" s="41"/>
      <c r="B669" s="46"/>
      <c r="C669" s="41"/>
      <c r="D669" s="41"/>
      <c r="E669" s="41"/>
      <c r="F669" s="41"/>
      <c r="G669" s="41"/>
    </row>
    <row r="670" ht="15.75" customHeight="1">
      <c r="A670" s="41"/>
      <c r="B670" s="46"/>
      <c r="C670" s="41"/>
      <c r="D670" s="41"/>
      <c r="E670" s="41"/>
      <c r="F670" s="41"/>
      <c r="G670" s="41"/>
    </row>
    <row r="671" ht="15.75" customHeight="1">
      <c r="A671" s="41"/>
      <c r="B671" s="46"/>
      <c r="C671" s="41"/>
      <c r="D671" s="41"/>
      <c r="E671" s="41"/>
      <c r="F671" s="41"/>
      <c r="G671" s="41"/>
    </row>
    <row r="672" ht="15.75" customHeight="1">
      <c r="A672" s="41"/>
      <c r="B672" s="46"/>
      <c r="C672" s="41"/>
      <c r="D672" s="41"/>
      <c r="E672" s="41"/>
      <c r="F672" s="41"/>
      <c r="G672" s="41"/>
    </row>
    <row r="673" ht="15.75" customHeight="1">
      <c r="A673" s="41"/>
      <c r="B673" s="46"/>
      <c r="C673" s="41"/>
      <c r="D673" s="41"/>
      <c r="E673" s="41"/>
      <c r="F673" s="41"/>
      <c r="G673" s="41"/>
    </row>
    <row r="674" ht="15.75" customHeight="1">
      <c r="A674" s="41"/>
      <c r="B674" s="46"/>
      <c r="C674" s="41"/>
      <c r="D674" s="41"/>
      <c r="E674" s="41"/>
      <c r="F674" s="41"/>
      <c r="G674" s="41"/>
    </row>
    <row r="675" ht="15.75" customHeight="1">
      <c r="A675" s="41"/>
      <c r="B675" s="46"/>
      <c r="C675" s="41"/>
      <c r="D675" s="41"/>
      <c r="E675" s="41"/>
      <c r="F675" s="41"/>
      <c r="G675" s="41"/>
    </row>
    <row r="676" ht="15.75" customHeight="1">
      <c r="A676" s="41"/>
      <c r="B676" s="46"/>
      <c r="C676" s="41"/>
      <c r="D676" s="41"/>
      <c r="E676" s="41"/>
      <c r="F676" s="41"/>
      <c r="G676" s="41"/>
    </row>
    <row r="677" ht="15.75" customHeight="1">
      <c r="A677" s="41"/>
      <c r="B677" s="46"/>
      <c r="C677" s="41"/>
      <c r="D677" s="41"/>
      <c r="E677" s="41"/>
      <c r="F677" s="41"/>
      <c r="G677" s="41"/>
    </row>
    <row r="678" ht="15.75" customHeight="1">
      <c r="A678" s="41"/>
      <c r="B678" s="46"/>
      <c r="C678" s="41"/>
      <c r="D678" s="41"/>
      <c r="E678" s="41"/>
      <c r="F678" s="41"/>
      <c r="G678" s="41"/>
    </row>
    <row r="679" ht="15.75" customHeight="1">
      <c r="A679" s="41"/>
      <c r="B679" s="46"/>
      <c r="C679" s="41"/>
      <c r="D679" s="41"/>
      <c r="E679" s="41"/>
      <c r="F679" s="41"/>
      <c r="G679" s="41"/>
    </row>
    <row r="680" ht="15.75" customHeight="1">
      <c r="A680" s="41"/>
      <c r="B680" s="46"/>
      <c r="C680" s="41"/>
      <c r="D680" s="41"/>
      <c r="E680" s="41"/>
      <c r="F680" s="41"/>
      <c r="G680" s="41"/>
    </row>
    <row r="681" ht="15.75" customHeight="1">
      <c r="A681" s="41"/>
      <c r="B681" s="46"/>
      <c r="C681" s="41"/>
      <c r="D681" s="41"/>
      <c r="E681" s="41"/>
      <c r="F681" s="41"/>
      <c r="G681" s="41"/>
    </row>
    <row r="682" ht="15.75" customHeight="1">
      <c r="A682" s="41"/>
      <c r="B682" s="46"/>
      <c r="C682" s="41"/>
      <c r="D682" s="41"/>
      <c r="E682" s="41"/>
      <c r="F682" s="41"/>
      <c r="G682" s="41"/>
    </row>
    <row r="683" ht="15.75" customHeight="1">
      <c r="A683" s="41"/>
      <c r="B683" s="46"/>
      <c r="C683" s="41"/>
      <c r="D683" s="41"/>
      <c r="E683" s="41"/>
      <c r="F683" s="41"/>
      <c r="G683" s="41"/>
    </row>
    <row r="684" ht="15.75" customHeight="1">
      <c r="A684" s="41"/>
      <c r="B684" s="46"/>
      <c r="C684" s="41"/>
      <c r="D684" s="41"/>
      <c r="E684" s="41"/>
      <c r="F684" s="41"/>
      <c r="G684" s="41"/>
    </row>
    <row r="685" ht="15.75" customHeight="1">
      <c r="A685" s="41"/>
      <c r="B685" s="46"/>
      <c r="C685" s="41"/>
      <c r="D685" s="41"/>
      <c r="E685" s="41"/>
      <c r="F685" s="41"/>
      <c r="G685" s="41"/>
    </row>
    <row r="686" ht="15.75" customHeight="1">
      <c r="A686" s="41"/>
      <c r="B686" s="46"/>
      <c r="C686" s="41"/>
      <c r="D686" s="41"/>
      <c r="E686" s="41"/>
      <c r="F686" s="41"/>
      <c r="G686" s="41"/>
    </row>
    <row r="687" ht="15.75" customHeight="1">
      <c r="A687" s="41"/>
      <c r="B687" s="46"/>
      <c r="C687" s="41"/>
      <c r="D687" s="41"/>
      <c r="E687" s="41"/>
      <c r="F687" s="41"/>
      <c r="G687" s="41"/>
    </row>
    <row r="688" ht="15.75" customHeight="1">
      <c r="A688" s="41"/>
      <c r="B688" s="46"/>
      <c r="C688" s="41"/>
      <c r="D688" s="41"/>
      <c r="E688" s="41"/>
      <c r="F688" s="41"/>
      <c r="G688" s="41"/>
    </row>
    <row r="689" ht="15.75" customHeight="1">
      <c r="A689" s="41"/>
      <c r="B689" s="46"/>
      <c r="C689" s="41"/>
      <c r="D689" s="41"/>
      <c r="E689" s="41"/>
      <c r="F689" s="41"/>
      <c r="G689" s="41"/>
    </row>
    <row r="690" ht="15.75" customHeight="1">
      <c r="A690" s="41"/>
      <c r="B690" s="46"/>
      <c r="C690" s="41"/>
      <c r="D690" s="41"/>
      <c r="E690" s="41"/>
      <c r="F690" s="41"/>
      <c r="G690" s="41"/>
    </row>
    <row r="691" ht="15.75" customHeight="1">
      <c r="A691" s="41"/>
      <c r="B691" s="46"/>
      <c r="C691" s="41"/>
      <c r="D691" s="41"/>
      <c r="E691" s="41"/>
      <c r="F691" s="41"/>
      <c r="G691" s="41"/>
    </row>
    <row r="692" ht="15.75" customHeight="1">
      <c r="A692" s="41"/>
      <c r="B692" s="46"/>
      <c r="C692" s="41"/>
      <c r="D692" s="41"/>
      <c r="E692" s="41"/>
      <c r="F692" s="41"/>
      <c r="G692" s="41"/>
    </row>
    <row r="693" ht="15.75" customHeight="1">
      <c r="A693" s="41"/>
      <c r="B693" s="46"/>
      <c r="C693" s="41"/>
      <c r="D693" s="41"/>
      <c r="E693" s="41"/>
      <c r="F693" s="41"/>
      <c r="G693" s="41"/>
    </row>
    <row r="694" ht="15.75" customHeight="1">
      <c r="A694" s="41"/>
      <c r="B694" s="46"/>
      <c r="C694" s="41"/>
      <c r="D694" s="41"/>
      <c r="E694" s="41"/>
      <c r="F694" s="41"/>
      <c r="G694" s="41"/>
    </row>
    <row r="695" ht="15.75" customHeight="1">
      <c r="A695" s="41"/>
      <c r="B695" s="46"/>
      <c r="C695" s="41"/>
      <c r="D695" s="41"/>
      <c r="E695" s="41"/>
      <c r="F695" s="41"/>
      <c r="G695" s="41"/>
    </row>
    <row r="696" ht="15.75" customHeight="1">
      <c r="A696" s="41"/>
      <c r="B696" s="46"/>
      <c r="C696" s="41"/>
      <c r="D696" s="41"/>
      <c r="E696" s="41"/>
      <c r="F696" s="41"/>
      <c r="G696" s="41"/>
    </row>
    <row r="697" ht="15.75" customHeight="1">
      <c r="A697" s="41"/>
      <c r="B697" s="46"/>
      <c r="C697" s="41"/>
      <c r="D697" s="41"/>
      <c r="E697" s="41"/>
      <c r="F697" s="41"/>
      <c r="G697" s="41"/>
    </row>
    <row r="698" ht="15.75" customHeight="1">
      <c r="A698" s="41"/>
      <c r="B698" s="46"/>
      <c r="C698" s="41"/>
      <c r="D698" s="41"/>
      <c r="E698" s="41"/>
      <c r="F698" s="41"/>
      <c r="G698" s="41"/>
    </row>
    <row r="699" ht="15.75" customHeight="1">
      <c r="A699" s="41"/>
      <c r="B699" s="46"/>
      <c r="C699" s="41"/>
      <c r="D699" s="41"/>
      <c r="E699" s="41"/>
      <c r="F699" s="41"/>
      <c r="G699" s="41"/>
    </row>
    <row r="700" ht="15.75" customHeight="1">
      <c r="A700" s="41"/>
      <c r="B700" s="46"/>
      <c r="C700" s="41"/>
      <c r="D700" s="41"/>
      <c r="E700" s="41"/>
      <c r="F700" s="41"/>
      <c r="G700" s="41"/>
    </row>
    <row r="701" ht="15.75" customHeight="1">
      <c r="A701" s="41"/>
      <c r="B701" s="46"/>
      <c r="C701" s="41"/>
      <c r="D701" s="41"/>
      <c r="E701" s="41"/>
      <c r="F701" s="41"/>
      <c r="G701" s="41"/>
    </row>
    <row r="702" ht="15.75" customHeight="1">
      <c r="A702" s="41"/>
      <c r="B702" s="46"/>
      <c r="C702" s="41"/>
      <c r="D702" s="41"/>
      <c r="E702" s="41"/>
      <c r="F702" s="41"/>
      <c r="G702" s="41"/>
    </row>
    <row r="703" ht="15.75" customHeight="1">
      <c r="A703" s="41"/>
      <c r="B703" s="46"/>
      <c r="C703" s="41"/>
      <c r="D703" s="41"/>
      <c r="E703" s="41"/>
      <c r="F703" s="41"/>
      <c r="G703" s="41"/>
    </row>
    <row r="704" ht="15.75" customHeight="1">
      <c r="A704" s="41"/>
      <c r="B704" s="46"/>
      <c r="C704" s="41"/>
      <c r="D704" s="41"/>
      <c r="E704" s="41"/>
      <c r="F704" s="41"/>
      <c r="G704" s="41"/>
    </row>
    <row r="705" ht="15.75" customHeight="1">
      <c r="A705" s="41"/>
      <c r="B705" s="46"/>
      <c r="C705" s="41"/>
      <c r="D705" s="41"/>
      <c r="E705" s="41"/>
      <c r="F705" s="41"/>
      <c r="G705" s="41"/>
    </row>
    <row r="706" ht="15.75" customHeight="1">
      <c r="A706" s="41"/>
      <c r="B706" s="46"/>
      <c r="C706" s="41"/>
      <c r="D706" s="41"/>
      <c r="E706" s="41"/>
      <c r="F706" s="41"/>
      <c r="G706" s="41"/>
    </row>
    <row r="707" ht="15.75" customHeight="1">
      <c r="A707" s="41"/>
      <c r="B707" s="46"/>
      <c r="C707" s="41"/>
      <c r="D707" s="41"/>
      <c r="E707" s="41"/>
      <c r="F707" s="41"/>
      <c r="G707" s="41"/>
    </row>
    <row r="708" ht="15.75" customHeight="1">
      <c r="A708" s="41"/>
      <c r="B708" s="46"/>
      <c r="C708" s="41"/>
      <c r="D708" s="41"/>
      <c r="E708" s="41"/>
      <c r="F708" s="41"/>
      <c r="G708" s="41"/>
    </row>
    <row r="709" ht="15.75" customHeight="1">
      <c r="A709" s="41"/>
      <c r="B709" s="46"/>
      <c r="C709" s="41"/>
      <c r="D709" s="41"/>
      <c r="E709" s="41"/>
      <c r="F709" s="41"/>
      <c r="G709" s="41"/>
    </row>
    <row r="710" ht="15.75" customHeight="1">
      <c r="A710" s="41"/>
      <c r="B710" s="46"/>
      <c r="C710" s="41"/>
      <c r="D710" s="41"/>
      <c r="E710" s="41"/>
      <c r="F710" s="41"/>
      <c r="G710" s="41"/>
    </row>
    <row r="711" ht="15.75" customHeight="1">
      <c r="A711" s="41"/>
      <c r="B711" s="46"/>
      <c r="C711" s="41"/>
      <c r="D711" s="41"/>
      <c r="E711" s="41"/>
      <c r="F711" s="41"/>
      <c r="G711" s="41"/>
    </row>
    <row r="712" ht="15.75" customHeight="1">
      <c r="A712" s="41"/>
      <c r="B712" s="46"/>
      <c r="C712" s="41"/>
      <c r="D712" s="41"/>
      <c r="E712" s="41"/>
      <c r="F712" s="41"/>
      <c r="G712" s="41"/>
    </row>
    <row r="713" ht="15.75" customHeight="1">
      <c r="A713" s="41"/>
      <c r="B713" s="46"/>
      <c r="C713" s="41"/>
      <c r="D713" s="41"/>
      <c r="E713" s="41"/>
      <c r="F713" s="41"/>
      <c r="G713" s="41"/>
    </row>
    <row r="714" ht="15.75" customHeight="1">
      <c r="A714" s="41"/>
      <c r="B714" s="46"/>
      <c r="C714" s="41"/>
      <c r="D714" s="41"/>
      <c r="E714" s="41"/>
      <c r="F714" s="41"/>
      <c r="G714" s="41"/>
    </row>
    <row r="715" ht="15.75" customHeight="1">
      <c r="A715" s="41"/>
      <c r="B715" s="46"/>
      <c r="C715" s="41"/>
      <c r="D715" s="41"/>
      <c r="E715" s="41"/>
      <c r="F715" s="41"/>
      <c r="G715" s="41"/>
    </row>
    <row r="716" ht="15.75" customHeight="1">
      <c r="A716" s="41"/>
      <c r="B716" s="46"/>
      <c r="C716" s="41"/>
      <c r="D716" s="41"/>
      <c r="E716" s="41"/>
      <c r="F716" s="41"/>
      <c r="G716" s="41"/>
    </row>
    <row r="717" ht="15.75" customHeight="1">
      <c r="A717" s="41"/>
      <c r="B717" s="46"/>
      <c r="C717" s="41"/>
      <c r="D717" s="41"/>
      <c r="E717" s="41"/>
      <c r="F717" s="41"/>
      <c r="G717" s="41"/>
    </row>
    <row r="718" ht="15.75" customHeight="1">
      <c r="A718" s="41"/>
      <c r="B718" s="46"/>
      <c r="C718" s="41"/>
      <c r="D718" s="41"/>
      <c r="E718" s="41"/>
      <c r="F718" s="41"/>
      <c r="G718" s="41"/>
    </row>
    <row r="719" ht="15.75" customHeight="1">
      <c r="A719" s="41"/>
      <c r="B719" s="46"/>
      <c r="C719" s="41"/>
      <c r="D719" s="41"/>
      <c r="E719" s="41"/>
      <c r="F719" s="41"/>
      <c r="G719" s="41"/>
    </row>
    <row r="720" ht="15.75" customHeight="1">
      <c r="A720" s="41"/>
      <c r="B720" s="46"/>
      <c r="C720" s="41"/>
      <c r="D720" s="41"/>
      <c r="E720" s="41"/>
      <c r="F720" s="41"/>
      <c r="G720" s="41"/>
    </row>
    <row r="721" ht="15.75" customHeight="1">
      <c r="A721" s="41"/>
      <c r="B721" s="46"/>
      <c r="C721" s="41"/>
      <c r="D721" s="41"/>
      <c r="E721" s="41"/>
      <c r="F721" s="41"/>
      <c r="G721" s="41"/>
    </row>
    <row r="722" ht="15.75" customHeight="1">
      <c r="A722" s="41"/>
      <c r="B722" s="46"/>
      <c r="C722" s="41"/>
      <c r="D722" s="41"/>
      <c r="E722" s="41"/>
      <c r="F722" s="41"/>
      <c r="G722" s="41"/>
    </row>
    <row r="723" ht="15.75" customHeight="1">
      <c r="A723" s="41"/>
      <c r="B723" s="46"/>
      <c r="C723" s="41"/>
      <c r="D723" s="41"/>
      <c r="E723" s="41"/>
      <c r="F723" s="41"/>
      <c r="G723" s="41"/>
    </row>
    <row r="724" ht="15.75" customHeight="1">
      <c r="A724" s="41"/>
      <c r="B724" s="46"/>
      <c r="C724" s="41"/>
      <c r="D724" s="41"/>
      <c r="E724" s="41"/>
      <c r="F724" s="41"/>
      <c r="G724" s="41"/>
    </row>
    <row r="725" ht="15.75" customHeight="1">
      <c r="A725" s="41"/>
      <c r="B725" s="46"/>
      <c r="C725" s="41"/>
      <c r="D725" s="41"/>
      <c r="E725" s="41"/>
      <c r="F725" s="41"/>
      <c r="G725" s="41"/>
    </row>
    <row r="726" ht="15.75" customHeight="1">
      <c r="A726" s="41"/>
      <c r="B726" s="46"/>
      <c r="C726" s="41"/>
      <c r="D726" s="41"/>
      <c r="E726" s="41"/>
      <c r="F726" s="41"/>
      <c r="G726" s="41"/>
    </row>
    <row r="727" ht="15.75" customHeight="1">
      <c r="A727" s="41"/>
      <c r="B727" s="46"/>
      <c r="C727" s="41"/>
      <c r="D727" s="41"/>
      <c r="E727" s="41"/>
      <c r="F727" s="41"/>
      <c r="G727" s="41"/>
    </row>
    <row r="728" ht="15.75" customHeight="1">
      <c r="A728" s="41"/>
      <c r="B728" s="46"/>
      <c r="C728" s="41"/>
      <c r="D728" s="41"/>
      <c r="E728" s="41"/>
      <c r="F728" s="41"/>
      <c r="G728" s="41"/>
    </row>
    <row r="729" ht="15.75" customHeight="1">
      <c r="A729" s="41"/>
      <c r="B729" s="46"/>
      <c r="C729" s="41"/>
      <c r="D729" s="41"/>
      <c r="E729" s="41"/>
      <c r="F729" s="41"/>
      <c r="G729" s="41"/>
    </row>
    <row r="730" ht="15.75" customHeight="1">
      <c r="A730" s="41"/>
      <c r="B730" s="46"/>
      <c r="C730" s="41"/>
      <c r="D730" s="41"/>
      <c r="E730" s="41"/>
      <c r="F730" s="41"/>
      <c r="G730" s="41"/>
    </row>
    <row r="731" ht="15.75" customHeight="1">
      <c r="A731" s="41"/>
      <c r="B731" s="46"/>
      <c r="C731" s="41"/>
      <c r="D731" s="41"/>
      <c r="E731" s="41"/>
      <c r="F731" s="41"/>
      <c r="G731" s="41"/>
    </row>
    <row r="732" ht="15.75" customHeight="1">
      <c r="A732" s="41"/>
      <c r="B732" s="46"/>
      <c r="C732" s="41"/>
      <c r="D732" s="41"/>
      <c r="E732" s="41"/>
      <c r="F732" s="41"/>
      <c r="G732" s="41"/>
    </row>
    <row r="733" ht="15.75" customHeight="1">
      <c r="A733" s="41"/>
      <c r="B733" s="46"/>
      <c r="C733" s="41"/>
      <c r="D733" s="41"/>
      <c r="E733" s="41"/>
      <c r="F733" s="41"/>
      <c r="G733" s="41"/>
    </row>
    <row r="734" ht="15.75" customHeight="1">
      <c r="A734" s="41"/>
      <c r="B734" s="46"/>
      <c r="C734" s="41"/>
      <c r="D734" s="41"/>
      <c r="E734" s="41"/>
      <c r="F734" s="41"/>
      <c r="G734" s="41"/>
    </row>
    <row r="735" ht="15.75" customHeight="1">
      <c r="A735" s="41"/>
      <c r="B735" s="46"/>
      <c r="C735" s="41"/>
      <c r="D735" s="41"/>
      <c r="E735" s="41"/>
      <c r="F735" s="41"/>
      <c r="G735" s="41"/>
    </row>
    <row r="736" ht="15.75" customHeight="1">
      <c r="A736" s="41"/>
      <c r="B736" s="46"/>
      <c r="C736" s="41"/>
      <c r="D736" s="41"/>
      <c r="E736" s="41"/>
      <c r="F736" s="41"/>
      <c r="G736" s="41"/>
    </row>
    <row r="737" ht="15.75" customHeight="1">
      <c r="A737" s="41"/>
      <c r="B737" s="46"/>
      <c r="C737" s="41"/>
      <c r="D737" s="41"/>
      <c r="E737" s="41"/>
      <c r="F737" s="41"/>
      <c r="G737" s="41"/>
    </row>
    <row r="738" ht="15.75" customHeight="1">
      <c r="A738" s="41"/>
      <c r="B738" s="46"/>
      <c r="C738" s="41"/>
      <c r="D738" s="41"/>
      <c r="E738" s="41"/>
      <c r="F738" s="41"/>
      <c r="G738" s="41"/>
    </row>
    <row r="739" ht="15.75" customHeight="1">
      <c r="A739" s="41"/>
      <c r="B739" s="46"/>
      <c r="C739" s="41"/>
      <c r="D739" s="41"/>
      <c r="E739" s="41"/>
      <c r="F739" s="41"/>
      <c r="G739" s="41"/>
    </row>
    <row r="740" ht="15.75" customHeight="1">
      <c r="A740" s="41"/>
      <c r="B740" s="46"/>
      <c r="C740" s="41"/>
      <c r="D740" s="41"/>
      <c r="E740" s="41"/>
      <c r="F740" s="41"/>
      <c r="G740" s="41"/>
    </row>
    <row r="741" ht="15.75" customHeight="1">
      <c r="A741" s="41"/>
      <c r="B741" s="46"/>
      <c r="C741" s="41"/>
      <c r="D741" s="41"/>
      <c r="E741" s="41"/>
      <c r="F741" s="41"/>
      <c r="G741" s="41"/>
    </row>
    <row r="742" ht="15.75" customHeight="1">
      <c r="A742" s="41"/>
      <c r="B742" s="46"/>
      <c r="C742" s="41"/>
      <c r="D742" s="41"/>
      <c r="E742" s="41"/>
      <c r="F742" s="41"/>
      <c r="G742" s="41"/>
    </row>
    <row r="743" ht="15.75" customHeight="1">
      <c r="A743" s="41"/>
      <c r="B743" s="46"/>
      <c r="C743" s="41"/>
      <c r="D743" s="41"/>
      <c r="E743" s="41"/>
      <c r="F743" s="41"/>
      <c r="G743" s="41"/>
    </row>
    <row r="744" ht="15.75" customHeight="1">
      <c r="A744" s="41"/>
      <c r="B744" s="46"/>
      <c r="C744" s="41"/>
      <c r="D744" s="41"/>
      <c r="E744" s="41"/>
      <c r="F744" s="41"/>
      <c r="G744" s="41"/>
    </row>
    <row r="745" ht="15.75" customHeight="1">
      <c r="A745" s="41"/>
      <c r="B745" s="46"/>
      <c r="C745" s="41"/>
      <c r="D745" s="41"/>
      <c r="E745" s="41"/>
      <c r="F745" s="41"/>
      <c r="G745" s="41"/>
    </row>
    <row r="746" ht="15.75" customHeight="1">
      <c r="A746" s="41"/>
      <c r="B746" s="46"/>
      <c r="C746" s="41"/>
      <c r="D746" s="41"/>
      <c r="E746" s="41"/>
      <c r="F746" s="41"/>
      <c r="G746" s="41"/>
    </row>
    <row r="747" ht="15.75" customHeight="1">
      <c r="A747" s="41"/>
      <c r="B747" s="46"/>
      <c r="C747" s="41"/>
      <c r="D747" s="41"/>
      <c r="E747" s="41"/>
      <c r="F747" s="41"/>
      <c r="G747" s="41"/>
    </row>
    <row r="748" ht="15.75" customHeight="1">
      <c r="A748" s="41"/>
      <c r="B748" s="46"/>
      <c r="C748" s="41"/>
      <c r="D748" s="41"/>
      <c r="E748" s="41"/>
      <c r="F748" s="41"/>
      <c r="G748" s="41"/>
    </row>
    <row r="749" ht="15.75" customHeight="1">
      <c r="A749" s="41"/>
      <c r="B749" s="46"/>
      <c r="C749" s="41"/>
      <c r="D749" s="41"/>
      <c r="E749" s="41"/>
      <c r="F749" s="41"/>
      <c r="G749" s="41"/>
    </row>
    <row r="750" ht="15.75" customHeight="1">
      <c r="A750" s="41"/>
      <c r="B750" s="46"/>
      <c r="C750" s="41"/>
      <c r="D750" s="41"/>
      <c r="E750" s="41"/>
      <c r="F750" s="41"/>
      <c r="G750" s="41"/>
    </row>
    <row r="751" ht="15.75" customHeight="1">
      <c r="A751" s="41"/>
      <c r="B751" s="46"/>
      <c r="C751" s="41"/>
      <c r="D751" s="41"/>
      <c r="E751" s="41"/>
      <c r="F751" s="41"/>
      <c r="G751" s="41"/>
    </row>
    <row r="752" ht="15.75" customHeight="1">
      <c r="A752" s="41"/>
      <c r="B752" s="46"/>
      <c r="C752" s="41"/>
      <c r="D752" s="41"/>
      <c r="E752" s="41"/>
      <c r="F752" s="41"/>
      <c r="G752" s="41"/>
    </row>
    <row r="753" ht="15.75" customHeight="1">
      <c r="A753" s="41"/>
      <c r="B753" s="46"/>
      <c r="C753" s="41"/>
      <c r="D753" s="41"/>
      <c r="E753" s="41"/>
      <c r="F753" s="41"/>
      <c r="G753" s="41"/>
    </row>
    <row r="754" ht="15.75" customHeight="1">
      <c r="A754" s="41"/>
      <c r="B754" s="46"/>
      <c r="C754" s="41"/>
      <c r="D754" s="41"/>
      <c r="E754" s="41"/>
      <c r="F754" s="41"/>
      <c r="G754" s="41"/>
    </row>
    <row r="755" ht="15.75" customHeight="1">
      <c r="A755" s="41"/>
      <c r="B755" s="46"/>
      <c r="C755" s="41"/>
      <c r="D755" s="41"/>
      <c r="E755" s="41"/>
      <c r="F755" s="41"/>
      <c r="G755" s="41"/>
    </row>
    <row r="756" ht="15.75" customHeight="1">
      <c r="A756" s="41"/>
      <c r="B756" s="46"/>
      <c r="C756" s="41"/>
      <c r="D756" s="41"/>
      <c r="E756" s="41"/>
      <c r="F756" s="41"/>
      <c r="G756" s="41"/>
    </row>
    <row r="757" ht="15.75" customHeight="1">
      <c r="A757" s="41"/>
      <c r="B757" s="46"/>
      <c r="C757" s="41"/>
      <c r="D757" s="41"/>
      <c r="E757" s="41"/>
      <c r="F757" s="41"/>
      <c r="G757" s="41"/>
    </row>
    <row r="758" ht="15.75" customHeight="1">
      <c r="A758" s="41"/>
      <c r="B758" s="46"/>
      <c r="C758" s="41"/>
      <c r="D758" s="41"/>
      <c r="E758" s="41"/>
      <c r="F758" s="41"/>
      <c r="G758" s="41"/>
    </row>
    <row r="759" ht="15.75" customHeight="1">
      <c r="A759" s="41"/>
      <c r="B759" s="46"/>
      <c r="C759" s="41"/>
      <c r="D759" s="41"/>
      <c r="E759" s="41"/>
      <c r="F759" s="41"/>
      <c r="G759" s="41"/>
    </row>
    <row r="760" ht="15.75" customHeight="1">
      <c r="A760" s="41"/>
      <c r="B760" s="46"/>
      <c r="C760" s="41"/>
      <c r="D760" s="41"/>
      <c r="E760" s="41"/>
      <c r="F760" s="41"/>
      <c r="G760" s="41"/>
    </row>
    <row r="761" ht="15.75" customHeight="1">
      <c r="A761" s="41"/>
      <c r="B761" s="46"/>
      <c r="C761" s="41"/>
      <c r="D761" s="41"/>
      <c r="E761" s="41"/>
      <c r="F761" s="41"/>
      <c r="G761" s="41"/>
    </row>
    <row r="762" ht="15.75" customHeight="1">
      <c r="A762" s="41"/>
      <c r="B762" s="46"/>
      <c r="C762" s="41"/>
      <c r="D762" s="41"/>
      <c r="E762" s="41"/>
      <c r="F762" s="41"/>
      <c r="G762" s="41"/>
    </row>
    <row r="763" ht="15.75" customHeight="1">
      <c r="A763" s="41"/>
      <c r="B763" s="46"/>
      <c r="C763" s="41"/>
      <c r="D763" s="41"/>
      <c r="E763" s="41"/>
      <c r="F763" s="41"/>
      <c r="G763" s="41"/>
    </row>
    <row r="764" ht="15.75" customHeight="1">
      <c r="A764" s="41"/>
      <c r="B764" s="46"/>
      <c r="C764" s="41"/>
      <c r="D764" s="41"/>
      <c r="E764" s="41"/>
      <c r="F764" s="41"/>
      <c r="G764" s="41"/>
    </row>
    <row r="765" ht="15.75" customHeight="1">
      <c r="A765" s="41"/>
      <c r="B765" s="46"/>
      <c r="C765" s="41"/>
      <c r="D765" s="41"/>
      <c r="E765" s="41"/>
      <c r="F765" s="41"/>
      <c r="G765" s="41"/>
    </row>
    <row r="766" ht="15.75" customHeight="1">
      <c r="A766" s="41"/>
      <c r="B766" s="46"/>
      <c r="C766" s="41"/>
      <c r="D766" s="41"/>
      <c r="E766" s="41"/>
      <c r="F766" s="41"/>
      <c r="G766" s="41"/>
    </row>
    <row r="767" ht="15.75" customHeight="1">
      <c r="A767" s="41"/>
      <c r="B767" s="46"/>
      <c r="C767" s="41"/>
      <c r="D767" s="41"/>
      <c r="E767" s="41"/>
      <c r="F767" s="41"/>
      <c r="G767" s="41"/>
    </row>
    <row r="768" ht="15.75" customHeight="1">
      <c r="A768" s="41"/>
      <c r="B768" s="46"/>
      <c r="C768" s="41"/>
      <c r="D768" s="41"/>
      <c r="E768" s="41"/>
      <c r="F768" s="41"/>
      <c r="G768" s="41"/>
    </row>
    <row r="769" ht="15.75" customHeight="1">
      <c r="A769" s="41"/>
      <c r="B769" s="46"/>
      <c r="C769" s="41"/>
      <c r="D769" s="41"/>
      <c r="E769" s="41"/>
      <c r="F769" s="41"/>
      <c r="G769" s="41"/>
    </row>
    <row r="770" ht="15.75" customHeight="1">
      <c r="A770" s="41"/>
      <c r="B770" s="46"/>
      <c r="C770" s="41"/>
      <c r="D770" s="41"/>
      <c r="E770" s="41"/>
      <c r="F770" s="41"/>
      <c r="G770" s="41"/>
    </row>
    <row r="771" ht="15.75" customHeight="1">
      <c r="A771" s="41"/>
      <c r="B771" s="46"/>
      <c r="C771" s="41"/>
      <c r="D771" s="41"/>
      <c r="E771" s="41"/>
      <c r="F771" s="41"/>
      <c r="G771" s="41"/>
    </row>
    <row r="772" ht="15.75" customHeight="1">
      <c r="A772" s="41"/>
      <c r="B772" s="46"/>
      <c r="C772" s="41"/>
      <c r="D772" s="41"/>
      <c r="E772" s="41"/>
      <c r="F772" s="41"/>
      <c r="G772" s="41"/>
    </row>
    <row r="773" ht="15.75" customHeight="1">
      <c r="A773" s="41"/>
      <c r="B773" s="46"/>
      <c r="C773" s="41"/>
      <c r="D773" s="41"/>
      <c r="E773" s="41"/>
      <c r="F773" s="41"/>
      <c r="G773" s="41"/>
    </row>
    <row r="774" ht="15.75" customHeight="1">
      <c r="A774" s="41"/>
      <c r="B774" s="46"/>
      <c r="C774" s="41"/>
      <c r="D774" s="41"/>
      <c r="E774" s="41"/>
      <c r="F774" s="41"/>
      <c r="G774" s="41"/>
    </row>
    <row r="775" ht="15.75" customHeight="1">
      <c r="A775" s="41"/>
      <c r="B775" s="46"/>
      <c r="C775" s="41"/>
      <c r="D775" s="41"/>
      <c r="E775" s="41"/>
      <c r="F775" s="41"/>
      <c r="G775" s="41"/>
    </row>
    <row r="776" ht="15.75" customHeight="1">
      <c r="A776" s="41"/>
      <c r="B776" s="46"/>
      <c r="C776" s="41"/>
      <c r="D776" s="41"/>
      <c r="E776" s="41"/>
      <c r="F776" s="41"/>
      <c r="G776" s="41"/>
    </row>
    <row r="777" ht="15.75" customHeight="1">
      <c r="A777" s="41"/>
      <c r="B777" s="46"/>
      <c r="C777" s="41"/>
      <c r="D777" s="41"/>
      <c r="E777" s="41"/>
      <c r="F777" s="41"/>
      <c r="G777" s="41"/>
    </row>
    <row r="778" ht="15.75" customHeight="1">
      <c r="A778" s="41"/>
      <c r="B778" s="46"/>
      <c r="C778" s="41"/>
      <c r="D778" s="41"/>
      <c r="E778" s="41"/>
      <c r="F778" s="41"/>
      <c r="G778" s="41"/>
    </row>
    <row r="779" ht="15.75" customHeight="1">
      <c r="A779" s="41"/>
      <c r="B779" s="46"/>
      <c r="C779" s="41"/>
      <c r="D779" s="41"/>
      <c r="E779" s="41"/>
      <c r="F779" s="41"/>
      <c r="G779" s="41"/>
    </row>
    <row r="780" ht="15.75" customHeight="1">
      <c r="A780" s="41"/>
      <c r="B780" s="46"/>
      <c r="C780" s="41"/>
      <c r="D780" s="41"/>
      <c r="E780" s="41"/>
      <c r="F780" s="41"/>
      <c r="G780" s="41"/>
    </row>
    <row r="781" ht="15.75" customHeight="1">
      <c r="A781" s="41"/>
      <c r="B781" s="46"/>
      <c r="C781" s="41"/>
      <c r="D781" s="41"/>
      <c r="E781" s="41"/>
      <c r="F781" s="41"/>
      <c r="G781" s="41"/>
    </row>
    <row r="782" ht="15.75" customHeight="1">
      <c r="A782" s="41"/>
      <c r="B782" s="46"/>
      <c r="C782" s="41"/>
      <c r="D782" s="41"/>
      <c r="E782" s="41"/>
      <c r="F782" s="41"/>
      <c r="G782" s="41"/>
    </row>
    <row r="783" ht="15.75" customHeight="1">
      <c r="A783" s="41"/>
      <c r="B783" s="46"/>
      <c r="C783" s="41"/>
      <c r="D783" s="41"/>
      <c r="E783" s="41"/>
      <c r="F783" s="41"/>
      <c r="G783" s="41"/>
    </row>
    <row r="784" ht="15.75" customHeight="1">
      <c r="A784" s="41"/>
      <c r="B784" s="46"/>
      <c r="C784" s="41"/>
      <c r="D784" s="41"/>
      <c r="E784" s="41"/>
      <c r="F784" s="41"/>
      <c r="G784" s="41"/>
    </row>
    <row r="785" ht="15.75" customHeight="1">
      <c r="A785" s="41"/>
      <c r="B785" s="46"/>
      <c r="C785" s="41"/>
      <c r="D785" s="41"/>
      <c r="E785" s="41"/>
      <c r="F785" s="41"/>
      <c r="G785" s="41"/>
    </row>
    <row r="786" ht="15.75" customHeight="1">
      <c r="A786" s="41"/>
      <c r="B786" s="46"/>
      <c r="C786" s="41"/>
      <c r="D786" s="41"/>
      <c r="E786" s="41"/>
      <c r="F786" s="41"/>
      <c r="G786" s="41"/>
    </row>
    <row r="787" ht="15.75" customHeight="1">
      <c r="A787" s="41"/>
      <c r="B787" s="46"/>
      <c r="C787" s="41"/>
      <c r="D787" s="41"/>
      <c r="E787" s="41"/>
      <c r="F787" s="41"/>
      <c r="G787" s="41"/>
    </row>
    <row r="788" ht="15.75" customHeight="1">
      <c r="A788" s="41"/>
      <c r="B788" s="46"/>
      <c r="C788" s="41"/>
      <c r="D788" s="41"/>
      <c r="E788" s="41"/>
      <c r="F788" s="41"/>
      <c r="G788" s="41"/>
    </row>
    <row r="789" ht="15.75" customHeight="1">
      <c r="A789" s="41"/>
      <c r="B789" s="46"/>
      <c r="C789" s="41"/>
      <c r="D789" s="41"/>
      <c r="E789" s="41"/>
      <c r="F789" s="41"/>
      <c r="G789" s="41"/>
    </row>
    <row r="790" ht="15.75" customHeight="1">
      <c r="A790" s="41"/>
      <c r="B790" s="46"/>
      <c r="C790" s="41"/>
      <c r="D790" s="41"/>
      <c r="E790" s="41"/>
      <c r="F790" s="41"/>
      <c r="G790" s="41"/>
    </row>
    <row r="791" ht="15.75" customHeight="1">
      <c r="A791" s="41"/>
      <c r="B791" s="46"/>
      <c r="C791" s="41"/>
      <c r="D791" s="41"/>
      <c r="E791" s="41"/>
      <c r="F791" s="41"/>
      <c r="G791" s="41"/>
    </row>
    <row r="792" ht="15.75" customHeight="1">
      <c r="A792" s="41"/>
      <c r="B792" s="46"/>
      <c r="C792" s="41"/>
      <c r="D792" s="41"/>
      <c r="E792" s="41"/>
      <c r="F792" s="41"/>
      <c r="G792" s="41"/>
    </row>
    <row r="793" ht="15.75" customHeight="1">
      <c r="A793" s="41"/>
      <c r="B793" s="46"/>
      <c r="C793" s="41"/>
      <c r="D793" s="41"/>
      <c r="E793" s="41"/>
      <c r="F793" s="41"/>
      <c r="G793" s="41"/>
    </row>
    <row r="794" ht="15.75" customHeight="1">
      <c r="A794" s="41"/>
      <c r="B794" s="46"/>
      <c r="C794" s="41"/>
      <c r="D794" s="41"/>
      <c r="E794" s="41"/>
      <c r="F794" s="41"/>
      <c r="G794" s="41"/>
    </row>
    <row r="795" ht="15.75" customHeight="1">
      <c r="A795" s="41"/>
      <c r="B795" s="46"/>
      <c r="C795" s="41"/>
      <c r="D795" s="41"/>
      <c r="E795" s="41"/>
      <c r="F795" s="41"/>
      <c r="G795" s="41"/>
    </row>
    <row r="796" ht="15.75" customHeight="1">
      <c r="A796" s="41"/>
      <c r="B796" s="46"/>
      <c r="C796" s="41"/>
      <c r="D796" s="41"/>
      <c r="E796" s="41"/>
      <c r="F796" s="41"/>
      <c r="G796" s="41"/>
    </row>
    <row r="797" ht="15.75" customHeight="1">
      <c r="A797" s="41"/>
      <c r="B797" s="46"/>
      <c r="C797" s="41"/>
      <c r="D797" s="41"/>
      <c r="E797" s="41"/>
      <c r="F797" s="41"/>
      <c r="G797" s="41"/>
    </row>
    <row r="798" ht="15.75" customHeight="1">
      <c r="A798" s="41"/>
      <c r="B798" s="46"/>
      <c r="C798" s="41"/>
      <c r="D798" s="41"/>
      <c r="E798" s="41"/>
      <c r="F798" s="41"/>
      <c r="G798" s="41"/>
    </row>
    <row r="799" ht="15.75" customHeight="1">
      <c r="A799" s="41"/>
      <c r="B799" s="46"/>
      <c r="C799" s="41"/>
      <c r="D799" s="41"/>
      <c r="E799" s="41"/>
      <c r="F799" s="41"/>
      <c r="G799" s="41"/>
    </row>
    <row r="800" ht="15.75" customHeight="1">
      <c r="A800" s="41"/>
      <c r="B800" s="46"/>
      <c r="C800" s="41"/>
      <c r="D800" s="41"/>
      <c r="E800" s="41"/>
      <c r="F800" s="41"/>
      <c r="G800" s="41"/>
    </row>
    <row r="801" ht="15.75" customHeight="1">
      <c r="A801" s="41"/>
      <c r="B801" s="46"/>
      <c r="C801" s="41"/>
      <c r="D801" s="41"/>
      <c r="E801" s="41"/>
      <c r="F801" s="41"/>
      <c r="G801" s="41"/>
    </row>
    <row r="802" ht="15.75" customHeight="1">
      <c r="A802" s="41"/>
      <c r="B802" s="46"/>
      <c r="C802" s="41"/>
      <c r="D802" s="41"/>
      <c r="E802" s="41"/>
      <c r="F802" s="41"/>
      <c r="G802" s="41"/>
    </row>
    <row r="803" ht="15.75" customHeight="1">
      <c r="A803" s="41"/>
      <c r="B803" s="46"/>
      <c r="C803" s="41"/>
      <c r="D803" s="41"/>
      <c r="E803" s="41"/>
      <c r="F803" s="41"/>
      <c r="G803" s="41"/>
    </row>
    <row r="804" ht="15.75" customHeight="1">
      <c r="A804" s="41"/>
      <c r="B804" s="46"/>
      <c r="C804" s="41"/>
      <c r="D804" s="41"/>
      <c r="E804" s="41"/>
      <c r="F804" s="41"/>
      <c r="G804" s="41"/>
    </row>
    <row r="805" ht="15.75" customHeight="1">
      <c r="A805" s="41"/>
      <c r="B805" s="46"/>
      <c r="C805" s="41"/>
      <c r="D805" s="41"/>
      <c r="E805" s="41"/>
      <c r="F805" s="41"/>
      <c r="G805" s="41"/>
    </row>
    <row r="806" ht="15.75" customHeight="1">
      <c r="A806" s="41"/>
      <c r="B806" s="46"/>
      <c r="C806" s="41"/>
      <c r="D806" s="41"/>
      <c r="E806" s="41"/>
      <c r="F806" s="41"/>
      <c r="G806" s="41"/>
    </row>
    <row r="807" ht="15.75" customHeight="1">
      <c r="A807" s="41"/>
      <c r="B807" s="46"/>
      <c r="C807" s="41"/>
      <c r="D807" s="41"/>
      <c r="E807" s="41"/>
      <c r="F807" s="41"/>
      <c r="G807" s="41"/>
    </row>
    <row r="808" ht="15.75" customHeight="1">
      <c r="A808" s="41"/>
      <c r="B808" s="46"/>
      <c r="C808" s="41"/>
      <c r="D808" s="41"/>
      <c r="E808" s="41"/>
      <c r="F808" s="41"/>
      <c r="G808" s="41"/>
    </row>
    <row r="809" ht="15.75" customHeight="1">
      <c r="A809" s="41"/>
      <c r="B809" s="46"/>
      <c r="C809" s="41"/>
      <c r="D809" s="41"/>
      <c r="E809" s="41"/>
      <c r="F809" s="41"/>
      <c r="G809" s="41"/>
    </row>
    <row r="810" ht="15.75" customHeight="1">
      <c r="A810" s="41"/>
      <c r="B810" s="46"/>
      <c r="C810" s="41"/>
      <c r="D810" s="41"/>
      <c r="E810" s="41"/>
      <c r="F810" s="41"/>
      <c r="G810" s="41"/>
    </row>
    <row r="811" ht="15.75" customHeight="1">
      <c r="A811" s="41"/>
      <c r="B811" s="46"/>
      <c r="C811" s="41"/>
      <c r="D811" s="41"/>
      <c r="E811" s="41"/>
      <c r="F811" s="41"/>
      <c r="G811" s="41"/>
    </row>
    <row r="812" ht="15.75" customHeight="1">
      <c r="A812" s="41"/>
      <c r="B812" s="46"/>
      <c r="C812" s="41"/>
      <c r="D812" s="41"/>
      <c r="E812" s="41"/>
      <c r="F812" s="41"/>
      <c r="G812" s="41"/>
    </row>
    <row r="813" ht="15.75" customHeight="1">
      <c r="A813" s="41"/>
      <c r="B813" s="46"/>
      <c r="C813" s="41"/>
      <c r="D813" s="41"/>
      <c r="E813" s="41"/>
      <c r="F813" s="41"/>
      <c r="G813" s="41"/>
    </row>
    <row r="814" ht="15.75" customHeight="1">
      <c r="A814" s="41"/>
      <c r="B814" s="46"/>
      <c r="C814" s="41"/>
      <c r="D814" s="41"/>
      <c r="E814" s="41"/>
      <c r="F814" s="41"/>
      <c r="G814" s="41"/>
    </row>
    <row r="815" ht="15.75" customHeight="1">
      <c r="A815" s="41"/>
      <c r="B815" s="46"/>
      <c r="C815" s="41"/>
      <c r="D815" s="41"/>
      <c r="E815" s="41"/>
      <c r="F815" s="41"/>
      <c r="G815" s="41"/>
    </row>
    <row r="816" ht="15.75" customHeight="1">
      <c r="A816" s="41"/>
      <c r="B816" s="46"/>
      <c r="C816" s="41"/>
      <c r="D816" s="41"/>
      <c r="E816" s="41"/>
      <c r="F816" s="41"/>
      <c r="G816" s="41"/>
    </row>
    <row r="817" ht="15.75" customHeight="1">
      <c r="A817" s="41"/>
      <c r="B817" s="46"/>
      <c r="C817" s="41"/>
      <c r="D817" s="41"/>
      <c r="E817" s="41"/>
      <c r="F817" s="41"/>
      <c r="G817" s="41"/>
    </row>
    <row r="818" ht="15.75" customHeight="1">
      <c r="A818" s="41"/>
      <c r="B818" s="46"/>
      <c r="C818" s="41"/>
      <c r="D818" s="41"/>
      <c r="E818" s="41"/>
      <c r="F818" s="41"/>
      <c r="G818" s="41"/>
    </row>
    <row r="819" ht="15.75" customHeight="1">
      <c r="A819" s="41"/>
      <c r="B819" s="46"/>
      <c r="C819" s="41"/>
      <c r="D819" s="41"/>
      <c r="E819" s="41"/>
      <c r="F819" s="41"/>
      <c r="G819" s="41"/>
    </row>
    <row r="820" ht="15.75" customHeight="1">
      <c r="A820" s="41"/>
      <c r="B820" s="46"/>
      <c r="C820" s="41"/>
      <c r="D820" s="41"/>
      <c r="E820" s="41"/>
      <c r="F820" s="41"/>
      <c r="G820" s="41"/>
    </row>
    <row r="821" ht="15.75" customHeight="1">
      <c r="A821" s="41"/>
      <c r="B821" s="46"/>
      <c r="C821" s="41"/>
      <c r="D821" s="41"/>
      <c r="E821" s="41"/>
      <c r="F821" s="41"/>
      <c r="G821" s="41"/>
    </row>
    <row r="822" ht="15.75" customHeight="1">
      <c r="A822" s="41"/>
      <c r="B822" s="46"/>
      <c r="C822" s="41"/>
      <c r="D822" s="41"/>
      <c r="E822" s="41"/>
      <c r="F822" s="41"/>
      <c r="G822" s="41"/>
    </row>
    <row r="823" ht="15.75" customHeight="1">
      <c r="A823" s="41"/>
      <c r="B823" s="46"/>
      <c r="C823" s="41"/>
      <c r="D823" s="41"/>
      <c r="E823" s="41"/>
      <c r="F823" s="41"/>
      <c r="G823" s="41"/>
    </row>
    <row r="824" ht="15.75" customHeight="1">
      <c r="A824" s="41"/>
      <c r="B824" s="46"/>
      <c r="C824" s="41"/>
      <c r="D824" s="41"/>
      <c r="E824" s="41"/>
      <c r="F824" s="41"/>
      <c r="G824" s="41"/>
    </row>
    <row r="825" ht="15.75" customHeight="1">
      <c r="A825" s="41"/>
      <c r="B825" s="46"/>
      <c r="C825" s="41"/>
      <c r="D825" s="41"/>
      <c r="E825" s="41"/>
      <c r="F825" s="41"/>
      <c r="G825" s="41"/>
    </row>
    <row r="826" ht="15.75" customHeight="1">
      <c r="A826" s="41"/>
      <c r="B826" s="46"/>
      <c r="C826" s="41"/>
      <c r="D826" s="41"/>
      <c r="E826" s="41"/>
      <c r="F826" s="41"/>
      <c r="G826" s="41"/>
    </row>
    <row r="827" ht="15.75" customHeight="1">
      <c r="A827" s="41"/>
      <c r="B827" s="46"/>
      <c r="C827" s="41"/>
      <c r="D827" s="41"/>
      <c r="E827" s="41"/>
      <c r="F827" s="41"/>
      <c r="G827" s="41"/>
    </row>
    <row r="828" ht="15.75" customHeight="1">
      <c r="A828" s="41"/>
      <c r="B828" s="46"/>
      <c r="C828" s="41"/>
      <c r="D828" s="41"/>
      <c r="E828" s="41"/>
      <c r="F828" s="41"/>
      <c r="G828" s="41"/>
    </row>
    <row r="829" ht="15.75" customHeight="1">
      <c r="A829" s="41"/>
      <c r="B829" s="46"/>
      <c r="C829" s="41"/>
      <c r="D829" s="41"/>
      <c r="E829" s="41"/>
      <c r="F829" s="41"/>
      <c r="G829" s="41"/>
    </row>
    <row r="830" ht="15.75" customHeight="1">
      <c r="A830" s="41"/>
      <c r="B830" s="46"/>
      <c r="C830" s="41"/>
      <c r="D830" s="41"/>
      <c r="E830" s="41"/>
      <c r="F830" s="41"/>
      <c r="G830" s="41"/>
    </row>
    <row r="831" ht="15.75" customHeight="1">
      <c r="A831" s="41"/>
      <c r="B831" s="46"/>
      <c r="C831" s="41"/>
      <c r="D831" s="41"/>
      <c r="E831" s="41"/>
      <c r="F831" s="41"/>
      <c r="G831" s="41"/>
    </row>
    <row r="832" ht="15.75" customHeight="1">
      <c r="A832" s="41"/>
      <c r="B832" s="46"/>
      <c r="C832" s="41"/>
      <c r="D832" s="41"/>
      <c r="E832" s="41"/>
      <c r="F832" s="41"/>
      <c r="G832" s="41"/>
    </row>
    <row r="833" ht="15.75" customHeight="1">
      <c r="A833" s="41"/>
      <c r="B833" s="46"/>
      <c r="C833" s="41"/>
      <c r="D833" s="41"/>
      <c r="E833" s="41"/>
      <c r="F833" s="41"/>
      <c r="G833" s="41"/>
    </row>
    <row r="834" ht="15.75" customHeight="1">
      <c r="A834" s="41"/>
      <c r="B834" s="46"/>
      <c r="C834" s="41"/>
      <c r="D834" s="41"/>
      <c r="E834" s="41"/>
      <c r="F834" s="41"/>
      <c r="G834" s="41"/>
    </row>
    <row r="835" ht="15.75" customHeight="1">
      <c r="A835" s="41"/>
      <c r="B835" s="46"/>
      <c r="C835" s="41"/>
      <c r="D835" s="41"/>
      <c r="E835" s="41"/>
      <c r="F835" s="41"/>
      <c r="G835" s="41"/>
    </row>
    <row r="836" ht="15.75" customHeight="1">
      <c r="A836" s="41"/>
      <c r="B836" s="46"/>
      <c r="C836" s="41"/>
      <c r="D836" s="41"/>
      <c r="E836" s="41"/>
      <c r="F836" s="41"/>
      <c r="G836" s="41"/>
    </row>
    <row r="837" ht="15.75" customHeight="1">
      <c r="A837" s="41"/>
      <c r="B837" s="46"/>
      <c r="C837" s="41"/>
      <c r="D837" s="41"/>
      <c r="E837" s="41"/>
      <c r="F837" s="41"/>
      <c r="G837" s="41"/>
    </row>
    <row r="838" ht="15.75" customHeight="1">
      <c r="A838" s="41"/>
      <c r="B838" s="46"/>
      <c r="C838" s="41"/>
      <c r="D838" s="41"/>
      <c r="E838" s="41"/>
      <c r="F838" s="41"/>
      <c r="G838" s="41"/>
    </row>
    <row r="839" ht="15.75" customHeight="1">
      <c r="A839" s="41"/>
      <c r="B839" s="46"/>
      <c r="C839" s="41"/>
      <c r="D839" s="41"/>
      <c r="E839" s="41"/>
      <c r="F839" s="41"/>
      <c r="G839" s="41"/>
    </row>
    <row r="840" ht="15.75" customHeight="1">
      <c r="A840" s="41"/>
      <c r="B840" s="46"/>
      <c r="C840" s="41"/>
      <c r="D840" s="41"/>
      <c r="E840" s="41"/>
      <c r="F840" s="41"/>
      <c r="G840" s="41"/>
    </row>
    <row r="841" ht="15.75" customHeight="1">
      <c r="A841" s="41"/>
      <c r="B841" s="46"/>
      <c r="C841" s="41"/>
      <c r="D841" s="41"/>
      <c r="E841" s="41"/>
      <c r="F841" s="41"/>
      <c r="G841" s="41"/>
    </row>
    <row r="842" ht="15.75" customHeight="1">
      <c r="A842" s="41"/>
      <c r="B842" s="46"/>
      <c r="C842" s="41"/>
      <c r="D842" s="41"/>
      <c r="E842" s="41"/>
      <c r="F842" s="41"/>
      <c r="G842" s="41"/>
    </row>
    <row r="843" ht="15.75" customHeight="1">
      <c r="A843" s="41"/>
      <c r="B843" s="46"/>
      <c r="C843" s="41"/>
      <c r="D843" s="41"/>
      <c r="E843" s="41"/>
      <c r="F843" s="41"/>
      <c r="G843" s="41"/>
    </row>
    <row r="844" ht="15.75" customHeight="1">
      <c r="A844" s="41"/>
      <c r="B844" s="46"/>
      <c r="C844" s="41"/>
      <c r="D844" s="41"/>
      <c r="E844" s="41"/>
      <c r="F844" s="41"/>
      <c r="G844" s="41"/>
    </row>
    <row r="845" ht="15.75" customHeight="1">
      <c r="A845" s="41"/>
      <c r="B845" s="46"/>
      <c r="C845" s="41"/>
      <c r="D845" s="41"/>
      <c r="E845" s="41"/>
      <c r="F845" s="41"/>
      <c r="G845" s="41"/>
    </row>
    <row r="846" ht="15.75" customHeight="1">
      <c r="A846" s="41"/>
      <c r="B846" s="46"/>
      <c r="C846" s="41"/>
      <c r="D846" s="41"/>
      <c r="E846" s="41"/>
      <c r="F846" s="41"/>
      <c r="G846" s="41"/>
    </row>
    <row r="847" ht="15.75" customHeight="1">
      <c r="A847" s="41"/>
      <c r="B847" s="46"/>
      <c r="C847" s="41"/>
      <c r="D847" s="41"/>
      <c r="E847" s="41"/>
      <c r="F847" s="41"/>
      <c r="G847" s="41"/>
    </row>
    <row r="848" ht="15.75" customHeight="1">
      <c r="A848" s="41"/>
      <c r="B848" s="46"/>
      <c r="C848" s="41"/>
      <c r="D848" s="41"/>
      <c r="E848" s="41"/>
      <c r="F848" s="41"/>
      <c r="G848" s="41"/>
    </row>
    <row r="849" ht="15.75" customHeight="1">
      <c r="A849" s="41"/>
      <c r="B849" s="46"/>
      <c r="C849" s="41"/>
      <c r="D849" s="41"/>
      <c r="E849" s="41"/>
      <c r="F849" s="41"/>
      <c r="G849" s="41"/>
    </row>
    <row r="850" ht="15.75" customHeight="1">
      <c r="A850" s="41"/>
      <c r="B850" s="46"/>
      <c r="C850" s="41"/>
      <c r="D850" s="41"/>
      <c r="E850" s="41"/>
      <c r="F850" s="41"/>
      <c r="G850" s="41"/>
    </row>
    <row r="851" ht="15.75" customHeight="1">
      <c r="A851" s="41"/>
      <c r="B851" s="46"/>
      <c r="C851" s="41"/>
      <c r="D851" s="41"/>
      <c r="E851" s="41"/>
      <c r="F851" s="41"/>
      <c r="G851" s="41"/>
    </row>
    <row r="852" ht="15.75" customHeight="1">
      <c r="A852" s="41"/>
      <c r="B852" s="46"/>
      <c r="C852" s="41"/>
      <c r="D852" s="41"/>
      <c r="E852" s="41"/>
      <c r="F852" s="41"/>
      <c r="G852" s="41"/>
    </row>
    <row r="853" ht="15.75" customHeight="1">
      <c r="A853" s="41"/>
      <c r="B853" s="46"/>
      <c r="C853" s="41"/>
      <c r="D853" s="41"/>
      <c r="E853" s="41"/>
      <c r="F853" s="41"/>
      <c r="G853" s="41"/>
    </row>
    <row r="854" ht="15.75" customHeight="1">
      <c r="A854" s="41"/>
      <c r="B854" s="46"/>
      <c r="C854" s="41"/>
      <c r="D854" s="41"/>
      <c r="E854" s="41"/>
      <c r="F854" s="41"/>
      <c r="G854" s="41"/>
    </row>
    <row r="855" ht="15.75" customHeight="1">
      <c r="A855" s="41"/>
      <c r="B855" s="46"/>
      <c r="C855" s="41"/>
      <c r="D855" s="41"/>
      <c r="E855" s="41"/>
      <c r="F855" s="41"/>
      <c r="G855" s="41"/>
    </row>
    <row r="856" ht="15.75" customHeight="1">
      <c r="A856" s="41"/>
      <c r="B856" s="46"/>
      <c r="C856" s="41"/>
      <c r="D856" s="41"/>
      <c r="E856" s="41"/>
      <c r="F856" s="41"/>
      <c r="G856" s="41"/>
    </row>
    <row r="857" ht="15.75" customHeight="1">
      <c r="A857" s="41"/>
      <c r="B857" s="46"/>
      <c r="C857" s="41"/>
      <c r="D857" s="41"/>
      <c r="E857" s="41"/>
      <c r="F857" s="41"/>
      <c r="G857" s="41"/>
    </row>
    <row r="858" ht="15.75" customHeight="1">
      <c r="A858" s="41"/>
      <c r="B858" s="46"/>
      <c r="C858" s="41"/>
      <c r="D858" s="41"/>
      <c r="E858" s="41"/>
      <c r="F858" s="41"/>
      <c r="G858" s="41"/>
    </row>
    <row r="859" ht="15.75" customHeight="1">
      <c r="A859" s="41"/>
      <c r="B859" s="46"/>
      <c r="C859" s="41"/>
      <c r="D859" s="41"/>
      <c r="E859" s="41"/>
      <c r="F859" s="41"/>
      <c r="G859" s="41"/>
    </row>
    <row r="860" ht="15.75" customHeight="1">
      <c r="A860" s="41"/>
      <c r="B860" s="46"/>
      <c r="C860" s="41"/>
      <c r="D860" s="41"/>
      <c r="E860" s="41"/>
      <c r="F860" s="41"/>
      <c r="G860" s="41"/>
    </row>
    <row r="861" ht="15.75" customHeight="1">
      <c r="A861" s="41"/>
      <c r="B861" s="46"/>
      <c r="C861" s="41"/>
      <c r="D861" s="41"/>
      <c r="E861" s="41"/>
      <c r="F861" s="41"/>
      <c r="G861" s="41"/>
    </row>
    <row r="862" ht="15.75" customHeight="1">
      <c r="A862" s="41"/>
      <c r="B862" s="46"/>
      <c r="C862" s="41"/>
      <c r="D862" s="41"/>
      <c r="E862" s="41"/>
      <c r="F862" s="41"/>
      <c r="G862" s="41"/>
    </row>
    <row r="863" ht="15.75" customHeight="1">
      <c r="A863" s="41"/>
      <c r="B863" s="46"/>
      <c r="C863" s="41"/>
      <c r="D863" s="41"/>
      <c r="E863" s="41"/>
      <c r="F863" s="41"/>
      <c r="G863" s="41"/>
    </row>
    <row r="864" ht="15.75" customHeight="1">
      <c r="A864" s="41"/>
      <c r="B864" s="46"/>
      <c r="C864" s="41"/>
      <c r="D864" s="41"/>
      <c r="E864" s="41"/>
      <c r="F864" s="41"/>
      <c r="G864" s="41"/>
    </row>
    <row r="865" ht="15.75" customHeight="1">
      <c r="A865" s="41"/>
      <c r="B865" s="46"/>
      <c r="C865" s="41"/>
      <c r="D865" s="41"/>
      <c r="E865" s="41"/>
      <c r="F865" s="41"/>
      <c r="G865" s="41"/>
    </row>
    <row r="866" ht="15.75" customHeight="1">
      <c r="A866" s="41"/>
      <c r="B866" s="46"/>
      <c r="C866" s="41"/>
      <c r="D866" s="41"/>
      <c r="E866" s="41"/>
      <c r="F866" s="41"/>
      <c r="G866" s="41"/>
    </row>
    <row r="867" ht="15.75" customHeight="1">
      <c r="A867" s="41"/>
      <c r="B867" s="46"/>
      <c r="C867" s="41"/>
      <c r="D867" s="41"/>
      <c r="E867" s="41"/>
      <c r="F867" s="41"/>
      <c r="G867" s="41"/>
    </row>
    <row r="868" ht="15.75" customHeight="1">
      <c r="A868" s="41"/>
      <c r="B868" s="46"/>
      <c r="C868" s="41"/>
      <c r="D868" s="41"/>
      <c r="E868" s="41"/>
      <c r="F868" s="41"/>
      <c r="G868" s="41"/>
    </row>
    <row r="869" ht="15.75" customHeight="1">
      <c r="A869" s="41"/>
      <c r="B869" s="46"/>
      <c r="C869" s="41"/>
      <c r="D869" s="41"/>
      <c r="E869" s="41"/>
      <c r="F869" s="41"/>
      <c r="G869" s="41"/>
    </row>
    <row r="870" ht="15.75" customHeight="1">
      <c r="A870" s="41"/>
      <c r="B870" s="46"/>
      <c r="C870" s="41"/>
      <c r="D870" s="41"/>
      <c r="E870" s="41"/>
      <c r="F870" s="41"/>
      <c r="G870" s="41"/>
    </row>
    <row r="871" ht="15.75" customHeight="1">
      <c r="A871" s="41"/>
      <c r="B871" s="46"/>
      <c r="C871" s="41"/>
      <c r="D871" s="41"/>
      <c r="E871" s="41"/>
      <c r="F871" s="41"/>
      <c r="G871" s="41"/>
    </row>
    <row r="872" ht="15.75" customHeight="1">
      <c r="A872" s="41"/>
      <c r="B872" s="46"/>
      <c r="C872" s="41"/>
      <c r="D872" s="41"/>
      <c r="E872" s="41"/>
      <c r="F872" s="41"/>
      <c r="G872" s="41"/>
    </row>
    <row r="873" ht="15.75" customHeight="1">
      <c r="A873" s="41"/>
      <c r="B873" s="46"/>
      <c r="C873" s="41"/>
      <c r="D873" s="41"/>
      <c r="E873" s="41"/>
      <c r="F873" s="41"/>
      <c r="G873" s="41"/>
    </row>
    <row r="874" ht="15.75" customHeight="1">
      <c r="A874" s="41"/>
      <c r="B874" s="46"/>
      <c r="C874" s="41"/>
      <c r="D874" s="41"/>
      <c r="E874" s="41"/>
      <c r="F874" s="41"/>
      <c r="G874" s="41"/>
    </row>
    <row r="875" ht="15.75" customHeight="1">
      <c r="A875" s="41"/>
      <c r="B875" s="46"/>
      <c r="C875" s="41"/>
      <c r="D875" s="41"/>
      <c r="E875" s="41"/>
      <c r="F875" s="41"/>
      <c r="G875" s="41"/>
    </row>
    <row r="876" ht="15.75" customHeight="1">
      <c r="A876" s="41"/>
      <c r="B876" s="46"/>
      <c r="C876" s="41"/>
      <c r="D876" s="41"/>
      <c r="E876" s="41"/>
      <c r="F876" s="41"/>
      <c r="G876" s="41"/>
    </row>
    <row r="877" ht="15.75" customHeight="1">
      <c r="A877" s="41"/>
      <c r="B877" s="46"/>
      <c r="C877" s="41"/>
      <c r="D877" s="41"/>
      <c r="E877" s="41"/>
      <c r="F877" s="41"/>
      <c r="G877" s="41"/>
    </row>
    <row r="878" ht="15.75" customHeight="1">
      <c r="A878" s="41"/>
      <c r="B878" s="46"/>
      <c r="C878" s="41"/>
      <c r="D878" s="41"/>
      <c r="E878" s="41"/>
      <c r="F878" s="41"/>
      <c r="G878" s="41"/>
    </row>
    <row r="879" ht="15.75" customHeight="1">
      <c r="A879" s="41"/>
      <c r="B879" s="46"/>
      <c r="C879" s="41"/>
      <c r="D879" s="41"/>
      <c r="E879" s="41"/>
      <c r="F879" s="41"/>
      <c r="G879" s="41"/>
    </row>
    <row r="880" ht="15.75" customHeight="1">
      <c r="A880" s="41"/>
      <c r="B880" s="46"/>
      <c r="C880" s="41"/>
      <c r="D880" s="41"/>
      <c r="E880" s="41"/>
      <c r="F880" s="41"/>
      <c r="G880" s="41"/>
    </row>
    <row r="881" ht="15.75" customHeight="1">
      <c r="A881" s="41"/>
      <c r="B881" s="46"/>
      <c r="C881" s="41"/>
      <c r="D881" s="41"/>
      <c r="E881" s="41"/>
      <c r="F881" s="41"/>
      <c r="G881" s="41"/>
    </row>
    <row r="882" ht="15.75" customHeight="1">
      <c r="A882" s="41"/>
      <c r="B882" s="46"/>
      <c r="C882" s="41"/>
      <c r="D882" s="41"/>
      <c r="E882" s="41"/>
      <c r="F882" s="41"/>
      <c r="G882" s="41"/>
    </row>
    <row r="883" ht="15.75" customHeight="1">
      <c r="A883" s="41"/>
      <c r="B883" s="46"/>
      <c r="C883" s="41"/>
      <c r="D883" s="41"/>
      <c r="E883" s="41"/>
      <c r="F883" s="41"/>
      <c r="G883" s="41"/>
    </row>
    <row r="884" ht="15.75" customHeight="1">
      <c r="A884" s="41"/>
      <c r="B884" s="46"/>
      <c r="C884" s="41"/>
      <c r="D884" s="41"/>
      <c r="E884" s="41"/>
      <c r="F884" s="41"/>
      <c r="G884" s="41"/>
    </row>
    <row r="885" ht="15.75" customHeight="1">
      <c r="A885" s="41"/>
      <c r="B885" s="46"/>
      <c r="C885" s="41"/>
      <c r="D885" s="41"/>
      <c r="E885" s="41"/>
      <c r="F885" s="41"/>
      <c r="G885" s="41"/>
    </row>
    <row r="886" ht="15.75" customHeight="1">
      <c r="A886" s="41"/>
      <c r="B886" s="46"/>
      <c r="C886" s="41"/>
      <c r="D886" s="41"/>
      <c r="E886" s="41"/>
      <c r="F886" s="41"/>
      <c r="G886" s="41"/>
    </row>
    <row r="887" ht="15.75" customHeight="1">
      <c r="A887" s="41"/>
      <c r="B887" s="46"/>
      <c r="C887" s="41"/>
      <c r="D887" s="41"/>
      <c r="E887" s="41"/>
      <c r="F887" s="41"/>
      <c r="G887" s="41"/>
    </row>
    <row r="888" ht="15.75" customHeight="1">
      <c r="A888" s="41"/>
      <c r="B888" s="46"/>
      <c r="C888" s="41"/>
      <c r="D888" s="41"/>
      <c r="E888" s="41"/>
      <c r="F888" s="41"/>
      <c r="G888" s="41"/>
    </row>
    <row r="889" ht="15.75" customHeight="1">
      <c r="A889" s="41"/>
      <c r="B889" s="46"/>
      <c r="C889" s="41"/>
      <c r="D889" s="41"/>
      <c r="E889" s="41"/>
      <c r="F889" s="41"/>
      <c r="G889" s="41"/>
    </row>
    <row r="890" ht="15.75" customHeight="1">
      <c r="A890" s="41"/>
      <c r="B890" s="46"/>
      <c r="C890" s="41"/>
      <c r="D890" s="41"/>
      <c r="E890" s="41"/>
      <c r="F890" s="41"/>
      <c r="G890" s="41"/>
    </row>
    <row r="891" ht="15.75" customHeight="1">
      <c r="A891" s="41"/>
      <c r="B891" s="46"/>
      <c r="C891" s="41"/>
      <c r="D891" s="41"/>
      <c r="E891" s="41"/>
      <c r="F891" s="41"/>
      <c r="G891" s="41"/>
    </row>
    <row r="892" ht="15.75" customHeight="1">
      <c r="A892" s="41"/>
      <c r="B892" s="46"/>
      <c r="C892" s="41"/>
      <c r="D892" s="41"/>
      <c r="E892" s="41"/>
      <c r="F892" s="41"/>
      <c r="G892" s="41"/>
    </row>
    <row r="893" ht="15.75" customHeight="1">
      <c r="A893" s="41"/>
      <c r="B893" s="46"/>
      <c r="C893" s="41"/>
      <c r="D893" s="41"/>
      <c r="E893" s="41"/>
      <c r="F893" s="41"/>
      <c r="G893" s="41"/>
    </row>
    <row r="894" ht="15.75" customHeight="1">
      <c r="A894" s="41"/>
      <c r="B894" s="46"/>
      <c r="C894" s="41"/>
      <c r="D894" s="41"/>
      <c r="E894" s="41"/>
      <c r="F894" s="41"/>
      <c r="G894" s="41"/>
    </row>
    <row r="895" ht="15.75" customHeight="1">
      <c r="A895" s="41"/>
      <c r="B895" s="46"/>
      <c r="C895" s="41"/>
      <c r="D895" s="41"/>
      <c r="E895" s="41"/>
      <c r="F895" s="41"/>
      <c r="G895" s="41"/>
    </row>
    <row r="896" ht="15.75" customHeight="1">
      <c r="A896" s="41"/>
      <c r="B896" s="46"/>
      <c r="C896" s="41"/>
      <c r="D896" s="41"/>
      <c r="E896" s="41"/>
      <c r="F896" s="41"/>
      <c r="G896" s="41"/>
    </row>
    <row r="897" ht="15.75" customHeight="1">
      <c r="A897" s="41"/>
      <c r="B897" s="46"/>
      <c r="C897" s="41"/>
      <c r="D897" s="41"/>
      <c r="E897" s="41"/>
      <c r="F897" s="41"/>
      <c r="G897" s="41"/>
    </row>
    <row r="898" ht="15.75" customHeight="1">
      <c r="A898" s="41"/>
      <c r="B898" s="46"/>
      <c r="C898" s="41"/>
      <c r="D898" s="41"/>
      <c r="E898" s="41"/>
      <c r="F898" s="41"/>
      <c r="G898" s="41"/>
    </row>
    <row r="899" ht="15.75" customHeight="1">
      <c r="A899" s="41"/>
      <c r="B899" s="46"/>
      <c r="C899" s="41"/>
      <c r="D899" s="41"/>
      <c r="E899" s="41"/>
      <c r="F899" s="41"/>
      <c r="G899" s="41"/>
    </row>
    <row r="900" ht="15.75" customHeight="1">
      <c r="A900" s="41"/>
      <c r="B900" s="46"/>
      <c r="C900" s="41"/>
      <c r="D900" s="41"/>
      <c r="E900" s="41"/>
      <c r="F900" s="41"/>
      <c r="G900" s="41"/>
    </row>
    <row r="901" ht="15.75" customHeight="1">
      <c r="A901" s="41"/>
      <c r="B901" s="46"/>
      <c r="C901" s="41"/>
      <c r="D901" s="41"/>
      <c r="E901" s="41"/>
      <c r="F901" s="41"/>
      <c r="G901" s="41"/>
    </row>
    <row r="902" ht="15.75" customHeight="1">
      <c r="A902" s="41"/>
      <c r="B902" s="46"/>
      <c r="C902" s="41"/>
      <c r="D902" s="41"/>
      <c r="E902" s="41"/>
      <c r="F902" s="41"/>
      <c r="G902" s="41"/>
    </row>
    <row r="903" ht="15.75" customHeight="1">
      <c r="A903" s="41"/>
      <c r="B903" s="46"/>
      <c r="C903" s="41"/>
      <c r="D903" s="41"/>
      <c r="E903" s="41"/>
      <c r="F903" s="41"/>
      <c r="G903" s="41"/>
    </row>
    <row r="904" ht="15.75" customHeight="1">
      <c r="A904" s="41"/>
      <c r="B904" s="46"/>
      <c r="C904" s="41"/>
      <c r="D904" s="41"/>
      <c r="E904" s="41"/>
      <c r="F904" s="41"/>
      <c r="G904" s="41"/>
    </row>
    <row r="905" ht="15.75" customHeight="1">
      <c r="A905" s="41"/>
      <c r="B905" s="46"/>
      <c r="C905" s="41"/>
      <c r="D905" s="41"/>
      <c r="E905" s="41"/>
      <c r="F905" s="41"/>
      <c r="G905" s="41"/>
    </row>
    <row r="906" ht="15.75" customHeight="1">
      <c r="A906" s="41"/>
      <c r="B906" s="46"/>
      <c r="C906" s="41"/>
      <c r="D906" s="41"/>
      <c r="E906" s="41"/>
      <c r="F906" s="41"/>
      <c r="G906" s="41"/>
    </row>
    <row r="907" ht="15.75" customHeight="1">
      <c r="A907" s="41"/>
      <c r="B907" s="46"/>
      <c r="C907" s="41"/>
      <c r="D907" s="41"/>
      <c r="E907" s="41"/>
      <c r="F907" s="41"/>
      <c r="G907" s="41"/>
    </row>
    <row r="908" ht="15.75" customHeight="1">
      <c r="A908" s="41"/>
      <c r="B908" s="46"/>
      <c r="C908" s="41"/>
      <c r="D908" s="41"/>
      <c r="E908" s="41"/>
      <c r="F908" s="41"/>
      <c r="G908" s="41"/>
    </row>
    <row r="909" ht="15.75" customHeight="1">
      <c r="A909" s="41"/>
      <c r="B909" s="46"/>
      <c r="C909" s="41"/>
      <c r="D909" s="41"/>
      <c r="E909" s="41"/>
      <c r="F909" s="41"/>
      <c r="G909" s="41"/>
    </row>
    <row r="910" ht="15.75" customHeight="1">
      <c r="A910" s="41"/>
      <c r="B910" s="46"/>
      <c r="C910" s="41"/>
      <c r="D910" s="41"/>
      <c r="E910" s="41"/>
      <c r="F910" s="41"/>
      <c r="G910" s="41"/>
    </row>
    <row r="911" ht="15.75" customHeight="1">
      <c r="A911" s="41"/>
      <c r="B911" s="46"/>
      <c r="C911" s="41"/>
      <c r="D911" s="41"/>
      <c r="E911" s="41"/>
      <c r="F911" s="41"/>
      <c r="G911" s="41"/>
    </row>
    <row r="912" ht="15.75" customHeight="1">
      <c r="A912" s="41"/>
      <c r="B912" s="46"/>
      <c r="C912" s="41"/>
      <c r="D912" s="41"/>
      <c r="E912" s="41"/>
      <c r="F912" s="41"/>
      <c r="G912" s="41"/>
    </row>
    <row r="913" ht="15.75" customHeight="1">
      <c r="A913" s="41"/>
      <c r="B913" s="46"/>
      <c r="C913" s="41"/>
      <c r="D913" s="41"/>
      <c r="E913" s="41"/>
      <c r="F913" s="41"/>
      <c r="G913" s="41"/>
    </row>
    <row r="914" ht="15.75" customHeight="1">
      <c r="A914" s="41"/>
      <c r="B914" s="46"/>
      <c r="C914" s="41"/>
      <c r="D914" s="41"/>
      <c r="E914" s="41"/>
      <c r="F914" s="41"/>
      <c r="G914" s="41"/>
    </row>
    <row r="915" ht="15.75" customHeight="1">
      <c r="A915" s="41"/>
      <c r="B915" s="46"/>
      <c r="C915" s="41"/>
      <c r="D915" s="41"/>
      <c r="E915" s="41"/>
      <c r="F915" s="41"/>
      <c r="G915" s="41"/>
    </row>
    <row r="916" ht="15.75" customHeight="1">
      <c r="A916" s="41"/>
      <c r="B916" s="46"/>
      <c r="C916" s="41"/>
      <c r="D916" s="41"/>
      <c r="E916" s="41"/>
      <c r="F916" s="41"/>
      <c r="G916" s="41"/>
    </row>
    <row r="917" ht="15.75" customHeight="1">
      <c r="A917" s="41"/>
      <c r="B917" s="46"/>
      <c r="C917" s="41"/>
      <c r="D917" s="41"/>
      <c r="E917" s="41"/>
      <c r="F917" s="41"/>
      <c r="G917" s="41"/>
    </row>
    <row r="918" ht="15.75" customHeight="1">
      <c r="A918" s="41"/>
      <c r="B918" s="46"/>
      <c r="C918" s="41"/>
      <c r="D918" s="41"/>
      <c r="E918" s="41"/>
      <c r="F918" s="41"/>
      <c r="G918" s="41"/>
    </row>
    <row r="919" ht="15.75" customHeight="1">
      <c r="A919" s="41"/>
      <c r="B919" s="46"/>
      <c r="C919" s="41"/>
      <c r="D919" s="41"/>
      <c r="E919" s="41"/>
      <c r="F919" s="41"/>
      <c r="G919" s="41"/>
    </row>
    <row r="920" ht="15.75" customHeight="1">
      <c r="A920" s="41"/>
      <c r="B920" s="46"/>
      <c r="C920" s="41"/>
      <c r="D920" s="41"/>
      <c r="E920" s="41"/>
      <c r="F920" s="41"/>
      <c r="G920" s="41"/>
    </row>
    <row r="921" ht="15.75" customHeight="1">
      <c r="A921" s="41"/>
      <c r="B921" s="46"/>
      <c r="C921" s="41"/>
      <c r="D921" s="41"/>
      <c r="E921" s="41"/>
      <c r="F921" s="41"/>
      <c r="G921" s="41"/>
    </row>
    <row r="922" ht="15.75" customHeight="1">
      <c r="A922" s="41"/>
      <c r="B922" s="46"/>
      <c r="C922" s="41"/>
      <c r="D922" s="41"/>
      <c r="E922" s="41"/>
      <c r="F922" s="41"/>
      <c r="G922" s="41"/>
    </row>
    <row r="923" ht="15.75" customHeight="1">
      <c r="A923" s="41"/>
      <c r="B923" s="46"/>
      <c r="C923" s="41"/>
      <c r="D923" s="41"/>
      <c r="E923" s="41"/>
      <c r="F923" s="41"/>
      <c r="G923" s="41"/>
    </row>
    <row r="924" ht="15.75" customHeight="1">
      <c r="A924" s="41"/>
      <c r="B924" s="46"/>
      <c r="C924" s="41"/>
      <c r="D924" s="41"/>
      <c r="E924" s="41"/>
      <c r="F924" s="41"/>
      <c r="G924" s="41"/>
    </row>
    <row r="925" ht="15.75" customHeight="1">
      <c r="A925" s="41"/>
      <c r="B925" s="46"/>
      <c r="C925" s="41"/>
      <c r="D925" s="41"/>
      <c r="E925" s="41"/>
      <c r="F925" s="41"/>
      <c r="G925" s="41"/>
    </row>
    <row r="926" ht="15.75" customHeight="1">
      <c r="A926" s="41"/>
      <c r="B926" s="46"/>
      <c r="C926" s="41"/>
      <c r="D926" s="41"/>
      <c r="E926" s="41"/>
      <c r="F926" s="41"/>
      <c r="G926" s="41"/>
    </row>
    <row r="927" ht="15.75" customHeight="1">
      <c r="A927" s="41"/>
      <c r="B927" s="46"/>
      <c r="C927" s="41"/>
      <c r="D927" s="41"/>
      <c r="E927" s="41"/>
      <c r="F927" s="41"/>
      <c r="G927" s="41"/>
    </row>
    <row r="928" ht="15.75" customHeight="1">
      <c r="A928" s="41"/>
      <c r="B928" s="46"/>
      <c r="C928" s="41"/>
      <c r="D928" s="41"/>
      <c r="E928" s="41"/>
      <c r="F928" s="41"/>
      <c r="G928" s="41"/>
    </row>
    <row r="929" ht="15.75" customHeight="1">
      <c r="A929" s="41"/>
      <c r="B929" s="46"/>
      <c r="C929" s="41"/>
      <c r="D929" s="41"/>
      <c r="E929" s="41"/>
      <c r="F929" s="41"/>
      <c r="G929" s="41"/>
    </row>
    <row r="930" ht="15.75" customHeight="1">
      <c r="A930" s="41"/>
      <c r="B930" s="46"/>
      <c r="C930" s="41"/>
      <c r="D930" s="41"/>
      <c r="E930" s="41"/>
      <c r="F930" s="41"/>
      <c r="G930" s="41"/>
    </row>
    <row r="931" ht="15.75" customHeight="1">
      <c r="A931" s="41"/>
      <c r="B931" s="46"/>
      <c r="C931" s="41"/>
      <c r="D931" s="41"/>
      <c r="E931" s="41"/>
      <c r="F931" s="41"/>
      <c r="G931" s="41"/>
    </row>
    <row r="932" ht="15.75" customHeight="1">
      <c r="A932" s="41"/>
      <c r="B932" s="46"/>
      <c r="C932" s="41"/>
      <c r="D932" s="41"/>
      <c r="E932" s="41"/>
      <c r="F932" s="41"/>
      <c r="G932" s="41"/>
    </row>
    <row r="933" ht="15.75" customHeight="1">
      <c r="A933" s="41"/>
      <c r="B933" s="46"/>
      <c r="C933" s="41"/>
      <c r="D933" s="41"/>
      <c r="E933" s="41"/>
      <c r="F933" s="41"/>
      <c r="G933" s="41"/>
    </row>
    <row r="934" ht="15.75" customHeight="1">
      <c r="A934" s="41"/>
      <c r="B934" s="46"/>
      <c r="C934" s="41"/>
      <c r="D934" s="41"/>
      <c r="E934" s="41"/>
      <c r="F934" s="41"/>
      <c r="G934" s="41"/>
    </row>
    <row r="935" ht="15.75" customHeight="1">
      <c r="A935" s="41"/>
      <c r="B935" s="46"/>
      <c r="C935" s="41"/>
      <c r="D935" s="41"/>
      <c r="E935" s="41"/>
      <c r="F935" s="41"/>
      <c r="G935" s="41"/>
    </row>
    <row r="936" ht="15.75" customHeight="1">
      <c r="A936" s="41"/>
      <c r="B936" s="46"/>
      <c r="C936" s="41"/>
      <c r="D936" s="41"/>
      <c r="E936" s="41"/>
      <c r="F936" s="41"/>
      <c r="G936" s="41"/>
    </row>
    <row r="937" ht="15.75" customHeight="1">
      <c r="A937" s="41"/>
      <c r="B937" s="46"/>
      <c r="C937" s="41"/>
      <c r="D937" s="41"/>
      <c r="E937" s="41"/>
      <c r="F937" s="41"/>
      <c r="G937" s="41"/>
    </row>
    <row r="938" ht="15.75" customHeight="1">
      <c r="A938" s="41"/>
      <c r="B938" s="46"/>
      <c r="C938" s="41"/>
      <c r="D938" s="41"/>
      <c r="E938" s="41"/>
      <c r="F938" s="41"/>
      <c r="G938" s="41"/>
    </row>
    <row r="939" ht="15.75" customHeight="1">
      <c r="A939" s="41"/>
      <c r="B939" s="46"/>
      <c r="C939" s="41"/>
      <c r="D939" s="41"/>
      <c r="E939" s="41"/>
      <c r="F939" s="41"/>
      <c r="G939" s="41"/>
    </row>
    <row r="940" ht="15.75" customHeight="1">
      <c r="A940" s="41"/>
      <c r="B940" s="46"/>
      <c r="C940" s="41"/>
      <c r="D940" s="41"/>
      <c r="E940" s="41"/>
      <c r="F940" s="41"/>
      <c r="G940" s="41"/>
    </row>
    <row r="941" ht="15.75" customHeight="1">
      <c r="A941" s="41"/>
      <c r="B941" s="46"/>
      <c r="C941" s="41"/>
      <c r="D941" s="41"/>
      <c r="E941" s="41"/>
      <c r="F941" s="41"/>
      <c r="G941" s="41"/>
    </row>
    <row r="942" ht="15.75" customHeight="1">
      <c r="A942" s="41"/>
      <c r="B942" s="46"/>
      <c r="C942" s="41"/>
      <c r="D942" s="41"/>
      <c r="E942" s="41"/>
      <c r="F942" s="41"/>
      <c r="G942" s="41"/>
    </row>
    <row r="943" ht="15.75" customHeight="1">
      <c r="A943" s="41"/>
      <c r="B943" s="46"/>
      <c r="C943" s="41"/>
      <c r="D943" s="41"/>
      <c r="E943" s="41"/>
      <c r="F943" s="41"/>
      <c r="G943" s="41"/>
    </row>
    <row r="944" ht="15.75" customHeight="1">
      <c r="A944" s="41"/>
      <c r="B944" s="46"/>
      <c r="C944" s="41"/>
      <c r="D944" s="41"/>
      <c r="E944" s="41"/>
      <c r="F944" s="41"/>
      <c r="G944" s="41"/>
    </row>
    <row r="945" ht="15.75" customHeight="1">
      <c r="A945" s="41"/>
      <c r="B945" s="46"/>
      <c r="C945" s="41"/>
      <c r="D945" s="41"/>
      <c r="E945" s="41"/>
      <c r="F945" s="41"/>
      <c r="G945" s="41"/>
    </row>
    <row r="946" ht="15.75" customHeight="1">
      <c r="A946" s="41"/>
      <c r="B946" s="46"/>
      <c r="C946" s="41"/>
      <c r="D946" s="41"/>
      <c r="E946" s="41"/>
      <c r="F946" s="41"/>
      <c r="G946" s="41"/>
    </row>
    <row r="947" ht="15.75" customHeight="1">
      <c r="A947" s="41"/>
      <c r="B947" s="46"/>
      <c r="C947" s="41"/>
      <c r="D947" s="41"/>
      <c r="E947" s="41"/>
      <c r="F947" s="41"/>
      <c r="G947" s="41"/>
    </row>
    <row r="948" ht="15.75" customHeight="1">
      <c r="A948" s="41"/>
      <c r="B948" s="46"/>
      <c r="C948" s="41"/>
      <c r="D948" s="41"/>
      <c r="E948" s="41"/>
      <c r="F948" s="41"/>
      <c r="G948" s="41"/>
    </row>
    <row r="949" ht="15.75" customHeight="1">
      <c r="A949" s="41"/>
      <c r="B949" s="46"/>
      <c r="C949" s="41"/>
      <c r="D949" s="41"/>
      <c r="E949" s="41"/>
      <c r="F949" s="41"/>
      <c r="G949" s="41"/>
    </row>
    <row r="950" ht="15.75" customHeight="1">
      <c r="A950" s="41"/>
      <c r="B950" s="46"/>
      <c r="C950" s="41"/>
      <c r="D950" s="41"/>
      <c r="E950" s="41"/>
      <c r="F950" s="41"/>
      <c r="G950" s="41"/>
    </row>
    <row r="951" ht="15.75" customHeight="1">
      <c r="A951" s="41"/>
      <c r="B951" s="46"/>
      <c r="C951" s="41"/>
      <c r="D951" s="41"/>
      <c r="E951" s="41"/>
      <c r="F951" s="41"/>
      <c r="G951" s="41"/>
    </row>
    <row r="952" ht="15.75" customHeight="1">
      <c r="A952" s="41"/>
      <c r="B952" s="46"/>
      <c r="C952" s="41"/>
      <c r="D952" s="41"/>
      <c r="E952" s="41"/>
      <c r="F952" s="41"/>
      <c r="G952" s="41"/>
    </row>
    <row r="953" ht="15.75" customHeight="1">
      <c r="A953" s="41"/>
      <c r="B953" s="46"/>
      <c r="C953" s="41"/>
      <c r="D953" s="41"/>
      <c r="E953" s="41"/>
      <c r="F953" s="41"/>
      <c r="G953" s="41"/>
    </row>
    <row r="954" ht="15.75" customHeight="1">
      <c r="A954" s="41"/>
      <c r="B954" s="46"/>
      <c r="C954" s="41"/>
      <c r="D954" s="41"/>
      <c r="E954" s="41"/>
      <c r="F954" s="41"/>
      <c r="G954" s="41"/>
    </row>
    <row r="955" ht="15.75" customHeight="1">
      <c r="A955" s="41"/>
      <c r="B955" s="46"/>
      <c r="C955" s="41"/>
      <c r="D955" s="41"/>
      <c r="E955" s="41"/>
      <c r="F955" s="41"/>
      <c r="G955" s="41"/>
    </row>
    <row r="956" ht="15.75" customHeight="1">
      <c r="A956" s="41"/>
      <c r="B956" s="46"/>
      <c r="C956" s="41"/>
      <c r="D956" s="41"/>
      <c r="E956" s="41"/>
      <c r="F956" s="41"/>
      <c r="G956" s="41"/>
    </row>
    <row r="957" ht="15.75" customHeight="1">
      <c r="A957" s="41"/>
      <c r="B957" s="46"/>
      <c r="C957" s="41"/>
      <c r="D957" s="41"/>
      <c r="E957" s="41"/>
      <c r="F957" s="41"/>
      <c r="G957" s="41"/>
    </row>
    <row r="958" ht="15.75" customHeight="1">
      <c r="A958" s="41"/>
      <c r="B958" s="46"/>
      <c r="C958" s="41"/>
      <c r="D958" s="41"/>
      <c r="E958" s="41"/>
      <c r="F958" s="41"/>
      <c r="G958" s="41"/>
    </row>
    <row r="959" ht="15.75" customHeight="1">
      <c r="A959" s="41"/>
      <c r="B959" s="46"/>
      <c r="C959" s="41"/>
      <c r="D959" s="41"/>
      <c r="E959" s="41"/>
      <c r="F959" s="41"/>
      <c r="G959" s="41"/>
    </row>
    <row r="960" ht="15.75" customHeight="1">
      <c r="A960" s="41"/>
      <c r="B960" s="46"/>
      <c r="C960" s="41"/>
      <c r="D960" s="41"/>
      <c r="E960" s="41"/>
      <c r="F960" s="41"/>
      <c r="G960" s="41"/>
    </row>
    <row r="961" ht="15.75" customHeight="1">
      <c r="A961" s="41"/>
      <c r="B961" s="46"/>
      <c r="C961" s="41"/>
      <c r="D961" s="41"/>
      <c r="E961" s="41"/>
      <c r="F961" s="41"/>
      <c r="G961" s="41"/>
    </row>
    <row r="962" ht="15.75" customHeight="1">
      <c r="A962" s="41"/>
      <c r="B962" s="46"/>
      <c r="C962" s="41"/>
      <c r="D962" s="41"/>
      <c r="E962" s="41"/>
      <c r="F962" s="41"/>
      <c r="G962" s="41"/>
    </row>
    <row r="963" ht="15.75" customHeight="1">
      <c r="A963" s="41"/>
      <c r="B963" s="46"/>
      <c r="C963" s="41"/>
      <c r="D963" s="41"/>
      <c r="E963" s="41"/>
      <c r="F963" s="41"/>
      <c r="G963" s="41"/>
    </row>
    <row r="964" ht="15.75" customHeight="1">
      <c r="A964" s="41"/>
      <c r="B964" s="46"/>
      <c r="C964" s="41"/>
      <c r="D964" s="41"/>
      <c r="E964" s="41"/>
      <c r="F964" s="41"/>
      <c r="G964" s="41"/>
    </row>
    <row r="965" ht="15.75" customHeight="1">
      <c r="A965" s="41"/>
      <c r="B965" s="46"/>
      <c r="C965" s="41"/>
      <c r="D965" s="41"/>
      <c r="E965" s="41"/>
      <c r="F965" s="41"/>
      <c r="G965" s="41"/>
    </row>
    <row r="966" ht="15.75" customHeight="1">
      <c r="A966" s="41"/>
      <c r="B966" s="46"/>
      <c r="C966" s="41"/>
      <c r="D966" s="41"/>
      <c r="E966" s="41"/>
      <c r="F966" s="41"/>
      <c r="G966" s="41"/>
    </row>
    <row r="967" ht="15.75" customHeight="1">
      <c r="A967" s="41"/>
      <c r="B967" s="46"/>
      <c r="C967" s="41"/>
      <c r="D967" s="41"/>
      <c r="E967" s="41"/>
      <c r="F967" s="41"/>
      <c r="G967" s="41"/>
    </row>
    <row r="968" ht="15.75" customHeight="1">
      <c r="A968" s="41"/>
      <c r="B968" s="46"/>
      <c r="C968" s="41"/>
      <c r="D968" s="41"/>
      <c r="E968" s="41"/>
      <c r="F968" s="41"/>
      <c r="G968" s="41"/>
    </row>
    <row r="969" ht="15.75" customHeight="1">
      <c r="A969" s="41"/>
      <c r="B969" s="46"/>
      <c r="C969" s="41"/>
      <c r="D969" s="41"/>
      <c r="E969" s="41"/>
      <c r="F969" s="41"/>
      <c r="G969" s="41"/>
    </row>
    <row r="970" ht="15.75" customHeight="1">
      <c r="A970" s="41"/>
      <c r="B970" s="46"/>
      <c r="C970" s="41"/>
      <c r="D970" s="41"/>
      <c r="E970" s="41"/>
      <c r="F970" s="41"/>
      <c r="G970" s="41"/>
    </row>
    <row r="971" ht="15.75" customHeight="1">
      <c r="A971" s="41"/>
      <c r="B971" s="46"/>
      <c r="C971" s="41"/>
      <c r="D971" s="41"/>
      <c r="E971" s="41"/>
      <c r="F971" s="41"/>
      <c r="G971" s="41"/>
    </row>
    <row r="972" ht="15.75" customHeight="1">
      <c r="A972" s="41"/>
      <c r="B972" s="46"/>
      <c r="C972" s="41"/>
      <c r="D972" s="41"/>
      <c r="E972" s="41"/>
      <c r="F972" s="41"/>
      <c r="G972" s="41"/>
    </row>
    <row r="973" ht="15.75" customHeight="1">
      <c r="A973" s="41"/>
      <c r="B973" s="46"/>
      <c r="C973" s="41"/>
      <c r="D973" s="41"/>
      <c r="E973" s="41"/>
      <c r="F973" s="41"/>
      <c r="G973" s="41"/>
    </row>
    <row r="974" ht="15.75" customHeight="1">
      <c r="A974" s="41"/>
      <c r="B974" s="46"/>
      <c r="C974" s="41"/>
      <c r="D974" s="41"/>
      <c r="E974" s="41"/>
      <c r="F974" s="41"/>
      <c r="G974" s="41"/>
    </row>
    <row r="975" ht="15.75" customHeight="1">
      <c r="A975" s="41"/>
      <c r="B975" s="46"/>
      <c r="C975" s="41"/>
      <c r="D975" s="41"/>
      <c r="E975" s="41"/>
      <c r="F975" s="41"/>
      <c r="G975" s="41"/>
    </row>
    <row r="976" ht="15.75" customHeight="1">
      <c r="A976" s="41"/>
      <c r="B976" s="46"/>
      <c r="C976" s="41"/>
      <c r="D976" s="41"/>
      <c r="E976" s="41"/>
      <c r="F976" s="41"/>
      <c r="G976" s="41"/>
    </row>
    <row r="977" ht="15.75" customHeight="1">
      <c r="A977" s="41"/>
      <c r="B977" s="46"/>
      <c r="C977" s="41"/>
      <c r="D977" s="41"/>
      <c r="E977" s="41"/>
      <c r="F977" s="41"/>
      <c r="G977" s="41"/>
    </row>
    <row r="978" ht="15.75" customHeight="1">
      <c r="A978" s="41"/>
      <c r="B978" s="46"/>
      <c r="C978" s="41"/>
      <c r="D978" s="41"/>
      <c r="E978" s="41"/>
      <c r="F978" s="41"/>
      <c r="G978" s="41"/>
    </row>
    <row r="979" ht="15.75" customHeight="1">
      <c r="A979" s="41"/>
      <c r="B979" s="46"/>
      <c r="C979" s="41"/>
      <c r="D979" s="41"/>
      <c r="E979" s="41"/>
      <c r="F979" s="41"/>
      <c r="G979" s="41"/>
    </row>
    <row r="980" ht="15.75" customHeight="1">
      <c r="A980" s="41"/>
      <c r="B980" s="46"/>
      <c r="C980" s="41"/>
      <c r="D980" s="41"/>
      <c r="E980" s="41"/>
      <c r="F980" s="41"/>
      <c r="G980" s="41"/>
    </row>
    <row r="981" ht="15.75" customHeight="1">
      <c r="A981" s="41"/>
      <c r="B981" s="46"/>
      <c r="C981" s="41"/>
      <c r="D981" s="41"/>
      <c r="E981" s="41"/>
      <c r="F981" s="41"/>
      <c r="G981" s="41"/>
    </row>
    <row r="982" ht="15.75" customHeight="1">
      <c r="A982" s="41"/>
      <c r="B982" s="46"/>
      <c r="C982" s="41"/>
      <c r="D982" s="41"/>
      <c r="E982" s="41"/>
      <c r="F982" s="41"/>
      <c r="G982" s="41"/>
    </row>
    <row r="983" ht="15.75" customHeight="1">
      <c r="A983" s="41"/>
      <c r="B983" s="46"/>
      <c r="C983" s="41"/>
      <c r="D983" s="41"/>
      <c r="E983" s="41"/>
      <c r="F983" s="41"/>
      <c r="G983" s="41"/>
    </row>
    <row r="984" ht="15.75" customHeight="1">
      <c r="A984" s="41"/>
      <c r="B984" s="46"/>
      <c r="C984" s="41"/>
      <c r="D984" s="41"/>
      <c r="E984" s="41"/>
      <c r="F984" s="41"/>
      <c r="G984" s="41"/>
    </row>
    <row r="985" ht="15.75" customHeight="1">
      <c r="A985" s="41"/>
      <c r="B985" s="46"/>
      <c r="C985" s="41"/>
      <c r="D985" s="41"/>
      <c r="E985" s="41"/>
      <c r="F985" s="41"/>
      <c r="G985" s="41"/>
    </row>
    <row r="986" ht="15.75" customHeight="1">
      <c r="A986" s="41"/>
      <c r="B986" s="46"/>
      <c r="C986" s="41"/>
      <c r="D986" s="41"/>
      <c r="E986" s="41"/>
      <c r="F986" s="41"/>
      <c r="G986" s="41"/>
    </row>
    <row r="987" ht="15.75" customHeight="1">
      <c r="A987" s="41"/>
      <c r="B987" s="46"/>
      <c r="C987" s="41"/>
      <c r="D987" s="41"/>
      <c r="E987" s="41"/>
      <c r="F987" s="41"/>
      <c r="G987" s="41"/>
    </row>
    <row r="988" ht="15.75" customHeight="1">
      <c r="A988" s="41"/>
      <c r="B988" s="46"/>
      <c r="C988" s="41"/>
      <c r="D988" s="41"/>
      <c r="E988" s="41"/>
      <c r="F988" s="41"/>
      <c r="G988" s="41"/>
    </row>
    <row r="989" ht="15.75" customHeight="1">
      <c r="A989" s="41"/>
      <c r="B989" s="46"/>
      <c r="C989" s="41"/>
      <c r="D989" s="41"/>
      <c r="E989" s="41"/>
      <c r="F989" s="41"/>
      <c r="G989" s="41"/>
    </row>
    <row r="990" ht="15.75" customHeight="1">
      <c r="A990" s="41"/>
      <c r="B990" s="46"/>
      <c r="C990" s="41"/>
      <c r="D990" s="41"/>
      <c r="E990" s="41"/>
      <c r="F990" s="41"/>
      <c r="G990" s="41"/>
    </row>
    <row r="991" ht="15.75" customHeight="1">
      <c r="A991" s="41"/>
      <c r="B991" s="46"/>
      <c r="C991" s="41"/>
      <c r="D991" s="41"/>
      <c r="E991" s="41"/>
      <c r="F991" s="41"/>
      <c r="G991" s="41"/>
    </row>
    <row r="992" ht="15.75" customHeight="1">
      <c r="A992" s="41"/>
      <c r="B992" s="46"/>
      <c r="C992" s="41"/>
      <c r="D992" s="41"/>
      <c r="E992" s="41"/>
      <c r="F992" s="41"/>
      <c r="G992" s="41"/>
    </row>
    <row r="993" ht="15.75" customHeight="1">
      <c r="A993" s="41"/>
      <c r="B993" s="46"/>
      <c r="C993" s="41"/>
      <c r="D993" s="41"/>
      <c r="E993" s="41"/>
      <c r="F993" s="41"/>
      <c r="G993" s="41"/>
    </row>
    <row r="994" ht="15.75" customHeight="1">
      <c r="A994" s="41"/>
      <c r="B994" s="46"/>
      <c r="C994" s="41"/>
      <c r="D994" s="41"/>
      <c r="E994" s="41"/>
      <c r="F994" s="41"/>
      <c r="G994" s="41"/>
    </row>
    <row r="995" ht="15.75" customHeight="1">
      <c r="A995" s="41"/>
      <c r="B995" s="46"/>
      <c r="C995" s="41"/>
      <c r="D995" s="41"/>
      <c r="E995" s="41"/>
      <c r="F995" s="41"/>
      <c r="G995" s="41"/>
    </row>
    <row r="996" ht="15.75" customHeight="1">
      <c r="A996" s="41"/>
      <c r="B996" s="46"/>
      <c r="C996" s="41"/>
      <c r="D996" s="41"/>
      <c r="E996" s="41"/>
      <c r="F996" s="41"/>
      <c r="G996" s="41"/>
    </row>
    <row r="997" ht="15.75" customHeight="1">
      <c r="A997" s="41"/>
      <c r="B997" s="46"/>
      <c r="C997" s="41"/>
      <c r="D997" s="41"/>
      <c r="E997" s="41"/>
      <c r="F997" s="41"/>
      <c r="G997" s="41"/>
    </row>
    <row r="998" ht="15.75" customHeight="1">
      <c r="A998" s="41"/>
      <c r="B998" s="46"/>
      <c r="C998" s="41"/>
      <c r="D998" s="41"/>
      <c r="E998" s="41"/>
      <c r="F998" s="41"/>
      <c r="G998" s="41"/>
    </row>
    <row r="999" ht="15.75" customHeight="1">
      <c r="A999" s="41"/>
      <c r="B999" s="46"/>
      <c r="C999" s="41"/>
      <c r="D999" s="41"/>
      <c r="E999" s="41"/>
      <c r="F999" s="41"/>
      <c r="G999" s="41"/>
    </row>
    <row r="1000" ht="15.75" customHeight="1">
      <c r="A1000" s="41"/>
      <c r="B1000" s="46"/>
      <c r="C1000" s="41"/>
      <c r="D1000" s="41"/>
      <c r="E1000" s="41"/>
      <c r="F1000" s="41"/>
      <c r="G1000" s="41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60.38"/>
    <col customWidth="1" min="4" max="4" width="16.88"/>
    <col customWidth="1" min="5" max="5" width="14.75"/>
  </cols>
  <sheetData>
    <row r="1">
      <c r="A1" s="40" t="s">
        <v>1</v>
      </c>
      <c r="B1" s="40" t="s">
        <v>5</v>
      </c>
      <c r="C1" s="45" t="s">
        <v>9</v>
      </c>
      <c r="D1" s="40" t="s">
        <v>11</v>
      </c>
      <c r="E1" s="6" t="s">
        <v>13</v>
      </c>
    </row>
    <row r="2">
      <c r="A2" s="12" t="s">
        <v>38</v>
      </c>
      <c r="B2" s="12" t="s">
        <v>3630</v>
      </c>
      <c r="C2" s="46" t="s">
        <v>5520</v>
      </c>
      <c r="D2" s="12" t="s">
        <v>47</v>
      </c>
      <c r="E2" s="12" t="s">
        <v>5406</v>
      </c>
    </row>
    <row r="3">
      <c r="A3" s="12" t="s">
        <v>38</v>
      </c>
      <c r="B3" s="12" t="s">
        <v>3634</v>
      </c>
      <c r="C3" s="46" t="s">
        <v>5523</v>
      </c>
      <c r="D3" s="12" t="s">
        <v>47</v>
      </c>
      <c r="E3" s="12" t="s">
        <v>5406</v>
      </c>
    </row>
    <row r="4">
      <c r="A4" s="12" t="s">
        <v>38</v>
      </c>
      <c r="B4" s="12" t="s">
        <v>3637</v>
      </c>
      <c r="C4" s="46" t="s">
        <v>5526</v>
      </c>
      <c r="D4" s="12" t="s">
        <v>47</v>
      </c>
      <c r="E4" s="12" t="s">
        <v>5406</v>
      </c>
    </row>
    <row r="5">
      <c r="A5" s="12" t="s">
        <v>38</v>
      </c>
      <c r="B5" s="12" t="s">
        <v>3641</v>
      </c>
      <c r="C5" s="46" t="s">
        <v>5527</v>
      </c>
      <c r="D5" s="12" t="s">
        <v>47</v>
      </c>
      <c r="E5" s="12" t="s">
        <v>5406</v>
      </c>
    </row>
    <row r="6">
      <c r="A6" s="12" t="s">
        <v>38</v>
      </c>
      <c r="B6" s="12" t="s">
        <v>3645</v>
      </c>
      <c r="C6" s="46" t="s">
        <v>5529</v>
      </c>
      <c r="D6" s="12" t="s">
        <v>47</v>
      </c>
      <c r="E6" s="12" t="s">
        <v>5406</v>
      </c>
    </row>
    <row r="7">
      <c r="A7" s="12" t="s">
        <v>38</v>
      </c>
      <c r="B7" s="12" t="s">
        <v>3649</v>
      </c>
      <c r="C7" s="46" t="s">
        <v>5530</v>
      </c>
      <c r="D7" s="12" t="s">
        <v>47</v>
      </c>
      <c r="E7" s="12" t="s">
        <v>5406</v>
      </c>
    </row>
    <row r="8">
      <c r="A8" s="12" t="s">
        <v>38</v>
      </c>
      <c r="B8" s="12" t="s">
        <v>3652</v>
      </c>
      <c r="C8" s="46" t="s">
        <v>5531</v>
      </c>
      <c r="D8" s="12" t="s">
        <v>47</v>
      </c>
      <c r="E8" s="12" t="s">
        <v>5406</v>
      </c>
    </row>
    <row r="9">
      <c r="A9" s="12" t="s">
        <v>38</v>
      </c>
      <c r="B9" s="12" t="s">
        <v>3658</v>
      </c>
      <c r="C9" s="46" t="s">
        <v>5533</v>
      </c>
      <c r="D9" s="12" t="s">
        <v>47</v>
      </c>
      <c r="E9" s="12" t="s">
        <v>5406</v>
      </c>
    </row>
    <row r="10">
      <c r="A10" s="12" t="s">
        <v>38</v>
      </c>
      <c r="B10" s="12" t="s">
        <v>3659</v>
      </c>
      <c r="C10" s="46" t="s">
        <v>5536</v>
      </c>
      <c r="D10" s="12" t="s">
        <v>47</v>
      </c>
      <c r="E10" s="12" t="s">
        <v>5406</v>
      </c>
    </row>
    <row r="11">
      <c r="A11" s="12" t="s">
        <v>38</v>
      </c>
      <c r="B11" s="12" t="s">
        <v>3662</v>
      </c>
      <c r="C11" s="46" t="s">
        <v>5538</v>
      </c>
      <c r="D11" s="12" t="s">
        <v>47</v>
      </c>
      <c r="E11" s="12" t="s">
        <v>5406</v>
      </c>
    </row>
    <row r="12">
      <c r="A12" s="12" t="s">
        <v>38</v>
      </c>
      <c r="B12" s="12" t="s">
        <v>3666</v>
      </c>
      <c r="C12" s="46" t="s">
        <v>5541</v>
      </c>
      <c r="D12" s="12" t="s">
        <v>47</v>
      </c>
      <c r="E12" s="12" t="s">
        <v>5406</v>
      </c>
    </row>
    <row r="13">
      <c r="A13" s="12" t="s">
        <v>38</v>
      </c>
      <c r="B13" s="12" t="s">
        <v>3670</v>
      </c>
      <c r="C13" s="46" t="s">
        <v>5545</v>
      </c>
      <c r="D13" s="12" t="s">
        <v>47</v>
      </c>
      <c r="E13" s="12" t="s">
        <v>5406</v>
      </c>
    </row>
    <row r="14">
      <c r="A14" s="12" t="s">
        <v>38</v>
      </c>
      <c r="B14" s="12" t="s">
        <v>3674</v>
      </c>
      <c r="C14" s="46" t="s">
        <v>5548</v>
      </c>
      <c r="D14" s="12" t="s">
        <v>47</v>
      </c>
      <c r="E14" s="12" t="s">
        <v>5406</v>
      </c>
    </row>
    <row r="15">
      <c r="A15" s="12" t="s">
        <v>38</v>
      </c>
      <c r="B15" s="12" t="s">
        <v>3677</v>
      </c>
      <c r="C15" s="46" t="s">
        <v>5550</v>
      </c>
      <c r="D15" s="12" t="s">
        <v>47</v>
      </c>
      <c r="E15" s="12" t="s">
        <v>5406</v>
      </c>
    </row>
    <row r="16">
      <c r="A16" s="12" t="s">
        <v>38</v>
      </c>
      <c r="B16" s="12" t="s">
        <v>3681</v>
      </c>
      <c r="C16" s="46" t="s">
        <v>5552</v>
      </c>
      <c r="D16" s="12" t="s">
        <v>47</v>
      </c>
      <c r="E16" s="12" t="s">
        <v>5406</v>
      </c>
    </row>
    <row r="17">
      <c r="A17" s="12" t="s">
        <v>38</v>
      </c>
      <c r="B17" s="12" t="s">
        <v>3685</v>
      </c>
      <c r="C17" s="46" t="s">
        <v>5553</v>
      </c>
      <c r="D17" s="12" t="s">
        <v>47</v>
      </c>
      <c r="E17" s="12" t="s">
        <v>5406</v>
      </c>
    </row>
    <row r="18">
      <c r="A18" s="12" t="s">
        <v>38</v>
      </c>
      <c r="B18" s="12" t="s">
        <v>3689</v>
      </c>
      <c r="C18" s="46" t="s">
        <v>5554</v>
      </c>
      <c r="D18" s="12" t="s">
        <v>47</v>
      </c>
      <c r="E18" s="12" t="s">
        <v>5406</v>
      </c>
    </row>
    <row r="19">
      <c r="A19" s="12" t="s">
        <v>38</v>
      </c>
      <c r="B19" s="12" t="s">
        <v>3693</v>
      </c>
      <c r="C19" s="46" t="s">
        <v>5555</v>
      </c>
      <c r="D19" s="12" t="s">
        <v>47</v>
      </c>
      <c r="E19" s="12" t="s">
        <v>5406</v>
      </c>
    </row>
    <row r="20">
      <c r="A20" s="12" t="s">
        <v>38</v>
      </c>
      <c r="B20" s="12" t="s">
        <v>3697</v>
      </c>
      <c r="C20" s="46" t="s">
        <v>5556</v>
      </c>
      <c r="D20" s="12" t="s">
        <v>47</v>
      </c>
      <c r="E20" s="12" t="s">
        <v>5406</v>
      </c>
    </row>
    <row r="21" ht="15.75" customHeight="1">
      <c r="A21" s="12" t="s">
        <v>38</v>
      </c>
      <c r="B21" s="12" t="s">
        <v>3701</v>
      </c>
      <c r="C21" s="46" t="s">
        <v>5557</v>
      </c>
      <c r="D21" s="12" t="s">
        <v>47</v>
      </c>
      <c r="E21" s="12" t="s">
        <v>5406</v>
      </c>
    </row>
    <row r="22" ht="15.75" customHeight="1">
      <c r="A22" s="12" t="s">
        <v>38</v>
      </c>
      <c r="B22" s="12" t="s">
        <v>3704</v>
      </c>
      <c r="C22" s="46" t="s">
        <v>5558</v>
      </c>
      <c r="D22" s="12" t="s">
        <v>47</v>
      </c>
      <c r="E22" s="12" t="s">
        <v>5406</v>
      </c>
    </row>
    <row r="23" ht="15.75" customHeight="1">
      <c r="A23" s="12" t="s">
        <v>38</v>
      </c>
      <c r="B23" s="12" t="s">
        <v>3708</v>
      </c>
      <c r="C23" s="46" t="s">
        <v>5559</v>
      </c>
      <c r="D23" s="12" t="s">
        <v>47</v>
      </c>
      <c r="E23" s="12" t="s">
        <v>5406</v>
      </c>
    </row>
    <row r="24" ht="15.75" customHeight="1">
      <c r="A24" s="12" t="s">
        <v>38</v>
      </c>
      <c r="B24" s="12" t="s">
        <v>3711</v>
      </c>
      <c r="C24" s="46" t="s">
        <v>5560</v>
      </c>
      <c r="D24" s="12" t="s">
        <v>47</v>
      </c>
      <c r="E24" s="12" t="s">
        <v>5406</v>
      </c>
    </row>
    <row r="25" ht="15.75" customHeight="1">
      <c r="A25" s="12" t="s">
        <v>38</v>
      </c>
      <c r="B25" s="12" t="s">
        <v>3714</v>
      </c>
      <c r="C25" s="46" t="s">
        <v>5561</v>
      </c>
      <c r="D25" s="12" t="s">
        <v>47</v>
      </c>
      <c r="E25" s="12" t="s">
        <v>5406</v>
      </c>
    </row>
    <row r="26" ht="15.75" customHeight="1">
      <c r="A26" s="12" t="s">
        <v>38</v>
      </c>
      <c r="B26" s="12" t="s">
        <v>3717</v>
      </c>
      <c r="C26" s="46" t="s">
        <v>5562</v>
      </c>
      <c r="D26" s="12" t="s">
        <v>47</v>
      </c>
      <c r="E26" s="12" t="s">
        <v>5406</v>
      </c>
    </row>
    <row r="27" ht="15.75" customHeight="1">
      <c r="A27" s="12" t="s">
        <v>38</v>
      </c>
      <c r="B27" s="12" t="s">
        <v>3721</v>
      </c>
      <c r="C27" s="46" t="s">
        <v>5563</v>
      </c>
      <c r="D27" s="12" t="s">
        <v>47</v>
      </c>
      <c r="E27" s="12" t="s">
        <v>5406</v>
      </c>
    </row>
    <row r="28" ht="15.75" customHeight="1">
      <c r="A28" s="12" t="s">
        <v>38</v>
      </c>
      <c r="B28" s="12" t="s">
        <v>3725</v>
      </c>
      <c r="C28" s="46" t="s">
        <v>5564</v>
      </c>
      <c r="D28" s="12" t="s">
        <v>47</v>
      </c>
      <c r="E28" s="12" t="s">
        <v>5406</v>
      </c>
    </row>
    <row r="29" ht="15.75" customHeight="1">
      <c r="A29" s="12" t="s">
        <v>38</v>
      </c>
      <c r="B29" s="12" t="s">
        <v>3728</v>
      </c>
      <c r="C29" s="46" t="s">
        <v>5565</v>
      </c>
      <c r="D29" s="12" t="s">
        <v>47</v>
      </c>
      <c r="E29" s="12" t="s">
        <v>5406</v>
      </c>
    </row>
    <row r="30" ht="15.75" customHeight="1">
      <c r="A30" s="12" t="s">
        <v>38</v>
      </c>
      <c r="B30" s="12" t="s">
        <v>3731</v>
      </c>
      <c r="C30" s="46" t="s">
        <v>5566</v>
      </c>
      <c r="D30" s="12" t="s">
        <v>47</v>
      </c>
      <c r="E30" s="12" t="s">
        <v>5406</v>
      </c>
    </row>
    <row r="31" ht="15.75" customHeight="1">
      <c r="A31" s="12" t="s">
        <v>38</v>
      </c>
      <c r="B31" s="12" t="s">
        <v>3735</v>
      </c>
      <c r="C31" s="46" t="s">
        <v>5567</v>
      </c>
      <c r="D31" s="12" t="s">
        <v>47</v>
      </c>
      <c r="E31" s="12" t="s">
        <v>5406</v>
      </c>
    </row>
    <row r="32" ht="15.75" customHeight="1">
      <c r="A32" s="12" t="s">
        <v>38</v>
      </c>
      <c r="B32" s="12" t="s">
        <v>3739</v>
      </c>
      <c r="C32" s="46" t="s">
        <v>5568</v>
      </c>
      <c r="D32" s="12" t="s">
        <v>47</v>
      </c>
      <c r="E32" s="12" t="s">
        <v>5406</v>
      </c>
    </row>
    <row r="33" ht="15.75" customHeight="1">
      <c r="A33" s="12" t="s">
        <v>38</v>
      </c>
      <c r="B33" s="12" t="s">
        <v>3742</v>
      </c>
      <c r="C33" s="46" t="s">
        <v>5569</v>
      </c>
      <c r="D33" s="12" t="s">
        <v>47</v>
      </c>
      <c r="E33" s="12" t="s">
        <v>5406</v>
      </c>
    </row>
    <row r="34" ht="15.75" customHeight="1">
      <c r="A34" s="12" t="s">
        <v>38</v>
      </c>
      <c r="B34" s="12" t="s">
        <v>3746</v>
      </c>
      <c r="C34" s="46" t="s">
        <v>5570</v>
      </c>
      <c r="D34" s="12" t="s">
        <v>47</v>
      </c>
      <c r="E34" s="12" t="s">
        <v>5406</v>
      </c>
    </row>
    <row r="35" ht="15.75" customHeight="1">
      <c r="A35" s="12" t="s">
        <v>38</v>
      </c>
      <c r="B35" s="12" t="s">
        <v>3748</v>
      </c>
      <c r="C35" s="46" t="s">
        <v>5571</v>
      </c>
      <c r="D35" s="12" t="s">
        <v>47</v>
      </c>
      <c r="E35" s="12" t="s">
        <v>5406</v>
      </c>
    </row>
    <row r="36" ht="15.75" customHeight="1">
      <c r="A36" s="12" t="s">
        <v>38</v>
      </c>
      <c r="B36" s="12" t="s">
        <v>3751</v>
      </c>
      <c r="C36" s="46" t="s">
        <v>5572</v>
      </c>
      <c r="D36" s="12" t="s">
        <v>47</v>
      </c>
      <c r="E36" s="12" t="s">
        <v>5406</v>
      </c>
    </row>
    <row r="37" ht="15.75" customHeight="1">
      <c r="A37" s="12" t="s">
        <v>38</v>
      </c>
      <c r="B37" s="12" t="s">
        <v>3754</v>
      </c>
      <c r="C37" s="46" t="s">
        <v>5573</v>
      </c>
      <c r="D37" s="12" t="s">
        <v>47</v>
      </c>
      <c r="E37" s="12" t="s">
        <v>5406</v>
      </c>
    </row>
    <row r="38" ht="15.75" customHeight="1">
      <c r="A38" s="12" t="s">
        <v>38</v>
      </c>
      <c r="B38" s="12" t="s">
        <v>3758</v>
      </c>
      <c r="C38" s="46" t="s">
        <v>5574</v>
      </c>
      <c r="D38" s="12" t="s">
        <v>47</v>
      </c>
      <c r="E38" s="12" t="s">
        <v>5406</v>
      </c>
    </row>
    <row r="39" ht="15.75" customHeight="1">
      <c r="A39" s="12" t="s">
        <v>38</v>
      </c>
      <c r="B39" s="12" t="s">
        <v>3762</v>
      </c>
      <c r="C39" s="46" t="s">
        <v>5575</v>
      </c>
      <c r="D39" s="12" t="s">
        <v>47</v>
      </c>
      <c r="E39" s="12" t="s">
        <v>5406</v>
      </c>
    </row>
    <row r="40" ht="15.75" customHeight="1">
      <c r="A40" s="12" t="s">
        <v>38</v>
      </c>
      <c r="B40" s="12" t="s">
        <v>3766</v>
      </c>
      <c r="C40" s="46" t="s">
        <v>5576</v>
      </c>
      <c r="D40" s="12" t="s">
        <v>47</v>
      </c>
      <c r="E40" s="12" t="s">
        <v>5406</v>
      </c>
    </row>
    <row r="41" ht="15.75" customHeight="1">
      <c r="A41" s="12" t="s">
        <v>38</v>
      </c>
      <c r="B41" s="12" t="s">
        <v>3769</v>
      </c>
      <c r="C41" s="46" t="s">
        <v>5577</v>
      </c>
      <c r="D41" s="12" t="s">
        <v>47</v>
      </c>
      <c r="E41" s="12" t="s">
        <v>5406</v>
      </c>
    </row>
    <row r="42" ht="15.75" customHeight="1">
      <c r="A42" s="12" t="s">
        <v>38</v>
      </c>
      <c r="B42" s="12" t="s">
        <v>3773</v>
      </c>
      <c r="C42" s="46" t="s">
        <v>5578</v>
      </c>
      <c r="D42" s="12" t="s">
        <v>47</v>
      </c>
      <c r="E42" s="12" t="s">
        <v>5406</v>
      </c>
    </row>
    <row r="43" ht="15.75" customHeight="1">
      <c r="A43" s="12" t="s">
        <v>38</v>
      </c>
      <c r="B43" s="12" t="s">
        <v>3776</v>
      </c>
      <c r="C43" s="46" t="s">
        <v>5579</v>
      </c>
      <c r="D43" s="12" t="s">
        <v>47</v>
      </c>
      <c r="E43" s="12" t="s">
        <v>5406</v>
      </c>
    </row>
    <row r="44" ht="15.75" customHeight="1">
      <c r="A44" s="12" t="s">
        <v>38</v>
      </c>
      <c r="B44" s="12" t="s">
        <v>3779</v>
      </c>
      <c r="C44" s="46" t="s">
        <v>5580</v>
      </c>
      <c r="D44" s="12" t="s">
        <v>47</v>
      </c>
      <c r="E44" s="12" t="s">
        <v>5406</v>
      </c>
    </row>
    <row r="45" ht="15.75" customHeight="1">
      <c r="A45" s="12" t="s">
        <v>38</v>
      </c>
      <c r="B45" s="12" t="s">
        <v>3782</v>
      </c>
      <c r="C45" s="46" t="s">
        <v>5581</v>
      </c>
      <c r="D45" s="12" t="s">
        <v>47</v>
      </c>
      <c r="E45" s="12" t="s">
        <v>5406</v>
      </c>
    </row>
    <row r="46" ht="15.75" customHeight="1">
      <c r="A46" s="12" t="s">
        <v>38</v>
      </c>
      <c r="B46" s="12" t="s">
        <v>3784</v>
      </c>
      <c r="C46" s="46" t="s">
        <v>5582</v>
      </c>
      <c r="D46" s="12" t="s">
        <v>47</v>
      </c>
      <c r="E46" s="12" t="s">
        <v>5406</v>
      </c>
    </row>
    <row r="47" ht="15.75" customHeight="1">
      <c r="A47" s="12" t="s">
        <v>38</v>
      </c>
      <c r="B47" s="12" t="s">
        <v>3787</v>
      </c>
      <c r="C47" s="46" t="s">
        <v>5583</v>
      </c>
      <c r="D47" s="12" t="s">
        <v>47</v>
      </c>
      <c r="E47" s="12" t="s">
        <v>5406</v>
      </c>
    </row>
    <row r="48" ht="15.75" customHeight="1">
      <c r="A48" s="12" t="s">
        <v>38</v>
      </c>
      <c r="B48" s="12" t="s">
        <v>3791</v>
      </c>
      <c r="C48" s="46" t="s">
        <v>5584</v>
      </c>
      <c r="D48" s="12" t="s">
        <v>47</v>
      </c>
      <c r="E48" s="12" t="s">
        <v>5406</v>
      </c>
    </row>
    <row r="49" ht="15.75" customHeight="1">
      <c r="A49" s="12" t="s">
        <v>38</v>
      </c>
      <c r="B49" s="12" t="s">
        <v>3794</v>
      </c>
      <c r="C49" s="46" t="s">
        <v>5585</v>
      </c>
      <c r="D49" s="12" t="s">
        <v>47</v>
      </c>
      <c r="E49" s="12" t="s">
        <v>5406</v>
      </c>
    </row>
    <row r="50" ht="15.75" customHeight="1">
      <c r="A50" s="12" t="s">
        <v>38</v>
      </c>
      <c r="B50" s="12" t="s">
        <v>3797</v>
      </c>
      <c r="C50" s="46" t="s">
        <v>5586</v>
      </c>
      <c r="D50" s="12" t="s">
        <v>47</v>
      </c>
      <c r="E50" s="12" t="s">
        <v>5406</v>
      </c>
    </row>
    <row r="51" ht="15.75" customHeight="1">
      <c r="A51" s="12" t="s">
        <v>38</v>
      </c>
      <c r="B51" s="12" t="s">
        <v>3801</v>
      </c>
      <c r="C51" s="46" t="s">
        <v>5587</v>
      </c>
      <c r="D51" s="12" t="s">
        <v>47</v>
      </c>
      <c r="E51" s="12" t="s">
        <v>5406</v>
      </c>
    </row>
    <row r="52" ht="15.75" customHeight="1">
      <c r="A52" s="12" t="s">
        <v>38</v>
      </c>
      <c r="B52" s="12" t="s">
        <v>3805</v>
      </c>
      <c r="C52" s="46" t="s">
        <v>5588</v>
      </c>
      <c r="D52" s="12" t="s">
        <v>47</v>
      </c>
      <c r="E52" s="12" t="s">
        <v>5406</v>
      </c>
    </row>
    <row r="53" ht="15.75" customHeight="1">
      <c r="A53" s="12" t="s">
        <v>38</v>
      </c>
      <c r="B53" s="12" t="s">
        <v>3808</v>
      </c>
      <c r="C53" s="46" t="s">
        <v>5589</v>
      </c>
      <c r="D53" s="12" t="s">
        <v>47</v>
      </c>
      <c r="E53" s="12" t="s">
        <v>5406</v>
      </c>
    </row>
    <row r="54" ht="15.75" customHeight="1">
      <c r="A54" s="12" t="s">
        <v>38</v>
      </c>
      <c r="B54" s="12" t="s">
        <v>3812</v>
      </c>
      <c r="C54" s="46" t="s">
        <v>5590</v>
      </c>
      <c r="D54" s="12" t="s">
        <v>47</v>
      </c>
      <c r="E54" s="12" t="s">
        <v>5406</v>
      </c>
    </row>
    <row r="55" ht="15.75" customHeight="1">
      <c r="A55" s="12" t="s">
        <v>38</v>
      </c>
      <c r="B55" s="12" t="s">
        <v>3816</v>
      </c>
      <c r="C55" s="46" t="s">
        <v>5591</v>
      </c>
      <c r="D55" s="12" t="s">
        <v>47</v>
      </c>
      <c r="E55" s="12" t="s">
        <v>5406</v>
      </c>
    </row>
    <row r="56" ht="15.75" customHeight="1">
      <c r="A56" s="12" t="s">
        <v>38</v>
      </c>
      <c r="B56" s="12" t="s">
        <v>3820</v>
      </c>
      <c r="C56" s="46" t="s">
        <v>5592</v>
      </c>
      <c r="D56" s="12" t="s">
        <v>47</v>
      </c>
      <c r="E56" s="12" t="s">
        <v>5406</v>
      </c>
    </row>
    <row r="57" ht="15.75" customHeight="1">
      <c r="A57" s="12" t="s">
        <v>38</v>
      </c>
      <c r="B57" s="12" t="s">
        <v>3824</v>
      </c>
      <c r="C57" s="46" t="s">
        <v>5593</v>
      </c>
      <c r="D57" s="12" t="s">
        <v>47</v>
      </c>
      <c r="E57" s="12" t="s">
        <v>5406</v>
      </c>
    </row>
    <row r="58" ht="15.75" customHeight="1">
      <c r="A58" s="12" t="s">
        <v>38</v>
      </c>
      <c r="B58" s="12" t="s">
        <v>3827</v>
      </c>
      <c r="C58" s="46" t="s">
        <v>5594</v>
      </c>
      <c r="D58" s="12" t="s">
        <v>47</v>
      </c>
      <c r="E58" s="12" t="s">
        <v>5406</v>
      </c>
    </row>
    <row r="59" ht="15.75" customHeight="1">
      <c r="A59" s="12" t="s">
        <v>38</v>
      </c>
      <c r="B59" s="12" t="s">
        <v>3830</v>
      </c>
      <c r="C59" s="46" t="s">
        <v>5595</v>
      </c>
      <c r="D59" s="12" t="s">
        <v>47</v>
      </c>
      <c r="E59" s="12" t="s">
        <v>5406</v>
      </c>
    </row>
    <row r="60" ht="15.75" customHeight="1">
      <c r="A60" s="12" t="s">
        <v>38</v>
      </c>
      <c r="B60" s="12" t="s">
        <v>3831</v>
      </c>
      <c r="C60" s="46" t="s">
        <v>5596</v>
      </c>
      <c r="D60" s="12" t="s">
        <v>47</v>
      </c>
      <c r="E60" s="12" t="s">
        <v>5406</v>
      </c>
    </row>
    <row r="61" ht="15.75" customHeight="1">
      <c r="A61" s="12" t="s">
        <v>38</v>
      </c>
      <c r="B61" s="12" t="s">
        <v>3834</v>
      </c>
      <c r="C61" s="46" t="s">
        <v>5597</v>
      </c>
      <c r="D61" s="12" t="s">
        <v>47</v>
      </c>
      <c r="E61" s="12" t="s">
        <v>5406</v>
      </c>
    </row>
    <row r="62" ht="15.75" customHeight="1">
      <c r="A62" s="12" t="s">
        <v>38</v>
      </c>
      <c r="B62" s="12" t="s">
        <v>3837</v>
      </c>
      <c r="C62" s="46" t="s">
        <v>5598</v>
      </c>
      <c r="D62" s="12" t="s">
        <v>47</v>
      </c>
      <c r="E62" s="12" t="s">
        <v>5406</v>
      </c>
    </row>
    <row r="63" ht="15.75" customHeight="1">
      <c r="A63" s="12" t="s">
        <v>38</v>
      </c>
      <c r="B63" s="12" t="s">
        <v>3840</v>
      </c>
      <c r="C63" s="46" t="s">
        <v>5599</v>
      </c>
      <c r="D63" s="12" t="s">
        <v>47</v>
      </c>
      <c r="E63" s="12" t="s">
        <v>5406</v>
      </c>
    </row>
    <row r="64" ht="15.75" customHeight="1">
      <c r="A64" s="12" t="s">
        <v>38</v>
      </c>
      <c r="B64" s="12" t="s">
        <v>3843</v>
      </c>
      <c r="C64" s="46" t="s">
        <v>5600</v>
      </c>
      <c r="D64" s="12" t="s">
        <v>47</v>
      </c>
      <c r="E64" s="12" t="s">
        <v>5406</v>
      </c>
    </row>
    <row r="65" ht="15.75" customHeight="1">
      <c r="A65" s="12" t="s">
        <v>38</v>
      </c>
      <c r="B65" s="12" t="s">
        <v>3846</v>
      </c>
      <c r="C65" s="46" t="s">
        <v>5601</v>
      </c>
      <c r="D65" s="12" t="s">
        <v>47</v>
      </c>
      <c r="E65" s="12" t="s">
        <v>5406</v>
      </c>
    </row>
    <row r="66" ht="15.75" customHeight="1">
      <c r="A66" s="12" t="s">
        <v>38</v>
      </c>
      <c r="B66" s="12" t="s">
        <v>3850</v>
      </c>
      <c r="C66" s="46" t="s">
        <v>5602</v>
      </c>
      <c r="D66" s="12" t="s">
        <v>47</v>
      </c>
      <c r="E66" s="12" t="s">
        <v>5406</v>
      </c>
    </row>
    <row r="67" ht="15.75" customHeight="1">
      <c r="A67" s="12" t="s">
        <v>38</v>
      </c>
      <c r="B67" s="12" t="s">
        <v>3854</v>
      </c>
      <c r="C67" s="46" t="s">
        <v>5603</v>
      </c>
      <c r="D67" s="12" t="s">
        <v>47</v>
      </c>
      <c r="E67" s="12" t="s">
        <v>5406</v>
      </c>
    </row>
    <row r="68" ht="15.75" customHeight="1">
      <c r="A68" s="12" t="s">
        <v>38</v>
      </c>
      <c r="B68" s="12" t="s">
        <v>3857</v>
      </c>
      <c r="C68" s="46" t="s">
        <v>5604</v>
      </c>
      <c r="D68" s="12" t="s">
        <v>47</v>
      </c>
      <c r="E68" s="12" t="s">
        <v>5406</v>
      </c>
    </row>
    <row r="69" ht="15.75" customHeight="1">
      <c r="A69" s="12" t="s">
        <v>38</v>
      </c>
      <c r="B69" s="12" t="s">
        <v>3860</v>
      </c>
      <c r="C69" s="46" t="s">
        <v>5605</v>
      </c>
      <c r="D69" s="12" t="s">
        <v>47</v>
      </c>
      <c r="E69" s="12" t="s">
        <v>5406</v>
      </c>
    </row>
    <row r="70" ht="15.75" customHeight="1">
      <c r="A70" s="12" t="s">
        <v>38</v>
      </c>
      <c r="B70" s="12" t="s">
        <v>3864</v>
      </c>
      <c r="C70" s="46" t="s">
        <v>5606</v>
      </c>
      <c r="D70" s="12" t="s">
        <v>47</v>
      </c>
      <c r="E70" s="12" t="s">
        <v>5406</v>
      </c>
    </row>
    <row r="71" ht="15.75" customHeight="1">
      <c r="A71" s="12" t="s">
        <v>38</v>
      </c>
      <c r="B71" s="12" t="s">
        <v>3867</v>
      </c>
      <c r="C71" s="46" t="s">
        <v>5607</v>
      </c>
      <c r="D71" s="12" t="s">
        <v>47</v>
      </c>
      <c r="E71" s="12" t="s">
        <v>5406</v>
      </c>
    </row>
    <row r="72" ht="15.75" customHeight="1">
      <c r="A72" s="12" t="s">
        <v>38</v>
      </c>
      <c r="B72" s="12" t="s">
        <v>3871</v>
      </c>
      <c r="C72" s="46" t="s">
        <v>5608</v>
      </c>
      <c r="D72" s="12" t="s">
        <v>47</v>
      </c>
      <c r="E72" s="12" t="s">
        <v>5406</v>
      </c>
    </row>
    <row r="73" ht="15.75" customHeight="1">
      <c r="A73" s="12" t="s">
        <v>38</v>
      </c>
      <c r="B73" s="12" t="s">
        <v>3874</v>
      </c>
      <c r="C73" s="46" t="s">
        <v>5609</v>
      </c>
      <c r="D73" s="12" t="s">
        <v>47</v>
      </c>
      <c r="E73" s="12" t="s">
        <v>5406</v>
      </c>
    </row>
    <row r="74" ht="15.75" customHeight="1">
      <c r="A74" s="12" t="s">
        <v>38</v>
      </c>
      <c r="B74" s="12" t="s">
        <v>3879</v>
      </c>
      <c r="C74" s="46" t="s">
        <v>50</v>
      </c>
      <c r="D74" s="12" t="s">
        <v>47</v>
      </c>
      <c r="E74" s="12" t="s">
        <v>5406</v>
      </c>
    </row>
    <row r="75" ht="15.75" customHeight="1">
      <c r="A75" s="12" t="s">
        <v>38</v>
      </c>
      <c r="B75" s="12" t="s">
        <v>3883</v>
      </c>
      <c r="C75" s="46" t="s">
        <v>5610</v>
      </c>
      <c r="D75" s="12" t="s">
        <v>47</v>
      </c>
      <c r="E75" s="12" t="s">
        <v>5406</v>
      </c>
    </row>
    <row r="76" ht="15.75" customHeight="1">
      <c r="A76" s="12" t="s">
        <v>38</v>
      </c>
      <c r="B76" s="12" t="s">
        <v>3888</v>
      </c>
      <c r="C76" s="46" t="s">
        <v>5611</v>
      </c>
      <c r="D76" s="12" t="s">
        <v>47</v>
      </c>
      <c r="E76" s="12" t="s">
        <v>5406</v>
      </c>
    </row>
    <row r="77" ht="15.75" customHeight="1">
      <c r="A77" s="12" t="s">
        <v>38</v>
      </c>
      <c r="B77" s="12" t="s">
        <v>3893</v>
      </c>
      <c r="C77" s="46" t="s">
        <v>5612</v>
      </c>
      <c r="D77" s="12" t="s">
        <v>47</v>
      </c>
      <c r="E77" s="12" t="s">
        <v>5406</v>
      </c>
    </row>
    <row r="78" ht="15.75" customHeight="1">
      <c r="A78" s="12" t="s">
        <v>38</v>
      </c>
      <c r="B78" s="12" t="s">
        <v>3898</v>
      </c>
      <c r="C78" s="46" t="s">
        <v>5613</v>
      </c>
      <c r="D78" s="12" t="s">
        <v>47</v>
      </c>
      <c r="E78" s="12" t="s">
        <v>5406</v>
      </c>
    </row>
    <row r="79" ht="15.75" customHeight="1">
      <c r="A79" s="12" t="s">
        <v>38</v>
      </c>
      <c r="B79" s="12" t="s">
        <v>3903</v>
      </c>
      <c r="C79" s="46" t="s">
        <v>5614</v>
      </c>
      <c r="D79" s="12" t="s">
        <v>47</v>
      </c>
      <c r="E79" s="12" t="s">
        <v>5406</v>
      </c>
    </row>
    <row r="80" ht="15.75" customHeight="1">
      <c r="A80" s="12" t="s">
        <v>38</v>
      </c>
      <c r="B80" s="12" t="s">
        <v>3907</v>
      </c>
      <c r="C80" s="46" t="s">
        <v>5615</v>
      </c>
      <c r="D80" s="12" t="s">
        <v>47</v>
      </c>
      <c r="E80" s="12" t="s">
        <v>5406</v>
      </c>
    </row>
    <row r="81" ht="15.75" customHeight="1">
      <c r="A81" s="12" t="s">
        <v>38</v>
      </c>
      <c r="B81" s="12" t="s">
        <v>3911</v>
      </c>
      <c r="C81" s="46" t="s">
        <v>5616</v>
      </c>
      <c r="D81" s="12" t="s">
        <v>47</v>
      </c>
      <c r="E81" s="12" t="s">
        <v>5406</v>
      </c>
    </row>
    <row r="82" ht="15.75" customHeight="1">
      <c r="A82" s="12" t="s">
        <v>38</v>
      </c>
      <c r="B82" s="12" t="s">
        <v>3915</v>
      </c>
      <c r="C82" s="46" t="s">
        <v>5617</v>
      </c>
      <c r="D82" s="12" t="s">
        <v>47</v>
      </c>
      <c r="E82" s="12" t="s">
        <v>5406</v>
      </c>
    </row>
    <row r="83" ht="15.75" customHeight="1">
      <c r="A83" s="12" t="s">
        <v>38</v>
      </c>
      <c r="B83" s="12" t="s">
        <v>3918</v>
      </c>
      <c r="C83" s="46" t="s">
        <v>5618</v>
      </c>
      <c r="D83" s="12" t="s">
        <v>47</v>
      </c>
      <c r="E83" s="12" t="s">
        <v>5406</v>
      </c>
    </row>
    <row r="84" ht="15.75" customHeight="1">
      <c r="A84" s="12" t="s">
        <v>38</v>
      </c>
      <c r="B84" s="12" t="s">
        <v>3921</v>
      </c>
      <c r="C84" s="46" t="s">
        <v>5619</v>
      </c>
      <c r="D84" s="12" t="s">
        <v>47</v>
      </c>
      <c r="E84" s="12" t="s">
        <v>5406</v>
      </c>
    </row>
    <row r="85" ht="15.75" customHeight="1">
      <c r="A85" s="12" t="s">
        <v>38</v>
      </c>
      <c r="B85" s="12" t="s">
        <v>3925</v>
      </c>
      <c r="C85" s="46" t="s">
        <v>5620</v>
      </c>
      <c r="D85" s="12" t="s">
        <v>47</v>
      </c>
      <c r="E85" s="12" t="s">
        <v>5406</v>
      </c>
    </row>
    <row r="86" ht="15.75" customHeight="1">
      <c r="A86" s="12" t="s">
        <v>38</v>
      </c>
      <c r="B86" s="12" t="s">
        <v>3928</v>
      </c>
      <c r="C86" s="46" t="s">
        <v>5621</v>
      </c>
      <c r="D86" s="12" t="s">
        <v>47</v>
      </c>
      <c r="E86" s="12" t="s">
        <v>5406</v>
      </c>
    </row>
    <row r="87" ht="15.75" customHeight="1">
      <c r="A87" s="12" t="s">
        <v>38</v>
      </c>
      <c r="B87" s="12" t="s">
        <v>3931</v>
      </c>
      <c r="C87" s="46" t="s">
        <v>5622</v>
      </c>
      <c r="D87" s="12" t="s">
        <v>47</v>
      </c>
      <c r="E87" s="12" t="s">
        <v>5406</v>
      </c>
    </row>
    <row r="88" ht="15.75" customHeight="1">
      <c r="A88" s="12" t="s">
        <v>38</v>
      </c>
      <c r="B88" s="12" t="s">
        <v>3936</v>
      </c>
      <c r="C88" s="46" t="s">
        <v>5623</v>
      </c>
      <c r="D88" s="12" t="s">
        <v>47</v>
      </c>
      <c r="E88" s="12" t="s">
        <v>5406</v>
      </c>
    </row>
    <row r="89" ht="15.75" customHeight="1">
      <c r="A89" s="12" t="s">
        <v>38</v>
      </c>
      <c r="B89" s="12" t="s">
        <v>3940</v>
      </c>
      <c r="C89" s="46" t="s">
        <v>5624</v>
      </c>
      <c r="D89" s="12" t="s">
        <v>47</v>
      </c>
      <c r="E89" s="12" t="s">
        <v>5406</v>
      </c>
    </row>
    <row r="90" ht="15.75" customHeight="1">
      <c r="A90" s="12" t="s">
        <v>38</v>
      </c>
      <c r="B90" s="12" t="s">
        <v>3941</v>
      </c>
      <c r="C90" s="46" t="s">
        <v>5625</v>
      </c>
      <c r="D90" s="12" t="s">
        <v>47</v>
      </c>
      <c r="E90" s="12" t="s">
        <v>5406</v>
      </c>
    </row>
    <row r="91" ht="15.75" customHeight="1">
      <c r="A91" s="12" t="s">
        <v>38</v>
      </c>
      <c r="B91" s="12" t="s">
        <v>3944</v>
      </c>
      <c r="C91" s="46" t="s">
        <v>5626</v>
      </c>
      <c r="D91" s="12" t="s">
        <v>47</v>
      </c>
      <c r="E91" s="12" t="s">
        <v>5406</v>
      </c>
    </row>
    <row r="92" ht="15.75" customHeight="1">
      <c r="A92" s="12" t="s">
        <v>38</v>
      </c>
      <c r="B92" s="12" t="s">
        <v>3948</v>
      </c>
      <c r="C92" s="46" t="s">
        <v>5627</v>
      </c>
      <c r="D92" s="12" t="s">
        <v>47</v>
      </c>
      <c r="E92" s="12" t="s">
        <v>5406</v>
      </c>
    </row>
    <row r="93" ht="15.75" customHeight="1">
      <c r="A93" s="12" t="s">
        <v>38</v>
      </c>
      <c r="B93" s="12" t="s">
        <v>3951</v>
      </c>
      <c r="C93" s="46" t="s">
        <v>5628</v>
      </c>
      <c r="D93" s="12" t="s">
        <v>47</v>
      </c>
      <c r="E93" s="12" t="s">
        <v>5406</v>
      </c>
    </row>
    <row r="94" ht="15.75" customHeight="1">
      <c r="A94" s="12" t="s">
        <v>38</v>
      </c>
      <c r="B94" s="12" t="s">
        <v>3955</v>
      </c>
      <c r="C94" s="46" t="s">
        <v>5629</v>
      </c>
      <c r="D94" s="12" t="s">
        <v>47</v>
      </c>
      <c r="E94" s="12" t="s">
        <v>5406</v>
      </c>
    </row>
    <row r="95" ht="15.75" customHeight="1">
      <c r="A95" s="12" t="s">
        <v>38</v>
      </c>
      <c r="B95" s="12" t="s">
        <v>3957</v>
      </c>
      <c r="C95" s="46" t="s">
        <v>5630</v>
      </c>
      <c r="D95" s="12" t="s">
        <v>47</v>
      </c>
      <c r="E95" s="12" t="s">
        <v>5406</v>
      </c>
    </row>
    <row r="96" ht="15.75" customHeight="1">
      <c r="A96" s="12" t="s">
        <v>38</v>
      </c>
      <c r="B96" s="12" t="s">
        <v>3960</v>
      </c>
      <c r="C96" s="46" t="s">
        <v>5631</v>
      </c>
      <c r="D96" s="12" t="s">
        <v>47</v>
      </c>
      <c r="E96" s="12" t="s">
        <v>5406</v>
      </c>
    </row>
    <row r="97" ht="15.75" customHeight="1">
      <c r="A97" s="12" t="s">
        <v>38</v>
      </c>
      <c r="B97" s="12" t="s">
        <v>3964</v>
      </c>
      <c r="C97" s="46" t="s">
        <v>5632</v>
      </c>
      <c r="D97" s="12" t="s">
        <v>47</v>
      </c>
      <c r="E97" s="12" t="s">
        <v>5406</v>
      </c>
    </row>
    <row r="98" ht="15.75" customHeight="1">
      <c r="A98" s="12" t="s">
        <v>38</v>
      </c>
      <c r="B98" s="12" t="s">
        <v>3967</v>
      </c>
      <c r="C98" s="46" t="s">
        <v>5633</v>
      </c>
      <c r="D98" s="12" t="s">
        <v>47</v>
      </c>
      <c r="E98" s="12" t="s">
        <v>5406</v>
      </c>
    </row>
    <row r="99" ht="15.75" customHeight="1">
      <c r="A99" s="12" t="s">
        <v>38</v>
      </c>
      <c r="B99" s="12" t="s">
        <v>3971</v>
      </c>
      <c r="C99" s="46" t="s">
        <v>5634</v>
      </c>
      <c r="D99" s="12" t="s">
        <v>47</v>
      </c>
      <c r="E99" s="12" t="s">
        <v>5406</v>
      </c>
    </row>
    <row r="100" ht="15.75" customHeight="1">
      <c r="A100" s="12" t="s">
        <v>38</v>
      </c>
      <c r="B100" s="12" t="s">
        <v>3973</v>
      </c>
      <c r="C100" s="46" t="s">
        <v>5635</v>
      </c>
      <c r="D100" s="12" t="s">
        <v>47</v>
      </c>
      <c r="E100" s="12" t="s">
        <v>5406</v>
      </c>
    </row>
    <row r="101" ht="15.75" customHeight="1">
      <c r="A101" s="12" t="s">
        <v>38</v>
      </c>
      <c r="B101" s="12" t="s">
        <v>3978</v>
      </c>
      <c r="C101" s="46" t="s">
        <v>5636</v>
      </c>
      <c r="D101" s="12" t="s">
        <v>47</v>
      </c>
      <c r="E101" s="12" t="s">
        <v>5406</v>
      </c>
    </row>
    <row r="102" ht="15.75" customHeight="1">
      <c r="A102" s="12" t="s">
        <v>38</v>
      </c>
      <c r="B102" s="12" t="s">
        <v>3981</v>
      </c>
      <c r="C102" s="46" t="s">
        <v>5637</v>
      </c>
      <c r="D102" s="12" t="s">
        <v>47</v>
      </c>
      <c r="E102" s="12" t="s">
        <v>5406</v>
      </c>
    </row>
    <row r="103" ht="15.75" customHeight="1">
      <c r="A103" s="12" t="s">
        <v>38</v>
      </c>
      <c r="B103" s="12" t="s">
        <v>3985</v>
      </c>
      <c r="C103" s="46" t="s">
        <v>5638</v>
      </c>
      <c r="D103" s="12" t="s">
        <v>47</v>
      </c>
      <c r="E103" s="12" t="s">
        <v>5406</v>
      </c>
    </row>
    <row r="104" ht="15.75" customHeight="1">
      <c r="A104" s="12" t="s">
        <v>38</v>
      </c>
      <c r="B104" s="12" t="s">
        <v>3988</v>
      </c>
      <c r="C104" s="46" t="s">
        <v>5639</v>
      </c>
      <c r="D104" s="12" t="s">
        <v>47</v>
      </c>
      <c r="E104" s="12" t="s">
        <v>5406</v>
      </c>
    </row>
    <row r="105" ht="15.75" customHeight="1">
      <c r="A105" s="12" t="s">
        <v>38</v>
      </c>
      <c r="B105" s="12" t="s">
        <v>3991</v>
      </c>
      <c r="C105" s="46" t="s">
        <v>5640</v>
      </c>
      <c r="D105" s="12" t="s">
        <v>47</v>
      </c>
      <c r="E105" s="12" t="s">
        <v>5406</v>
      </c>
    </row>
    <row r="106" ht="15.75" customHeight="1">
      <c r="A106" s="12" t="s">
        <v>38</v>
      </c>
      <c r="B106" s="12" t="s">
        <v>3995</v>
      </c>
      <c r="C106" s="46" t="s">
        <v>5641</v>
      </c>
      <c r="D106" s="12" t="s">
        <v>47</v>
      </c>
      <c r="E106" s="12" t="s">
        <v>5406</v>
      </c>
    </row>
    <row r="107" ht="15.75" customHeight="1">
      <c r="A107" s="12" t="s">
        <v>38</v>
      </c>
      <c r="B107" s="12" t="s">
        <v>4000</v>
      </c>
      <c r="C107" s="46" t="s">
        <v>5642</v>
      </c>
      <c r="D107" s="12" t="s">
        <v>47</v>
      </c>
      <c r="E107" s="12" t="s">
        <v>5406</v>
      </c>
    </row>
    <row r="108" ht="15.75" customHeight="1">
      <c r="A108" s="12" t="s">
        <v>38</v>
      </c>
      <c r="B108" s="12" t="s">
        <v>4003</v>
      </c>
      <c r="C108" s="46" t="s">
        <v>5643</v>
      </c>
      <c r="D108" s="12" t="s">
        <v>47</v>
      </c>
      <c r="E108" s="12" t="s">
        <v>5406</v>
      </c>
    </row>
    <row r="109" ht="15.75" customHeight="1">
      <c r="A109" s="12" t="s">
        <v>38</v>
      </c>
      <c r="B109" s="12" t="s">
        <v>4006</v>
      </c>
      <c r="C109" s="46" t="s">
        <v>5644</v>
      </c>
      <c r="D109" s="12" t="s">
        <v>47</v>
      </c>
      <c r="E109" s="12" t="s">
        <v>5406</v>
      </c>
    </row>
    <row r="110" ht="15.75" customHeight="1">
      <c r="A110" s="12" t="s">
        <v>38</v>
      </c>
      <c r="B110" s="12" t="s">
        <v>4010</v>
      </c>
      <c r="C110" s="46" t="s">
        <v>5645</v>
      </c>
      <c r="D110" s="12" t="s">
        <v>47</v>
      </c>
      <c r="E110" s="12" t="s">
        <v>5406</v>
      </c>
    </row>
    <row r="111" ht="15.75" customHeight="1">
      <c r="A111" s="12" t="s">
        <v>38</v>
      </c>
      <c r="B111" s="12" t="s">
        <v>4013</v>
      </c>
      <c r="C111" s="46" t="s">
        <v>5646</v>
      </c>
      <c r="D111" s="12" t="s">
        <v>47</v>
      </c>
      <c r="E111" s="12" t="s">
        <v>5406</v>
      </c>
    </row>
    <row r="112" ht="15.75" customHeight="1">
      <c r="A112" s="12" t="s">
        <v>38</v>
      </c>
      <c r="B112" s="12" t="s">
        <v>4017</v>
      </c>
      <c r="C112" s="46" t="s">
        <v>5647</v>
      </c>
      <c r="D112" s="12" t="s">
        <v>47</v>
      </c>
      <c r="E112" s="12" t="s">
        <v>5406</v>
      </c>
    </row>
    <row r="113" ht="15.75" customHeight="1">
      <c r="A113" s="12" t="s">
        <v>38</v>
      </c>
      <c r="B113" s="12" t="s">
        <v>4020</v>
      </c>
      <c r="C113" s="46" t="s">
        <v>5648</v>
      </c>
      <c r="D113" s="12" t="s">
        <v>47</v>
      </c>
      <c r="E113" s="12" t="s">
        <v>5406</v>
      </c>
    </row>
    <row r="114" ht="15.75" customHeight="1">
      <c r="A114" s="12" t="s">
        <v>38</v>
      </c>
      <c r="B114" s="12" t="s">
        <v>4024</v>
      </c>
      <c r="C114" s="46" t="s">
        <v>5649</v>
      </c>
      <c r="D114" s="12" t="s">
        <v>47</v>
      </c>
      <c r="E114" s="12" t="s">
        <v>5406</v>
      </c>
    </row>
    <row r="115" ht="15.75" customHeight="1">
      <c r="A115" s="12" t="s">
        <v>38</v>
      </c>
      <c r="B115" s="12" t="s">
        <v>4027</v>
      </c>
      <c r="C115" s="46" t="s">
        <v>5650</v>
      </c>
      <c r="D115" s="12" t="s">
        <v>47</v>
      </c>
      <c r="E115" s="12" t="s">
        <v>5406</v>
      </c>
    </row>
    <row r="116" ht="15.75" customHeight="1">
      <c r="A116" s="12" t="s">
        <v>38</v>
      </c>
      <c r="B116" s="12" t="s">
        <v>4031</v>
      </c>
      <c r="C116" s="46" t="s">
        <v>5651</v>
      </c>
      <c r="D116" s="12" t="s">
        <v>47</v>
      </c>
      <c r="E116" s="12" t="s">
        <v>5406</v>
      </c>
    </row>
    <row r="117" ht="15.75" customHeight="1">
      <c r="A117" s="12" t="s">
        <v>38</v>
      </c>
      <c r="B117" s="12" t="s">
        <v>4034</v>
      </c>
      <c r="C117" s="46" t="s">
        <v>5652</v>
      </c>
      <c r="D117" s="12" t="s">
        <v>47</v>
      </c>
      <c r="E117" s="12" t="s">
        <v>5406</v>
      </c>
    </row>
    <row r="118" ht="15.75" customHeight="1">
      <c r="A118" s="12" t="s">
        <v>38</v>
      </c>
      <c r="B118" s="12" t="s">
        <v>4037</v>
      </c>
      <c r="C118" s="46" t="s">
        <v>5653</v>
      </c>
      <c r="D118" s="12" t="s">
        <v>47</v>
      </c>
      <c r="E118" s="12" t="s">
        <v>5406</v>
      </c>
    </row>
    <row r="119" ht="15.75" customHeight="1">
      <c r="A119" s="12" t="s">
        <v>38</v>
      </c>
      <c r="B119" s="12" t="s">
        <v>4040</v>
      </c>
      <c r="C119" s="46" t="s">
        <v>5654</v>
      </c>
      <c r="D119" s="12" t="s">
        <v>47</v>
      </c>
      <c r="E119" s="12" t="s">
        <v>5406</v>
      </c>
    </row>
    <row r="120" ht="15.75" customHeight="1">
      <c r="A120" s="12" t="s">
        <v>38</v>
      </c>
      <c r="B120" s="12" t="s">
        <v>4044</v>
      </c>
      <c r="C120" s="46" t="s">
        <v>5655</v>
      </c>
      <c r="D120" s="12" t="s">
        <v>47</v>
      </c>
      <c r="E120" s="12" t="s">
        <v>5406</v>
      </c>
    </row>
    <row r="121" ht="15.75" customHeight="1">
      <c r="A121" s="12" t="s">
        <v>38</v>
      </c>
      <c r="B121" s="12" t="s">
        <v>4048</v>
      </c>
      <c r="C121" s="46" t="s">
        <v>5656</v>
      </c>
      <c r="D121" s="12" t="s">
        <v>47</v>
      </c>
      <c r="E121" s="12" t="s">
        <v>5406</v>
      </c>
    </row>
    <row r="122" ht="15.75" customHeight="1">
      <c r="A122" s="12" t="s">
        <v>38</v>
      </c>
      <c r="B122" s="12" t="s">
        <v>4052</v>
      </c>
      <c r="C122" s="46" t="s">
        <v>5657</v>
      </c>
      <c r="D122" s="12" t="s">
        <v>47</v>
      </c>
      <c r="E122" s="12" t="s">
        <v>5406</v>
      </c>
    </row>
    <row r="123" ht="15.75" customHeight="1">
      <c r="A123" s="12" t="s">
        <v>38</v>
      </c>
      <c r="B123" s="12" t="s">
        <v>4055</v>
      </c>
      <c r="C123" s="46" t="s">
        <v>5658</v>
      </c>
      <c r="D123" s="12" t="s">
        <v>47</v>
      </c>
      <c r="E123" s="12" t="s">
        <v>5406</v>
      </c>
    </row>
    <row r="124" ht="15.75" customHeight="1">
      <c r="A124" s="12" t="s">
        <v>38</v>
      </c>
      <c r="B124" s="12" t="s">
        <v>4058</v>
      </c>
      <c r="C124" s="46" t="s">
        <v>5659</v>
      </c>
      <c r="D124" s="12" t="s">
        <v>47</v>
      </c>
      <c r="E124" s="12" t="s">
        <v>5406</v>
      </c>
    </row>
    <row r="125" ht="15.75" customHeight="1">
      <c r="A125" s="12" t="s">
        <v>38</v>
      </c>
      <c r="B125" s="12" t="s">
        <v>4063</v>
      </c>
      <c r="C125" s="46" t="s">
        <v>5660</v>
      </c>
      <c r="D125" s="12" t="s">
        <v>47</v>
      </c>
      <c r="E125" s="12" t="s">
        <v>5406</v>
      </c>
    </row>
    <row r="126" ht="15.75" customHeight="1">
      <c r="A126" s="12" t="s">
        <v>38</v>
      </c>
      <c r="B126" s="12" t="s">
        <v>4067</v>
      </c>
      <c r="C126" s="46" t="s">
        <v>5661</v>
      </c>
      <c r="D126" s="12" t="s">
        <v>47</v>
      </c>
      <c r="E126" s="12" t="s">
        <v>5406</v>
      </c>
    </row>
    <row r="127" ht="15.75" customHeight="1">
      <c r="A127" s="12" t="s">
        <v>38</v>
      </c>
      <c r="B127" s="12" t="s">
        <v>4070</v>
      </c>
      <c r="C127" s="46" t="s">
        <v>5662</v>
      </c>
      <c r="D127" s="12" t="s">
        <v>47</v>
      </c>
      <c r="E127" s="12" t="s">
        <v>5406</v>
      </c>
    </row>
    <row r="128" ht="15.75" customHeight="1">
      <c r="A128" s="12" t="s">
        <v>38</v>
      </c>
      <c r="B128" s="12" t="s">
        <v>4074</v>
      </c>
      <c r="C128" s="46" t="s">
        <v>5663</v>
      </c>
      <c r="D128" s="12" t="s">
        <v>47</v>
      </c>
      <c r="E128" s="12" t="s">
        <v>5406</v>
      </c>
    </row>
    <row r="129" ht="15.75" customHeight="1">
      <c r="A129" s="12" t="s">
        <v>38</v>
      </c>
      <c r="B129" s="12" t="s">
        <v>4077</v>
      </c>
      <c r="C129" s="46" t="s">
        <v>5664</v>
      </c>
      <c r="D129" s="12" t="s">
        <v>47</v>
      </c>
      <c r="E129" s="12" t="s">
        <v>5406</v>
      </c>
    </row>
    <row r="130" ht="15.75" customHeight="1">
      <c r="A130" s="12" t="s">
        <v>38</v>
      </c>
      <c r="B130" s="12" t="s">
        <v>4080</v>
      </c>
      <c r="C130" s="46" t="s">
        <v>4770</v>
      </c>
      <c r="D130" s="12" t="s">
        <v>47</v>
      </c>
      <c r="E130" s="12" t="s">
        <v>5406</v>
      </c>
    </row>
    <row r="131" ht="15.75" customHeight="1">
      <c r="A131" s="12" t="s">
        <v>38</v>
      </c>
      <c r="B131" s="12" t="s">
        <v>4084</v>
      </c>
      <c r="C131" s="46" t="s">
        <v>5665</v>
      </c>
      <c r="D131" s="12" t="s">
        <v>47</v>
      </c>
      <c r="E131" s="12" t="s">
        <v>5406</v>
      </c>
    </row>
    <row r="132" ht="15.75" customHeight="1">
      <c r="A132" s="12" t="s">
        <v>38</v>
      </c>
      <c r="B132" s="12" t="s">
        <v>4088</v>
      </c>
      <c r="C132" s="46" t="s">
        <v>5666</v>
      </c>
      <c r="D132" s="12" t="s">
        <v>47</v>
      </c>
      <c r="E132" s="12" t="s">
        <v>5406</v>
      </c>
    </row>
    <row r="133" ht="15.75" customHeight="1">
      <c r="A133" s="12" t="s">
        <v>38</v>
      </c>
      <c r="B133" s="12" t="s">
        <v>4092</v>
      </c>
      <c r="C133" s="46" t="s">
        <v>5667</v>
      </c>
      <c r="D133" s="12" t="s">
        <v>47</v>
      </c>
      <c r="E133" s="12" t="s">
        <v>5406</v>
      </c>
    </row>
    <row r="134" ht="15.75" customHeight="1">
      <c r="A134" s="12" t="s">
        <v>38</v>
      </c>
      <c r="B134" s="12" t="s">
        <v>4096</v>
      </c>
      <c r="C134" s="46" t="s">
        <v>5668</v>
      </c>
      <c r="D134" s="12" t="s">
        <v>47</v>
      </c>
      <c r="E134" s="12" t="s">
        <v>5406</v>
      </c>
    </row>
    <row r="135" ht="15.75" customHeight="1">
      <c r="A135" s="12" t="s">
        <v>38</v>
      </c>
      <c r="B135" s="12" t="s">
        <v>4100</v>
      </c>
      <c r="C135" s="46" t="s">
        <v>5669</v>
      </c>
      <c r="D135" s="12" t="s">
        <v>47</v>
      </c>
      <c r="E135" s="12" t="s">
        <v>5406</v>
      </c>
    </row>
    <row r="136" ht="15.75" customHeight="1">
      <c r="A136" s="12" t="s">
        <v>38</v>
      </c>
      <c r="B136" s="12" t="s">
        <v>4104</v>
      </c>
      <c r="C136" s="46" t="s">
        <v>5670</v>
      </c>
      <c r="D136" s="12" t="s">
        <v>47</v>
      </c>
      <c r="E136" s="12" t="s">
        <v>5406</v>
      </c>
    </row>
    <row r="137" ht="15.75" customHeight="1">
      <c r="A137" s="12" t="s">
        <v>38</v>
      </c>
      <c r="B137" s="12" t="s">
        <v>4108</v>
      </c>
      <c r="C137" s="46" t="s">
        <v>5671</v>
      </c>
      <c r="D137" s="12" t="s">
        <v>47</v>
      </c>
      <c r="E137" s="12" t="s">
        <v>5406</v>
      </c>
    </row>
    <row r="138" ht="15.75" customHeight="1">
      <c r="A138" s="12" t="s">
        <v>38</v>
      </c>
      <c r="B138" s="12" t="s">
        <v>4111</v>
      </c>
      <c r="C138" s="46" t="s">
        <v>5672</v>
      </c>
      <c r="D138" s="12" t="s">
        <v>47</v>
      </c>
      <c r="E138" s="12" t="s">
        <v>5406</v>
      </c>
    </row>
    <row r="139" ht="15.75" customHeight="1">
      <c r="A139" s="12" t="s">
        <v>38</v>
      </c>
      <c r="B139" s="12" t="s">
        <v>4116</v>
      </c>
      <c r="C139" s="46" t="s">
        <v>5673</v>
      </c>
      <c r="D139" s="12" t="s">
        <v>47</v>
      </c>
      <c r="E139" s="12" t="s">
        <v>5406</v>
      </c>
    </row>
    <row r="140" ht="15.75" customHeight="1">
      <c r="A140" s="12" t="s">
        <v>38</v>
      </c>
      <c r="B140" s="12" t="s">
        <v>4119</v>
      </c>
      <c r="C140" s="46" t="s">
        <v>5674</v>
      </c>
      <c r="D140" s="12" t="s">
        <v>47</v>
      </c>
      <c r="E140" s="12" t="s">
        <v>5406</v>
      </c>
    </row>
    <row r="141" ht="15.75" customHeight="1">
      <c r="A141" s="12" t="s">
        <v>38</v>
      </c>
      <c r="B141" s="12" t="s">
        <v>4121</v>
      </c>
      <c r="C141" s="46" t="s">
        <v>5675</v>
      </c>
      <c r="D141" s="12" t="s">
        <v>47</v>
      </c>
      <c r="E141" s="12" t="s">
        <v>5406</v>
      </c>
    </row>
    <row r="142" ht="15.75" customHeight="1">
      <c r="A142" s="12" t="s">
        <v>38</v>
      </c>
      <c r="B142" s="12" t="s">
        <v>4124</v>
      </c>
      <c r="C142" s="46" t="s">
        <v>5676</v>
      </c>
      <c r="D142" s="12" t="s">
        <v>47</v>
      </c>
      <c r="E142" s="12" t="s">
        <v>5406</v>
      </c>
    </row>
    <row r="143" ht="15.75" customHeight="1">
      <c r="A143" s="12" t="s">
        <v>38</v>
      </c>
      <c r="B143" s="12" t="s">
        <v>4127</v>
      </c>
      <c r="C143" s="46" t="s">
        <v>5677</v>
      </c>
      <c r="D143" s="12" t="s">
        <v>47</v>
      </c>
      <c r="E143" s="12" t="s">
        <v>5406</v>
      </c>
    </row>
    <row r="144" ht="15.75" customHeight="1">
      <c r="A144" s="12" t="s">
        <v>38</v>
      </c>
      <c r="B144" s="12" t="s">
        <v>4131</v>
      </c>
      <c r="C144" s="46" t="s">
        <v>5678</v>
      </c>
      <c r="D144" s="12" t="s">
        <v>47</v>
      </c>
      <c r="E144" s="12" t="s">
        <v>5406</v>
      </c>
    </row>
    <row r="145" ht="15.75" customHeight="1">
      <c r="A145" s="12" t="s">
        <v>38</v>
      </c>
      <c r="B145" s="12" t="s">
        <v>4134</v>
      </c>
      <c r="C145" s="46" t="s">
        <v>5679</v>
      </c>
      <c r="D145" s="12" t="s">
        <v>47</v>
      </c>
      <c r="E145" s="12" t="s">
        <v>5406</v>
      </c>
    </row>
    <row r="146" ht="15.75" customHeight="1">
      <c r="A146" s="12" t="s">
        <v>38</v>
      </c>
      <c r="B146" s="12" t="s">
        <v>4138</v>
      </c>
      <c r="C146" s="46" t="s">
        <v>5680</v>
      </c>
      <c r="D146" s="12" t="s">
        <v>47</v>
      </c>
      <c r="E146" s="12" t="s">
        <v>5406</v>
      </c>
    </row>
    <row r="147" ht="15.75" customHeight="1">
      <c r="A147" s="12" t="s">
        <v>38</v>
      </c>
      <c r="B147" s="12" t="s">
        <v>4141</v>
      </c>
      <c r="C147" s="46" t="s">
        <v>5681</v>
      </c>
      <c r="D147" s="12" t="s">
        <v>47</v>
      </c>
      <c r="E147" s="12" t="s">
        <v>5406</v>
      </c>
    </row>
    <row r="148" ht="15.75" customHeight="1">
      <c r="A148" s="12" t="s">
        <v>38</v>
      </c>
      <c r="B148" s="12" t="s">
        <v>4143</v>
      </c>
      <c r="C148" s="46" t="s">
        <v>5682</v>
      </c>
      <c r="D148" s="12" t="s">
        <v>47</v>
      </c>
      <c r="E148" s="12" t="s">
        <v>5406</v>
      </c>
    </row>
    <row r="149" ht="15.75" customHeight="1">
      <c r="A149" s="12" t="s">
        <v>38</v>
      </c>
      <c r="B149" s="12" t="s">
        <v>4146</v>
      </c>
      <c r="C149" s="46" t="s">
        <v>5683</v>
      </c>
      <c r="D149" s="12" t="s">
        <v>47</v>
      </c>
      <c r="E149" s="12" t="s">
        <v>5406</v>
      </c>
    </row>
    <row r="150" ht="15.75" customHeight="1">
      <c r="A150" s="12" t="s">
        <v>38</v>
      </c>
      <c r="B150" s="12" t="s">
        <v>4149</v>
      </c>
      <c r="C150" s="46" t="s">
        <v>5684</v>
      </c>
      <c r="D150" s="12" t="s">
        <v>47</v>
      </c>
      <c r="E150" s="12" t="s">
        <v>5406</v>
      </c>
    </row>
    <row r="151" ht="15.75" customHeight="1">
      <c r="A151" s="12" t="s">
        <v>38</v>
      </c>
      <c r="B151" s="12" t="s">
        <v>4152</v>
      </c>
      <c r="C151" s="46" t="s">
        <v>5685</v>
      </c>
      <c r="D151" s="12" t="s">
        <v>47</v>
      </c>
      <c r="E151" s="12" t="s">
        <v>5406</v>
      </c>
    </row>
    <row r="152" ht="15.75" customHeight="1">
      <c r="A152" s="12" t="s">
        <v>38</v>
      </c>
      <c r="B152" s="12" t="s">
        <v>4156</v>
      </c>
      <c r="C152" s="46" t="s">
        <v>5686</v>
      </c>
      <c r="D152" s="12" t="s">
        <v>47</v>
      </c>
      <c r="E152" s="12" t="s">
        <v>5406</v>
      </c>
    </row>
    <row r="153" ht="15.75" customHeight="1">
      <c r="A153" s="12" t="s">
        <v>38</v>
      </c>
      <c r="B153" s="12" t="s">
        <v>4159</v>
      </c>
      <c r="C153" s="46" t="s">
        <v>5687</v>
      </c>
      <c r="D153" s="12" t="s">
        <v>47</v>
      </c>
      <c r="E153" s="12" t="s">
        <v>5406</v>
      </c>
    </row>
    <row r="154" ht="15.75" customHeight="1">
      <c r="A154" s="12" t="s">
        <v>38</v>
      </c>
      <c r="B154" s="12" t="s">
        <v>4162</v>
      </c>
      <c r="C154" s="46" t="s">
        <v>5688</v>
      </c>
      <c r="D154" s="12" t="s">
        <v>47</v>
      </c>
      <c r="E154" s="12" t="s">
        <v>5406</v>
      </c>
    </row>
    <row r="155" ht="15.75" customHeight="1">
      <c r="A155" s="12" t="s">
        <v>38</v>
      </c>
      <c r="B155" s="12" t="s">
        <v>4164</v>
      </c>
      <c r="C155" s="46" t="s">
        <v>5689</v>
      </c>
      <c r="D155" s="12" t="s">
        <v>47</v>
      </c>
      <c r="E155" s="12" t="s">
        <v>5406</v>
      </c>
    </row>
    <row r="156" ht="15.75" customHeight="1">
      <c r="A156" s="12" t="s">
        <v>38</v>
      </c>
      <c r="B156" s="12" t="s">
        <v>4167</v>
      </c>
      <c r="C156" s="46" t="s">
        <v>5690</v>
      </c>
      <c r="D156" s="12" t="s">
        <v>47</v>
      </c>
      <c r="E156" s="12" t="s">
        <v>5406</v>
      </c>
    </row>
    <row r="157" ht="15.75" customHeight="1">
      <c r="A157" s="12" t="s">
        <v>38</v>
      </c>
      <c r="B157" s="12" t="s">
        <v>4169</v>
      </c>
      <c r="C157" s="46" t="s">
        <v>5691</v>
      </c>
      <c r="D157" s="12" t="s">
        <v>47</v>
      </c>
      <c r="E157" s="12" t="s">
        <v>5406</v>
      </c>
    </row>
    <row r="158" ht="15.75" customHeight="1">
      <c r="A158" s="12" t="s">
        <v>38</v>
      </c>
      <c r="B158" s="12" t="s">
        <v>4173</v>
      </c>
      <c r="C158" s="46" t="s">
        <v>5692</v>
      </c>
      <c r="D158" s="12" t="s">
        <v>47</v>
      </c>
      <c r="E158" s="12" t="s">
        <v>5406</v>
      </c>
    </row>
    <row r="159" ht="15.75" customHeight="1">
      <c r="A159" s="12" t="s">
        <v>38</v>
      </c>
      <c r="B159" s="12" t="s">
        <v>4176</v>
      </c>
      <c r="C159" s="46" t="s">
        <v>5693</v>
      </c>
      <c r="D159" s="12" t="s">
        <v>47</v>
      </c>
      <c r="E159" s="12" t="s">
        <v>5406</v>
      </c>
    </row>
    <row r="160" ht="15.75" customHeight="1">
      <c r="A160" s="12" t="s">
        <v>38</v>
      </c>
      <c r="B160" s="12" t="s">
        <v>4180</v>
      </c>
      <c r="C160" s="46" t="s">
        <v>5694</v>
      </c>
      <c r="D160" s="12" t="s">
        <v>47</v>
      </c>
      <c r="E160" s="12" t="s">
        <v>5406</v>
      </c>
    </row>
    <row r="161" ht="15.75" customHeight="1">
      <c r="A161" s="12" t="s">
        <v>38</v>
      </c>
      <c r="B161" s="12" t="s">
        <v>4183</v>
      </c>
      <c r="C161" s="46" t="s">
        <v>5695</v>
      </c>
      <c r="D161" s="12" t="s">
        <v>47</v>
      </c>
      <c r="E161" s="12" t="s">
        <v>5406</v>
      </c>
    </row>
    <row r="162" ht="15.75" customHeight="1">
      <c r="A162" s="12" t="s">
        <v>38</v>
      </c>
      <c r="B162" s="12" t="s">
        <v>4187</v>
      </c>
      <c r="C162" s="46" t="s">
        <v>5696</v>
      </c>
      <c r="D162" s="12" t="s">
        <v>47</v>
      </c>
      <c r="E162" s="12" t="s">
        <v>5406</v>
      </c>
    </row>
    <row r="163" ht="15.75" customHeight="1">
      <c r="A163" s="12" t="s">
        <v>38</v>
      </c>
      <c r="B163" s="12" t="s">
        <v>4191</v>
      </c>
      <c r="C163" s="46" t="s">
        <v>5697</v>
      </c>
      <c r="D163" s="12" t="s">
        <v>47</v>
      </c>
      <c r="E163" s="12" t="s">
        <v>5406</v>
      </c>
    </row>
    <row r="164" ht="15.75" customHeight="1">
      <c r="A164" s="12" t="s">
        <v>38</v>
      </c>
      <c r="B164" s="12" t="s">
        <v>4195</v>
      </c>
      <c r="C164" s="46" t="s">
        <v>5698</v>
      </c>
      <c r="D164" s="12" t="s">
        <v>47</v>
      </c>
      <c r="E164" s="12" t="s">
        <v>5406</v>
      </c>
    </row>
    <row r="165" ht="15.75" customHeight="1">
      <c r="A165" s="12" t="s">
        <v>38</v>
      </c>
      <c r="B165" s="12" t="s">
        <v>4199</v>
      </c>
      <c r="C165" s="46" t="s">
        <v>5699</v>
      </c>
      <c r="D165" s="12" t="s">
        <v>47</v>
      </c>
      <c r="E165" s="12" t="s">
        <v>5406</v>
      </c>
    </row>
    <row r="166" ht="15.75" customHeight="1">
      <c r="A166" s="12" t="s">
        <v>38</v>
      </c>
      <c r="B166" s="12" t="s">
        <v>4202</v>
      </c>
      <c r="C166" s="46" t="s">
        <v>5700</v>
      </c>
      <c r="D166" s="12" t="s">
        <v>47</v>
      </c>
      <c r="E166" s="12" t="s">
        <v>5406</v>
      </c>
    </row>
    <row r="167" ht="15.75" customHeight="1">
      <c r="A167" s="12" t="s">
        <v>38</v>
      </c>
      <c r="B167" s="12" t="s">
        <v>4205</v>
      </c>
      <c r="C167" s="46" t="s">
        <v>5701</v>
      </c>
      <c r="D167" s="12" t="s">
        <v>47</v>
      </c>
      <c r="E167" s="12" t="s">
        <v>5406</v>
      </c>
    </row>
    <row r="168" ht="15.75" customHeight="1">
      <c r="A168" s="12" t="s">
        <v>38</v>
      </c>
      <c r="B168" s="12" t="s">
        <v>4208</v>
      </c>
      <c r="C168" s="46" t="s">
        <v>5702</v>
      </c>
      <c r="D168" s="12" t="s">
        <v>47</v>
      </c>
      <c r="E168" s="12" t="s">
        <v>5406</v>
      </c>
    </row>
    <row r="169" ht="15.75" customHeight="1">
      <c r="A169" s="12" t="s">
        <v>38</v>
      </c>
      <c r="B169" s="12" t="s">
        <v>4213</v>
      </c>
      <c r="C169" s="46" t="s">
        <v>5703</v>
      </c>
      <c r="D169" s="12" t="s">
        <v>47</v>
      </c>
      <c r="E169" s="12" t="s">
        <v>5406</v>
      </c>
    </row>
    <row r="170" ht="15.75" customHeight="1">
      <c r="A170" s="12" t="s">
        <v>38</v>
      </c>
      <c r="B170" s="12" t="s">
        <v>4216</v>
      </c>
      <c r="C170" s="46" t="s">
        <v>5704</v>
      </c>
      <c r="D170" s="12" t="s">
        <v>47</v>
      </c>
      <c r="E170" s="12" t="s">
        <v>5406</v>
      </c>
    </row>
    <row r="171" ht="15.75" customHeight="1">
      <c r="A171" s="12" t="s">
        <v>38</v>
      </c>
      <c r="B171" s="12" t="s">
        <v>4219</v>
      </c>
      <c r="C171" s="46" t="s">
        <v>5705</v>
      </c>
      <c r="D171" s="12" t="s">
        <v>47</v>
      </c>
      <c r="E171" s="12" t="s">
        <v>5406</v>
      </c>
    </row>
    <row r="172" ht="15.75" customHeight="1">
      <c r="A172" s="12" t="s">
        <v>38</v>
      </c>
      <c r="B172" s="12" t="s">
        <v>4222</v>
      </c>
      <c r="C172" s="46" t="s">
        <v>5706</v>
      </c>
      <c r="D172" s="12" t="s">
        <v>47</v>
      </c>
      <c r="E172" s="12" t="s">
        <v>5406</v>
      </c>
    </row>
    <row r="173" ht="15.75" customHeight="1">
      <c r="A173" s="12" t="s">
        <v>38</v>
      </c>
      <c r="B173" s="12" t="s">
        <v>4225</v>
      </c>
      <c r="C173" s="46" t="s">
        <v>5707</v>
      </c>
      <c r="D173" s="12" t="s">
        <v>47</v>
      </c>
      <c r="E173" s="12" t="s">
        <v>5406</v>
      </c>
    </row>
    <row r="174" ht="15.75" customHeight="1">
      <c r="A174" s="12" t="s">
        <v>38</v>
      </c>
      <c r="B174" s="12" t="s">
        <v>4228</v>
      </c>
      <c r="C174" s="46" t="s">
        <v>5708</v>
      </c>
      <c r="D174" s="12" t="s">
        <v>47</v>
      </c>
      <c r="E174" s="12" t="s">
        <v>5406</v>
      </c>
    </row>
    <row r="175" ht="15.75" customHeight="1">
      <c r="A175" s="12" t="s">
        <v>38</v>
      </c>
      <c r="B175" s="12" t="s">
        <v>4232</v>
      </c>
      <c r="C175" s="46" t="s">
        <v>5709</v>
      </c>
      <c r="D175" s="12" t="s">
        <v>47</v>
      </c>
      <c r="E175" s="12" t="s">
        <v>5406</v>
      </c>
    </row>
    <row r="176" ht="15.75" customHeight="1">
      <c r="A176" s="12" t="s">
        <v>38</v>
      </c>
      <c r="B176" s="12" t="s">
        <v>4236</v>
      </c>
      <c r="C176" s="46" t="s">
        <v>5710</v>
      </c>
      <c r="D176" s="12" t="s">
        <v>47</v>
      </c>
      <c r="E176" s="12" t="s">
        <v>5406</v>
      </c>
    </row>
    <row r="177" ht="15.75" customHeight="1">
      <c r="A177" s="12" t="s">
        <v>38</v>
      </c>
      <c r="B177" s="12" t="s">
        <v>4239</v>
      </c>
      <c r="C177" s="46" t="s">
        <v>5711</v>
      </c>
      <c r="D177" s="12" t="s">
        <v>47</v>
      </c>
      <c r="E177" s="12" t="s">
        <v>5406</v>
      </c>
    </row>
    <row r="178" ht="15.75" customHeight="1">
      <c r="A178" s="12" t="s">
        <v>38</v>
      </c>
      <c r="B178" s="12" t="s">
        <v>4243</v>
      </c>
      <c r="C178" s="46" t="s">
        <v>5712</v>
      </c>
      <c r="D178" s="12" t="s">
        <v>47</v>
      </c>
      <c r="E178" s="12" t="s">
        <v>5406</v>
      </c>
    </row>
    <row r="179" ht="15.75" customHeight="1">
      <c r="A179" s="12" t="s">
        <v>38</v>
      </c>
      <c r="B179" s="12" t="s">
        <v>4246</v>
      </c>
      <c r="C179" s="46" t="s">
        <v>5713</v>
      </c>
      <c r="D179" s="12" t="s">
        <v>47</v>
      </c>
      <c r="E179" s="12" t="s">
        <v>5406</v>
      </c>
    </row>
    <row r="180" ht="15.75" customHeight="1">
      <c r="A180" s="12" t="s">
        <v>38</v>
      </c>
      <c r="B180" s="12" t="s">
        <v>4250</v>
      </c>
      <c r="C180" s="46" t="s">
        <v>5714</v>
      </c>
      <c r="D180" s="12" t="s">
        <v>47</v>
      </c>
      <c r="E180" s="12" t="s">
        <v>5406</v>
      </c>
    </row>
    <row r="181" ht="15.75" customHeight="1">
      <c r="A181" s="12" t="s">
        <v>38</v>
      </c>
      <c r="B181" s="12" t="s">
        <v>4253</v>
      </c>
      <c r="C181" s="46" t="s">
        <v>5715</v>
      </c>
      <c r="D181" s="12" t="s">
        <v>47</v>
      </c>
      <c r="E181" s="12" t="s">
        <v>5406</v>
      </c>
    </row>
    <row r="182" ht="15.75" customHeight="1">
      <c r="A182" s="12" t="s">
        <v>38</v>
      </c>
      <c r="B182" s="12" t="s">
        <v>4258</v>
      </c>
      <c r="C182" s="46" t="s">
        <v>5716</v>
      </c>
      <c r="D182" s="12" t="s">
        <v>47</v>
      </c>
      <c r="E182" s="12" t="s">
        <v>5406</v>
      </c>
    </row>
    <row r="183" ht="15.75" customHeight="1">
      <c r="A183" s="12" t="s">
        <v>38</v>
      </c>
      <c r="B183" s="12" t="s">
        <v>4262</v>
      </c>
      <c r="C183" s="46" t="s">
        <v>5717</v>
      </c>
      <c r="D183" s="12" t="s">
        <v>47</v>
      </c>
      <c r="E183" s="12" t="s">
        <v>5406</v>
      </c>
    </row>
    <row r="184" ht="15.75" customHeight="1">
      <c r="A184" s="12" t="s">
        <v>38</v>
      </c>
      <c r="B184" s="12" t="s">
        <v>4266</v>
      </c>
      <c r="C184" s="46" t="s">
        <v>5718</v>
      </c>
      <c r="D184" s="12" t="s">
        <v>47</v>
      </c>
      <c r="E184" s="12" t="s">
        <v>5406</v>
      </c>
    </row>
    <row r="185" ht="15.75" customHeight="1">
      <c r="A185" s="12" t="s">
        <v>38</v>
      </c>
      <c r="B185" s="12" t="s">
        <v>4269</v>
      </c>
      <c r="C185" s="46" t="s">
        <v>5719</v>
      </c>
      <c r="D185" s="12" t="s">
        <v>47</v>
      </c>
      <c r="E185" s="12" t="s">
        <v>5406</v>
      </c>
    </row>
    <row r="186" ht="15.75" customHeight="1">
      <c r="A186" s="12" t="s">
        <v>38</v>
      </c>
      <c r="B186" s="12" t="s">
        <v>4271</v>
      </c>
      <c r="C186" s="46" t="s">
        <v>5720</v>
      </c>
      <c r="D186" s="12" t="s">
        <v>47</v>
      </c>
      <c r="E186" s="12" t="s">
        <v>5406</v>
      </c>
    </row>
    <row r="187" ht="15.75" customHeight="1">
      <c r="A187" s="12" t="s">
        <v>38</v>
      </c>
      <c r="B187" s="12" t="s">
        <v>4275</v>
      </c>
      <c r="C187" s="46" t="s">
        <v>5721</v>
      </c>
      <c r="D187" s="12" t="s">
        <v>47</v>
      </c>
      <c r="E187" s="12" t="s">
        <v>5406</v>
      </c>
    </row>
    <row r="188" ht="15.75" customHeight="1">
      <c r="A188" s="12" t="s">
        <v>38</v>
      </c>
      <c r="B188" s="12" t="s">
        <v>4278</v>
      </c>
      <c r="C188" s="46" t="s">
        <v>5722</v>
      </c>
      <c r="D188" s="12" t="s">
        <v>47</v>
      </c>
      <c r="E188" s="12" t="s">
        <v>5406</v>
      </c>
    </row>
    <row r="189" ht="15.75" customHeight="1">
      <c r="A189" s="12" t="s">
        <v>38</v>
      </c>
      <c r="B189" s="12" t="s">
        <v>4283</v>
      </c>
      <c r="C189" s="46" t="s">
        <v>5723</v>
      </c>
      <c r="D189" s="12" t="s">
        <v>47</v>
      </c>
      <c r="E189" s="12" t="s">
        <v>5406</v>
      </c>
    </row>
    <row r="190" ht="15.75" customHeight="1">
      <c r="A190" s="12" t="s">
        <v>38</v>
      </c>
      <c r="B190" s="12" t="s">
        <v>4286</v>
      </c>
      <c r="C190" s="46" t="s">
        <v>5724</v>
      </c>
      <c r="D190" s="12" t="s">
        <v>47</v>
      </c>
      <c r="E190" s="12" t="s">
        <v>5406</v>
      </c>
    </row>
    <row r="191" ht="15.75" customHeight="1">
      <c r="A191" s="12" t="s">
        <v>38</v>
      </c>
      <c r="B191" s="12" t="s">
        <v>4289</v>
      </c>
      <c r="C191" s="46" t="s">
        <v>5725</v>
      </c>
      <c r="D191" s="12" t="s">
        <v>47</v>
      </c>
      <c r="E191" s="12" t="s">
        <v>5406</v>
      </c>
    </row>
    <row r="192" ht="15.75" customHeight="1">
      <c r="A192" s="12" t="s">
        <v>38</v>
      </c>
      <c r="B192" s="12" t="s">
        <v>4293</v>
      </c>
      <c r="C192" s="46" t="s">
        <v>5726</v>
      </c>
      <c r="D192" s="12" t="s">
        <v>47</v>
      </c>
      <c r="E192" s="12" t="s">
        <v>5406</v>
      </c>
    </row>
    <row r="193" ht="15.75" customHeight="1">
      <c r="A193" s="12" t="s">
        <v>38</v>
      </c>
      <c r="B193" s="12" t="s">
        <v>4297</v>
      </c>
      <c r="C193" s="46" t="s">
        <v>5727</v>
      </c>
      <c r="D193" s="12" t="s">
        <v>47</v>
      </c>
      <c r="E193" s="12" t="s">
        <v>5406</v>
      </c>
    </row>
    <row r="194" ht="15.75" customHeight="1">
      <c r="A194" s="12" t="s">
        <v>38</v>
      </c>
      <c r="B194" s="12" t="s">
        <v>4301</v>
      </c>
      <c r="C194" s="46" t="s">
        <v>5728</v>
      </c>
      <c r="D194" s="12" t="s">
        <v>47</v>
      </c>
      <c r="E194" s="12" t="s">
        <v>5406</v>
      </c>
    </row>
    <row r="195" ht="15.75" customHeight="1">
      <c r="A195" s="12" t="s">
        <v>38</v>
      </c>
      <c r="B195" s="12" t="s">
        <v>4303</v>
      </c>
      <c r="C195" s="46" t="s">
        <v>5729</v>
      </c>
      <c r="D195" s="12" t="s">
        <v>47</v>
      </c>
      <c r="E195" s="12" t="s">
        <v>5406</v>
      </c>
    </row>
    <row r="196" ht="15.75" customHeight="1">
      <c r="A196" s="12" t="s">
        <v>38</v>
      </c>
      <c r="B196" s="12" t="s">
        <v>4305</v>
      </c>
      <c r="C196" s="46" t="s">
        <v>5730</v>
      </c>
      <c r="D196" s="12" t="s">
        <v>47</v>
      </c>
      <c r="E196" s="12" t="s">
        <v>5406</v>
      </c>
    </row>
    <row r="197" ht="15.75" customHeight="1">
      <c r="A197" s="12" t="s">
        <v>38</v>
      </c>
      <c r="B197" s="12" t="s">
        <v>4310</v>
      </c>
      <c r="C197" s="46" t="s">
        <v>5731</v>
      </c>
      <c r="D197" s="12" t="s">
        <v>47</v>
      </c>
      <c r="E197" s="12" t="s">
        <v>5406</v>
      </c>
    </row>
    <row r="198" ht="15.75" customHeight="1">
      <c r="A198" s="12" t="s">
        <v>38</v>
      </c>
      <c r="B198" s="12" t="s">
        <v>4313</v>
      </c>
      <c r="C198" s="46" t="s">
        <v>5732</v>
      </c>
      <c r="D198" s="12" t="s">
        <v>47</v>
      </c>
      <c r="E198" s="12" t="s">
        <v>5406</v>
      </c>
    </row>
    <row r="199" ht="15.75" customHeight="1">
      <c r="A199" s="12" t="s">
        <v>38</v>
      </c>
      <c r="B199" s="12" t="s">
        <v>4316</v>
      </c>
      <c r="C199" s="46" t="s">
        <v>5733</v>
      </c>
      <c r="D199" s="12" t="s">
        <v>47</v>
      </c>
      <c r="E199" s="12" t="s">
        <v>5406</v>
      </c>
    </row>
    <row r="200" ht="15.75" customHeight="1">
      <c r="A200" s="12" t="s">
        <v>38</v>
      </c>
      <c r="B200" s="12" t="s">
        <v>4319</v>
      </c>
      <c r="C200" s="46" t="s">
        <v>5734</v>
      </c>
      <c r="D200" s="12" t="s">
        <v>47</v>
      </c>
      <c r="E200" s="12" t="s">
        <v>5406</v>
      </c>
    </row>
    <row r="201" ht="15.75" customHeight="1">
      <c r="A201" s="12" t="s">
        <v>38</v>
      </c>
      <c r="B201" s="12" t="s">
        <v>4321</v>
      </c>
      <c r="C201" s="46" t="s">
        <v>5735</v>
      </c>
      <c r="D201" s="12" t="s">
        <v>47</v>
      </c>
      <c r="E201" s="12" t="s">
        <v>5406</v>
      </c>
    </row>
    <row r="202" ht="15.75" customHeight="1">
      <c r="A202" s="12" t="s">
        <v>38</v>
      </c>
      <c r="B202" s="12" t="s">
        <v>4324</v>
      </c>
      <c r="C202" s="46" t="s">
        <v>5736</v>
      </c>
      <c r="D202" s="12" t="s">
        <v>47</v>
      </c>
      <c r="E202" s="12" t="s">
        <v>5406</v>
      </c>
    </row>
    <row r="203" ht="15.75" customHeight="1">
      <c r="A203" s="12" t="s">
        <v>38</v>
      </c>
      <c r="B203" s="12" t="s">
        <v>4327</v>
      </c>
      <c r="C203" s="46" t="s">
        <v>5737</v>
      </c>
      <c r="D203" s="12" t="s">
        <v>47</v>
      </c>
      <c r="E203" s="12" t="s">
        <v>5406</v>
      </c>
    </row>
    <row r="204" ht="15.75" customHeight="1">
      <c r="A204" s="12" t="s">
        <v>38</v>
      </c>
      <c r="B204" s="12" t="s">
        <v>4331</v>
      </c>
      <c r="C204" s="46" t="s">
        <v>5738</v>
      </c>
      <c r="D204" s="12" t="s">
        <v>47</v>
      </c>
      <c r="E204" s="12" t="s">
        <v>5406</v>
      </c>
    </row>
    <row r="205" ht="15.75" customHeight="1">
      <c r="A205" s="12" t="s">
        <v>38</v>
      </c>
      <c r="B205" s="12" t="s">
        <v>4334</v>
      </c>
      <c r="C205" s="46" t="s">
        <v>5739</v>
      </c>
      <c r="D205" s="12" t="s">
        <v>47</v>
      </c>
      <c r="E205" s="12" t="s">
        <v>5406</v>
      </c>
    </row>
    <row r="206" ht="15.75" customHeight="1">
      <c r="A206" s="12" t="s">
        <v>38</v>
      </c>
      <c r="B206" s="12" t="s">
        <v>4339</v>
      </c>
      <c r="C206" s="46" t="s">
        <v>5740</v>
      </c>
      <c r="D206" s="12" t="s">
        <v>47</v>
      </c>
      <c r="E206" s="12" t="s">
        <v>5406</v>
      </c>
    </row>
    <row r="207" ht="15.75" customHeight="1">
      <c r="A207" s="12" t="s">
        <v>38</v>
      </c>
      <c r="B207" s="12" t="s">
        <v>4343</v>
      </c>
      <c r="C207" s="46" t="s">
        <v>5741</v>
      </c>
      <c r="D207" s="12" t="s">
        <v>47</v>
      </c>
      <c r="E207" s="12" t="s">
        <v>5406</v>
      </c>
    </row>
    <row r="208" ht="15.75" customHeight="1">
      <c r="A208" s="12" t="s">
        <v>38</v>
      </c>
      <c r="B208" s="12" t="s">
        <v>4346</v>
      </c>
      <c r="C208" s="46" t="s">
        <v>5742</v>
      </c>
      <c r="D208" s="12" t="s">
        <v>47</v>
      </c>
      <c r="E208" s="12" t="s">
        <v>5406</v>
      </c>
    </row>
    <row r="209" ht="15.75" customHeight="1">
      <c r="A209" s="12" t="s">
        <v>38</v>
      </c>
      <c r="B209" s="12" t="s">
        <v>4349</v>
      </c>
      <c r="C209" s="46" t="s">
        <v>5743</v>
      </c>
      <c r="D209" s="12" t="s">
        <v>47</v>
      </c>
      <c r="E209" s="12" t="s">
        <v>5406</v>
      </c>
    </row>
    <row r="210" ht="15.75" customHeight="1">
      <c r="A210" s="12" t="s">
        <v>38</v>
      </c>
      <c r="B210" s="12" t="s">
        <v>4352</v>
      </c>
      <c r="C210" s="46" t="s">
        <v>5744</v>
      </c>
      <c r="D210" s="12" t="s">
        <v>47</v>
      </c>
      <c r="E210" s="12" t="s">
        <v>5406</v>
      </c>
    </row>
    <row r="211" ht="15.75" customHeight="1">
      <c r="A211" s="12" t="s">
        <v>38</v>
      </c>
      <c r="B211" s="12" t="s">
        <v>4355</v>
      </c>
      <c r="C211" s="46" t="s">
        <v>5745</v>
      </c>
      <c r="D211" s="12" t="s">
        <v>47</v>
      </c>
      <c r="E211" s="12" t="s">
        <v>5406</v>
      </c>
    </row>
    <row r="212" ht="15.75" customHeight="1">
      <c r="A212" s="12" t="s">
        <v>38</v>
      </c>
      <c r="B212" s="12" t="s">
        <v>4358</v>
      </c>
      <c r="C212" s="46" t="s">
        <v>5746</v>
      </c>
      <c r="D212" s="12" t="s">
        <v>47</v>
      </c>
      <c r="E212" s="12" t="s">
        <v>5406</v>
      </c>
    </row>
    <row r="213" ht="15.75" customHeight="1">
      <c r="A213" s="12" t="s">
        <v>38</v>
      </c>
      <c r="B213" s="12" t="s">
        <v>4362</v>
      </c>
      <c r="C213" s="46" t="s">
        <v>5747</v>
      </c>
      <c r="D213" s="12" t="s">
        <v>47</v>
      </c>
      <c r="E213" s="12" t="s">
        <v>5406</v>
      </c>
    </row>
    <row r="214" ht="15.75" customHeight="1">
      <c r="A214" s="12" t="s">
        <v>38</v>
      </c>
      <c r="B214" s="12" t="s">
        <v>4365</v>
      </c>
      <c r="C214" s="46" t="s">
        <v>5748</v>
      </c>
      <c r="D214" s="12" t="s">
        <v>47</v>
      </c>
      <c r="E214" s="12" t="s">
        <v>5406</v>
      </c>
    </row>
    <row r="215" ht="15.75" customHeight="1">
      <c r="A215" s="12" t="s">
        <v>38</v>
      </c>
      <c r="B215" s="12" t="s">
        <v>4371</v>
      </c>
      <c r="C215" s="46" t="s">
        <v>5749</v>
      </c>
      <c r="D215" s="12" t="s">
        <v>47</v>
      </c>
      <c r="E215" s="12" t="s">
        <v>5406</v>
      </c>
    </row>
    <row r="216" ht="15.75" customHeight="1">
      <c r="A216" s="12" t="s">
        <v>38</v>
      </c>
      <c r="B216" s="12" t="s">
        <v>4374</v>
      </c>
      <c r="C216" s="46" t="s">
        <v>5750</v>
      </c>
      <c r="D216" s="12" t="s">
        <v>47</v>
      </c>
      <c r="E216" s="12" t="s">
        <v>5406</v>
      </c>
    </row>
    <row r="217" ht="15.75" customHeight="1">
      <c r="A217" s="12" t="s">
        <v>38</v>
      </c>
      <c r="B217" s="12" t="s">
        <v>4377</v>
      </c>
      <c r="C217" s="46" t="s">
        <v>5751</v>
      </c>
      <c r="D217" s="12" t="s">
        <v>47</v>
      </c>
      <c r="E217" s="12" t="s">
        <v>5406</v>
      </c>
    </row>
    <row r="218" ht="15.75" customHeight="1">
      <c r="A218" s="12" t="s">
        <v>97</v>
      </c>
      <c r="B218" s="12" t="s">
        <v>3630</v>
      </c>
      <c r="C218" s="46" t="s">
        <v>5061</v>
      </c>
      <c r="D218" s="12" t="s">
        <v>972</v>
      </c>
      <c r="E218" s="12" t="s">
        <v>5406</v>
      </c>
    </row>
    <row r="219" ht="15.75" customHeight="1">
      <c r="A219" s="12" t="s">
        <v>97</v>
      </c>
      <c r="B219" s="12" t="s">
        <v>3634</v>
      </c>
      <c r="C219" s="46" t="s">
        <v>5752</v>
      </c>
      <c r="D219" s="12" t="s">
        <v>972</v>
      </c>
      <c r="E219" s="12" t="s">
        <v>5406</v>
      </c>
    </row>
    <row r="220" ht="15.75" customHeight="1">
      <c r="A220" s="12" t="s">
        <v>97</v>
      </c>
      <c r="B220" s="12" t="s">
        <v>3637</v>
      </c>
      <c r="C220" s="46" t="s">
        <v>5048</v>
      </c>
      <c r="D220" s="12" t="s">
        <v>972</v>
      </c>
      <c r="E220" s="12" t="s">
        <v>5406</v>
      </c>
    </row>
    <row r="221" ht="15.75" customHeight="1">
      <c r="A221" s="12" t="s">
        <v>97</v>
      </c>
      <c r="B221" s="12" t="s">
        <v>3641</v>
      </c>
      <c r="C221" s="46" t="s">
        <v>5753</v>
      </c>
      <c r="D221" s="12" t="s">
        <v>972</v>
      </c>
      <c r="E221" s="12" t="s">
        <v>5406</v>
      </c>
    </row>
    <row r="222" ht="15.75" customHeight="1">
      <c r="A222" s="12" t="s">
        <v>97</v>
      </c>
      <c r="B222" s="12" t="s">
        <v>3645</v>
      </c>
      <c r="C222" s="46" t="s">
        <v>5754</v>
      </c>
      <c r="D222" s="12" t="s">
        <v>972</v>
      </c>
      <c r="E222" s="12" t="s">
        <v>5406</v>
      </c>
    </row>
    <row r="223" ht="15.75" customHeight="1">
      <c r="A223" s="12" t="s">
        <v>97</v>
      </c>
      <c r="B223" s="12" t="s">
        <v>3649</v>
      </c>
      <c r="C223" s="46" t="s">
        <v>5755</v>
      </c>
      <c r="D223" s="12" t="s">
        <v>972</v>
      </c>
      <c r="E223" s="12" t="s">
        <v>5406</v>
      </c>
    </row>
    <row r="224" ht="15.75" customHeight="1">
      <c r="A224" s="12" t="s">
        <v>97</v>
      </c>
      <c r="B224" s="12" t="s">
        <v>3652</v>
      </c>
      <c r="C224" s="46" t="s">
        <v>5756</v>
      </c>
      <c r="D224" s="12" t="s">
        <v>972</v>
      </c>
      <c r="E224" s="12" t="s">
        <v>5406</v>
      </c>
    </row>
    <row r="225" ht="15.75" customHeight="1">
      <c r="A225" s="12" t="s">
        <v>97</v>
      </c>
      <c r="B225" s="12" t="s">
        <v>3658</v>
      </c>
      <c r="C225" s="46" t="s">
        <v>5757</v>
      </c>
      <c r="D225" s="12" t="s">
        <v>972</v>
      </c>
      <c r="E225" s="12" t="s">
        <v>5406</v>
      </c>
    </row>
    <row r="226" ht="15.75" customHeight="1">
      <c r="A226" s="12" t="s">
        <v>97</v>
      </c>
      <c r="B226" s="12" t="s">
        <v>3659</v>
      </c>
      <c r="C226" s="46" t="s">
        <v>5758</v>
      </c>
      <c r="D226" s="12" t="s">
        <v>972</v>
      </c>
      <c r="E226" s="12" t="s">
        <v>5406</v>
      </c>
    </row>
    <row r="227" ht="15.75" customHeight="1">
      <c r="A227" s="12" t="s">
        <v>97</v>
      </c>
      <c r="B227" s="12" t="s">
        <v>3662</v>
      </c>
      <c r="C227" s="46" t="s">
        <v>5052</v>
      </c>
      <c r="D227" s="12" t="s">
        <v>972</v>
      </c>
      <c r="E227" s="12" t="s">
        <v>5406</v>
      </c>
    </row>
    <row r="228" ht="15.75" customHeight="1">
      <c r="A228" s="12" t="s">
        <v>97</v>
      </c>
      <c r="B228" s="12" t="s">
        <v>3666</v>
      </c>
      <c r="C228" s="46" t="s">
        <v>5055</v>
      </c>
      <c r="D228" s="12" t="s">
        <v>972</v>
      </c>
      <c r="E228" s="12" t="s">
        <v>5406</v>
      </c>
    </row>
    <row r="229" ht="15.75" customHeight="1">
      <c r="A229" s="12" t="s">
        <v>97</v>
      </c>
      <c r="B229" s="12" t="s">
        <v>3670</v>
      </c>
      <c r="C229" s="46" t="s">
        <v>5059</v>
      </c>
      <c r="D229" s="12" t="s">
        <v>972</v>
      </c>
      <c r="E229" s="12" t="s">
        <v>5406</v>
      </c>
    </row>
    <row r="230" ht="15.75" customHeight="1">
      <c r="A230" s="12" t="s">
        <v>97</v>
      </c>
      <c r="B230" s="12" t="s">
        <v>3674</v>
      </c>
      <c r="C230" s="46" t="s">
        <v>5064</v>
      </c>
      <c r="D230" s="12" t="s">
        <v>972</v>
      </c>
      <c r="E230" s="12" t="s">
        <v>5406</v>
      </c>
    </row>
    <row r="231" ht="15.75" customHeight="1">
      <c r="A231" s="12" t="s">
        <v>97</v>
      </c>
      <c r="B231" s="12" t="s">
        <v>3677</v>
      </c>
      <c r="C231" s="46" t="s">
        <v>5066</v>
      </c>
      <c r="D231" s="12" t="s">
        <v>972</v>
      </c>
      <c r="E231" s="12" t="s">
        <v>5406</v>
      </c>
    </row>
    <row r="232" ht="15.75" customHeight="1">
      <c r="A232" s="12" t="s">
        <v>97</v>
      </c>
      <c r="B232" s="12" t="s">
        <v>3681</v>
      </c>
      <c r="C232" s="46" t="s">
        <v>5759</v>
      </c>
      <c r="D232" s="12" t="s">
        <v>972</v>
      </c>
      <c r="E232" s="12" t="s">
        <v>5406</v>
      </c>
    </row>
    <row r="233" ht="15.75" customHeight="1">
      <c r="A233" s="12" t="s">
        <v>97</v>
      </c>
      <c r="B233" s="12" t="s">
        <v>3685</v>
      </c>
      <c r="C233" s="46" t="s">
        <v>5760</v>
      </c>
      <c r="D233" s="12" t="s">
        <v>972</v>
      </c>
      <c r="E233" s="12" t="s">
        <v>5406</v>
      </c>
    </row>
    <row r="234" ht="15.75" customHeight="1">
      <c r="A234" s="12" t="s">
        <v>97</v>
      </c>
      <c r="B234" s="12" t="s">
        <v>3689</v>
      </c>
      <c r="C234" s="46" t="s">
        <v>5761</v>
      </c>
      <c r="D234" s="12" t="s">
        <v>972</v>
      </c>
      <c r="E234" s="12" t="s">
        <v>5406</v>
      </c>
    </row>
    <row r="235" ht="15.75" customHeight="1">
      <c r="A235" s="12" t="s">
        <v>97</v>
      </c>
      <c r="B235" s="12" t="s">
        <v>3693</v>
      </c>
      <c r="C235" s="46" t="s">
        <v>5762</v>
      </c>
      <c r="D235" s="12" t="s">
        <v>972</v>
      </c>
      <c r="E235" s="12" t="s">
        <v>5406</v>
      </c>
    </row>
    <row r="236" ht="15.75" customHeight="1">
      <c r="A236" s="12" t="s">
        <v>97</v>
      </c>
      <c r="B236" s="12" t="s">
        <v>3697</v>
      </c>
      <c r="C236" s="46" t="s">
        <v>5763</v>
      </c>
      <c r="D236" s="12" t="s">
        <v>972</v>
      </c>
      <c r="E236" s="12" t="s">
        <v>5406</v>
      </c>
    </row>
    <row r="237" ht="15.75" customHeight="1">
      <c r="A237" s="12" t="s">
        <v>97</v>
      </c>
      <c r="B237" s="12" t="s">
        <v>3701</v>
      </c>
      <c r="C237" s="46" t="s">
        <v>4938</v>
      </c>
      <c r="D237" s="12" t="s">
        <v>972</v>
      </c>
      <c r="E237" s="12" t="s">
        <v>5406</v>
      </c>
    </row>
    <row r="238" ht="15.75" customHeight="1">
      <c r="A238" s="12" t="s">
        <v>97</v>
      </c>
      <c r="B238" s="12" t="s">
        <v>3704</v>
      </c>
      <c r="C238" s="46" t="s">
        <v>5110</v>
      </c>
      <c r="D238" s="12" t="s">
        <v>972</v>
      </c>
      <c r="E238" s="12" t="s">
        <v>5406</v>
      </c>
    </row>
    <row r="239" ht="15.75" customHeight="1">
      <c r="A239" s="12" t="s">
        <v>97</v>
      </c>
      <c r="B239" s="12" t="s">
        <v>3708</v>
      </c>
      <c r="C239" s="46" t="s">
        <v>5573</v>
      </c>
      <c r="D239" s="12" t="s">
        <v>972</v>
      </c>
      <c r="E239" s="12" t="s">
        <v>5406</v>
      </c>
    </row>
    <row r="240" ht="15.75" customHeight="1">
      <c r="A240" s="12" t="s">
        <v>97</v>
      </c>
      <c r="B240" s="12" t="s">
        <v>3711</v>
      </c>
      <c r="C240" s="46" t="s">
        <v>5764</v>
      </c>
      <c r="D240" s="12" t="s">
        <v>972</v>
      </c>
      <c r="E240" s="12" t="s">
        <v>5406</v>
      </c>
    </row>
    <row r="241" ht="15.75" customHeight="1">
      <c r="A241" s="12" t="s">
        <v>97</v>
      </c>
      <c r="B241" s="12" t="s">
        <v>3714</v>
      </c>
      <c r="C241" s="46" t="s">
        <v>5765</v>
      </c>
      <c r="D241" s="12" t="s">
        <v>972</v>
      </c>
      <c r="E241" s="12" t="s">
        <v>5406</v>
      </c>
    </row>
    <row r="242" ht="15.75" customHeight="1">
      <c r="A242" s="12" t="s">
        <v>97</v>
      </c>
      <c r="B242" s="12" t="s">
        <v>3717</v>
      </c>
      <c r="C242" s="46" t="s">
        <v>5596</v>
      </c>
      <c r="D242" s="12" t="s">
        <v>972</v>
      </c>
      <c r="E242" s="12" t="s">
        <v>5406</v>
      </c>
    </row>
    <row r="243" ht="15.75" customHeight="1">
      <c r="A243" s="12" t="s">
        <v>97</v>
      </c>
      <c r="B243" s="12" t="s">
        <v>3721</v>
      </c>
      <c r="C243" s="46" t="s">
        <v>5766</v>
      </c>
      <c r="D243" s="12" t="s">
        <v>972</v>
      </c>
      <c r="E243" s="12" t="s">
        <v>5406</v>
      </c>
    </row>
    <row r="244" ht="15.75" customHeight="1">
      <c r="A244" s="12" t="s">
        <v>97</v>
      </c>
      <c r="B244" s="12" t="s">
        <v>3725</v>
      </c>
      <c r="C244" s="46" t="s">
        <v>5767</v>
      </c>
      <c r="D244" s="12" t="s">
        <v>972</v>
      </c>
      <c r="E244" s="12" t="s">
        <v>5406</v>
      </c>
    </row>
    <row r="245" ht="15.75" customHeight="1">
      <c r="A245" s="12" t="s">
        <v>97</v>
      </c>
      <c r="B245" s="12" t="s">
        <v>3728</v>
      </c>
      <c r="C245" s="46" t="s">
        <v>5768</v>
      </c>
      <c r="D245" s="12" t="s">
        <v>972</v>
      </c>
      <c r="E245" s="12" t="s">
        <v>5406</v>
      </c>
    </row>
    <row r="246" ht="15.75" customHeight="1">
      <c r="A246" s="12" t="s">
        <v>97</v>
      </c>
      <c r="B246" s="12" t="s">
        <v>3731</v>
      </c>
      <c r="C246" s="46" t="s">
        <v>5769</v>
      </c>
      <c r="D246" s="12" t="s">
        <v>972</v>
      </c>
      <c r="E246" s="12" t="s">
        <v>5406</v>
      </c>
    </row>
    <row r="247" ht="15.75" customHeight="1">
      <c r="A247" s="12" t="s">
        <v>97</v>
      </c>
      <c r="B247" s="12" t="s">
        <v>3735</v>
      </c>
      <c r="C247" s="46" t="s">
        <v>5770</v>
      </c>
      <c r="D247" s="12" t="s">
        <v>972</v>
      </c>
      <c r="E247" s="12" t="s">
        <v>5406</v>
      </c>
    </row>
    <row r="248" ht="15.75" customHeight="1">
      <c r="A248" s="12" t="s">
        <v>97</v>
      </c>
      <c r="B248" s="12" t="s">
        <v>3739</v>
      </c>
      <c r="C248" s="46" t="s">
        <v>5771</v>
      </c>
      <c r="D248" s="12" t="s">
        <v>972</v>
      </c>
      <c r="E248" s="12" t="s">
        <v>5406</v>
      </c>
    </row>
    <row r="249" ht="15.75" customHeight="1">
      <c r="A249" s="12" t="s">
        <v>97</v>
      </c>
      <c r="B249" s="12" t="s">
        <v>3742</v>
      </c>
      <c r="C249" s="46" t="s">
        <v>5772</v>
      </c>
      <c r="D249" s="12" t="s">
        <v>972</v>
      </c>
      <c r="E249" s="12" t="s">
        <v>5406</v>
      </c>
    </row>
    <row r="250" ht="15.75" customHeight="1">
      <c r="A250" s="12" t="s">
        <v>97</v>
      </c>
      <c r="B250" s="12" t="s">
        <v>3746</v>
      </c>
      <c r="C250" s="46" t="s">
        <v>5773</v>
      </c>
      <c r="D250" s="12" t="s">
        <v>972</v>
      </c>
      <c r="E250" s="12" t="s">
        <v>5406</v>
      </c>
    </row>
    <row r="251" ht="15.75" customHeight="1">
      <c r="A251" s="12" t="s">
        <v>97</v>
      </c>
      <c r="B251" s="12" t="s">
        <v>3748</v>
      </c>
      <c r="C251" s="46" t="s">
        <v>5774</v>
      </c>
      <c r="D251" s="12" t="s">
        <v>972</v>
      </c>
      <c r="E251" s="12" t="s">
        <v>5406</v>
      </c>
    </row>
    <row r="252" ht="15.75" customHeight="1">
      <c r="A252" s="12" t="s">
        <v>97</v>
      </c>
      <c r="B252" s="12" t="s">
        <v>3751</v>
      </c>
      <c r="C252" s="46" t="s">
        <v>5775</v>
      </c>
      <c r="D252" s="12" t="s">
        <v>972</v>
      </c>
      <c r="E252" s="12" t="s">
        <v>5406</v>
      </c>
    </row>
    <row r="253" ht="15.75" customHeight="1">
      <c r="A253" s="12" t="s">
        <v>97</v>
      </c>
      <c r="B253" s="12" t="s">
        <v>3754</v>
      </c>
      <c r="C253" s="46" t="s">
        <v>5776</v>
      </c>
      <c r="D253" s="12" t="s">
        <v>972</v>
      </c>
      <c r="E253" s="12" t="s">
        <v>5406</v>
      </c>
    </row>
    <row r="254" ht="15.75" customHeight="1">
      <c r="A254" s="12" t="s">
        <v>97</v>
      </c>
      <c r="B254" s="12" t="s">
        <v>3758</v>
      </c>
      <c r="C254" s="46" t="s">
        <v>5777</v>
      </c>
      <c r="D254" s="12" t="s">
        <v>972</v>
      </c>
      <c r="E254" s="12" t="s">
        <v>5406</v>
      </c>
    </row>
    <row r="255" ht="15.75" customHeight="1">
      <c r="A255" s="12" t="s">
        <v>97</v>
      </c>
      <c r="B255" s="12" t="s">
        <v>3762</v>
      </c>
      <c r="C255" s="46" t="s">
        <v>5778</v>
      </c>
      <c r="D255" s="12" t="s">
        <v>972</v>
      </c>
      <c r="E255" s="12" t="s">
        <v>5406</v>
      </c>
    </row>
    <row r="256" ht="15.75" customHeight="1">
      <c r="A256" s="12" t="s">
        <v>97</v>
      </c>
      <c r="B256" s="12" t="s">
        <v>3766</v>
      </c>
      <c r="C256" s="46" t="s">
        <v>5779</v>
      </c>
      <c r="D256" s="12" t="s">
        <v>972</v>
      </c>
      <c r="E256" s="12" t="s">
        <v>5406</v>
      </c>
    </row>
    <row r="257" ht="15.75" customHeight="1">
      <c r="A257" s="12" t="s">
        <v>97</v>
      </c>
      <c r="B257" s="12" t="s">
        <v>3769</v>
      </c>
      <c r="C257" s="46" t="s">
        <v>5780</v>
      </c>
      <c r="D257" s="12" t="s">
        <v>972</v>
      </c>
      <c r="E257" s="12" t="s">
        <v>5406</v>
      </c>
    </row>
    <row r="258" ht="15.75" customHeight="1">
      <c r="A258" s="12" t="s">
        <v>97</v>
      </c>
      <c r="B258" s="12" t="s">
        <v>3773</v>
      </c>
      <c r="C258" s="46" t="s">
        <v>5781</v>
      </c>
      <c r="D258" s="12" t="s">
        <v>972</v>
      </c>
      <c r="E258" s="12" t="s">
        <v>5406</v>
      </c>
    </row>
    <row r="259" ht="15.75" customHeight="1">
      <c r="A259" s="12" t="s">
        <v>97</v>
      </c>
      <c r="B259" s="12" t="s">
        <v>3779</v>
      </c>
      <c r="C259" s="46" t="s">
        <v>5782</v>
      </c>
      <c r="D259" s="12" t="s">
        <v>972</v>
      </c>
      <c r="E259" s="12" t="s">
        <v>5406</v>
      </c>
    </row>
    <row r="260" ht="15.75" customHeight="1">
      <c r="A260" s="12" t="s">
        <v>97</v>
      </c>
      <c r="B260" s="12" t="s">
        <v>3782</v>
      </c>
      <c r="C260" s="46" t="s">
        <v>5783</v>
      </c>
      <c r="D260" s="12" t="s">
        <v>972</v>
      </c>
      <c r="E260" s="12" t="s">
        <v>5406</v>
      </c>
    </row>
    <row r="261" ht="15.75" customHeight="1">
      <c r="A261" s="12" t="s">
        <v>97</v>
      </c>
      <c r="B261" s="12" t="s">
        <v>3784</v>
      </c>
      <c r="C261" s="46" t="s">
        <v>5784</v>
      </c>
      <c r="D261" s="12" t="s">
        <v>972</v>
      </c>
      <c r="E261" s="12" t="s">
        <v>5406</v>
      </c>
    </row>
    <row r="262" ht="15.75" customHeight="1">
      <c r="A262" s="12" t="s">
        <v>97</v>
      </c>
      <c r="B262" s="12" t="s">
        <v>3787</v>
      </c>
      <c r="C262" s="46" t="s">
        <v>5785</v>
      </c>
      <c r="D262" s="12" t="s">
        <v>972</v>
      </c>
      <c r="E262" s="12" t="s">
        <v>5406</v>
      </c>
    </row>
    <row r="263" ht="15.75" customHeight="1">
      <c r="A263" s="12" t="s">
        <v>97</v>
      </c>
      <c r="B263" s="12" t="s">
        <v>3791</v>
      </c>
      <c r="C263" s="46" t="s">
        <v>5786</v>
      </c>
      <c r="D263" s="12" t="s">
        <v>972</v>
      </c>
      <c r="E263" s="12" t="s">
        <v>5406</v>
      </c>
    </row>
    <row r="264" ht="15.75" customHeight="1">
      <c r="A264" s="12" t="s">
        <v>97</v>
      </c>
      <c r="B264" s="12" t="s">
        <v>3794</v>
      </c>
      <c r="C264" s="46" t="s">
        <v>5787</v>
      </c>
      <c r="D264" s="12" t="s">
        <v>972</v>
      </c>
      <c r="E264" s="12" t="s">
        <v>5406</v>
      </c>
    </row>
    <row r="265" ht="15.75" customHeight="1">
      <c r="A265" s="12" t="s">
        <v>97</v>
      </c>
      <c r="B265" s="12" t="s">
        <v>3801</v>
      </c>
      <c r="C265" s="46" t="s">
        <v>5788</v>
      </c>
      <c r="D265" s="12" t="s">
        <v>972</v>
      </c>
      <c r="E265" s="12" t="s">
        <v>5406</v>
      </c>
    </row>
    <row r="266" ht="15.75" customHeight="1">
      <c r="A266" s="12" t="s">
        <v>97</v>
      </c>
      <c r="B266" s="12" t="s">
        <v>3805</v>
      </c>
      <c r="C266" s="46" t="s">
        <v>5789</v>
      </c>
      <c r="D266" s="12" t="s">
        <v>972</v>
      </c>
      <c r="E266" s="12" t="s">
        <v>5406</v>
      </c>
    </row>
    <row r="267" ht="15.75" customHeight="1">
      <c r="A267" s="12" t="s">
        <v>97</v>
      </c>
      <c r="B267" s="12" t="s">
        <v>3808</v>
      </c>
      <c r="C267" s="46" t="s">
        <v>5790</v>
      </c>
      <c r="D267" s="12" t="s">
        <v>972</v>
      </c>
      <c r="E267" s="12" t="s">
        <v>5406</v>
      </c>
    </row>
    <row r="268" ht="15.75" customHeight="1">
      <c r="A268" s="12" t="s">
        <v>97</v>
      </c>
      <c r="B268" s="12" t="s">
        <v>3812</v>
      </c>
      <c r="C268" s="46" t="s">
        <v>5791</v>
      </c>
      <c r="D268" s="12" t="s">
        <v>972</v>
      </c>
      <c r="E268" s="12" t="s">
        <v>5406</v>
      </c>
    </row>
    <row r="269" ht="15.75" customHeight="1">
      <c r="A269" s="12" t="s">
        <v>97</v>
      </c>
      <c r="B269" s="12" t="s">
        <v>3816</v>
      </c>
      <c r="C269" s="46" t="s">
        <v>5792</v>
      </c>
      <c r="D269" s="12" t="s">
        <v>972</v>
      </c>
      <c r="E269" s="12" t="s">
        <v>5406</v>
      </c>
    </row>
    <row r="270" ht="15.75" customHeight="1">
      <c r="A270" s="12" t="s">
        <v>97</v>
      </c>
      <c r="B270" s="12" t="s">
        <v>3820</v>
      </c>
      <c r="C270" s="46" t="s">
        <v>5793</v>
      </c>
      <c r="D270" s="12" t="s">
        <v>972</v>
      </c>
      <c r="E270" s="12" t="s">
        <v>5406</v>
      </c>
    </row>
    <row r="271" ht="15.75" customHeight="1">
      <c r="A271" s="12" t="s">
        <v>97</v>
      </c>
      <c r="B271" s="12" t="s">
        <v>3824</v>
      </c>
      <c r="C271" s="46" t="s">
        <v>5794</v>
      </c>
      <c r="D271" s="12" t="s">
        <v>972</v>
      </c>
      <c r="E271" s="12" t="s">
        <v>5406</v>
      </c>
    </row>
    <row r="272" ht="15.75" customHeight="1">
      <c r="A272" s="12" t="s">
        <v>142</v>
      </c>
      <c r="B272" s="12" t="s">
        <v>3630</v>
      </c>
      <c r="C272" s="46" t="s">
        <v>5795</v>
      </c>
      <c r="D272" s="12" t="s">
        <v>985</v>
      </c>
      <c r="E272" s="12" t="s">
        <v>5406</v>
      </c>
    </row>
    <row r="273" ht="15.75" customHeight="1">
      <c r="A273" s="12" t="s">
        <v>142</v>
      </c>
      <c r="B273" s="12" t="s">
        <v>3634</v>
      </c>
      <c r="C273" s="46" t="s">
        <v>5089</v>
      </c>
      <c r="D273" s="12" t="s">
        <v>985</v>
      </c>
      <c r="E273" s="12" t="s">
        <v>5406</v>
      </c>
    </row>
    <row r="274" ht="15.75" customHeight="1">
      <c r="A274" s="12" t="s">
        <v>142</v>
      </c>
      <c r="B274" s="12" t="s">
        <v>3637</v>
      </c>
      <c r="C274" s="46" t="s">
        <v>5526</v>
      </c>
      <c r="D274" s="12" t="s">
        <v>985</v>
      </c>
      <c r="E274" s="12" t="s">
        <v>5406</v>
      </c>
    </row>
    <row r="275" ht="15.75" customHeight="1">
      <c r="A275" s="12" t="s">
        <v>142</v>
      </c>
      <c r="B275" s="12" t="s">
        <v>3641</v>
      </c>
      <c r="C275" s="46" t="s">
        <v>5527</v>
      </c>
      <c r="D275" s="12" t="s">
        <v>985</v>
      </c>
      <c r="E275" s="12" t="s">
        <v>5406</v>
      </c>
    </row>
    <row r="276" ht="15.75" customHeight="1">
      <c r="A276" s="12" t="s">
        <v>142</v>
      </c>
      <c r="B276" s="12" t="s">
        <v>3645</v>
      </c>
      <c r="C276" s="46" t="s">
        <v>5529</v>
      </c>
      <c r="D276" s="12" t="s">
        <v>985</v>
      </c>
      <c r="E276" s="12" t="s">
        <v>5406</v>
      </c>
    </row>
    <row r="277" ht="15.75" customHeight="1">
      <c r="A277" s="12" t="s">
        <v>142</v>
      </c>
      <c r="B277" s="12" t="s">
        <v>3649</v>
      </c>
      <c r="C277" s="46" t="s">
        <v>5530</v>
      </c>
      <c r="D277" s="12" t="s">
        <v>985</v>
      </c>
      <c r="E277" s="12" t="s">
        <v>5406</v>
      </c>
    </row>
    <row r="278" ht="15.75" customHeight="1">
      <c r="A278" s="12" t="s">
        <v>142</v>
      </c>
      <c r="B278" s="12" t="s">
        <v>3652</v>
      </c>
      <c r="C278" s="46" t="s">
        <v>5531</v>
      </c>
      <c r="D278" s="12" t="s">
        <v>985</v>
      </c>
      <c r="E278" s="12" t="s">
        <v>5406</v>
      </c>
    </row>
    <row r="279" ht="15.75" customHeight="1">
      <c r="A279" s="12" t="s">
        <v>142</v>
      </c>
      <c r="B279" s="12" t="s">
        <v>3658</v>
      </c>
      <c r="C279" s="46" t="s">
        <v>5533</v>
      </c>
      <c r="D279" s="12" t="s">
        <v>985</v>
      </c>
      <c r="E279" s="12" t="s">
        <v>5406</v>
      </c>
    </row>
    <row r="280" ht="15.75" customHeight="1">
      <c r="A280" s="12" t="s">
        <v>142</v>
      </c>
      <c r="B280" s="12" t="s">
        <v>3659</v>
      </c>
      <c r="C280" s="46" t="s">
        <v>5536</v>
      </c>
      <c r="D280" s="12" t="s">
        <v>985</v>
      </c>
      <c r="E280" s="12" t="s">
        <v>5406</v>
      </c>
    </row>
    <row r="281" ht="15.75" customHeight="1">
      <c r="A281" s="12" t="s">
        <v>142</v>
      </c>
      <c r="B281" s="12" t="s">
        <v>3662</v>
      </c>
      <c r="C281" s="46" t="s">
        <v>5538</v>
      </c>
      <c r="D281" s="12" t="s">
        <v>985</v>
      </c>
      <c r="E281" s="12" t="s">
        <v>5406</v>
      </c>
    </row>
    <row r="282" ht="15.75" customHeight="1">
      <c r="A282" s="12" t="s">
        <v>142</v>
      </c>
      <c r="B282" s="12" t="s">
        <v>3666</v>
      </c>
      <c r="C282" s="46" t="s">
        <v>5541</v>
      </c>
      <c r="D282" s="12" t="s">
        <v>985</v>
      </c>
      <c r="E282" s="12" t="s">
        <v>5406</v>
      </c>
    </row>
    <row r="283" ht="15.75" customHeight="1">
      <c r="A283" s="12" t="s">
        <v>142</v>
      </c>
      <c r="B283" s="12" t="s">
        <v>3670</v>
      </c>
      <c r="C283" s="46" t="s">
        <v>5545</v>
      </c>
      <c r="D283" s="12" t="s">
        <v>985</v>
      </c>
      <c r="E283" s="12" t="s">
        <v>5406</v>
      </c>
    </row>
    <row r="284" ht="15.75" customHeight="1">
      <c r="A284" s="12" t="s">
        <v>142</v>
      </c>
      <c r="B284" s="12" t="s">
        <v>3674</v>
      </c>
      <c r="C284" s="46" t="s">
        <v>5548</v>
      </c>
      <c r="D284" s="12" t="s">
        <v>985</v>
      </c>
      <c r="E284" s="12" t="s">
        <v>5406</v>
      </c>
    </row>
    <row r="285" ht="15.75" customHeight="1">
      <c r="A285" s="12" t="s">
        <v>142</v>
      </c>
      <c r="B285" s="12" t="s">
        <v>3677</v>
      </c>
      <c r="C285" s="46" t="s">
        <v>5550</v>
      </c>
      <c r="D285" s="12" t="s">
        <v>985</v>
      </c>
      <c r="E285" s="12" t="s">
        <v>5406</v>
      </c>
    </row>
    <row r="286" ht="15.75" customHeight="1">
      <c r="A286" s="12" t="s">
        <v>142</v>
      </c>
      <c r="B286" s="12" t="s">
        <v>3681</v>
      </c>
      <c r="C286" s="46" t="s">
        <v>5552</v>
      </c>
      <c r="D286" s="12" t="s">
        <v>985</v>
      </c>
      <c r="E286" s="12" t="s">
        <v>5406</v>
      </c>
    </row>
    <row r="287" ht="15.75" customHeight="1">
      <c r="A287" s="12" t="s">
        <v>142</v>
      </c>
      <c r="B287" s="12" t="s">
        <v>3685</v>
      </c>
      <c r="C287" s="46" t="s">
        <v>5553</v>
      </c>
      <c r="D287" s="12" t="s">
        <v>985</v>
      </c>
      <c r="E287" s="12" t="s">
        <v>5406</v>
      </c>
    </row>
    <row r="288" ht="15.75" customHeight="1">
      <c r="A288" s="12" t="s">
        <v>142</v>
      </c>
      <c r="B288" s="12" t="s">
        <v>3689</v>
      </c>
      <c r="C288" s="46" t="s">
        <v>5554</v>
      </c>
      <c r="D288" s="12" t="s">
        <v>985</v>
      </c>
      <c r="E288" s="12" t="s">
        <v>5406</v>
      </c>
    </row>
    <row r="289" ht="15.75" customHeight="1">
      <c r="A289" s="12" t="s">
        <v>142</v>
      </c>
      <c r="B289" s="12" t="s">
        <v>3693</v>
      </c>
      <c r="C289" s="46" t="s">
        <v>5555</v>
      </c>
      <c r="D289" s="12" t="s">
        <v>985</v>
      </c>
      <c r="E289" s="12" t="s">
        <v>5406</v>
      </c>
    </row>
    <row r="290" ht="15.75" customHeight="1">
      <c r="A290" s="12" t="s">
        <v>142</v>
      </c>
      <c r="B290" s="12" t="s">
        <v>3697</v>
      </c>
      <c r="C290" s="46" t="s">
        <v>5556</v>
      </c>
      <c r="D290" s="12" t="s">
        <v>985</v>
      </c>
      <c r="E290" s="12" t="s">
        <v>5406</v>
      </c>
    </row>
    <row r="291" ht="15.75" customHeight="1">
      <c r="A291" s="12" t="s">
        <v>142</v>
      </c>
      <c r="B291" s="12" t="s">
        <v>3701</v>
      </c>
      <c r="C291" s="46" t="s">
        <v>5557</v>
      </c>
      <c r="D291" s="12" t="s">
        <v>985</v>
      </c>
      <c r="E291" s="12" t="s">
        <v>5406</v>
      </c>
    </row>
    <row r="292" ht="15.75" customHeight="1">
      <c r="A292" s="12" t="s">
        <v>142</v>
      </c>
      <c r="B292" s="12" t="s">
        <v>3704</v>
      </c>
      <c r="C292" s="46" t="s">
        <v>5558</v>
      </c>
      <c r="D292" s="12" t="s">
        <v>985</v>
      </c>
      <c r="E292" s="12" t="s">
        <v>5406</v>
      </c>
    </row>
    <row r="293" ht="15.75" customHeight="1">
      <c r="A293" s="12" t="s">
        <v>142</v>
      </c>
      <c r="B293" s="12" t="s">
        <v>3708</v>
      </c>
      <c r="C293" s="46" t="s">
        <v>5559</v>
      </c>
      <c r="D293" s="12" t="s">
        <v>985</v>
      </c>
      <c r="E293" s="12" t="s">
        <v>5406</v>
      </c>
    </row>
    <row r="294" ht="15.75" customHeight="1">
      <c r="A294" s="12" t="s">
        <v>142</v>
      </c>
      <c r="B294" s="12" t="s">
        <v>3711</v>
      </c>
      <c r="C294" s="46" t="s">
        <v>5560</v>
      </c>
      <c r="D294" s="12" t="s">
        <v>985</v>
      </c>
      <c r="E294" s="12" t="s">
        <v>5406</v>
      </c>
    </row>
    <row r="295" ht="15.75" customHeight="1">
      <c r="A295" s="12" t="s">
        <v>142</v>
      </c>
      <c r="B295" s="12" t="s">
        <v>3714</v>
      </c>
      <c r="C295" s="46" t="s">
        <v>5561</v>
      </c>
      <c r="D295" s="12" t="s">
        <v>985</v>
      </c>
      <c r="E295" s="12" t="s">
        <v>5406</v>
      </c>
    </row>
    <row r="296" ht="15.75" customHeight="1">
      <c r="A296" s="12" t="s">
        <v>142</v>
      </c>
      <c r="B296" s="12" t="s">
        <v>3717</v>
      </c>
      <c r="C296" s="46" t="s">
        <v>5562</v>
      </c>
      <c r="D296" s="12" t="s">
        <v>985</v>
      </c>
      <c r="E296" s="12" t="s">
        <v>5406</v>
      </c>
    </row>
    <row r="297" ht="15.75" customHeight="1">
      <c r="A297" s="12" t="s">
        <v>142</v>
      </c>
      <c r="B297" s="12" t="s">
        <v>3721</v>
      </c>
      <c r="C297" s="46" t="s">
        <v>5563</v>
      </c>
      <c r="D297" s="12" t="s">
        <v>985</v>
      </c>
      <c r="E297" s="12" t="s">
        <v>5406</v>
      </c>
    </row>
    <row r="298" ht="15.75" customHeight="1">
      <c r="A298" s="12" t="s">
        <v>142</v>
      </c>
      <c r="B298" s="12" t="s">
        <v>3725</v>
      </c>
      <c r="C298" s="46" t="s">
        <v>5564</v>
      </c>
      <c r="D298" s="12" t="s">
        <v>985</v>
      </c>
      <c r="E298" s="12" t="s">
        <v>5406</v>
      </c>
    </row>
    <row r="299" ht="15.75" customHeight="1">
      <c r="A299" s="12" t="s">
        <v>142</v>
      </c>
      <c r="B299" s="12" t="s">
        <v>3728</v>
      </c>
      <c r="C299" s="46" t="s">
        <v>5565</v>
      </c>
      <c r="D299" s="12" t="s">
        <v>985</v>
      </c>
      <c r="E299" s="12" t="s">
        <v>5406</v>
      </c>
    </row>
    <row r="300" ht="15.75" customHeight="1">
      <c r="A300" s="12" t="s">
        <v>142</v>
      </c>
      <c r="B300" s="12" t="s">
        <v>3731</v>
      </c>
      <c r="C300" s="46" t="s">
        <v>5566</v>
      </c>
      <c r="D300" s="12" t="s">
        <v>985</v>
      </c>
      <c r="E300" s="12" t="s">
        <v>5406</v>
      </c>
    </row>
    <row r="301" ht="15.75" customHeight="1">
      <c r="A301" s="12" t="s">
        <v>142</v>
      </c>
      <c r="B301" s="12" t="s">
        <v>3735</v>
      </c>
      <c r="C301" s="46" t="s">
        <v>5567</v>
      </c>
      <c r="D301" s="12" t="s">
        <v>985</v>
      </c>
      <c r="E301" s="12" t="s">
        <v>5406</v>
      </c>
    </row>
    <row r="302" ht="15.75" customHeight="1">
      <c r="A302" s="12" t="s">
        <v>142</v>
      </c>
      <c r="B302" s="12" t="s">
        <v>3739</v>
      </c>
      <c r="C302" s="46" t="s">
        <v>5568</v>
      </c>
      <c r="D302" s="12" t="s">
        <v>985</v>
      </c>
      <c r="E302" s="12" t="s">
        <v>5406</v>
      </c>
    </row>
    <row r="303" ht="15.75" customHeight="1">
      <c r="A303" s="12" t="s">
        <v>142</v>
      </c>
      <c r="B303" s="12" t="s">
        <v>3742</v>
      </c>
      <c r="C303" s="46" t="s">
        <v>5569</v>
      </c>
      <c r="D303" s="12" t="s">
        <v>985</v>
      </c>
      <c r="E303" s="12" t="s">
        <v>5406</v>
      </c>
    </row>
    <row r="304" ht="15.75" customHeight="1">
      <c r="A304" s="12" t="s">
        <v>142</v>
      </c>
      <c r="B304" s="12" t="s">
        <v>3746</v>
      </c>
      <c r="C304" s="46" t="s">
        <v>5570</v>
      </c>
      <c r="D304" s="12" t="s">
        <v>985</v>
      </c>
      <c r="E304" s="12" t="s">
        <v>5406</v>
      </c>
    </row>
    <row r="305" ht="15.75" customHeight="1">
      <c r="A305" s="12" t="s">
        <v>142</v>
      </c>
      <c r="B305" s="12" t="s">
        <v>3748</v>
      </c>
      <c r="C305" s="46" t="s">
        <v>5571</v>
      </c>
      <c r="D305" s="12" t="s">
        <v>985</v>
      </c>
      <c r="E305" s="12" t="s">
        <v>5406</v>
      </c>
    </row>
    <row r="306" ht="15.75" customHeight="1">
      <c r="A306" s="12" t="s">
        <v>142</v>
      </c>
      <c r="B306" s="12" t="s">
        <v>3751</v>
      </c>
      <c r="C306" s="46" t="s">
        <v>5572</v>
      </c>
      <c r="D306" s="12" t="s">
        <v>985</v>
      </c>
      <c r="E306" s="12" t="s">
        <v>5406</v>
      </c>
    </row>
    <row r="307" ht="15.75" customHeight="1">
      <c r="A307" s="12" t="s">
        <v>142</v>
      </c>
      <c r="B307" s="12" t="s">
        <v>3754</v>
      </c>
      <c r="C307" s="46" t="s">
        <v>5573</v>
      </c>
      <c r="D307" s="12" t="s">
        <v>985</v>
      </c>
      <c r="E307" s="12" t="s">
        <v>5406</v>
      </c>
    </row>
    <row r="308" ht="15.75" customHeight="1">
      <c r="A308" s="12" t="s">
        <v>142</v>
      </c>
      <c r="B308" s="12" t="s">
        <v>3758</v>
      </c>
      <c r="C308" s="46" t="s">
        <v>5574</v>
      </c>
      <c r="D308" s="12" t="s">
        <v>985</v>
      </c>
      <c r="E308" s="12" t="s">
        <v>5406</v>
      </c>
    </row>
    <row r="309" ht="15.75" customHeight="1">
      <c r="A309" s="12" t="s">
        <v>142</v>
      </c>
      <c r="B309" s="12" t="s">
        <v>3762</v>
      </c>
      <c r="C309" s="46" t="s">
        <v>5575</v>
      </c>
      <c r="D309" s="12" t="s">
        <v>985</v>
      </c>
      <c r="E309" s="12" t="s">
        <v>5406</v>
      </c>
    </row>
    <row r="310" ht="15.75" customHeight="1">
      <c r="A310" s="12" t="s">
        <v>142</v>
      </c>
      <c r="B310" s="12" t="s">
        <v>3766</v>
      </c>
      <c r="C310" s="46" t="s">
        <v>5576</v>
      </c>
      <c r="D310" s="12" t="s">
        <v>985</v>
      </c>
      <c r="E310" s="12" t="s">
        <v>5406</v>
      </c>
    </row>
    <row r="311" ht="15.75" customHeight="1">
      <c r="A311" s="12" t="s">
        <v>142</v>
      </c>
      <c r="B311" s="12" t="s">
        <v>3769</v>
      </c>
      <c r="C311" s="46" t="s">
        <v>5577</v>
      </c>
      <c r="D311" s="12" t="s">
        <v>985</v>
      </c>
      <c r="E311" s="12" t="s">
        <v>5406</v>
      </c>
    </row>
    <row r="312" ht="15.75" customHeight="1">
      <c r="A312" s="12" t="s">
        <v>142</v>
      </c>
      <c r="B312" s="12" t="s">
        <v>3773</v>
      </c>
      <c r="C312" s="46" t="s">
        <v>5578</v>
      </c>
      <c r="D312" s="12" t="s">
        <v>985</v>
      </c>
      <c r="E312" s="12" t="s">
        <v>5406</v>
      </c>
    </row>
    <row r="313" ht="15.75" customHeight="1">
      <c r="A313" s="12" t="s">
        <v>142</v>
      </c>
      <c r="B313" s="12" t="s">
        <v>3776</v>
      </c>
      <c r="C313" s="46" t="s">
        <v>5579</v>
      </c>
      <c r="D313" s="12" t="s">
        <v>985</v>
      </c>
      <c r="E313" s="12" t="s">
        <v>5406</v>
      </c>
    </row>
    <row r="314" ht="15.75" customHeight="1">
      <c r="A314" s="12" t="s">
        <v>142</v>
      </c>
      <c r="B314" s="12" t="s">
        <v>3779</v>
      </c>
      <c r="C314" s="46" t="s">
        <v>5580</v>
      </c>
      <c r="D314" s="12" t="s">
        <v>985</v>
      </c>
      <c r="E314" s="12" t="s">
        <v>5406</v>
      </c>
    </row>
    <row r="315" ht="15.75" customHeight="1">
      <c r="A315" s="12" t="s">
        <v>142</v>
      </c>
      <c r="B315" s="12" t="s">
        <v>3782</v>
      </c>
      <c r="C315" s="46" t="s">
        <v>5581</v>
      </c>
      <c r="D315" s="12" t="s">
        <v>985</v>
      </c>
      <c r="E315" s="12" t="s">
        <v>5406</v>
      </c>
    </row>
    <row r="316" ht="15.75" customHeight="1">
      <c r="A316" s="12" t="s">
        <v>142</v>
      </c>
      <c r="B316" s="12" t="s">
        <v>3784</v>
      </c>
      <c r="C316" s="46" t="s">
        <v>5582</v>
      </c>
      <c r="D316" s="12" t="s">
        <v>985</v>
      </c>
      <c r="E316" s="12" t="s">
        <v>5406</v>
      </c>
    </row>
    <row r="317" ht="15.75" customHeight="1">
      <c r="A317" s="12" t="s">
        <v>142</v>
      </c>
      <c r="B317" s="12" t="s">
        <v>3787</v>
      </c>
      <c r="C317" s="46" t="s">
        <v>5583</v>
      </c>
      <c r="D317" s="12" t="s">
        <v>985</v>
      </c>
      <c r="E317" s="12" t="s">
        <v>5406</v>
      </c>
    </row>
    <row r="318" ht="15.75" customHeight="1">
      <c r="A318" s="12" t="s">
        <v>142</v>
      </c>
      <c r="B318" s="12" t="s">
        <v>3791</v>
      </c>
      <c r="C318" s="46" t="s">
        <v>5584</v>
      </c>
      <c r="D318" s="12" t="s">
        <v>985</v>
      </c>
      <c r="E318" s="12" t="s">
        <v>5406</v>
      </c>
    </row>
    <row r="319" ht="15.75" customHeight="1">
      <c r="A319" s="12" t="s">
        <v>142</v>
      </c>
      <c r="B319" s="12" t="s">
        <v>3794</v>
      </c>
      <c r="C319" s="46" t="s">
        <v>5585</v>
      </c>
      <c r="D319" s="12" t="s">
        <v>985</v>
      </c>
      <c r="E319" s="12" t="s">
        <v>5406</v>
      </c>
    </row>
    <row r="320" ht="15.75" customHeight="1">
      <c r="A320" s="12" t="s">
        <v>142</v>
      </c>
      <c r="B320" s="12" t="s">
        <v>3797</v>
      </c>
      <c r="C320" s="46" t="s">
        <v>5586</v>
      </c>
      <c r="D320" s="12" t="s">
        <v>985</v>
      </c>
      <c r="E320" s="12" t="s">
        <v>5406</v>
      </c>
    </row>
    <row r="321" ht="15.75" customHeight="1">
      <c r="A321" s="12" t="s">
        <v>142</v>
      </c>
      <c r="B321" s="12" t="s">
        <v>3801</v>
      </c>
      <c r="C321" s="46" t="s">
        <v>5587</v>
      </c>
      <c r="D321" s="12" t="s">
        <v>985</v>
      </c>
      <c r="E321" s="12" t="s">
        <v>5406</v>
      </c>
    </row>
    <row r="322" ht="15.75" customHeight="1">
      <c r="A322" s="12" t="s">
        <v>142</v>
      </c>
      <c r="B322" s="12" t="s">
        <v>3805</v>
      </c>
      <c r="C322" s="46" t="s">
        <v>5588</v>
      </c>
      <c r="D322" s="12" t="s">
        <v>985</v>
      </c>
      <c r="E322" s="12" t="s">
        <v>5406</v>
      </c>
    </row>
    <row r="323" ht="15.75" customHeight="1">
      <c r="A323" s="12" t="s">
        <v>142</v>
      </c>
      <c r="B323" s="12" t="s">
        <v>3808</v>
      </c>
      <c r="C323" s="46" t="s">
        <v>5589</v>
      </c>
      <c r="D323" s="12" t="s">
        <v>985</v>
      </c>
      <c r="E323" s="12" t="s">
        <v>5406</v>
      </c>
    </row>
    <row r="324" ht="15.75" customHeight="1">
      <c r="A324" s="12" t="s">
        <v>142</v>
      </c>
      <c r="B324" s="12" t="s">
        <v>3812</v>
      </c>
      <c r="C324" s="46" t="s">
        <v>5590</v>
      </c>
      <c r="D324" s="12" t="s">
        <v>985</v>
      </c>
      <c r="E324" s="12" t="s">
        <v>5406</v>
      </c>
    </row>
    <row r="325" ht="15.75" customHeight="1">
      <c r="A325" s="12" t="s">
        <v>142</v>
      </c>
      <c r="B325" s="12" t="s">
        <v>3816</v>
      </c>
      <c r="C325" s="46" t="s">
        <v>5591</v>
      </c>
      <c r="D325" s="12" t="s">
        <v>985</v>
      </c>
      <c r="E325" s="12" t="s">
        <v>5406</v>
      </c>
    </row>
    <row r="326" ht="15.75" customHeight="1">
      <c r="A326" s="12" t="s">
        <v>142</v>
      </c>
      <c r="B326" s="12" t="s">
        <v>3820</v>
      </c>
      <c r="C326" s="46" t="s">
        <v>5592</v>
      </c>
      <c r="D326" s="12" t="s">
        <v>985</v>
      </c>
      <c r="E326" s="12" t="s">
        <v>5406</v>
      </c>
    </row>
    <row r="327" ht="15.75" customHeight="1">
      <c r="A327" s="12" t="s">
        <v>142</v>
      </c>
      <c r="B327" s="12" t="s">
        <v>3824</v>
      </c>
      <c r="C327" s="46" t="s">
        <v>5593</v>
      </c>
      <c r="D327" s="12" t="s">
        <v>985</v>
      </c>
      <c r="E327" s="12" t="s">
        <v>5406</v>
      </c>
    </row>
    <row r="328" ht="15.75" customHeight="1">
      <c r="A328" s="12" t="s">
        <v>142</v>
      </c>
      <c r="B328" s="12" t="s">
        <v>3827</v>
      </c>
      <c r="C328" s="46" t="s">
        <v>5594</v>
      </c>
      <c r="D328" s="12" t="s">
        <v>985</v>
      </c>
      <c r="E328" s="12" t="s">
        <v>5406</v>
      </c>
    </row>
    <row r="329" ht="15.75" customHeight="1">
      <c r="A329" s="12" t="s">
        <v>142</v>
      </c>
      <c r="B329" s="12" t="s">
        <v>3830</v>
      </c>
      <c r="C329" s="46" t="s">
        <v>5595</v>
      </c>
      <c r="D329" s="12" t="s">
        <v>985</v>
      </c>
      <c r="E329" s="12" t="s">
        <v>5406</v>
      </c>
    </row>
    <row r="330" ht="15.75" customHeight="1">
      <c r="A330" s="12" t="s">
        <v>142</v>
      </c>
      <c r="B330" s="12" t="s">
        <v>3831</v>
      </c>
      <c r="C330" s="46" t="s">
        <v>5596</v>
      </c>
      <c r="D330" s="12" t="s">
        <v>985</v>
      </c>
      <c r="E330" s="12" t="s">
        <v>5406</v>
      </c>
    </row>
    <row r="331" ht="15.75" customHeight="1">
      <c r="A331" s="12" t="s">
        <v>142</v>
      </c>
      <c r="B331" s="12" t="s">
        <v>3834</v>
      </c>
      <c r="C331" s="46" t="s">
        <v>5597</v>
      </c>
      <c r="D331" s="12" t="s">
        <v>985</v>
      </c>
      <c r="E331" s="12" t="s">
        <v>5406</v>
      </c>
    </row>
    <row r="332" ht="15.75" customHeight="1">
      <c r="A332" s="12" t="s">
        <v>142</v>
      </c>
      <c r="B332" s="12" t="s">
        <v>3837</v>
      </c>
      <c r="C332" s="46" t="s">
        <v>5598</v>
      </c>
      <c r="D332" s="12" t="s">
        <v>985</v>
      </c>
      <c r="E332" s="12" t="s">
        <v>5406</v>
      </c>
    </row>
    <row r="333" ht="15.75" customHeight="1">
      <c r="A333" s="12" t="s">
        <v>142</v>
      </c>
      <c r="B333" s="12" t="s">
        <v>3840</v>
      </c>
      <c r="C333" s="46" t="s">
        <v>5599</v>
      </c>
      <c r="D333" s="12" t="s">
        <v>985</v>
      </c>
      <c r="E333" s="12" t="s">
        <v>5406</v>
      </c>
    </row>
    <row r="334" ht="15.75" customHeight="1">
      <c r="A334" s="12" t="s">
        <v>142</v>
      </c>
      <c r="B334" s="12" t="s">
        <v>3843</v>
      </c>
      <c r="C334" s="46" t="s">
        <v>5600</v>
      </c>
      <c r="D334" s="12" t="s">
        <v>985</v>
      </c>
      <c r="E334" s="12" t="s">
        <v>5406</v>
      </c>
    </row>
    <row r="335" ht="15.75" customHeight="1">
      <c r="A335" s="12" t="s">
        <v>142</v>
      </c>
      <c r="B335" s="12" t="s">
        <v>3846</v>
      </c>
      <c r="C335" s="46" t="s">
        <v>5601</v>
      </c>
      <c r="D335" s="12" t="s">
        <v>985</v>
      </c>
      <c r="E335" s="12" t="s">
        <v>5406</v>
      </c>
    </row>
    <row r="336" ht="15.75" customHeight="1">
      <c r="A336" s="12" t="s">
        <v>142</v>
      </c>
      <c r="B336" s="12" t="s">
        <v>3850</v>
      </c>
      <c r="C336" s="46" t="s">
        <v>5602</v>
      </c>
      <c r="D336" s="12" t="s">
        <v>985</v>
      </c>
      <c r="E336" s="12" t="s">
        <v>5406</v>
      </c>
    </row>
    <row r="337" ht="15.75" customHeight="1">
      <c r="A337" s="12" t="s">
        <v>142</v>
      </c>
      <c r="B337" s="12" t="s">
        <v>3854</v>
      </c>
      <c r="C337" s="46" t="s">
        <v>5603</v>
      </c>
      <c r="D337" s="12" t="s">
        <v>985</v>
      </c>
      <c r="E337" s="12" t="s">
        <v>5406</v>
      </c>
    </row>
    <row r="338" ht="15.75" customHeight="1">
      <c r="A338" s="12" t="s">
        <v>142</v>
      </c>
      <c r="B338" s="12" t="s">
        <v>3857</v>
      </c>
      <c r="C338" s="46" t="s">
        <v>5604</v>
      </c>
      <c r="D338" s="12" t="s">
        <v>985</v>
      </c>
      <c r="E338" s="12" t="s">
        <v>5406</v>
      </c>
    </row>
    <row r="339" ht="15.75" customHeight="1">
      <c r="A339" s="12" t="s">
        <v>142</v>
      </c>
      <c r="B339" s="12" t="s">
        <v>3860</v>
      </c>
      <c r="C339" s="46" t="s">
        <v>5605</v>
      </c>
      <c r="D339" s="12" t="s">
        <v>985</v>
      </c>
      <c r="E339" s="12" t="s">
        <v>5406</v>
      </c>
    </row>
    <row r="340" ht="15.75" customHeight="1">
      <c r="A340" s="12" t="s">
        <v>142</v>
      </c>
      <c r="B340" s="12" t="s">
        <v>3864</v>
      </c>
      <c r="C340" s="46" t="s">
        <v>5606</v>
      </c>
      <c r="D340" s="12" t="s">
        <v>985</v>
      </c>
      <c r="E340" s="12" t="s">
        <v>5406</v>
      </c>
    </row>
    <row r="341" ht="15.75" customHeight="1">
      <c r="A341" s="12" t="s">
        <v>142</v>
      </c>
      <c r="B341" s="12" t="s">
        <v>3867</v>
      </c>
      <c r="C341" s="46" t="s">
        <v>5607</v>
      </c>
      <c r="D341" s="12" t="s">
        <v>985</v>
      </c>
      <c r="E341" s="12" t="s">
        <v>5406</v>
      </c>
    </row>
    <row r="342" ht="15.75" customHeight="1">
      <c r="A342" s="12" t="s">
        <v>142</v>
      </c>
      <c r="B342" s="12" t="s">
        <v>3871</v>
      </c>
      <c r="C342" s="46" t="s">
        <v>5608</v>
      </c>
      <c r="D342" s="12" t="s">
        <v>985</v>
      </c>
      <c r="E342" s="12" t="s">
        <v>5406</v>
      </c>
    </row>
    <row r="343" ht="15.75" customHeight="1">
      <c r="A343" s="12" t="s">
        <v>142</v>
      </c>
      <c r="B343" s="12" t="s">
        <v>3874</v>
      </c>
      <c r="C343" s="46" t="s">
        <v>5609</v>
      </c>
      <c r="D343" s="12" t="s">
        <v>985</v>
      </c>
      <c r="E343" s="12" t="s">
        <v>5406</v>
      </c>
    </row>
    <row r="344" ht="15.75" customHeight="1">
      <c r="A344" s="12" t="s">
        <v>142</v>
      </c>
      <c r="B344" s="12" t="s">
        <v>3879</v>
      </c>
      <c r="C344" s="46" t="s">
        <v>50</v>
      </c>
      <c r="D344" s="12" t="s">
        <v>985</v>
      </c>
      <c r="E344" s="12" t="s">
        <v>5406</v>
      </c>
    </row>
    <row r="345" ht="15.75" customHeight="1">
      <c r="A345" s="12" t="s">
        <v>142</v>
      </c>
      <c r="B345" s="12" t="s">
        <v>3883</v>
      </c>
      <c r="C345" s="46" t="s">
        <v>5610</v>
      </c>
      <c r="D345" s="12" t="s">
        <v>985</v>
      </c>
      <c r="E345" s="12" t="s">
        <v>5406</v>
      </c>
    </row>
    <row r="346" ht="15.75" customHeight="1">
      <c r="A346" s="12" t="s">
        <v>142</v>
      </c>
      <c r="B346" s="12" t="s">
        <v>3888</v>
      </c>
      <c r="C346" s="46" t="s">
        <v>5611</v>
      </c>
      <c r="D346" s="12" t="s">
        <v>985</v>
      </c>
      <c r="E346" s="12" t="s">
        <v>5406</v>
      </c>
    </row>
    <row r="347" ht="15.75" customHeight="1">
      <c r="A347" s="12" t="s">
        <v>142</v>
      </c>
      <c r="B347" s="12" t="s">
        <v>3893</v>
      </c>
      <c r="C347" s="46" t="s">
        <v>5612</v>
      </c>
      <c r="D347" s="12" t="s">
        <v>985</v>
      </c>
      <c r="E347" s="12" t="s">
        <v>5406</v>
      </c>
    </row>
    <row r="348" ht="15.75" customHeight="1">
      <c r="A348" s="12" t="s">
        <v>142</v>
      </c>
      <c r="B348" s="12" t="s">
        <v>3898</v>
      </c>
      <c r="C348" s="46" t="s">
        <v>5613</v>
      </c>
      <c r="D348" s="12" t="s">
        <v>985</v>
      </c>
      <c r="E348" s="12" t="s">
        <v>5406</v>
      </c>
    </row>
    <row r="349" ht="15.75" customHeight="1">
      <c r="A349" s="12" t="s">
        <v>142</v>
      </c>
      <c r="B349" s="12" t="s">
        <v>3903</v>
      </c>
      <c r="C349" s="46" t="s">
        <v>5614</v>
      </c>
      <c r="D349" s="12" t="s">
        <v>985</v>
      </c>
      <c r="E349" s="12" t="s">
        <v>5406</v>
      </c>
    </row>
    <row r="350" ht="15.75" customHeight="1">
      <c r="A350" s="12" t="s">
        <v>142</v>
      </c>
      <c r="B350" s="12" t="s">
        <v>3907</v>
      </c>
      <c r="C350" s="46" t="s">
        <v>5615</v>
      </c>
      <c r="D350" s="12" t="s">
        <v>985</v>
      </c>
      <c r="E350" s="12" t="s">
        <v>5406</v>
      </c>
    </row>
    <row r="351" ht="15.75" customHeight="1">
      <c r="A351" s="12" t="s">
        <v>142</v>
      </c>
      <c r="B351" s="12" t="s">
        <v>3911</v>
      </c>
      <c r="C351" s="46" t="s">
        <v>5616</v>
      </c>
      <c r="D351" s="12" t="s">
        <v>985</v>
      </c>
      <c r="E351" s="12" t="s">
        <v>5406</v>
      </c>
    </row>
    <row r="352" ht="15.75" customHeight="1">
      <c r="A352" s="12" t="s">
        <v>142</v>
      </c>
      <c r="B352" s="12" t="s">
        <v>3915</v>
      </c>
      <c r="C352" s="46" t="s">
        <v>5617</v>
      </c>
      <c r="D352" s="12" t="s">
        <v>985</v>
      </c>
      <c r="E352" s="12" t="s">
        <v>5406</v>
      </c>
    </row>
    <row r="353" ht="15.75" customHeight="1">
      <c r="A353" s="12" t="s">
        <v>142</v>
      </c>
      <c r="B353" s="12" t="s">
        <v>3918</v>
      </c>
      <c r="C353" s="46" t="s">
        <v>5618</v>
      </c>
      <c r="D353" s="12" t="s">
        <v>985</v>
      </c>
      <c r="E353" s="12" t="s">
        <v>5406</v>
      </c>
    </row>
    <row r="354" ht="15.75" customHeight="1">
      <c r="A354" s="12" t="s">
        <v>142</v>
      </c>
      <c r="B354" s="12" t="s">
        <v>3921</v>
      </c>
      <c r="C354" s="46" t="s">
        <v>5619</v>
      </c>
      <c r="D354" s="12" t="s">
        <v>985</v>
      </c>
      <c r="E354" s="12" t="s">
        <v>5406</v>
      </c>
    </row>
    <row r="355" ht="15.75" customHeight="1">
      <c r="A355" s="12" t="s">
        <v>142</v>
      </c>
      <c r="B355" s="12" t="s">
        <v>3925</v>
      </c>
      <c r="C355" s="46" t="s">
        <v>5620</v>
      </c>
      <c r="D355" s="12" t="s">
        <v>985</v>
      </c>
      <c r="E355" s="12" t="s">
        <v>5406</v>
      </c>
    </row>
    <row r="356" ht="15.75" customHeight="1">
      <c r="A356" s="12" t="s">
        <v>142</v>
      </c>
      <c r="B356" s="12" t="s">
        <v>3928</v>
      </c>
      <c r="C356" s="46" t="s">
        <v>5621</v>
      </c>
      <c r="D356" s="12" t="s">
        <v>985</v>
      </c>
      <c r="E356" s="12" t="s">
        <v>5406</v>
      </c>
    </row>
    <row r="357" ht="15.75" customHeight="1">
      <c r="A357" s="12" t="s">
        <v>142</v>
      </c>
      <c r="B357" s="12" t="s">
        <v>3931</v>
      </c>
      <c r="C357" s="46" t="s">
        <v>5622</v>
      </c>
      <c r="D357" s="12" t="s">
        <v>985</v>
      </c>
      <c r="E357" s="12" t="s">
        <v>5406</v>
      </c>
    </row>
    <row r="358" ht="15.75" customHeight="1">
      <c r="A358" s="12" t="s">
        <v>142</v>
      </c>
      <c r="B358" s="12" t="s">
        <v>3936</v>
      </c>
      <c r="C358" s="46" t="s">
        <v>5796</v>
      </c>
      <c r="D358" s="12" t="s">
        <v>985</v>
      </c>
      <c r="E358" s="12" t="s">
        <v>5406</v>
      </c>
    </row>
    <row r="359" ht="15.75" customHeight="1">
      <c r="A359" s="12" t="s">
        <v>142</v>
      </c>
      <c r="B359" s="12" t="s">
        <v>3940</v>
      </c>
      <c r="C359" s="46" t="s">
        <v>5624</v>
      </c>
      <c r="D359" s="12" t="s">
        <v>985</v>
      </c>
      <c r="E359" s="12" t="s">
        <v>5406</v>
      </c>
    </row>
    <row r="360" ht="15.75" customHeight="1">
      <c r="A360" s="12" t="s">
        <v>142</v>
      </c>
      <c r="B360" s="12" t="s">
        <v>3941</v>
      </c>
      <c r="C360" s="46" t="s">
        <v>5625</v>
      </c>
      <c r="D360" s="12" t="s">
        <v>985</v>
      </c>
      <c r="E360" s="12" t="s">
        <v>5406</v>
      </c>
    </row>
    <row r="361" ht="15.75" customHeight="1">
      <c r="A361" s="12" t="s">
        <v>142</v>
      </c>
      <c r="B361" s="12" t="s">
        <v>3944</v>
      </c>
      <c r="C361" s="46" t="s">
        <v>5626</v>
      </c>
      <c r="D361" s="12" t="s">
        <v>985</v>
      </c>
      <c r="E361" s="12" t="s">
        <v>5406</v>
      </c>
    </row>
    <row r="362" ht="15.75" customHeight="1">
      <c r="A362" s="12" t="s">
        <v>142</v>
      </c>
      <c r="B362" s="12" t="s">
        <v>3948</v>
      </c>
      <c r="C362" s="46" t="s">
        <v>5627</v>
      </c>
      <c r="D362" s="12" t="s">
        <v>985</v>
      </c>
      <c r="E362" s="12" t="s">
        <v>5406</v>
      </c>
    </row>
    <row r="363" ht="15.75" customHeight="1">
      <c r="A363" s="12" t="s">
        <v>142</v>
      </c>
      <c r="B363" s="12" t="s">
        <v>3951</v>
      </c>
      <c r="C363" s="46" t="s">
        <v>5628</v>
      </c>
      <c r="D363" s="12" t="s">
        <v>985</v>
      </c>
      <c r="E363" s="12" t="s">
        <v>5406</v>
      </c>
    </row>
    <row r="364" ht="15.75" customHeight="1">
      <c r="A364" s="12" t="s">
        <v>142</v>
      </c>
      <c r="B364" s="12" t="s">
        <v>3955</v>
      </c>
      <c r="C364" s="46" t="s">
        <v>5629</v>
      </c>
      <c r="D364" s="12" t="s">
        <v>985</v>
      </c>
      <c r="E364" s="12" t="s">
        <v>5406</v>
      </c>
    </row>
    <row r="365" ht="15.75" customHeight="1">
      <c r="A365" s="12" t="s">
        <v>142</v>
      </c>
      <c r="B365" s="12" t="s">
        <v>3957</v>
      </c>
      <c r="C365" s="46" t="s">
        <v>5630</v>
      </c>
      <c r="D365" s="12" t="s">
        <v>985</v>
      </c>
      <c r="E365" s="12" t="s">
        <v>5406</v>
      </c>
    </row>
    <row r="366" ht="15.75" customHeight="1">
      <c r="A366" s="12" t="s">
        <v>142</v>
      </c>
      <c r="B366" s="12" t="s">
        <v>3960</v>
      </c>
      <c r="C366" s="46" t="s">
        <v>5631</v>
      </c>
      <c r="D366" s="12" t="s">
        <v>985</v>
      </c>
      <c r="E366" s="12" t="s">
        <v>5406</v>
      </c>
    </row>
    <row r="367" ht="15.75" customHeight="1">
      <c r="A367" s="12" t="s">
        <v>142</v>
      </c>
      <c r="B367" s="12" t="s">
        <v>3964</v>
      </c>
      <c r="C367" s="46" t="s">
        <v>5632</v>
      </c>
      <c r="D367" s="12" t="s">
        <v>985</v>
      </c>
      <c r="E367" s="12" t="s">
        <v>5406</v>
      </c>
    </row>
    <row r="368" ht="15.75" customHeight="1">
      <c r="A368" s="12" t="s">
        <v>142</v>
      </c>
      <c r="B368" s="12" t="s">
        <v>3967</v>
      </c>
      <c r="C368" s="46" t="s">
        <v>5633</v>
      </c>
      <c r="D368" s="12" t="s">
        <v>985</v>
      </c>
      <c r="E368" s="12" t="s">
        <v>5406</v>
      </c>
    </row>
    <row r="369" ht="15.75" customHeight="1">
      <c r="A369" s="12" t="s">
        <v>142</v>
      </c>
      <c r="B369" s="12" t="s">
        <v>3971</v>
      </c>
      <c r="C369" s="46" t="s">
        <v>5634</v>
      </c>
      <c r="D369" s="12" t="s">
        <v>985</v>
      </c>
      <c r="E369" s="12" t="s">
        <v>5406</v>
      </c>
    </row>
    <row r="370" ht="15.75" customHeight="1">
      <c r="A370" s="12" t="s">
        <v>142</v>
      </c>
      <c r="B370" s="12" t="s">
        <v>3973</v>
      </c>
      <c r="C370" s="46" t="s">
        <v>5635</v>
      </c>
      <c r="D370" s="12" t="s">
        <v>985</v>
      </c>
      <c r="E370" s="12" t="s">
        <v>5406</v>
      </c>
    </row>
    <row r="371" ht="15.75" customHeight="1">
      <c r="A371" s="12" t="s">
        <v>142</v>
      </c>
      <c r="B371" s="12" t="s">
        <v>3978</v>
      </c>
      <c r="C371" s="46" t="s">
        <v>5636</v>
      </c>
      <c r="D371" s="12" t="s">
        <v>985</v>
      </c>
      <c r="E371" s="12" t="s">
        <v>5406</v>
      </c>
    </row>
    <row r="372" ht="15.75" customHeight="1">
      <c r="A372" s="12" t="s">
        <v>142</v>
      </c>
      <c r="B372" s="12" t="s">
        <v>3981</v>
      </c>
      <c r="C372" s="46" t="s">
        <v>5637</v>
      </c>
      <c r="D372" s="12" t="s">
        <v>985</v>
      </c>
      <c r="E372" s="12" t="s">
        <v>5406</v>
      </c>
    </row>
    <row r="373" ht="15.75" customHeight="1">
      <c r="A373" s="12" t="s">
        <v>142</v>
      </c>
      <c r="B373" s="12" t="s">
        <v>3985</v>
      </c>
      <c r="C373" s="46" t="s">
        <v>5638</v>
      </c>
      <c r="D373" s="12" t="s">
        <v>985</v>
      </c>
      <c r="E373" s="12" t="s">
        <v>5406</v>
      </c>
    </row>
    <row r="374" ht="15.75" customHeight="1">
      <c r="A374" s="12" t="s">
        <v>142</v>
      </c>
      <c r="B374" s="12" t="s">
        <v>3988</v>
      </c>
      <c r="C374" s="46" t="s">
        <v>5639</v>
      </c>
      <c r="D374" s="12" t="s">
        <v>985</v>
      </c>
      <c r="E374" s="12" t="s">
        <v>5406</v>
      </c>
    </row>
    <row r="375" ht="15.75" customHeight="1">
      <c r="A375" s="12" t="s">
        <v>142</v>
      </c>
      <c r="B375" s="12" t="s">
        <v>3991</v>
      </c>
      <c r="C375" s="46" t="s">
        <v>5640</v>
      </c>
      <c r="D375" s="12" t="s">
        <v>985</v>
      </c>
      <c r="E375" s="12" t="s">
        <v>5406</v>
      </c>
    </row>
    <row r="376" ht="15.75" customHeight="1">
      <c r="A376" s="12" t="s">
        <v>142</v>
      </c>
      <c r="B376" s="12" t="s">
        <v>3995</v>
      </c>
      <c r="C376" s="46" t="s">
        <v>5641</v>
      </c>
      <c r="D376" s="12" t="s">
        <v>985</v>
      </c>
      <c r="E376" s="12" t="s">
        <v>5406</v>
      </c>
    </row>
    <row r="377" ht="15.75" customHeight="1">
      <c r="A377" s="12" t="s">
        <v>142</v>
      </c>
      <c r="B377" s="12" t="s">
        <v>4000</v>
      </c>
      <c r="C377" s="46" t="s">
        <v>5642</v>
      </c>
      <c r="D377" s="12" t="s">
        <v>985</v>
      </c>
      <c r="E377" s="12" t="s">
        <v>5406</v>
      </c>
    </row>
    <row r="378" ht="15.75" customHeight="1">
      <c r="A378" s="12" t="s">
        <v>142</v>
      </c>
      <c r="B378" s="12" t="s">
        <v>4003</v>
      </c>
      <c r="C378" s="46" t="s">
        <v>5643</v>
      </c>
      <c r="D378" s="12" t="s">
        <v>985</v>
      </c>
      <c r="E378" s="12" t="s">
        <v>5406</v>
      </c>
    </row>
    <row r="379" ht="15.75" customHeight="1">
      <c r="A379" s="12" t="s">
        <v>142</v>
      </c>
      <c r="B379" s="12" t="s">
        <v>4006</v>
      </c>
      <c r="C379" s="46" t="s">
        <v>5644</v>
      </c>
      <c r="D379" s="12" t="s">
        <v>985</v>
      </c>
      <c r="E379" s="12" t="s">
        <v>5406</v>
      </c>
    </row>
    <row r="380" ht="15.75" customHeight="1">
      <c r="A380" s="12" t="s">
        <v>142</v>
      </c>
      <c r="B380" s="12" t="s">
        <v>4010</v>
      </c>
      <c r="C380" s="46" t="s">
        <v>5645</v>
      </c>
      <c r="D380" s="12" t="s">
        <v>985</v>
      </c>
      <c r="E380" s="12" t="s">
        <v>5406</v>
      </c>
    </row>
    <row r="381" ht="15.75" customHeight="1">
      <c r="A381" s="12" t="s">
        <v>142</v>
      </c>
      <c r="B381" s="12" t="s">
        <v>4013</v>
      </c>
      <c r="C381" s="46" t="s">
        <v>5646</v>
      </c>
      <c r="D381" s="12" t="s">
        <v>985</v>
      </c>
      <c r="E381" s="12" t="s">
        <v>5406</v>
      </c>
    </row>
    <row r="382" ht="15.75" customHeight="1">
      <c r="A382" s="12" t="s">
        <v>142</v>
      </c>
      <c r="B382" s="12" t="s">
        <v>4017</v>
      </c>
      <c r="C382" s="46" t="s">
        <v>5647</v>
      </c>
      <c r="D382" s="12" t="s">
        <v>985</v>
      </c>
      <c r="E382" s="12" t="s">
        <v>5406</v>
      </c>
    </row>
    <row r="383" ht="15.75" customHeight="1">
      <c r="A383" s="12" t="s">
        <v>142</v>
      </c>
      <c r="B383" s="12" t="s">
        <v>4020</v>
      </c>
      <c r="C383" s="46" t="s">
        <v>5648</v>
      </c>
      <c r="D383" s="12" t="s">
        <v>985</v>
      </c>
      <c r="E383" s="12" t="s">
        <v>5406</v>
      </c>
    </row>
    <row r="384" ht="15.75" customHeight="1">
      <c r="A384" s="12" t="s">
        <v>142</v>
      </c>
      <c r="B384" s="12" t="s">
        <v>4024</v>
      </c>
      <c r="C384" s="46" t="s">
        <v>5649</v>
      </c>
      <c r="D384" s="12" t="s">
        <v>985</v>
      </c>
      <c r="E384" s="12" t="s">
        <v>5406</v>
      </c>
    </row>
    <row r="385" ht="15.75" customHeight="1">
      <c r="A385" s="12" t="s">
        <v>142</v>
      </c>
      <c r="B385" s="12" t="s">
        <v>4027</v>
      </c>
      <c r="C385" s="46" t="s">
        <v>5650</v>
      </c>
      <c r="D385" s="12" t="s">
        <v>985</v>
      </c>
      <c r="E385" s="12" t="s">
        <v>5406</v>
      </c>
    </row>
    <row r="386" ht="15.75" customHeight="1">
      <c r="A386" s="12" t="s">
        <v>142</v>
      </c>
      <c r="B386" s="12" t="s">
        <v>4031</v>
      </c>
      <c r="C386" s="46" t="s">
        <v>5651</v>
      </c>
      <c r="D386" s="12" t="s">
        <v>985</v>
      </c>
      <c r="E386" s="12" t="s">
        <v>5406</v>
      </c>
    </row>
    <row r="387" ht="15.75" customHeight="1">
      <c r="A387" s="12" t="s">
        <v>142</v>
      </c>
      <c r="B387" s="12" t="s">
        <v>4034</v>
      </c>
      <c r="C387" s="46" t="s">
        <v>5652</v>
      </c>
      <c r="D387" s="12" t="s">
        <v>985</v>
      </c>
      <c r="E387" s="12" t="s">
        <v>5406</v>
      </c>
    </row>
    <row r="388" ht="15.75" customHeight="1">
      <c r="A388" s="12" t="s">
        <v>142</v>
      </c>
      <c r="B388" s="12" t="s">
        <v>4037</v>
      </c>
      <c r="C388" s="46" t="s">
        <v>5653</v>
      </c>
      <c r="D388" s="12" t="s">
        <v>985</v>
      </c>
      <c r="E388" s="12" t="s">
        <v>5406</v>
      </c>
    </row>
    <row r="389" ht="15.75" customHeight="1">
      <c r="A389" s="12" t="s">
        <v>142</v>
      </c>
      <c r="B389" s="12" t="s">
        <v>4040</v>
      </c>
      <c r="C389" s="46" t="s">
        <v>5654</v>
      </c>
      <c r="D389" s="12" t="s">
        <v>985</v>
      </c>
      <c r="E389" s="12" t="s">
        <v>5406</v>
      </c>
    </row>
    <row r="390" ht="15.75" customHeight="1">
      <c r="A390" s="12" t="s">
        <v>142</v>
      </c>
      <c r="B390" s="12" t="s">
        <v>4044</v>
      </c>
      <c r="C390" s="46" t="s">
        <v>5655</v>
      </c>
      <c r="D390" s="12" t="s">
        <v>985</v>
      </c>
      <c r="E390" s="12" t="s">
        <v>5406</v>
      </c>
    </row>
    <row r="391" ht="15.75" customHeight="1">
      <c r="A391" s="12" t="s">
        <v>142</v>
      </c>
      <c r="B391" s="12" t="s">
        <v>4048</v>
      </c>
      <c r="C391" s="46" t="s">
        <v>5656</v>
      </c>
      <c r="D391" s="12" t="s">
        <v>985</v>
      </c>
      <c r="E391" s="12" t="s">
        <v>5406</v>
      </c>
    </row>
    <row r="392" ht="15.75" customHeight="1">
      <c r="A392" s="12" t="s">
        <v>142</v>
      </c>
      <c r="B392" s="12" t="s">
        <v>4052</v>
      </c>
      <c r="C392" s="46" t="s">
        <v>5657</v>
      </c>
      <c r="D392" s="12" t="s">
        <v>985</v>
      </c>
      <c r="E392" s="12" t="s">
        <v>5406</v>
      </c>
    </row>
    <row r="393" ht="15.75" customHeight="1">
      <c r="A393" s="12" t="s">
        <v>142</v>
      </c>
      <c r="B393" s="12" t="s">
        <v>4055</v>
      </c>
      <c r="C393" s="46" t="s">
        <v>5658</v>
      </c>
      <c r="D393" s="12" t="s">
        <v>985</v>
      </c>
      <c r="E393" s="12" t="s">
        <v>5406</v>
      </c>
    </row>
    <row r="394" ht="15.75" customHeight="1">
      <c r="A394" s="12" t="s">
        <v>142</v>
      </c>
      <c r="B394" s="12" t="s">
        <v>4058</v>
      </c>
      <c r="C394" s="46" t="s">
        <v>5659</v>
      </c>
      <c r="D394" s="12" t="s">
        <v>985</v>
      </c>
      <c r="E394" s="12" t="s">
        <v>5406</v>
      </c>
    </row>
    <row r="395" ht="15.75" customHeight="1">
      <c r="A395" s="12" t="s">
        <v>142</v>
      </c>
      <c r="B395" s="12" t="s">
        <v>4063</v>
      </c>
      <c r="C395" s="46" t="s">
        <v>5660</v>
      </c>
      <c r="D395" s="12" t="s">
        <v>985</v>
      </c>
      <c r="E395" s="12" t="s">
        <v>5406</v>
      </c>
    </row>
    <row r="396" ht="15.75" customHeight="1">
      <c r="A396" s="12" t="s">
        <v>142</v>
      </c>
      <c r="B396" s="12" t="s">
        <v>4067</v>
      </c>
      <c r="C396" s="46" t="s">
        <v>5661</v>
      </c>
      <c r="D396" s="12" t="s">
        <v>985</v>
      </c>
      <c r="E396" s="12" t="s">
        <v>5406</v>
      </c>
    </row>
    <row r="397" ht="15.75" customHeight="1">
      <c r="A397" s="12" t="s">
        <v>142</v>
      </c>
      <c r="B397" s="12" t="s">
        <v>4070</v>
      </c>
      <c r="C397" s="46" t="s">
        <v>5662</v>
      </c>
      <c r="D397" s="12" t="s">
        <v>985</v>
      </c>
      <c r="E397" s="12" t="s">
        <v>5406</v>
      </c>
    </row>
    <row r="398" ht="15.75" customHeight="1">
      <c r="A398" s="12" t="s">
        <v>142</v>
      </c>
      <c r="B398" s="12" t="s">
        <v>4074</v>
      </c>
      <c r="C398" s="46" t="s">
        <v>5663</v>
      </c>
      <c r="D398" s="12" t="s">
        <v>985</v>
      </c>
      <c r="E398" s="12" t="s">
        <v>5406</v>
      </c>
    </row>
    <row r="399" ht="15.75" customHeight="1">
      <c r="A399" s="12" t="s">
        <v>142</v>
      </c>
      <c r="B399" s="12" t="s">
        <v>4077</v>
      </c>
      <c r="C399" s="46" t="s">
        <v>5664</v>
      </c>
      <c r="D399" s="12" t="s">
        <v>985</v>
      </c>
      <c r="E399" s="12" t="s">
        <v>5406</v>
      </c>
    </row>
    <row r="400" ht="15.75" customHeight="1">
      <c r="A400" s="12" t="s">
        <v>142</v>
      </c>
      <c r="B400" s="12" t="s">
        <v>4080</v>
      </c>
      <c r="C400" s="46" t="s">
        <v>4770</v>
      </c>
      <c r="D400" s="12" t="s">
        <v>985</v>
      </c>
      <c r="E400" s="12" t="s">
        <v>5406</v>
      </c>
    </row>
    <row r="401" ht="15.75" customHeight="1">
      <c r="A401" s="12" t="s">
        <v>142</v>
      </c>
      <c r="B401" s="12" t="s">
        <v>4084</v>
      </c>
      <c r="C401" s="46" t="s">
        <v>5665</v>
      </c>
      <c r="D401" s="12" t="s">
        <v>985</v>
      </c>
      <c r="E401" s="12" t="s">
        <v>5406</v>
      </c>
    </row>
    <row r="402" ht="15.75" customHeight="1">
      <c r="A402" s="12" t="s">
        <v>142</v>
      </c>
      <c r="B402" s="12" t="s">
        <v>4088</v>
      </c>
      <c r="C402" s="46" t="s">
        <v>5666</v>
      </c>
      <c r="D402" s="12" t="s">
        <v>985</v>
      </c>
      <c r="E402" s="12" t="s">
        <v>5406</v>
      </c>
    </row>
    <row r="403" ht="15.75" customHeight="1">
      <c r="A403" s="12" t="s">
        <v>142</v>
      </c>
      <c r="B403" s="12" t="s">
        <v>4092</v>
      </c>
      <c r="C403" s="46" t="s">
        <v>5667</v>
      </c>
      <c r="D403" s="12" t="s">
        <v>985</v>
      </c>
      <c r="E403" s="12" t="s">
        <v>5406</v>
      </c>
    </row>
    <row r="404" ht="15.75" customHeight="1">
      <c r="A404" s="12" t="s">
        <v>142</v>
      </c>
      <c r="B404" s="12" t="s">
        <v>4096</v>
      </c>
      <c r="C404" s="46" t="s">
        <v>5668</v>
      </c>
      <c r="D404" s="12" t="s">
        <v>985</v>
      </c>
      <c r="E404" s="12" t="s">
        <v>5406</v>
      </c>
    </row>
    <row r="405" ht="15.75" customHeight="1">
      <c r="A405" s="12" t="s">
        <v>142</v>
      </c>
      <c r="B405" s="12" t="s">
        <v>4100</v>
      </c>
      <c r="C405" s="46" t="s">
        <v>5669</v>
      </c>
      <c r="D405" s="12" t="s">
        <v>985</v>
      </c>
      <c r="E405" s="12" t="s">
        <v>5406</v>
      </c>
    </row>
    <row r="406" ht="15.75" customHeight="1">
      <c r="A406" s="12" t="s">
        <v>142</v>
      </c>
      <c r="B406" s="12" t="s">
        <v>4104</v>
      </c>
      <c r="C406" s="46" t="s">
        <v>5670</v>
      </c>
      <c r="D406" s="12" t="s">
        <v>985</v>
      </c>
      <c r="E406" s="12" t="s">
        <v>5406</v>
      </c>
    </row>
    <row r="407" ht="15.75" customHeight="1">
      <c r="A407" s="12" t="s">
        <v>142</v>
      </c>
      <c r="B407" s="12" t="s">
        <v>4108</v>
      </c>
      <c r="C407" s="46" t="s">
        <v>5671</v>
      </c>
      <c r="D407" s="12" t="s">
        <v>985</v>
      </c>
      <c r="E407" s="12" t="s">
        <v>5406</v>
      </c>
    </row>
    <row r="408" ht="15.75" customHeight="1">
      <c r="A408" s="12" t="s">
        <v>142</v>
      </c>
      <c r="B408" s="12" t="s">
        <v>4111</v>
      </c>
      <c r="C408" s="46" t="s">
        <v>5672</v>
      </c>
      <c r="D408" s="12" t="s">
        <v>985</v>
      </c>
      <c r="E408" s="12" t="s">
        <v>5406</v>
      </c>
    </row>
    <row r="409" ht="15.75" customHeight="1">
      <c r="A409" s="12" t="s">
        <v>142</v>
      </c>
      <c r="B409" s="12" t="s">
        <v>4116</v>
      </c>
      <c r="C409" s="46" t="s">
        <v>5673</v>
      </c>
      <c r="D409" s="12" t="s">
        <v>985</v>
      </c>
      <c r="E409" s="12" t="s">
        <v>5406</v>
      </c>
    </row>
    <row r="410" ht="15.75" customHeight="1">
      <c r="A410" s="12" t="s">
        <v>142</v>
      </c>
      <c r="B410" s="12" t="s">
        <v>4119</v>
      </c>
      <c r="C410" s="46" t="s">
        <v>5674</v>
      </c>
      <c r="D410" s="12" t="s">
        <v>985</v>
      </c>
      <c r="E410" s="12" t="s">
        <v>5406</v>
      </c>
    </row>
    <row r="411" ht="15.75" customHeight="1">
      <c r="A411" s="12" t="s">
        <v>142</v>
      </c>
      <c r="B411" s="12" t="s">
        <v>4121</v>
      </c>
      <c r="C411" s="46" t="s">
        <v>5675</v>
      </c>
      <c r="D411" s="12" t="s">
        <v>985</v>
      </c>
      <c r="E411" s="12" t="s">
        <v>5406</v>
      </c>
    </row>
    <row r="412" ht="15.75" customHeight="1">
      <c r="A412" s="12" t="s">
        <v>142</v>
      </c>
      <c r="B412" s="12" t="s">
        <v>4124</v>
      </c>
      <c r="C412" s="46" t="s">
        <v>5676</v>
      </c>
      <c r="D412" s="12" t="s">
        <v>985</v>
      </c>
      <c r="E412" s="12" t="s">
        <v>5406</v>
      </c>
    </row>
    <row r="413" ht="15.75" customHeight="1">
      <c r="A413" s="12" t="s">
        <v>142</v>
      </c>
      <c r="B413" s="12" t="s">
        <v>4127</v>
      </c>
      <c r="C413" s="46" t="s">
        <v>5677</v>
      </c>
      <c r="D413" s="12" t="s">
        <v>985</v>
      </c>
      <c r="E413" s="12" t="s">
        <v>5406</v>
      </c>
    </row>
    <row r="414" ht="15.75" customHeight="1">
      <c r="A414" s="12" t="s">
        <v>142</v>
      </c>
      <c r="B414" s="12" t="s">
        <v>4131</v>
      </c>
      <c r="C414" s="46" t="s">
        <v>5678</v>
      </c>
      <c r="D414" s="12" t="s">
        <v>985</v>
      </c>
      <c r="E414" s="12" t="s">
        <v>5406</v>
      </c>
    </row>
    <row r="415" ht="15.75" customHeight="1">
      <c r="A415" s="12" t="s">
        <v>142</v>
      </c>
      <c r="B415" s="12" t="s">
        <v>4134</v>
      </c>
      <c r="C415" s="46" t="s">
        <v>5679</v>
      </c>
      <c r="D415" s="12" t="s">
        <v>985</v>
      </c>
      <c r="E415" s="12" t="s">
        <v>5406</v>
      </c>
    </row>
    <row r="416" ht="15.75" customHeight="1">
      <c r="A416" s="12" t="s">
        <v>142</v>
      </c>
      <c r="B416" s="12" t="s">
        <v>4138</v>
      </c>
      <c r="C416" s="46" t="s">
        <v>5680</v>
      </c>
      <c r="D416" s="12" t="s">
        <v>985</v>
      </c>
      <c r="E416" s="12" t="s">
        <v>5406</v>
      </c>
    </row>
    <row r="417" ht="15.75" customHeight="1">
      <c r="A417" s="12" t="s">
        <v>142</v>
      </c>
      <c r="B417" s="12" t="s">
        <v>4141</v>
      </c>
      <c r="C417" s="46" t="s">
        <v>5681</v>
      </c>
      <c r="D417" s="12" t="s">
        <v>985</v>
      </c>
      <c r="E417" s="12" t="s">
        <v>5406</v>
      </c>
    </row>
    <row r="418" ht="15.75" customHeight="1">
      <c r="A418" s="12" t="s">
        <v>142</v>
      </c>
      <c r="B418" s="12" t="s">
        <v>4143</v>
      </c>
      <c r="C418" s="46" t="s">
        <v>5682</v>
      </c>
      <c r="D418" s="12" t="s">
        <v>985</v>
      </c>
      <c r="E418" s="12" t="s">
        <v>5406</v>
      </c>
    </row>
    <row r="419" ht="15.75" customHeight="1">
      <c r="A419" s="12" t="s">
        <v>142</v>
      </c>
      <c r="B419" s="12" t="s">
        <v>4146</v>
      </c>
      <c r="C419" s="46" t="s">
        <v>5683</v>
      </c>
      <c r="D419" s="12" t="s">
        <v>985</v>
      </c>
      <c r="E419" s="12" t="s">
        <v>5406</v>
      </c>
    </row>
    <row r="420" ht="15.75" customHeight="1">
      <c r="A420" s="12" t="s">
        <v>142</v>
      </c>
      <c r="B420" s="12" t="s">
        <v>4149</v>
      </c>
      <c r="C420" s="46" t="s">
        <v>5684</v>
      </c>
      <c r="D420" s="12" t="s">
        <v>985</v>
      </c>
      <c r="E420" s="12" t="s">
        <v>5406</v>
      </c>
    </row>
    <row r="421" ht="15.75" customHeight="1">
      <c r="A421" s="12" t="s">
        <v>142</v>
      </c>
      <c r="B421" s="12" t="s">
        <v>4152</v>
      </c>
      <c r="C421" s="46" t="s">
        <v>5879</v>
      </c>
      <c r="D421" s="12" t="s">
        <v>985</v>
      </c>
      <c r="E421" s="12" t="s">
        <v>5406</v>
      </c>
    </row>
    <row r="422" ht="15.75" customHeight="1">
      <c r="A422" s="12" t="s">
        <v>142</v>
      </c>
      <c r="B422" s="12" t="s">
        <v>4156</v>
      </c>
      <c r="C422" s="46" t="s">
        <v>5520</v>
      </c>
      <c r="D422" s="12" t="s">
        <v>985</v>
      </c>
      <c r="E422" s="12" t="s">
        <v>5406</v>
      </c>
    </row>
    <row r="423" ht="15.75" customHeight="1">
      <c r="A423" s="12" t="s">
        <v>142</v>
      </c>
      <c r="B423" s="12" t="s">
        <v>4159</v>
      </c>
      <c r="C423" s="46" t="s">
        <v>5523</v>
      </c>
      <c r="D423" s="12" t="s">
        <v>985</v>
      </c>
      <c r="E423" s="12" t="s">
        <v>5406</v>
      </c>
    </row>
    <row r="424" ht="15.75" customHeight="1">
      <c r="A424" s="12" t="s">
        <v>142</v>
      </c>
      <c r="B424" s="12" t="s">
        <v>4162</v>
      </c>
      <c r="C424" s="46" t="s">
        <v>5892</v>
      </c>
      <c r="D424" s="12" t="s">
        <v>985</v>
      </c>
      <c r="E424" s="12" t="s">
        <v>5406</v>
      </c>
    </row>
    <row r="425" ht="15.75" customHeight="1">
      <c r="A425" s="12" t="s">
        <v>142</v>
      </c>
      <c r="B425" s="12" t="s">
        <v>4164</v>
      </c>
      <c r="C425" s="46" t="s">
        <v>5896</v>
      </c>
      <c r="D425" s="12" t="s">
        <v>985</v>
      </c>
      <c r="E425" s="12" t="s">
        <v>5406</v>
      </c>
    </row>
    <row r="426" ht="15.75" customHeight="1">
      <c r="A426" s="12" t="s">
        <v>142</v>
      </c>
      <c r="B426" s="12" t="s">
        <v>4167</v>
      </c>
      <c r="C426" s="46" t="s">
        <v>5898</v>
      </c>
      <c r="D426" s="12" t="s">
        <v>985</v>
      </c>
      <c r="E426" s="12" t="s">
        <v>5406</v>
      </c>
    </row>
    <row r="427" ht="15.75" customHeight="1">
      <c r="A427" s="12" t="s">
        <v>142</v>
      </c>
      <c r="B427" s="12" t="s">
        <v>4169</v>
      </c>
      <c r="C427" s="46" t="s">
        <v>5900</v>
      </c>
      <c r="D427" s="12" t="s">
        <v>985</v>
      </c>
      <c r="E427" s="12" t="s">
        <v>5406</v>
      </c>
    </row>
    <row r="428" ht="15.75" customHeight="1">
      <c r="A428" s="12" t="s">
        <v>142</v>
      </c>
      <c r="B428" s="12" t="s">
        <v>4173</v>
      </c>
      <c r="C428" s="46" t="s">
        <v>5905</v>
      </c>
      <c r="D428" s="12" t="s">
        <v>985</v>
      </c>
      <c r="E428" s="12" t="s">
        <v>5406</v>
      </c>
    </row>
    <row r="429" ht="15.75" customHeight="1">
      <c r="A429" s="12" t="s">
        <v>142</v>
      </c>
      <c r="B429" s="12" t="s">
        <v>4176</v>
      </c>
      <c r="C429" s="46" t="s">
        <v>5910</v>
      </c>
      <c r="D429" s="12" t="s">
        <v>985</v>
      </c>
      <c r="E429" s="12" t="s">
        <v>5406</v>
      </c>
    </row>
    <row r="430" ht="15.75" customHeight="1">
      <c r="A430" s="12" t="s">
        <v>142</v>
      </c>
      <c r="B430" s="12" t="s">
        <v>4180</v>
      </c>
      <c r="C430" s="46" t="s">
        <v>5914</v>
      </c>
      <c r="D430" s="12" t="s">
        <v>985</v>
      </c>
      <c r="E430" s="12" t="s">
        <v>5406</v>
      </c>
    </row>
    <row r="431" ht="15.75" customHeight="1">
      <c r="A431" s="12" t="s">
        <v>142</v>
      </c>
      <c r="B431" s="12" t="s">
        <v>4183</v>
      </c>
      <c r="C431" s="46" t="s">
        <v>5918</v>
      </c>
      <c r="D431" s="12" t="s">
        <v>985</v>
      </c>
      <c r="E431" s="12" t="s">
        <v>5406</v>
      </c>
    </row>
    <row r="432" ht="15.75" customHeight="1">
      <c r="A432" s="12" t="s">
        <v>142</v>
      </c>
      <c r="B432" s="12" t="s">
        <v>4187</v>
      </c>
      <c r="C432" s="46" t="s">
        <v>5923</v>
      </c>
      <c r="D432" s="12" t="s">
        <v>985</v>
      </c>
      <c r="E432" s="12" t="s">
        <v>5406</v>
      </c>
    </row>
    <row r="433" ht="15.75" customHeight="1">
      <c r="A433" s="12" t="s">
        <v>142</v>
      </c>
      <c r="B433" s="12" t="s">
        <v>4191</v>
      </c>
      <c r="C433" s="46" t="s">
        <v>5924</v>
      </c>
      <c r="D433" s="12" t="s">
        <v>985</v>
      </c>
      <c r="E433" s="12" t="s">
        <v>5406</v>
      </c>
    </row>
    <row r="434" ht="15.75" customHeight="1">
      <c r="A434" s="12" t="s">
        <v>142</v>
      </c>
      <c r="B434" s="12" t="s">
        <v>4195</v>
      </c>
      <c r="C434" s="46" t="s">
        <v>5927</v>
      </c>
      <c r="D434" s="12" t="s">
        <v>985</v>
      </c>
      <c r="E434" s="12" t="s">
        <v>5406</v>
      </c>
    </row>
    <row r="435" ht="15.75" customHeight="1">
      <c r="A435" s="12" t="s">
        <v>142</v>
      </c>
      <c r="B435" s="12" t="s">
        <v>4199</v>
      </c>
      <c r="C435" s="46" t="s">
        <v>5932</v>
      </c>
      <c r="D435" s="12" t="s">
        <v>985</v>
      </c>
      <c r="E435" s="12" t="s">
        <v>5406</v>
      </c>
    </row>
    <row r="436" ht="15.75" customHeight="1">
      <c r="A436" s="12" t="s">
        <v>115</v>
      </c>
      <c r="B436" s="12" t="s">
        <v>3630</v>
      </c>
      <c r="C436" s="46" t="s">
        <v>5520</v>
      </c>
      <c r="D436" s="12" t="s">
        <v>121</v>
      </c>
      <c r="E436" s="12" t="s">
        <v>5406</v>
      </c>
    </row>
    <row r="437" ht="15.75" customHeight="1">
      <c r="A437" s="12" t="s">
        <v>115</v>
      </c>
      <c r="B437" s="12" t="s">
        <v>3634</v>
      </c>
      <c r="C437" s="46" t="s">
        <v>5523</v>
      </c>
      <c r="D437" s="12" t="s">
        <v>121</v>
      </c>
      <c r="E437" s="12" t="s">
        <v>5406</v>
      </c>
    </row>
    <row r="438" ht="15.75" customHeight="1">
      <c r="A438" s="12" t="s">
        <v>115</v>
      </c>
      <c r="B438" s="12" t="s">
        <v>3637</v>
      </c>
      <c r="C438" s="46" t="s">
        <v>5526</v>
      </c>
      <c r="D438" s="12" t="s">
        <v>121</v>
      </c>
      <c r="E438" s="12" t="s">
        <v>5406</v>
      </c>
    </row>
    <row r="439" ht="15.75" customHeight="1">
      <c r="A439" s="12" t="s">
        <v>115</v>
      </c>
      <c r="B439" s="12" t="s">
        <v>3641</v>
      </c>
      <c r="C439" s="46" t="s">
        <v>5527</v>
      </c>
      <c r="D439" s="12" t="s">
        <v>121</v>
      </c>
      <c r="E439" s="12" t="s">
        <v>5406</v>
      </c>
    </row>
    <row r="440" ht="15.75" customHeight="1">
      <c r="A440" s="12" t="s">
        <v>115</v>
      </c>
      <c r="B440" s="12" t="s">
        <v>3645</v>
      </c>
      <c r="C440" s="46" t="s">
        <v>5529</v>
      </c>
      <c r="D440" s="12" t="s">
        <v>121</v>
      </c>
      <c r="E440" s="12" t="s">
        <v>5406</v>
      </c>
    </row>
    <row r="441" ht="15.75" customHeight="1">
      <c r="A441" s="12" t="s">
        <v>115</v>
      </c>
      <c r="B441" s="12" t="s">
        <v>3649</v>
      </c>
      <c r="C441" s="46" t="s">
        <v>5530</v>
      </c>
      <c r="D441" s="12" t="s">
        <v>121</v>
      </c>
      <c r="E441" s="12" t="s">
        <v>5406</v>
      </c>
    </row>
    <row r="442" ht="15.75" customHeight="1">
      <c r="A442" s="12" t="s">
        <v>115</v>
      </c>
      <c r="B442" s="12" t="s">
        <v>3652</v>
      </c>
      <c r="C442" s="46" t="s">
        <v>5531</v>
      </c>
      <c r="D442" s="12" t="s">
        <v>121</v>
      </c>
      <c r="E442" s="12" t="s">
        <v>5406</v>
      </c>
    </row>
    <row r="443" ht="15.75" customHeight="1">
      <c r="A443" s="12" t="s">
        <v>115</v>
      </c>
      <c r="B443" s="12" t="s">
        <v>3658</v>
      </c>
      <c r="C443" s="46" t="s">
        <v>5533</v>
      </c>
      <c r="D443" s="12" t="s">
        <v>121</v>
      </c>
      <c r="E443" s="12" t="s">
        <v>5406</v>
      </c>
    </row>
    <row r="444" ht="15.75" customHeight="1">
      <c r="A444" s="12" t="s">
        <v>115</v>
      </c>
      <c r="B444" s="12" t="s">
        <v>3659</v>
      </c>
      <c r="C444" s="46" t="s">
        <v>5536</v>
      </c>
      <c r="D444" s="12" t="s">
        <v>121</v>
      </c>
      <c r="E444" s="12" t="s">
        <v>5406</v>
      </c>
    </row>
    <row r="445" ht="15.75" customHeight="1">
      <c r="A445" s="12" t="s">
        <v>115</v>
      </c>
      <c r="B445" s="12" t="s">
        <v>3662</v>
      </c>
      <c r="C445" s="46" t="s">
        <v>5538</v>
      </c>
      <c r="D445" s="12" t="s">
        <v>121</v>
      </c>
      <c r="E445" s="12" t="s">
        <v>5406</v>
      </c>
    </row>
    <row r="446" ht="15.75" customHeight="1">
      <c r="A446" s="12" t="s">
        <v>115</v>
      </c>
      <c r="B446" s="12" t="s">
        <v>3666</v>
      </c>
      <c r="C446" s="46" t="s">
        <v>5541</v>
      </c>
      <c r="D446" s="12" t="s">
        <v>121</v>
      </c>
      <c r="E446" s="12" t="s">
        <v>5406</v>
      </c>
    </row>
    <row r="447" ht="15.75" customHeight="1">
      <c r="A447" s="12" t="s">
        <v>115</v>
      </c>
      <c r="B447" s="12" t="s">
        <v>3670</v>
      </c>
      <c r="C447" s="46" t="s">
        <v>5545</v>
      </c>
      <c r="D447" s="12" t="s">
        <v>121</v>
      </c>
      <c r="E447" s="12" t="s">
        <v>5406</v>
      </c>
    </row>
    <row r="448" ht="15.75" customHeight="1">
      <c r="A448" s="12" t="s">
        <v>115</v>
      </c>
      <c r="B448" s="12" t="s">
        <v>3674</v>
      </c>
      <c r="C448" s="46" t="s">
        <v>5548</v>
      </c>
      <c r="D448" s="12" t="s">
        <v>121</v>
      </c>
      <c r="E448" s="12" t="s">
        <v>5406</v>
      </c>
    </row>
    <row r="449" ht="15.75" customHeight="1">
      <c r="A449" s="12" t="s">
        <v>115</v>
      </c>
      <c r="B449" s="12" t="s">
        <v>3677</v>
      </c>
      <c r="C449" s="46" t="s">
        <v>5550</v>
      </c>
      <c r="D449" s="12" t="s">
        <v>121</v>
      </c>
      <c r="E449" s="12" t="s">
        <v>5406</v>
      </c>
    </row>
    <row r="450" ht="15.75" customHeight="1">
      <c r="A450" s="12" t="s">
        <v>115</v>
      </c>
      <c r="B450" s="12" t="s">
        <v>3681</v>
      </c>
      <c r="C450" s="46" t="s">
        <v>5552</v>
      </c>
      <c r="D450" s="12" t="s">
        <v>121</v>
      </c>
      <c r="E450" s="12" t="s">
        <v>5406</v>
      </c>
    </row>
    <row r="451" ht="15.75" customHeight="1">
      <c r="A451" s="12" t="s">
        <v>115</v>
      </c>
      <c r="B451" s="12" t="s">
        <v>3685</v>
      </c>
      <c r="C451" s="46" t="s">
        <v>5553</v>
      </c>
      <c r="D451" s="12" t="s">
        <v>121</v>
      </c>
      <c r="E451" s="12" t="s">
        <v>5406</v>
      </c>
    </row>
    <row r="452" ht="15.75" customHeight="1">
      <c r="A452" s="12" t="s">
        <v>115</v>
      </c>
      <c r="B452" s="12" t="s">
        <v>3689</v>
      </c>
      <c r="C452" s="46" t="s">
        <v>5554</v>
      </c>
      <c r="D452" s="12" t="s">
        <v>121</v>
      </c>
      <c r="E452" s="12" t="s">
        <v>5406</v>
      </c>
    </row>
    <row r="453" ht="15.75" customHeight="1">
      <c r="A453" s="12" t="s">
        <v>115</v>
      </c>
      <c r="B453" s="12" t="s">
        <v>3693</v>
      </c>
      <c r="C453" s="46" t="s">
        <v>5555</v>
      </c>
      <c r="D453" s="12" t="s">
        <v>121</v>
      </c>
      <c r="E453" s="12" t="s">
        <v>5406</v>
      </c>
    </row>
    <row r="454" ht="15.75" customHeight="1">
      <c r="A454" s="12" t="s">
        <v>115</v>
      </c>
      <c r="B454" s="12" t="s">
        <v>3697</v>
      </c>
      <c r="C454" s="46" t="s">
        <v>5556</v>
      </c>
      <c r="D454" s="12" t="s">
        <v>121</v>
      </c>
      <c r="E454" s="12" t="s">
        <v>5406</v>
      </c>
    </row>
    <row r="455" ht="15.75" customHeight="1">
      <c r="A455" s="12" t="s">
        <v>115</v>
      </c>
      <c r="B455" s="12" t="s">
        <v>3701</v>
      </c>
      <c r="C455" s="46" t="s">
        <v>5557</v>
      </c>
      <c r="D455" s="12" t="s">
        <v>121</v>
      </c>
      <c r="E455" s="12" t="s">
        <v>5406</v>
      </c>
    </row>
    <row r="456" ht="15.75" customHeight="1">
      <c r="A456" s="12" t="s">
        <v>115</v>
      </c>
      <c r="B456" s="12" t="s">
        <v>3704</v>
      </c>
      <c r="C456" s="46" t="s">
        <v>5558</v>
      </c>
      <c r="D456" s="12" t="s">
        <v>121</v>
      </c>
      <c r="E456" s="12" t="s">
        <v>5406</v>
      </c>
    </row>
    <row r="457" ht="15.75" customHeight="1">
      <c r="A457" s="12" t="s">
        <v>115</v>
      </c>
      <c r="B457" s="12" t="s">
        <v>3708</v>
      </c>
      <c r="C457" s="46" t="s">
        <v>5559</v>
      </c>
      <c r="D457" s="12" t="s">
        <v>121</v>
      </c>
      <c r="E457" s="12" t="s">
        <v>5406</v>
      </c>
    </row>
    <row r="458" ht="15.75" customHeight="1">
      <c r="A458" s="12" t="s">
        <v>115</v>
      </c>
      <c r="B458" s="12" t="s">
        <v>3711</v>
      </c>
      <c r="C458" s="46" t="s">
        <v>5560</v>
      </c>
      <c r="D458" s="12" t="s">
        <v>121</v>
      </c>
      <c r="E458" s="12" t="s">
        <v>5406</v>
      </c>
    </row>
    <row r="459" ht="15.75" customHeight="1">
      <c r="A459" s="12" t="s">
        <v>115</v>
      </c>
      <c r="B459" s="12" t="s">
        <v>3714</v>
      </c>
      <c r="C459" s="46" t="s">
        <v>5561</v>
      </c>
      <c r="D459" s="12" t="s">
        <v>121</v>
      </c>
      <c r="E459" s="12" t="s">
        <v>5406</v>
      </c>
    </row>
    <row r="460" ht="15.75" customHeight="1">
      <c r="A460" s="12" t="s">
        <v>115</v>
      </c>
      <c r="B460" s="12" t="s">
        <v>3717</v>
      </c>
      <c r="C460" s="46" t="s">
        <v>5562</v>
      </c>
      <c r="D460" s="12" t="s">
        <v>121</v>
      </c>
      <c r="E460" s="12" t="s">
        <v>5406</v>
      </c>
    </row>
    <row r="461" ht="15.75" customHeight="1">
      <c r="A461" s="12" t="s">
        <v>115</v>
      </c>
      <c r="B461" s="12" t="s">
        <v>3721</v>
      </c>
      <c r="C461" s="46" t="s">
        <v>5563</v>
      </c>
      <c r="D461" s="12" t="s">
        <v>121</v>
      </c>
      <c r="E461" s="12" t="s">
        <v>5406</v>
      </c>
    </row>
    <row r="462" ht="15.75" customHeight="1">
      <c r="A462" s="12" t="s">
        <v>115</v>
      </c>
      <c r="B462" s="12" t="s">
        <v>3725</v>
      </c>
      <c r="C462" s="46" t="s">
        <v>5564</v>
      </c>
      <c r="D462" s="12" t="s">
        <v>121</v>
      </c>
      <c r="E462" s="12" t="s">
        <v>5406</v>
      </c>
    </row>
    <row r="463" ht="15.75" customHeight="1">
      <c r="A463" s="12" t="s">
        <v>115</v>
      </c>
      <c r="B463" s="12" t="s">
        <v>3728</v>
      </c>
      <c r="C463" s="46" t="s">
        <v>5565</v>
      </c>
      <c r="D463" s="12" t="s">
        <v>121</v>
      </c>
      <c r="E463" s="12" t="s">
        <v>5406</v>
      </c>
    </row>
    <row r="464" ht="15.75" customHeight="1">
      <c r="A464" s="12" t="s">
        <v>115</v>
      </c>
      <c r="B464" s="12" t="s">
        <v>3731</v>
      </c>
      <c r="C464" s="46" t="s">
        <v>5566</v>
      </c>
      <c r="D464" s="12" t="s">
        <v>121</v>
      </c>
      <c r="E464" s="12" t="s">
        <v>5406</v>
      </c>
    </row>
    <row r="465" ht="15.75" customHeight="1">
      <c r="A465" s="12" t="s">
        <v>115</v>
      </c>
      <c r="B465" s="12" t="s">
        <v>3735</v>
      </c>
      <c r="C465" s="46" t="s">
        <v>5567</v>
      </c>
      <c r="D465" s="12" t="s">
        <v>121</v>
      </c>
      <c r="E465" s="12" t="s">
        <v>5406</v>
      </c>
    </row>
    <row r="466" ht="15.75" customHeight="1">
      <c r="A466" s="12" t="s">
        <v>115</v>
      </c>
      <c r="B466" s="12" t="s">
        <v>3739</v>
      </c>
      <c r="C466" s="46" t="s">
        <v>5568</v>
      </c>
      <c r="D466" s="12" t="s">
        <v>121</v>
      </c>
      <c r="E466" s="12" t="s">
        <v>5406</v>
      </c>
    </row>
    <row r="467" ht="15.75" customHeight="1">
      <c r="A467" s="12" t="s">
        <v>115</v>
      </c>
      <c r="B467" s="12" t="s">
        <v>3742</v>
      </c>
      <c r="C467" s="46" t="s">
        <v>5569</v>
      </c>
      <c r="D467" s="12" t="s">
        <v>121</v>
      </c>
      <c r="E467" s="12" t="s">
        <v>5406</v>
      </c>
    </row>
    <row r="468" ht="15.75" customHeight="1">
      <c r="A468" s="12" t="s">
        <v>115</v>
      </c>
      <c r="B468" s="12" t="s">
        <v>3746</v>
      </c>
      <c r="C468" s="46" t="s">
        <v>5570</v>
      </c>
      <c r="D468" s="12" t="s">
        <v>121</v>
      </c>
      <c r="E468" s="12" t="s">
        <v>5406</v>
      </c>
    </row>
    <row r="469" ht="15.75" customHeight="1">
      <c r="A469" s="12" t="s">
        <v>115</v>
      </c>
      <c r="B469" s="12" t="s">
        <v>3748</v>
      </c>
      <c r="C469" s="46" t="s">
        <v>5571</v>
      </c>
      <c r="D469" s="12" t="s">
        <v>121</v>
      </c>
      <c r="E469" s="12" t="s">
        <v>5406</v>
      </c>
    </row>
    <row r="470" ht="15.75" customHeight="1">
      <c r="A470" s="12" t="s">
        <v>115</v>
      </c>
      <c r="B470" s="12" t="s">
        <v>3751</v>
      </c>
      <c r="C470" s="46" t="s">
        <v>5572</v>
      </c>
      <c r="D470" s="12" t="s">
        <v>121</v>
      </c>
      <c r="E470" s="12" t="s">
        <v>5406</v>
      </c>
    </row>
    <row r="471" ht="15.75" customHeight="1">
      <c r="A471" s="12" t="s">
        <v>115</v>
      </c>
      <c r="B471" s="12" t="s">
        <v>3754</v>
      </c>
      <c r="C471" s="46" t="s">
        <v>5573</v>
      </c>
      <c r="D471" s="12" t="s">
        <v>121</v>
      </c>
      <c r="E471" s="12" t="s">
        <v>5406</v>
      </c>
    </row>
    <row r="472" ht="15.75" customHeight="1">
      <c r="A472" s="12" t="s">
        <v>115</v>
      </c>
      <c r="B472" s="12" t="s">
        <v>3758</v>
      </c>
      <c r="C472" s="46" t="s">
        <v>5574</v>
      </c>
      <c r="D472" s="12" t="s">
        <v>121</v>
      </c>
      <c r="E472" s="12" t="s">
        <v>5406</v>
      </c>
    </row>
    <row r="473" ht="15.75" customHeight="1">
      <c r="A473" s="12" t="s">
        <v>115</v>
      </c>
      <c r="B473" s="12" t="s">
        <v>3762</v>
      </c>
      <c r="C473" s="46" t="s">
        <v>5575</v>
      </c>
      <c r="D473" s="12" t="s">
        <v>121</v>
      </c>
      <c r="E473" s="12" t="s">
        <v>5406</v>
      </c>
    </row>
    <row r="474" ht="15.75" customHeight="1">
      <c r="A474" s="12" t="s">
        <v>115</v>
      </c>
      <c r="B474" s="12" t="s">
        <v>3766</v>
      </c>
      <c r="C474" s="46" t="s">
        <v>5576</v>
      </c>
      <c r="D474" s="12" t="s">
        <v>121</v>
      </c>
      <c r="E474" s="12" t="s">
        <v>5406</v>
      </c>
    </row>
    <row r="475" ht="15.75" customHeight="1">
      <c r="A475" s="12" t="s">
        <v>115</v>
      </c>
      <c r="B475" s="12" t="s">
        <v>3769</v>
      </c>
      <c r="C475" s="46" t="s">
        <v>5577</v>
      </c>
      <c r="D475" s="12" t="s">
        <v>121</v>
      </c>
      <c r="E475" s="12" t="s">
        <v>5406</v>
      </c>
    </row>
    <row r="476" ht="15.75" customHeight="1">
      <c r="A476" s="12" t="s">
        <v>115</v>
      </c>
      <c r="B476" s="12" t="s">
        <v>3773</v>
      </c>
      <c r="C476" s="46" t="s">
        <v>5578</v>
      </c>
      <c r="D476" s="12" t="s">
        <v>121</v>
      </c>
      <c r="E476" s="12" t="s">
        <v>5406</v>
      </c>
    </row>
    <row r="477" ht="15.75" customHeight="1">
      <c r="A477" s="12" t="s">
        <v>115</v>
      </c>
      <c r="B477" s="12" t="s">
        <v>3776</v>
      </c>
      <c r="C477" s="46" t="s">
        <v>5579</v>
      </c>
      <c r="D477" s="12" t="s">
        <v>121</v>
      </c>
      <c r="E477" s="12" t="s">
        <v>5406</v>
      </c>
    </row>
    <row r="478" ht="15.75" customHeight="1">
      <c r="A478" s="12" t="s">
        <v>115</v>
      </c>
      <c r="B478" s="12" t="s">
        <v>3779</v>
      </c>
      <c r="C478" s="46" t="s">
        <v>5580</v>
      </c>
      <c r="D478" s="12" t="s">
        <v>121</v>
      </c>
      <c r="E478" s="12" t="s">
        <v>5406</v>
      </c>
    </row>
    <row r="479" ht="15.75" customHeight="1">
      <c r="A479" s="12" t="s">
        <v>115</v>
      </c>
      <c r="B479" s="12" t="s">
        <v>3782</v>
      </c>
      <c r="C479" s="46" t="s">
        <v>5581</v>
      </c>
      <c r="D479" s="12" t="s">
        <v>121</v>
      </c>
      <c r="E479" s="12" t="s">
        <v>5406</v>
      </c>
    </row>
    <row r="480" ht="15.75" customHeight="1">
      <c r="A480" s="12" t="s">
        <v>115</v>
      </c>
      <c r="B480" s="12" t="s">
        <v>3784</v>
      </c>
      <c r="C480" s="46" t="s">
        <v>5582</v>
      </c>
      <c r="D480" s="12" t="s">
        <v>121</v>
      </c>
      <c r="E480" s="12" t="s">
        <v>5406</v>
      </c>
    </row>
    <row r="481" ht="15.75" customHeight="1">
      <c r="A481" s="12" t="s">
        <v>115</v>
      </c>
      <c r="B481" s="12" t="s">
        <v>3787</v>
      </c>
      <c r="C481" s="46" t="s">
        <v>5583</v>
      </c>
      <c r="D481" s="12" t="s">
        <v>121</v>
      </c>
      <c r="E481" s="12" t="s">
        <v>5406</v>
      </c>
    </row>
    <row r="482" ht="15.75" customHeight="1">
      <c r="A482" s="12" t="s">
        <v>115</v>
      </c>
      <c r="B482" s="12" t="s">
        <v>3791</v>
      </c>
      <c r="C482" s="46" t="s">
        <v>5584</v>
      </c>
      <c r="D482" s="12" t="s">
        <v>121</v>
      </c>
      <c r="E482" s="12" t="s">
        <v>5406</v>
      </c>
    </row>
    <row r="483" ht="15.75" customHeight="1">
      <c r="A483" s="12" t="s">
        <v>115</v>
      </c>
      <c r="B483" s="12" t="s">
        <v>3794</v>
      </c>
      <c r="C483" s="46" t="s">
        <v>5585</v>
      </c>
      <c r="D483" s="12" t="s">
        <v>121</v>
      </c>
      <c r="E483" s="12" t="s">
        <v>5406</v>
      </c>
    </row>
    <row r="484" ht="15.75" customHeight="1">
      <c r="A484" s="12" t="s">
        <v>115</v>
      </c>
      <c r="B484" s="12" t="s">
        <v>3797</v>
      </c>
      <c r="C484" s="46" t="s">
        <v>5586</v>
      </c>
      <c r="D484" s="12" t="s">
        <v>121</v>
      </c>
      <c r="E484" s="12" t="s">
        <v>5406</v>
      </c>
    </row>
    <row r="485" ht="15.75" customHeight="1">
      <c r="A485" s="12" t="s">
        <v>115</v>
      </c>
      <c r="B485" s="12" t="s">
        <v>3801</v>
      </c>
      <c r="C485" s="46" t="s">
        <v>5587</v>
      </c>
      <c r="D485" s="12" t="s">
        <v>121</v>
      </c>
      <c r="E485" s="12" t="s">
        <v>5406</v>
      </c>
    </row>
    <row r="486" ht="15.75" customHeight="1">
      <c r="A486" s="12" t="s">
        <v>115</v>
      </c>
      <c r="B486" s="12" t="s">
        <v>3805</v>
      </c>
      <c r="C486" s="46" t="s">
        <v>5588</v>
      </c>
      <c r="D486" s="12" t="s">
        <v>121</v>
      </c>
      <c r="E486" s="12" t="s">
        <v>5406</v>
      </c>
    </row>
    <row r="487" ht="15.75" customHeight="1">
      <c r="A487" s="12" t="s">
        <v>115</v>
      </c>
      <c r="B487" s="12" t="s">
        <v>3808</v>
      </c>
      <c r="C487" s="46" t="s">
        <v>5589</v>
      </c>
      <c r="D487" s="12" t="s">
        <v>121</v>
      </c>
      <c r="E487" s="12" t="s">
        <v>5406</v>
      </c>
    </row>
    <row r="488" ht="15.75" customHeight="1">
      <c r="A488" s="12" t="s">
        <v>115</v>
      </c>
      <c r="B488" s="12" t="s">
        <v>3812</v>
      </c>
      <c r="C488" s="46" t="s">
        <v>5590</v>
      </c>
      <c r="D488" s="12" t="s">
        <v>121</v>
      </c>
      <c r="E488" s="12" t="s">
        <v>5406</v>
      </c>
    </row>
    <row r="489" ht="15.75" customHeight="1">
      <c r="A489" s="12" t="s">
        <v>115</v>
      </c>
      <c r="B489" s="12" t="s">
        <v>3816</v>
      </c>
      <c r="C489" s="46" t="s">
        <v>5591</v>
      </c>
      <c r="D489" s="12" t="s">
        <v>121</v>
      </c>
      <c r="E489" s="12" t="s">
        <v>5406</v>
      </c>
    </row>
    <row r="490" ht="15.75" customHeight="1">
      <c r="A490" s="12" t="s">
        <v>115</v>
      </c>
      <c r="B490" s="12" t="s">
        <v>3820</v>
      </c>
      <c r="C490" s="46" t="s">
        <v>5592</v>
      </c>
      <c r="D490" s="12" t="s">
        <v>121</v>
      </c>
      <c r="E490" s="12" t="s">
        <v>5406</v>
      </c>
    </row>
    <row r="491" ht="15.75" customHeight="1">
      <c r="A491" s="12" t="s">
        <v>115</v>
      </c>
      <c r="B491" s="12" t="s">
        <v>3824</v>
      </c>
      <c r="C491" s="46" t="s">
        <v>5593</v>
      </c>
      <c r="D491" s="12" t="s">
        <v>121</v>
      </c>
      <c r="E491" s="12" t="s">
        <v>5406</v>
      </c>
    </row>
    <row r="492" ht="15.75" customHeight="1">
      <c r="A492" s="12" t="s">
        <v>115</v>
      </c>
      <c r="B492" s="12" t="s">
        <v>3827</v>
      </c>
      <c r="C492" s="46" t="s">
        <v>5594</v>
      </c>
      <c r="D492" s="12" t="s">
        <v>121</v>
      </c>
      <c r="E492" s="12" t="s">
        <v>5406</v>
      </c>
    </row>
    <row r="493" ht="15.75" customHeight="1">
      <c r="A493" s="12" t="s">
        <v>115</v>
      </c>
      <c r="B493" s="12" t="s">
        <v>3830</v>
      </c>
      <c r="C493" s="46" t="s">
        <v>5595</v>
      </c>
      <c r="D493" s="12" t="s">
        <v>121</v>
      </c>
      <c r="E493" s="12" t="s">
        <v>5406</v>
      </c>
    </row>
    <row r="494" ht="15.75" customHeight="1">
      <c r="A494" s="12" t="s">
        <v>115</v>
      </c>
      <c r="B494" s="12" t="s">
        <v>3831</v>
      </c>
      <c r="C494" s="46" t="s">
        <v>5596</v>
      </c>
      <c r="D494" s="12" t="s">
        <v>121</v>
      </c>
      <c r="E494" s="12" t="s">
        <v>5406</v>
      </c>
    </row>
    <row r="495" ht="15.75" customHeight="1">
      <c r="A495" s="12" t="s">
        <v>115</v>
      </c>
      <c r="B495" s="12" t="s">
        <v>3834</v>
      </c>
      <c r="C495" s="46" t="s">
        <v>5597</v>
      </c>
      <c r="D495" s="12" t="s">
        <v>121</v>
      </c>
      <c r="E495" s="12" t="s">
        <v>5406</v>
      </c>
    </row>
    <row r="496" ht="15.75" customHeight="1">
      <c r="A496" s="12" t="s">
        <v>115</v>
      </c>
      <c r="B496" s="12" t="s">
        <v>3837</v>
      </c>
      <c r="C496" s="46" t="s">
        <v>5598</v>
      </c>
      <c r="D496" s="12" t="s">
        <v>121</v>
      </c>
      <c r="E496" s="12" t="s">
        <v>5406</v>
      </c>
    </row>
    <row r="497" ht="15.75" customHeight="1">
      <c r="A497" s="12" t="s">
        <v>115</v>
      </c>
      <c r="B497" s="12" t="s">
        <v>3840</v>
      </c>
      <c r="C497" s="46" t="s">
        <v>5599</v>
      </c>
      <c r="D497" s="12" t="s">
        <v>121</v>
      </c>
      <c r="E497" s="12" t="s">
        <v>5406</v>
      </c>
    </row>
    <row r="498" ht="15.75" customHeight="1">
      <c r="A498" s="12" t="s">
        <v>115</v>
      </c>
      <c r="B498" s="12" t="s">
        <v>3843</v>
      </c>
      <c r="C498" s="46" t="s">
        <v>5600</v>
      </c>
      <c r="D498" s="12" t="s">
        <v>121</v>
      </c>
      <c r="E498" s="12" t="s">
        <v>5406</v>
      </c>
    </row>
    <row r="499" ht="15.75" customHeight="1">
      <c r="A499" s="12" t="s">
        <v>115</v>
      </c>
      <c r="B499" s="12" t="s">
        <v>3846</v>
      </c>
      <c r="C499" s="46" t="s">
        <v>5601</v>
      </c>
      <c r="D499" s="12" t="s">
        <v>121</v>
      </c>
      <c r="E499" s="12" t="s">
        <v>5406</v>
      </c>
    </row>
    <row r="500" ht="15.75" customHeight="1">
      <c r="A500" s="12" t="s">
        <v>115</v>
      </c>
      <c r="B500" s="12" t="s">
        <v>3850</v>
      </c>
      <c r="C500" s="46" t="s">
        <v>5602</v>
      </c>
      <c r="D500" s="12" t="s">
        <v>121</v>
      </c>
      <c r="E500" s="12" t="s">
        <v>5406</v>
      </c>
    </row>
    <row r="501" ht="15.75" customHeight="1">
      <c r="A501" s="12" t="s">
        <v>115</v>
      </c>
      <c r="B501" s="12" t="s">
        <v>3854</v>
      </c>
      <c r="C501" s="46" t="s">
        <v>5603</v>
      </c>
      <c r="D501" s="12" t="s">
        <v>121</v>
      </c>
      <c r="E501" s="12" t="s">
        <v>5406</v>
      </c>
    </row>
    <row r="502" ht="15.75" customHeight="1">
      <c r="A502" s="12" t="s">
        <v>115</v>
      </c>
      <c r="B502" s="12" t="s">
        <v>3857</v>
      </c>
      <c r="C502" s="46" t="s">
        <v>5604</v>
      </c>
      <c r="D502" s="12" t="s">
        <v>121</v>
      </c>
      <c r="E502" s="12" t="s">
        <v>5406</v>
      </c>
    </row>
    <row r="503" ht="15.75" customHeight="1">
      <c r="A503" s="12" t="s">
        <v>115</v>
      </c>
      <c r="B503" s="12" t="s">
        <v>3860</v>
      </c>
      <c r="C503" s="46" t="s">
        <v>5605</v>
      </c>
      <c r="D503" s="12" t="s">
        <v>121</v>
      </c>
      <c r="E503" s="12" t="s">
        <v>5406</v>
      </c>
    </row>
    <row r="504" ht="15.75" customHeight="1">
      <c r="A504" s="12" t="s">
        <v>115</v>
      </c>
      <c r="B504" s="12" t="s">
        <v>3864</v>
      </c>
      <c r="C504" s="46" t="s">
        <v>5606</v>
      </c>
      <c r="D504" s="12" t="s">
        <v>121</v>
      </c>
      <c r="E504" s="12" t="s">
        <v>5406</v>
      </c>
    </row>
    <row r="505" ht="15.75" customHeight="1">
      <c r="A505" s="12" t="s">
        <v>115</v>
      </c>
      <c r="B505" s="12" t="s">
        <v>3867</v>
      </c>
      <c r="C505" s="46" t="s">
        <v>5607</v>
      </c>
      <c r="D505" s="12" t="s">
        <v>121</v>
      </c>
      <c r="E505" s="12" t="s">
        <v>5406</v>
      </c>
    </row>
    <row r="506" ht="15.75" customHeight="1">
      <c r="A506" s="12" t="s">
        <v>115</v>
      </c>
      <c r="B506" s="12" t="s">
        <v>3871</v>
      </c>
      <c r="C506" s="46" t="s">
        <v>5608</v>
      </c>
      <c r="D506" s="12" t="s">
        <v>121</v>
      </c>
      <c r="E506" s="12" t="s">
        <v>5406</v>
      </c>
    </row>
    <row r="507" ht="15.75" customHeight="1">
      <c r="A507" s="12" t="s">
        <v>115</v>
      </c>
      <c r="B507" s="12" t="s">
        <v>3874</v>
      </c>
      <c r="C507" s="46" t="s">
        <v>5609</v>
      </c>
      <c r="D507" s="12" t="s">
        <v>121</v>
      </c>
      <c r="E507" s="12" t="s">
        <v>5406</v>
      </c>
    </row>
    <row r="508" ht="15.75" customHeight="1">
      <c r="A508" s="12" t="s">
        <v>115</v>
      </c>
      <c r="B508" s="12" t="s">
        <v>3879</v>
      </c>
      <c r="C508" s="46" t="s">
        <v>50</v>
      </c>
      <c r="D508" s="12" t="s">
        <v>121</v>
      </c>
      <c r="E508" s="12" t="s">
        <v>5406</v>
      </c>
    </row>
    <row r="509" ht="15.75" customHeight="1">
      <c r="A509" s="12" t="s">
        <v>115</v>
      </c>
      <c r="B509" s="12" t="s">
        <v>3883</v>
      </c>
      <c r="C509" s="46" t="s">
        <v>5610</v>
      </c>
      <c r="D509" s="12" t="s">
        <v>121</v>
      </c>
      <c r="E509" s="12" t="s">
        <v>5406</v>
      </c>
    </row>
    <row r="510" ht="15.75" customHeight="1">
      <c r="A510" s="12" t="s">
        <v>115</v>
      </c>
      <c r="B510" s="12" t="s">
        <v>3888</v>
      </c>
      <c r="C510" s="46" t="s">
        <v>5611</v>
      </c>
      <c r="D510" s="12" t="s">
        <v>121</v>
      </c>
      <c r="E510" s="12" t="s">
        <v>5406</v>
      </c>
    </row>
    <row r="511" ht="15.75" customHeight="1">
      <c r="A511" s="12" t="s">
        <v>115</v>
      </c>
      <c r="B511" s="12" t="s">
        <v>3893</v>
      </c>
      <c r="C511" s="46" t="s">
        <v>5612</v>
      </c>
      <c r="D511" s="12" t="s">
        <v>121</v>
      </c>
      <c r="E511" s="12" t="s">
        <v>5406</v>
      </c>
    </row>
    <row r="512" ht="15.75" customHeight="1">
      <c r="A512" s="12" t="s">
        <v>115</v>
      </c>
      <c r="B512" s="12" t="s">
        <v>3898</v>
      </c>
      <c r="C512" s="46" t="s">
        <v>5613</v>
      </c>
      <c r="D512" s="12" t="s">
        <v>121</v>
      </c>
      <c r="E512" s="12" t="s">
        <v>5406</v>
      </c>
    </row>
    <row r="513" ht="15.75" customHeight="1">
      <c r="A513" s="12" t="s">
        <v>115</v>
      </c>
      <c r="B513" s="12" t="s">
        <v>3903</v>
      </c>
      <c r="C513" s="46" t="s">
        <v>5614</v>
      </c>
      <c r="D513" s="12" t="s">
        <v>121</v>
      </c>
      <c r="E513" s="12" t="s">
        <v>5406</v>
      </c>
    </row>
    <row r="514" ht="15.75" customHeight="1">
      <c r="A514" s="12" t="s">
        <v>115</v>
      </c>
      <c r="B514" s="12" t="s">
        <v>3907</v>
      </c>
      <c r="C514" s="46" t="s">
        <v>5615</v>
      </c>
      <c r="D514" s="12" t="s">
        <v>121</v>
      </c>
      <c r="E514" s="12" t="s">
        <v>5406</v>
      </c>
    </row>
    <row r="515" ht="15.75" customHeight="1">
      <c r="A515" s="12" t="s">
        <v>115</v>
      </c>
      <c r="B515" s="12" t="s">
        <v>3911</v>
      </c>
      <c r="C515" s="46" t="s">
        <v>5616</v>
      </c>
      <c r="D515" s="12" t="s">
        <v>121</v>
      </c>
      <c r="E515" s="12" t="s">
        <v>5406</v>
      </c>
    </row>
    <row r="516" ht="15.75" customHeight="1">
      <c r="A516" s="12" t="s">
        <v>115</v>
      </c>
      <c r="B516" s="12" t="s">
        <v>3915</v>
      </c>
      <c r="C516" s="46" t="s">
        <v>5617</v>
      </c>
      <c r="D516" s="12" t="s">
        <v>121</v>
      </c>
      <c r="E516" s="12" t="s">
        <v>5406</v>
      </c>
    </row>
    <row r="517" ht="15.75" customHeight="1">
      <c r="A517" s="12" t="s">
        <v>115</v>
      </c>
      <c r="B517" s="12" t="s">
        <v>3918</v>
      </c>
      <c r="C517" s="46" t="s">
        <v>5618</v>
      </c>
      <c r="D517" s="12" t="s">
        <v>121</v>
      </c>
      <c r="E517" s="12" t="s">
        <v>5406</v>
      </c>
    </row>
    <row r="518" ht="15.75" customHeight="1">
      <c r="A518" s="12" t="s">
        <v>115</v>
      </c>
      <c r="B518" s="12" t="s">
        <v>3921</v>
      </c>
      <c r="C518" s="46" t="s">
        <v>5619</v>
      </c>
      <c r="D518" s="12" t="s">
        <v>121</v>
      </c>
      <c r="E518" s="12" t="s">
        <v>5406</v>
      </c>
    </row>
    <row r="519" ht="15.75" customHeight="1">
      <c r="A519" s="12" t="s">
        <v>115</v>
      </c>
      <c r="B519" s="12" t="s">
        <v>3925</v>
      </c>
      <c r="C519" s="46" t="s">
        <v>5620</v>
      </c>
      <c r="D519" s="12" t="s">
        <v>121</v>
      </c>
      <c r="E519" s="12" t="s">
        <v>5406</v>
      </c>
    </row>
    <row r="520" ht="15.75" customHeight="1">
      <c r="A520" s="12" t="s">
        <v>115</v>
      </c>
      <c r="B520" s="12" t="s">
        <v>3928</v>
      </c>
      <c r="C520" s="46" t="s">
        <v>5621</v>
      </c>
      <c r="D520" s="12" t="s">
        <v>121</v>
      </c>
      <c r="E520" s="12" t="s">
        <v>5406</v>
      </c>
    </row>
    <row r="521" ht="15.75" customHeight="1">
      <c r="A521" s="12" t="s">
        <v>115</v>
      </c>
      <c r="B521" s="12" t="s">
        <v>3931</v>
      </c>
      <c r="C521" s="46" t="s">
        <v>5622</v>
      </c>
      <c r="D521" s="12" t="s">
        <v>121</v>
      </c>
      <c r="E521" s="12" t="s">
        <v>5406</v>
      </c>
    </row>
    <row r="522" ht="15.75" customHeight="1">
      <c r="A522" s="12" t="s">
        <v>115</v>
      </c>
      <c r="B522" s="12" t="s">
        <v>3936</v>
      </c>
      <c r="C522" s="46" t="s">
        <v>5796</v>
      </c>
      <c r="D522" s="12" t="s">
        <v>121</v>
      </c>
      <c r="E522" s="12" t="s">
        <v>5406</v>
      </c>
    </row>
    <row r="523" ht="15.75" customHeight="1">
      <c r="A523" s="12" t="s">
        <v>115</v>
      </c>
      <c r="B523" s="12" t="s">
        <v>3940</v>
      </c>
      <c r="C523" s="46" t="s">
        <v>5624</v>
      </c>
      <c r="D523" s="12" t="s">
        <v>121</v>
      </c>
      <c r="E523" s="12" t="s">
        <v>5406</v>
      </c>
    </row>
    <row r="524" ht="15.75" customHeight="1">
      <c r="A524" s="12" t="s">
        <v>115</v>
      </c>
      <c r="B524" s="12" t="s">
        <v>3941</v>
      </c>
      <c r="C524" s="46" t="s">
        <v>5625</v>
      </c>
      <c r="D524" s="12" t="s">
        <v>121</v>
      </c>
      <c r="E524" s="12" t="s">
        <v>5406</v>
      </c>
    </row>
    <row r="525" ht="15.75" customHeight="1">
      <c r="A525" s="12" t="s">
        <v>115</v>
      </c>
      <c r="B525" s="12" t="s">
        <v>3944</v>
      </c>
      <c r="C525" s="46" t="s">
        <v>5626</v>
      </c>
      <c r="D525" s="12" t="s">
        <v>121</v>
      </c>
      <c r="E525" s="12" t="s">
        <v>5406</v>
      </c>
    </row>
    <row r="526" ht="15.75" customHeight="1">
      <c r="A526" s="12" t="s">
        <v>115</v>
      </c>
      <c r="B526" s="12" t="s">
        <v>3948</v>
      </c>
      <c r="C526" s="46" t="s">
        <v>5627</v>
      </c>
      <c r="D526" s="12" t="s">
        <v>121</v>
      </c>
      <c r="E526" s="12" t="s">
        <v>5406</v>
      </c>
    </row>
    <row r="527" ht="15.75" customHeight="1">
      <c r="A527" s="12" t="s">
        <v>115</v>
      </c>
      <c r="B527" s="12" t="s">
        <v>3951</v>
      </c>
      <c r="C527" s="46" t="s">
        <v>5628</v>
      </c>
      <c r="D527" s="12" t="s">
        <v>121</v>
      </c>
      <c r="E527" s="12" t="s">
        <v>5406</v>
      </c>
    </row>
    <row r="528" ht="15.75" customHeight="1">
      <c r="A528" s="12" t="s">
        <v>115</v>
      </c>
      <c r="B528" s="12" t="s">
        <v>3955</v>
      </c>
      <c r="C528" s="46" t="s">
        <v>5629</v>
      </c>
      <c r="D528" s="12" t="s">
        <v>121</v>
      </c>
      <c r="E528" s="12" t="s">
        <v>5406</v>
      </c>
    </row>
    <row r="529" ht="15.75" customHeight="1">
      <c r="A529" s="12" t="s">
        <v>115</v>
      </c>
      <c r="B529" s="12" t="s">
        <v>3957</v>
      </c>
      <c r="C529" s="46" t="s">
        <v>5630</v>
      </c>
      <c r="D529" s="12" t="s">
        <v>121</v>
      </c>
      <c r="E529" s="12" t="s">
        <v>5406</v>
      </c>
    </row>
    <row r="530" ht="15.75" customHeight="1">
      <c r="A530" s="12" t="s">
        <v>115</v>
      </c>
      <c r="B530" s="12" t="s">
        <v>3960</v>
      </c>
      <c r="C530" s="46" t="s">
        <v>5631</v>
      </c>
      <c r="D530" s="12" t="s">
        <v>121</v>
      </c>
      <c r="E530" s="12" t="s">
        <v>5406</v>
      </c>
    </row>
    <row r="531" ht="15.75" customHeight="1">
      <c r="A531" s="12" t="s">
        <v>115</v>
      </c>
      <c r="B531" s="12" t="s">
        <v>3964</v>
      </c>
      <c r="C531" s="46" t="s">
        <v>5632</v>
      </c>
      <c r="D531" s="12" t="s">
        <v>121</v>
      </c>
      <c r="E531" s="12" t="s">
        <v>5406</v>
      </c>
    </row>
    <row r="532" ht="15.75" customHeight="1">
      <c r="A532" s="12" t="s">
        <v>115</v>
      </c>
      <c r="B532" s="12" t="s">
        <v>3967</v>
      </c>
      <c r="C532" s="46" t="s">
        <v>5633</v>
      </c>
      <c r="D532" s="12" t="s">
        <v>121</v>
      </c>
      <c r="E532" s="12" t="s">
        <v>5406</v>
      </c>
    </row>
    <row r="533" ht="15.75" customHeight="1">
      <c r="A533" s="12" t="s">
        <v>115</v>
      </c>
      <c r="B533" s="12" t="s">
        <v>3971</v>
      </c>
      <c r="C533" s="46" t="s">
        <v>5634</v>
      </c>
      <c r="D533" s="12" t="s">
        <v>121</v>
      </c>
      <c r="E533" s="12" t="s">
        <v>5406</v>
      </c>
    </row>
    <row r="534" ht="15.75" customHeight="1">
      <c r="A534" s="12" t="s">
        <v>115</v>
      </c>
      <c r="B534" s="12" t="s">
        <v>3973</v>
      </c>
      <c r="C534" s="46" t="s">
        <v>5635</v>
      </c>
      <c r="D534" s="12" t="s">
        <v>121</v>
      </c>
      <c r="E534" s="12" t="s">
        <v>5406</v>
      </c>
    </row>
    <row r="535" ht="15.75" customHeight="1">
      <c r="A535" s="12" t="s">
        <v>115</v>
      </c>
      <c r="B535" s="12" t="s">
        <v>3978</v>
      </c>
      <c r="C535" s="46" t="s">
        <v>5636</v>
      </c>
      <c r="D535" s="12" t="s">
        <v>121</v>
      </c>
      <c r="E535" s="12" t="s">
        <v>5406</v>
      </c>
    </row>
    <row r="536" ht="15.75" customHeight="1">
      <c r="A536" s="12" t="s">
        <v>115</v>
      </c>
      <c r="B536" s="12" t="s">
        <v>3981</v>
      </c>
      <c r="C536" s="46" t="s">
        <v>5637</v>
      </c>
      <c r="D536" s="12" t="s">
        <v>121</v>
      </c>
      <c r="E536" s="12" t="s">
        <v>5406</v>
      </c>
    </row>
    <row r="537" ht="15.75" customHeight="1">
      <c r="A537" s="12" t="s">
        <v>115</v>
      </c>
      <c r="B537" s="12" t="s">
        <v>3985</v>
      </c>
      <c r="C537" s="46" t="s">
        <v>5638</v>
      </c>
      <c r="D537" s="12" t="s">
        <v>121</v>
      </c>
      <c r="E537" s="12" t="s">
        <v>5406</v>
      </c>
    </row>
    <row r="538" ht="15.75" customHeight="1">
      <c r="A538" s="12" t="s">
        <v>115</v>
      </c>
      <c r="B538" s="12" t="s">
        <v>3988</v>
      </c>
      <c r="C538" s="46" t="s">
        <v>5639</v>
      </c>
      <c r="D538" s="12" t="s">
        <v>121</v>
      </c>
      <c r="E538" s="12" t="s">
        <v>5406</v>
      </c>
    </row>
    <row r="539" ht="15.75" customHeight="1">
      <c r="A539" s="12" t="s">
        <v>115</v>
      </c>
      <c r="B539" s="12" t="s">
        <v>3991</v>
      </c>
      <c r="C539" s="46" t="s">
        <v>5640</v>
      </c>
      <c r="D539" s="12" t="s">
        <v>121</v>
      </c>
      <c r="E539" s="12" t="s">
        <v>5406</v>
      </c>
    </row>
    <row r="540" ht="15.75" customHeight="1">
      <c r="A540" s="12" t="s">
        <v>115</v>
      </c>
      <c r="B540" s="12" t="s">
        <v>3995</v>
      </c>
      <c r="C540" s="46" t="s">
        <v>5641</v>
      </c>
      <c r="D540" s="12" t="s">
        <v>121</v>
      </c>
      <c r="E540" s="12" t="s">
        <v>5406</v>
      </c>
    </row>
    <row r="541" ht="15.75" customHeight="1">
      <c r="A541" s="12" t="s">
        <v>115</v>
      </c>
      <c r="B541" s="12" t="s">
        <v>4000</v>
      </c>
      <c r="C541" s="46" t="s">
        <v>5642</v>
      </c>
      <c r="D541" s="12" t="s">
        <v>121</v>
      </c>
      <c r="E541" s="12" t="s">
        <v>5406</v>
      </c>
    </row>
    <row r="542" ht="15.75" customHeight="1">
      <c r="A542" s="12" t="s">
        <v>115</v>
      </c>
      <c r="B542" s="12" t="s">
        <v>4003</v>
      </c>
      <c r="C542" s="46" t="s">
        <v>5643</v>
      </c>
      <c r="D542" s="12" t="s">
        <v>121</v>
      </c>
      <c r="E542" s="12" t="s">
        <v>5406</v>
      </c>
    </row>
    <row r="543" ht="15.75" customHeight="1">
      <c r="A543" s="12" t="s">
        <v>115</v>
      </c>
      <c r="B543" s="12" t="s">
        <v>4006</v>
      </c>
      <c r="C543" s="46" t="s">
        <v>5644</v>
      </c>
      <c r="D543" s="12" t="s">
        <v>121</v>
      </c>
      <c r="E543" s="12" t="s">
        <v>5406</v>
      </c>
    </row>
    <row r="544" ht="15.75" customHeight="1">
      <c r="A544" s="12" t="s">
        <v>115</v>
      </c>
      <c r="B544" s="12" t="s">
        <v>4010</v>
      </c>
      <c r="C544" s="46" t="s">
        <v>5645</v>
      </c>
      <c r="D544" s="12" t="s">
        <v>121</v>
      </c>
      <c r="E544" s="12" t="s">
        <v>5406</v>
      </c>
    </row>
    <row r="545" ht="15.75" customHeight="1">
      <c r="A545" s="12" t="s">
        <v>115</v>
      </c>
      <c r="B545" s="12" t="s">
        <v>4013</v>
      </c>
      <c r="C545" s="46" t="s">
        <v>5646</v>
      </c>
      <c r="D545" s="12" t="s">
        <v>121</v>
      </c>
      <c r="E545" s="12" t="s">
        <v>5406</v>
      </c>
    </row>
    <row r="546" ht="15.75" customHeight="1">
      <c r="A546" s="12" t="s">
        <v>115</v>
      </c>
      <c r="B546" s="12" t="s">
        <v>4017</v>
      </c>
      <c r="C546" s="46" t="s">
        <v>5647</v>
      </c>
      <c r="D546" s="12" t="s">
        <v>121</v>
      </c>
      <c r="E546" s="12" t="s">
        <v>5406</v>
      </c>
    </row>
    <row r="547" ht="15.75" customHeight="1">
      <c r="A547" s="12" t="s">
        <v>115</v>
      </c>
      <c r="B547" s="12" t="s">
        <v>4020</v>
      </c>
      <c r="C547" s="46" t="s">
        <v>5648</v>
      </c>
      <c r="D547" s="12" t="s">
        <v>121</v>
      </c>
      <c r="E547" s="12" t="s">
        <v>5406</v>
      </c>
    </row>
    <row r="548" ht="15.75" customHeight="1">
      <c r="A548" s="12" t="s">
        <v>115</v>
      </c>
      <c r="B548" s="12" t="s">
        <v>4024</v>
      </c>
      <c r="C548" s="46" t="s">
        <v>5649</v>
      </c>
      <c r="D548" s="12" t="s">
        <v>121</v>
      </c>
      <c r="E548" s="12" t="s">
        <v>5406</v>
      </c>
    </row>
    <row r="549" ht="15.75" customHeight="1">
      <c r="A549" s="12" t="s">
        <v>115</v>
      </c>
      <c r="B549" s="12" t="s">
        <v>4027</v>
      </c>
      <c r="C549" s="46" t="s">
        <v>5650</v>
      </c>
      <c r="D549" s="12" t="s">
        <v>121</v>
      </c>
      <c r="E549" s="12" t="s">
        <v>5406</v>
      </c>
    </row>
    <row r="550" ht="15.75" customHeight="1">
      <c r="A550" s="12" t="s">
        <v>115</v>
      </c>
      <c r="B550" s="12" t="s">
        <v>4031</v>
      </c>
      <c r="C550" s="46" t="s">
        <v>5651</v>
      </c>
      <c r="D550" s="12" t="s">
        <v>121</v>
      </c>
      <c r="E550" s="12" t="s">
        <v>5406</v>
      </c>
    </row>
    <row r="551" ht="15.75" customHeight="1">
      <c r="A551" s="12" t="s">
        <v>115</v>
      </c>
      <c r="B551" s="12" t="s">
        <v>4034</v>
      </c>
      <c r="C551" s="46" t="s">
        <v>5652</v>
      </c>
      <c r="D551" s="12" t="s">
        <v>121</v>
      </c>
      <c r="E551" s="12" t="s">
        <v>5406</v>
      </c>
    </row>
    <row r="552" ht="15.75" customHeight="1">
      <c r="A552" s="12" t="s">
        <v>115</v>
      </c>
      <c r="B552" s="12" t="s">
        <v>4037</v>
      </c>
      <c r="C552" s="46" t="s">
        <v>5653</v>
      </c>
      <c r="D552" s="12" t="s">
        <v>121</v>
      </c>
      <c r="E552" s="12" t="s">
        <v>5406</v>
      </c>
    </row>
    <row r="553" ht="15.75" customHeight="1">
      <c r="A553" s="12" t="s">
        <v>115</v>
      </c>
      <c r="B553" s="12" t="s">
        <v>4040</v>
      </c>
      <c r="C553" s="46" t="s">
        <v>5654</v>
      </c>
      <c r="D553" s="12" t="s">
        <v>121</v>
      </c>
      <c r="E553" s="12" t="s">
        <v>5406</v>
      </c>
    </row>
    <row r="554" ht="15.75" customHeight="1">
      <c r="A554" s="12" t="s">
        <v>115</v>
      </c>
      <c r="B554" s="12" t="s">
        <v>4044</v>
      </c>
      <c r="C554" s="46" t="s">
        <v>5655</v>
      </c>
      <c r="D554" s="12" t="s">
        <v>121</v>
      </c>
      <c r="E554" s="12" t="s">
        <v>5406</v>
      </c>
    </row>
    <row r="555" ht="15.75" customHeight="1">
      <c r="A555" s="12" t="s">
        <v>115</v>
      </c>
      <c r="B555" s="12" t="s">
        <v>4048</v>
      </c>
      <c r="C555" s="46" t="s">
        <v>5656</v>
      </c>
      <c r="D555" s="12" t="s">
        <v>121</v>
      </c>
      <c r="E555" s="12" t="s">
        <v>5406</v>
      </c>
    </row>
    <row r="556" ht="15.75" customHeight="1">
      <c r="A556" s="12" t="s">
        <v>115</v>
      </c>
      <c r="B556" s="12" t="s">
        <v>4052</v>
      </c>
      <c r="C556" s="46" t="s">
        <v>5657</v>
      </c>
      <c r="D556" s="12" t="s">
        <v>121</v>
      </c>
      <c r="E556" s="12" t="s">
        <v>5406</v>
      </c>
    </row>
    <row r="557" ht="15.75" customHeight="1">
      <c r="A557" s="12" t="s">
        <v>115</v>
      </c>
      <c r="B557" s="12" t="s">
        <v>4055</v>
      </c>
      <c r="C557" s="46" t="s">
        <v>5658</v>
      </c>
      <c r="D557" s="12" t="s">
        <v>121</v>
      </c>
      <c r="E557" s="12" t="s">
        <v>5406</v>
      </c>
    </row>
    <row r="558" ht="15.75" customHeight="1">
      <c r="A558" s="12" t="s">
        <v>115</v>
      </c>
      <c r="B558" s="12" t="s">
        <v>4058</v>
      </c>
      <c r="C558" s="46" t="s">
        <v>5659</v>
      </c>
      <c r="D558" s="12" t="s">
        <v>121</v>
      </c>
      <c r="E558" s="12" t="s">
        <v>5406</v>
      </c>
    </row>
    <row r="559" ht="15.75" customHeight="1">
      <c r="A559" s="12" t="s">
        <v>115</v>
      </c>
      <c r="B559" s="12" t="s">
        <v>4063</v>
      </c>
      <c r="C559" s="46" t="s">
        <v>5660</v>
      </c>
      <c r="D559" s="12" t="s">
        <v>121</v>
      </c>
      <c r="E559" s="12" t="s">
        <v>5406</v>
      </c>
    </row>
    <row r="560" ht="15.75" customHeight="1">
      <c r="A560" s="12" t="s">
        <v>115</v>
      </c>
      <c r="B560" s="12" t="s">
        <v>4067</v>
      </c>
      <c r="C560" s="46" t="s">
        <v>5661</v>
      </c>
      <c r="D560" s="12" t="s">
        <v>121</v>
      </c>
      <c r="E560" s="12" t="s">
        <v>5406</v>
      </c>
    </row>
    <row r="561" ht="15.75" customHeight="1">
      <c r="A561" s="12" t="s">
        <v>115</v>
      </c>
      <c r="B561" s="12" t="s">
        <v>4070</v>
      </c>
      <c r="C561" s="46" t="s">
        <v>5662</v>
      </c>
      <c r="D561" s="12" t="s">
        <v>121</v>
      </c>
      <c r="E561" s="12" t="s">
        <v>5406</v>
      </c>
    </row>
    <row r="562" ht="15.75" customHeight="1">
      <c r="A562" s="12" t="s">
        <v>115</v>
      </c>
      <c r="B562" s="12" t="s">
        <v>4074</v>
      </c>
      <c r="C562" s="46" t="s">
        <v>5663</v>
      </c>
      <c r="D562" s="12" t="s">
        <v>121</v>
      </c>
      <c r="E562" s="12" t="s">
        <v>5406</v>
      </c>
    </row>
    <row r="563" ht="15.75" customHeight="1">
      <c r="A563" s="12" t="s">
        <v>115</v>
      </c>
      <c r="B563" s="12" t="s">
        <v>4077</v>
      </c>
      <c r="C563" s="46" t="s">
        <v>5664</v>
      </c>
      <c r="D563" s="12" t="s">
        <v>121</v>
      </c>
      <c r="E563" s="12" t="s">
        <v>5406</v>
      </c>
    </row>
    <row r="564" ht="15.75" customHeight="1">
      <c r="A564" s="12" t="s">
        <v>115</v>
      </c>
      <c r="B564" s="12" t="s">
        <v>4080</v>
      </c>
      <c r="C564" s="46" t="s">
        <v>4770</v>
      </c>
      <c r="D564" s="12" t="s">
        <v>121</v>
      </c>
      <c r="E564" s="12" t="s">
        <v>5406</v>
      </c>
    </row>
    <row r="565" ht="15.75" customHeight="1">
      <c r="A565" s="12" t="s">
        <v>115</v>
      </c>
      <c r="B565" s="12" t="s">
        <v>4084</v>
      </c>
      <c r="C565" s="46" t="s">
        <v>5665</v>
      </c>
      <c r="D565" s="12" t="s">
        <v>121</v>
      </c>
      <c r="E565" s="12" t="s">
        <v>5406</v>
      </c>
    </row>
    <row r="566" ht="15.75" customHeight="1">
      <c r="A566" s="12" t="s">
        <v>115</v>
      </c>
      <c r="B566" s="12" t="s">
        <v>4088</v>
      </c>
      <c r="C566" s="46" t="s">
        <v>5666</v>
      </c>
      <c r="D566" s="12" t="s">
        <v>121</v>
      </c>
      <c r="E566" s="12" t="s">
        <v>5406</v>
      </c>
    </row>
    <row r="567" ht="15.75" customHeight="1">
      <c r="A567" s="12" t="s">
        <v>115</v>
      </c>
      <c r="B567" s="12" t="s">
        <v>4092</v>
      </c>
      <c r="C567" s="46" t="s">
        <v>5667</v>
      </c>
      <c r="D567" s="12" t="s">
        <v>121</v>
      </c>
      <c r="E567" s="12" t="s">
        <v>5406</v>
      </c>
    </row>
    <row r="568" ht="15.75" customHeight="1">
      <c r="A568" s="12" t="s">
        <v>115</v>
      </c>
      <c r="B568" s="12" t="s">
        <v>4096</v>
      </c>
      <c r="C568" s="46" t="s">
        <v>5668</v>
      </c>
      <c r="D568" s="12" t="s">
        <v>121</v>
      </c>
      <c r="E568" s="12" t="s">
        <v>5406</v>
      </c>
    </row>
    <row r="569" ht="15.75" customHeight="1">
      <c r="A569" s="12" t="s">
        <v>115</v>
      </c>
      <c r="B569" s="12" t="s">
        <v>4100</v>
      </c>
      <c r="C569" s="46" t="s">
        <v>5669</v>
      </c>
      <c r="D569" s="12" t="s">
        <v>121</v>
      </c>
      <c r="E569" s="12" t="s">
        <v>5406</v>
      </c>
    </row>
    <row r="570" ht="15.75" customHeight="1">
      <c r="A570" s="12" t="s">
        <v>115</v>
      </c>
      <c r="B570" s="12" t="s">
        <v>4104</v>
      </c>
      <c r="C570" s="46" t="s">
        <v>5670</v>
      </c>
      <c r="D570" s="12" t="s">
        <v>121</v>
      </c>
      <c r="E570" s="12" t="s">
        <v>5406</v>
      </c>
    </row>
    <row r="571" ht="15.75" customHeight="1">
      <c r="A571" s="12" t="s">
        <v>115</v>
      </c>
      <c r="B571" s="12" t="s">
        <v>4108</v>
      </c>
      <c r="C571" s="46" t="s">
        <v>5671</v>
      </c>
      <c r="D571" s="12" t="s">
        <v>121</v>
      </c>
      <c r="E571" s="12" t="s">
        <v>5406</v>
      </c>
    </row>
    <row r="572" ht="15.75" customHeight="1">
      <c r="A572" s="12" t="s">
        <v>115</v>
      </c>
      <c r="B572" s="12" t="s">
        <v>4111</v>
      </c>
      <c r="C572" s="46" t="s">
        <v>5672</v>
      </c>
      <c r="D572" s="12" t="s">
        <v>121</v>
      </c>
      <c r="E572" s="12" t="s">
        <v>5406</v>
      </c>
    </row>
    <row r="573" ht="15.75" customHeight="1">
      <c r="A573" s="12" t="s">
        <v>115</v>
      </c>
      <c r="B573" s="12" t="s">
        <v>4116</v>
      </c>
      <c r="C573" s="46" t="s">
        <v>5673</v>
      </c>
      <c r="D573" s="12" t="s">
        <v>121</v>
      </c>
      <c r="E573" s="12" t="s">
        <v>5406</v>
      </c>
    </row>
    <row r="574" ht="15.75" customHeight="1">
      <c r="A574" s="12" t="s">
        <v>115</v>
      </c>
      <c r="B574" s="12" t="s">
        <v>4119</v>
      </c>
      <c r="C574" s="46" t="s">
        <v>5674</v>
      </c>
      <c r="D574" s="12" t="s">
        <v>121</v>
      </c>
      <c r="E574" s="12" t="s">
        <v>5406</v>
      </c>
    </row>
    <row r="575" ht="15.75" customHeight="1">
      <c r="A575" s="12" t="s">
        <v>115</v>
      </c>
      <c r="B575" s="12" t="s">
        <v>4121</v>
      </c>
      <c r="C575" s="46" t="s">
        <v>5675</v>
      </c>
      <c r="D575" s="12" t="s">
        <v>121</v>
      </c>
      <c r="E575" s="12" t="s">
        <v>5406</v>
      </c>
    </row>
    <row r="576" ht="15.75" customHeight="1">
      <c r="A576" s="12" t="s">
        <v>115</v>
      </c>
      <c r="B576" s="12" t="s">
        <v>4124</v>
      </c>
      <c r="C576" s="46" t="s">
        <v>5676</v>
      </c>
      <c r="D576" s="12" t="s">
        <v>121</v>
      </c>
      <c r="E576" s="12" t="s">
        <v>5406</v>
      </c>
    </row>
    <row r="577" ht="15.75" customHeight="1">
      <c r="A577" s="12" t="s">
        <v>115</v>
      </c>
      <c r="B577" s="12" t="s">
        <v>4127</v>
      </c>
      <c r="C577" s="46" t="s">
        <v>5677</v>
      </c>
      <c r="D577" s="12" t="s">
        <v>121</v>
      </c>
      <c r="E577" s="12" t="s">
        <v>5406</v>
      </c>
    </row>
    <row r="578" ht="15.75" customHeight="1">
      <c r="A578" s="12" t="s">
        <v>115</v>
      </c>
      <c r="B578" s="12" t="s">
        <v>4131</v>
      </c>
      <c r="C578" s="46" t="s">
        <v>5678</v>
      </c>
      <c r="D578" s="12" t="s">
        <v>121</v>
      </c>
      <c r="E578" s="12" t="s">
        <v>5406</v>
      </c>
    </row>
    <row r="579" ht="15.75" customHeight="1">
      <c r="A579" s="12" t="s">
        <v>115</v>
      </c>
      <c r="B579" s="12" t="s">
        <v>4134</v>
      </c>
      <c r="C579" s="46" t="s">
        <v>5679</v>
      </c>
      <c r="D579" s="12" t="s">
        <v>121</v>
      </c>
      <c r="E579" s="12" t="s">
        <v>5406</v>
      </c>
    </row>
    <row r="580" ht="15.75" customHeight="1">
      <c r="A580" s="12" t="s">
        <v>115</v>
      </c>
      <c r="B580" s="12" t="s">
        <v>4138</v>
      </c>
      <c r="C580" s="46" t="s">
        <v>5680</v>
      </c>
      <c r="D580" s="12" t="s">
        <v>121</v>
      </c>
      <c r="E580" s="12" t="s">
        <v>5406</v>
      </c>
    </row>
    <row r="581" ht="15.75" customHeight="1">
      <c r="A581" s="12" t="s">
        <v>115</v>
      </c>
      <c r="B581" s="12" t="s">
        <v>4141</v>
      </c>
      <c r="C581" s="46" t="s">
        <v>5681</v>
      </c>
      <c r="D581" s="12" t="s">
        <v>121</v>
      </c>
      <c r="E581" s="12" t="s">
        <v>5406</v>
      </c>
    </row>
    <row r="582" ht="15.75" customHeight="1">
      <c r="A582" s="12" t="s">
        <v>115</v>
      </c>
      <c r="B582" s="12" t="s">
        <v>4143</v>
      </c>
      <c r="C582" s="46" t="s">
        <v>5682</v>
      </c>
      <c r="D582" s="12" t="s">
        <v>121</v>
      </c>
      <c r="E582" s="12" t="s">
        <v>5406</v>
      </c>
    </row>
    <row r="583" ht="15.75" customHeight="1">
      <c r="A583" s="12" t="s">
        <v>115</v>
      </c>
      <c r="B583" s="12" t="s">
        <v>4146</v>
      </c>
      <c r="C583" s="46" t="s">
        <v>5683</v>
      </c>
      <c r="D583" s="12" t="s">
        <v>121</v>
      </c>
      <c r="E583" s="12" t="s">
        <v>5406</v>
      </c>
    </row>
    <row r="584" ht="15.75" customHeight="1">
      <c r="A584" s="12" t="s">
        <v>115</v>
      </c>
      <c r="B584" s="12" t="s">
        <v>4149</v>
      </c>
      <c r="C584" s="46" t="s">
        <v>5684</v>
      </c>
      <c r="D584" s="12" t="s">
        <v>121</v>
      </c>
      <c r="E584" s="12" t="s">
        <v>5406</v>
      </c>
    </row>
    <row r="585" ht="15.75" customHeight="1">
      <c r="A585" s="12" t="s">
        <v>115</v>
      </c>
      <c r="B585" s="12" t="s">
        <v>4152</v>
      </c>
      <c r="C585" s="46" t="s">
        <v>5128</v>
      </c>
      <c r="D585" s="12" t="s">
        <v>121</v>
      </c>
      <c r="E585" s="12" t="s">
        <v>5406</v>
      </c>
    </row>
    <row r="586" ht="15.75" customHeight="1">
      <c r="A586" s="12" t="s">
        <v>172</v>
      </c>
      <c r="B586" s="12" t="s">
        <v>3630</v>
      </c>
      <c r="C586" s="46" t="s">
        <v>5628</v>
      </c>
      <c r="D586" s="12" t="s">
        <v>1029</v>
      </c>
      <c r="E586" s="12" t="s">
        <v>5406</v>
      </c>
    </row>
    <row r="587" ht="15.75" customHeight="1">
      <c r="A587" s="12" t="s">
        <v>172</v>
      </c>
      <c r="B587" s="12" t="s">
        <v>3634</v>
      </c>
      <c r="C587" s="46" t="s">
        <v>5523</v>
      </c>
      <c r="D587" s="12" t="s">
        <v>1029</v>
      </c>
      <c r="E587" s="12" t="s">
        <v>5406</v>
      </c>
    </row>
    <row r="588" ht="15.75" customHeight="1">
      <c r="A588" s="12" t="s">
        <v>172</v>
      </c>
      <c r="B588" s="12" t="s">
        <v>3637</v>
      </c>
      <c r="C588" s="46" t="s">
        <v>5526</v>
      </c>
      <c r="D588" s="12" t="s">
        <v>1029</v>
      </c>
      <c r="E588" s="12" t="s">
        <v>5406</v>
      </c>
    </row>
    <row r="589" ht="15.75" customHeight="1">
      <c r="A589" s="12" t="s">
        <v>172</v>
      </c>
      <c r="B589" s="12" t="s">
        <v>3641</v>
      </c>
      <c r="C589" s="46" t="s">
        <v>5527</v>
      </c>
      <c r="D589" s="12" t="s">
        <v>1029</v>
      </c>
      <c r="E589" s="12" t="s">
        <v>5406</v>
      </c>
    </row>
    <row r="590" ht="15.75" customHeight="1">
      <c r="A590" s="12" t="s">
        <v>172</v>
      </c>
      <c r="B590" s="12" t="s">
        <v>3645</v>
      </c>
      <c r="C590" s="46" t="s">
        <v>5529</v>
      </c>
      <c r="D590" s="12" t="s">
        <v>1029</v>
      </c>
      <c r="E590" s="12" t="s">
        <v>5406</v>
      </c>
    </row>
    <row r="591" ht="15.75" customHeight="1">
      <c r="A591" s="12" t="s">
        <v>172</v>
      </c>
      <c r="B591" s="12" t="s">
        <v>3649</v>
      </c>
      <c r="C591" s="46" t="s">
        <v>5530</v>
      </c>
      <c r="D591" s="12" t="s">
        <v>1029</v>
      </c>
      <c r="E591" s="12" t="s">
        <v>5406</v>
      </c>
    </row>
    <row r="592" ht="15.75" customHeight="1">
      <c r="A592" s="12" t="s">
        <v>172</v>
      </c>
      <c r="B592" s="12" t="s">
        <v>3652</v>
      </c>
      <c r="C592" s="46" t="s">
        <v>5531</v>
      </c>
      <c r="D592" s="12" t="s">
        <v>1029</v>
      </c>
      <c r="E592" s="12" t="s">
        <v>5406</v>
      </c>
    </row>
    <row r="593" ht="15.75" customHeight="1">
      <c r="A593" s="12" t="s">
        <v>172</v>
      </c>
      <c r="B593" s="12" t="s">
        <v>3658</v>
      </c>
      <c r="C593" s="46" t="s">
        <v>5533</v>
      </c>
      <c r="D593" s="12" t="s">
        <v>1029</v>
      </c>
      <c r="E593" s="12" t="s">
        <v>5406</v>
      </c>
    </row>
    <row r="594" ht="15.75" customHeight="1">
      <c r="A594" s="12" t="s">
        <v>172</v>
      </c>
      <c r="B594" s="12" t="s">
        <v>3659</v>
      </c>
      <c r="C594" s="46" t="s">
        <v>5536</v>
      </c>
      <c r="D594" s="12" t="s">
        <v>1029</v>
      </c>
      <c r="E594" s="12" t="s">
        <v>5406</v>
      </c>
    </row>
    <row r="595" ht="15.75" customHeight="1">
      <c r="A595" s="12" t="s">
        <v>172</v>
      </c>
      <c r="B595" s="12" t="s">
        <v>3662</v>
      </c>
      <c r="C595" s="46" t="s">
        <v>5538</v>
      </c>
      <c r="D595" s="12" t="s">
        <v>1029</v>
      </c>
      <c r="E595" s="12" t="s">
        <v>5406</v>
      </c>
    </row>
    <row r="596" ht="15.75" customHeight="1">
      <c r="A596" s="12" t="s">
        <v>172</v>
      </c>
      <c r="B596" s="12" t="s">
        <v>3666</v>
      </c>
      <c r="C596" s="46" t="s">
        <v>5541</v>
      </c>
      <c r="D596" s="12" t="s">
        <v>1029</v>
      </c>
      <c r="E596" s="12" t="s">
        <v>5406</v>
      </c>
    </row>
    <row r="597" ht="15.75" customHeight="1">
      <c r="A597" s="12" t="s">
        <v>172</v>
      </c>
      <c r="B597" s="12" t="s">
        <v>3670</v>
      </c>
      <c r="C597" s="46" t="s">
        <v>5545</v>
      </c>
      <c r="D597" s="12" t="s">
        <v>1029</v>
      </c>
      <c r="E597" s="12" t="s">
        <v>5406</v>
      </c>
    </row>
    <row r="598" ht="15.75" customHeight="1">
      <c r="A598" s="12" t="s">
        <v>172</v>
      </c>
      <c r="B598" s="12" t="s">
        <v>3674</v>
      </c>
      <c r="C598" s="46" t="s">
        <v>5548</v>
      </c>
      <c r="D598" s="12" t="s">
        <v>1029</v>
      </c>
      <c r="E598" s="12" t="s">
        <v>5406</v>
      </c>
    </row>
    <row r="599" ht="15.75" customHeight="1">
      <c r="A599" s="12" t="s">
        <v>172</v>
      </c>
      <c r="B599" s="12" t="s">
        <v>3677</v>
      </c>
      <c r="C599" s="46" t="s">
        <v>5550</v>
      </c>
      <c r="D599" s="12" t="s">
        <v>1029</v>
      </c>
      <c r="E599" s="12" t="s">
        <v>5406</v>
      </c>
    </row>
    <row r="600" ht="15.75" customHeight="1">
      <c r="A600" s="12" t="s">
        <v>172</v>
      </c>
      <c r="B600" s="12" t="s">
        <v>3681</v>
      </c>
      <c r="C600" s="46" t="s">
        <v>5552</v>
      </c>
      <c r="D600" s="12" t="s">
        <v>1029</v>
      </c>
      <c r="E600" s="12" t="s">
        <v>5406</v>
      </c>
    </row>
    <row r="601" ht="15.75" customHeight="1">
      <c r="A601" s="12" t="s">
        <v>172</v>
      </c>
      <c r="B601" s="12" t="s">
        <v>3685</v>
      </c>
      <c r="C601" s="46" t="s">
        <v>5553</v>
      </c>
      <c r="D601" s="12" t="s">
        <v>1029</v>
      </c>
      <c r="E601" s="12" t="s">
        <v>5406</v>
      </c>
    </row>
    <row r="602" ht="15.75" customHeight="1">
      <c r="A602" s="12" t="s">
        <v>172</v>
      </c>
      <c r="B602" s="12" t="s">
        <v>3689</v>
      </c>
      <c r="C602" s="46" t="s">
        <v>5554</v>
      </c>
      <c r="D602" s="12" t="s">
        <v>1029</v>
      </c>
      <c r="E602" s="12" t="s">
        <v>5406</v>
      </c>
    </row>
    <row r="603" ht="15.75" customHeight="1">
      <c r="A603" s="12" t="s">
        <v>172</v>
      </c>
      <c r="B603" s="12" t="s">
        <v>3693</v>
      </c>
      <c r="C603" s="46" t="s">
        <v>5555</v>
      </c>
      <c r="D603" s="12" t="s">
        <v>1029</v>
      </c>
      <c r="E603" s="12" t="s">
        <v>5406</v>
      </c>
    </row>
    <row r="604" ht="15.75" customHeight="1">
      <c r="A604" s="12" t="s">
        <v>172</v>
      </c>
      <c r="B604" s="12" t="s">
        <v>3697</v>
      </c>
      <c r="C604" s="46" t="s">
        <v>5556</v>
      </c>
      <c r="D604" s="12" t="s">
        <v>1029</v>
      </c>
      <c r="E604" s="12" t="s">
        <v>5406</v>
      </c>
    </row>
    <row r="605" ht="15.75" customHeight="1">
      <c r="A605" s="12" t="s">
        <v>172</v>
      </c>
      <c r="B605" s="12" t="s">
        <v>3701</v>
      </c>
      <c r="C605" s="46" t="s">
        <v>5557</v>
      </c>
      <c r="D605" s="12" t="s">
        <v>1029</v>
      </c>
      <c r="E605" s="12" t="s">
        <v>5406</v>
      </c>
    </row>
    <row r="606" ht="15.75" customHeight="1">
      <c r="A606" s="12" t="s">
        <v>172</v>
      </c>
      <c r="B606" s="12" t="s">
        <v>3704</v>
      </c>
      <c r="C606" s="46" t="s">
        <v>5558</v>
      </c>
      <c r="D606" s="12" t="s">
        <v>1029</v>
      </c>
      <c r="E606" s="12" t="s">
        <v>5406</v>
      </c>
    </row>
    <row r="607" ht="15.75" customHeight="1">
      <c r="A607" s="12" t="s">
        <v>172</v>
      </c>
      <c r="B607" s="12" t="s">
        <v>3708</v>
      </c>
      <c r="C607" s="46" t="s">
        <v>5559</v>
      </c>
      <c r="D607" s="12" t="s">
        <v>1029</v>
      </c>
      <c r="E607" s="12" t="s">
        <v>5406</v>
      </c>
    </row>
    <row r="608" ht="15.75" customHeight="1">
      <c r="A608" s="12" t="s">
        <v>172</v>
      </c>
      <c r="B608" s="12" t="s">
        <v>3711</v>
      </c>
      <c r="C608" s="46" t="s">
        <v>5560</v>
      </c>
      <c r="D608" s="12" t="s">
        <v>1029</v>
      </c>
      <c r="E608" s="12" t="s">
        <v>5406</v>
      </c>
    </row>
    <row r="609" ht="15.75" customHeight="1">
      <c r="A609" s="12" t="s">
        <v>172</v>
      </c>
      <c r="B609" s="12" t="s">
        <v>3714</v>
      </c>
      <c r="C609" s="46" t="s">
        <v>5561</v>
      </c>
      <c r="D609" s="12" t="s">
        <v>1029</v>
      </c>
      <c r="E609" s="12" t="s">
        <v>5406</v>
      </c>
    </row>
    <row r="610" ht="15.75" customHeight="1">
      <c r="A610" s="12" t="s">
        <v>172</v>
      </c>
      <c r="B610" s="12" t="s">
        <v>3717</v>
      </c>
      <c r="C610" s="46" t="s">
        <v>5562</v>
      </c>
      <c r="D610" s="12" t="s">
        <v>1029</v>
      </c>
      <c r="E610" s="12" t="s">
        <v>5406</v>
      </c>
    </row>
    <row r="611" ht="15.75" customHeight="1">
      <c r="A611" s="12" t="s">
        <v>172</v>
      </c>
      <c r="B611" s="12" t="s">
        <v>3721</v>
      </c>
      <c r="C611" s="46" t="s">
        <v>5563</v>
      </c>
      <c r="D611" s="12" t="s">
        <v>1029</v>
      </c>
      <c r="E611" s="12" t="s">
        <v>5406</v>
      </c>
    </row>
    <row r="612" ht="15.75" customHeight="1">
      <c r="A612" s="12" t="s">
        <v>172</v>
      </c>
      <c r="B612" s="12" t="s">
        <v>3725</v>
      </c>
      <c r="C612" s="46" t="s">
        <v>5564</v>
      </c>
      <c r="D612" s="12" t="s">
        <v>1029</v>
      </c>
      <c r="E612" s="12" t="s">
        <v>5406</v>
      </c>
    </row>
    <row r="613" ht="15.75" customHeight="1">
      <c r="A613" s="12" t="s">
        <v>172</v>
      </c>
      <c r="B613" s="12" t="s">
        <v>3728</v>
      </c>
      <c r="C613" s="46" t="s">
        <v>5565</v>
      </c>
      <c r="D613" s="12" t="s">
        <v>1029</v>
      </c>
      <c r="E613" s="12" t="s">
        <v>5406</v>
      </c>
    </row>
    <row r="614" ht="15.75" customHeight="1">
      <c r="A614" s="12" t="s">
        <v>172</v>
      </c>
      <c r="B614" s="12" t="s">
        <v>3731</v>
      </c>
      <c r="C614" s="46" t="s">
        <v>5566</v>
      </c>
      <c r="D614" s="12" t="s">
        <v>1029</v>
      </c>
      <c r="E614" s="12" t="s">
        <v>5406</v>
      </c>
    </row>
    <row r="615" ht="15.75" customHeight="1">
      <c r="A615" s="12" t="s">
        <v>172</v>
      </c>
      <c r="B615" s="12" t="s">
        <v>3735</v>
      </c>
      <c r="C615" s="46" t="s">
        <v>5567</v>
      </c>
      <c r="D615" s="12" t="s">
        <v>1029</v>
      </c>
      <c r="E615" s="12" t="s">
        <v>5406</v>
      </c>
    </row>
    <row r="616" ht="15.75" customHeight="1">
      <c r="A616" s="12" t="s">
        <v>172</v>
      </c>
      <c r="B616" s="12" t="s">
        <v>3739</v>
      </c>
      <c r="C616" s="46" t="s">
        <v>5568</v>
      </c>
      <c r="D616" s="12" t="s">
        <v>1029</v>
      </c>
      <c r="E616" s="12" t="s">
        <v>5406</v>
      </c>
    </row>
    <row r="617" ht="15.75" customHeight="1">
      <c r="A617" s="12" t="s">
        <v>172</v>
      </c>
      <c r="B617" s="12" t="s">
        <v>3742</v>
      </c>
      <c r="C617" s="46" t="s">
        <v>5569</v>
      </c>
      <c r="D617" s="12" t="s">
        <v>1029</v>
      </c>
      <c r="E617" s="12" t="s">
        <v>5406</v>
      </c>
    </row>
    <row r="618" ht="15.75" customHeight="1">
      <c r="A618" s="12" t="s">
        <v>172</v>
      </c>
      <c r="B618" s="12" t="s">
        <v>3746</v>
      </c>
      <c r="C618" s="46" t="s">
        <v>5570</v>
      </c>
      <c r="D618" s="12" t="s">
        <v>1029</v>
      </c>
      <c r="E618" s="12" t="s">
        <v>5406</v>
      </c>
    </row>
    <row r="619" ht="15.75" customHeight="1">
      <c r="A619" s="12" t="s">
        <v>172</v>
      </c>
      <c r="B619" s="12" t="s">
        <v>3748</v>
      </c>
      <c r="C619" s="46" t="s">
        <v>5571</v>
      </c>
      <c r="D619" s="12" t="s">
        <v>1029</v>
      </c>
      <c r="E619" s="12" t="s">
        <v>5406</v>
      </c>
    </row>
    <row r="620" ht="15.75" customHeight="1">
      <c r="A620" s="12" t="s">
        <v>172</v>
      </c>
      <c r="B620" s="12" t="s">
        <v>3751</v>
      </c>
      <c r="C620" s="46" t="s">
        <v>5572</v>
      </c>
      <c r="D620" s="12" t="s">
        <v>1029</v>
      </c>
      <c r="E620" s="12" t="s">
        <v>5406</v>
      </c>
    </row>
    <row r="621" ht="15.75" customHeight="1">
      <c r="A621" s="12" t="s">
        <v>172</v>
      </c>
      <c r="B621" s="12" t="s">
        <v>3754</v>
      </c>
      <c r="C621" s="46" t="s">
        <v>5573</v>
      </c>
      <c r="D621" s="12" t="s">
        <v>1029</v>
      </c>
      <c r="E621" s="12" t="s">
        <v>5406</v>
      </c>
    </row>
    <row r="622" ht="15.75" customHeight="1">
      <c r="A622" s="12" t="s">
        <v>172</v>
      </c>
      <c r="B622" s="12" t="s">
        <v>3758</v>
      </c>
      <c r="C622" s="46" t="s">
        <v>5574</v>
      </c>
      <c r="D622" s="12" t="s">
        <v>1029</v>
      </c>
      <c r="E622" s="12" t="s">
        <v>5406</v>
      </c>
    </row>
    <row r="623" ht="15.75" customHeight="1">
      <c r="A623" s="12" t="s">
        <v>172</v>
      </c>
      <c r="B623" s="12" t="s">
        <v>3762</v>
      </c>
      <c r="C623" s="46" t="s">
        <v>5575</v>
      </c>
      <c r="D623" s="12" t="s">
        <v>1029</v>
      </c>
      <c r="E623" s="12" t="s">
        <v>5406</v>
      </c>
    </row>
    <row r="624" ht="15.75" customHeight="1">
      <c r="A624" s="12" t="s">
        <v>172</v>
      </c>
      <c r="B624" s="12" t="s">
        <v>3766</v>
      </c>
      <c r="C624" s="46" t="s">
        <v>5576</v>
      </c>
      <c r="D624" s="12" t="s">
        <v>1029</v>
      </c>
      <c r="E624" s="12" t="s">
        <v>5406</v>
      </c>
    </row>
    <row r="625" ht="15.75" customHeight="1">
      <c r="A625" s="12" t="s">
        <v>172</v>
      </c>
      <c r="B625" s="12" t="s">
        <v>3769</v>
      </c>
      <c r="C625" s="46" t="s">
        <v>5577</v>
      </c>
      <c r="D625" s="12" t="s">
        <v>1029</v>
      </c>
      <c r="E625" s="12" t="s">
        <v>5406</v>
      </c>
    </row>
    <row r="626" ht="15.75" customHeight="1">
      <c r="A626" s="12" t="s">
        <v>172</v>
      </c>
      <c r="B626" s="12" t="s">
        <v>3773</v>
      </c>
      <c r="C626" s="46" t="s">
        <v>5578</v>
      </c>
      <c r="D626" s="12" t="s">
        <v>1029</v>
      </c>
      <c r="E626" s="12" t="s">
        <v>5406</v>
      </c>
    </row>
    <row r="627" ht="15.75" customHeight="1">
      <c r="A627" s="12" t="s">
        <v>172</v>
      </c>
      <c r="B627" s="12" t="s">
        <v>3776</v>
      </c>
      <c r="C627" s="46" t="s">
        <v>5579</v>
      </c>
      <c r="D627" s="12" t="s">
        <v>1029</v>
      </c>
      <c r="E627" s="12" t="s">
        <v>5406</v>
      </c>
    </row>
    <row r="628" ht="15.75" customHeight="1">
      <c r="A628" s="12" t="s">
        <v>172</v>
      </c>
      <c r="B628" s="12" t="s">
        <v>3779</v>
      </c>
      <c r="C628" s="46" t="s">
        <v>5580</v>
      </c>
      <c r="D628" s="12" t="s">
        <v>1029</v>
      </c>
      <c r="E628" s="12" t="s">
        <v>5406</v>
      </c>
    </row>
    <row r="629" ht="15.75" customHeight="1">
      <c r="A629" s="12" t="s">
        <v>172</v>
      </c>
      <c r="B629" s="12" t="s">
        <v>3782</v>
      </c>
      <c r="C629" s="46" t="s">
        <v>5581</v>
      </c>
      <c r="D629" s="12" t="s">
        <v>1029</v>
      </c>
      <c r="E629" s="12" t="s">
        <v>5406</v>
      </c>
    </row>
    <row r="630" ht="15.75" customHeight="1">
      <c r="A630" s="12" t="s">
        <v>172</v>
      </c>
      <c r="B630" s="12" t="s">
        <v>3784</v>
      </c>
      <c r="C630" s="46" t="s">
        <v>5582</v>
      </c>
      <c r="D630" s="12" t="s">
        <v>1029</v>
      </c>
      <c r="E630" s="12" t="s">
        <v>5406</v>
      </c>
    </row>
    <row r="631" ht="15.75" customHeight="1">
      <c r="A631" s="12" t="s">
        <v>172</v>
      </c>
      <c r="B631" s="12" t="s">
        <v>3787</v>
      </c>
      <c r="C631" s="46" t="s">
        <v>5583</v>
      </c>
      <c r="D631" s="12" t="s">
        <v>1029</v>
      </c>
      <c r="E631" s="12" t="s">
        <v>5406</v>
      </c>
    </row>
    <row r="632" ht="15.75" customHeight="1">
      <c r="A632" s="12" t="s">
        <v>172</v>
      </c>
      <c r="B632" s="12" t="s">
        <v>3791</v>
      </c>
      <c r="C632" s="46" t="s">
        <v>5584</v>
      </c>
      <c r="D632" s="12" t="s">
        <v>1029</v>
      </c>
      <c r="E632" s="12" t="s">
        <v>5406</v>
      </c>
    </row>
    <row r="633" ht="15.75" customHeight="1">
      <c r="A633" s="12" t="s">
        <v>172</v>
      </c>
      <c r="B633" s="12" t="s">
        <v>3794</v>
      </c>
      <c r="C633" s="46" t="s">
        <v>5585</v>
      </c>
      <c r="D633" s="12" t="s">
        <v>1029</v>
      </c>
      <c r="E633" s="12" t="s">
        <v>5406</v>
      </c>
    </row>
    <row r="634" ht="15.75" customHeight="1">
      <c r="A634" s="12" t="s">
        <v>172</v>
      </c>
      <c r="B634" s="12" t="s">
        <v>3797</v>
      </c>
      <c r="C634" s="46" t="s">
        <v>5586</v>
      </c>
      <c r="D634" s="12" t="s">
        <v>1029</v>
      </c>
      <c r="E634" s="12" t="s">
        <v>5406</v>
      </c>
    </row>
    <row r="635" ht="15.75" customHeight="1">
      <c r="A635" s="12" t="s">
        <v>172</v>
      </c>
      <c r="B635" s="12" t="s">
        <v>3801</v>
      </c>
      <c r="C635" s="46" t="s">
        <v>5587</v>
      </c>
      <c r="D635" s="12" t="s">
        <v>1029</v>
      </c>
      <c r="E635" s="12" t="s">
        <v>5406</v>
      </c>
    </row>
    <row r="636" ht="15.75" customHeight="1">
      <c r="A636" s="12" t="s">
        <v>172</v>
      </c>
      <c r="B636" s="12" t="s">
        <v>3805</v>
      </c>
      <c r="C636" s="46" t="s">
        <v>5588</v>
      </c>
      <c r="D636" s="12" t="s">
        <v>1029</v>
      </c>
      <c r="E636" s="12" t="s">
        <v>5406</v>
      </c>
    </row>
    <row r="637" ht="15.75" customHeight="1">
      <c r="A637" s="12" t="s">
        <v>172</v>
      </c>
      <c r="B637" s="12" t="s">
        <v>3808</v>
      </c>
      <c r="C637" s="46" t="s">
        <v>5589</v>
      </c>
      <c r="D637" s="12" t="s">
        <v>1029</v>
      </c>
      <c r="E637" s="12" t="s">
        <v>5406</v>
      </c>
    </row>
    <row r="638" ht="15.75" customHeight="1">
      <c r="A638" s="12" t="s">
        <v>172</v>
      </c>
      <c r="B638" s="12" t="s">
        <v>3812</v>
      </c>
      <c r="C638" s="46" t="s">
        <v>5590</v>
      </c>
      <c r="D638" s="12" t="s">
        <v>1029</v>
      </c>
      <c r="E638" s="12" t="s">
        <v>5406</v>
      </c>
    </row>
    <row r="639" ht="15.75" customHeight="1">
      <c r="A639" s="12" t="s">
        <v>172</v>
      </c>
      <c r="B639" s="12" t="s">
        <v>3816</v>
      </c>
      <c r="C639" s="46" t="s">
        <v>5591</v>
      </c>
      <c r="D639" s="12" t="s">
        <v>1029</v>
      </c>
      <c r="E639" s="12" t="s">
        <v>5406</v>
      </c>
    </row>
    <row r="640" ht="15.75" customHeight="1">
      <c r="A640" s="12" t="s">
        <v>172</v>
      </c>
      <c r="B640" s="12" t="s">
        <v>3820</v>
      </c>
      <c r="C640" s="46" t="s">
        <v>5592</v>
      </c>
      <c r="D640" s="12" t="s">
        <v>1029</v>
      </c>
      <c r="E640" s="12" t="s">
        <v>5406</v>
      </c>
    </row>
    <row r="641" ht="15.75" customHeight="1">
      <c r="A641" s="12" t="s">
        <v>172</v>
      </c>
      <c r="B641" s="12" t="s">
        <v>3824</v>
      </c>
      <c r="C641" s="46" t="s">
        <v>5593</v>
      </c>
      <c r="D641" s="12" t="s">
        <v>1029</v>
      </c>
      <c r="E641" s="12" t="s">
        <v>5406</v>
      </c>
    </row>
    <row r="642" ht="15.75" customHeight="1">
      <c r="A642" s="12" t="s">
        <v>172</v>
      </c>
      <c r="B642" s="12" t="s">
        <v>3827</v>
      </c>
      <c r="C642" s="46" t="s">
        <v>5594</v>
      </c>
      <c r="D642" s="12" t="s">
        <v>1029</v>
      </c>
      <c r="E642" s="12" t="s">
        <v>5406</v>
      </c>
    </row>
    <row r="643" ht="15.75" customHeight="1">
      <c r="A643" s="12" t="s">
        <v>172</v>
      </c>
      <c r="B643" s="12" t="s">
        <v>3830</v>
      </c>
      <c r="C643" s="46" t="s">
        <v>5595</v>
      </c>
      <c r="D643" s="12" t="s">
        <v>1029</v>
      </c>
      <c r="E643" s="12" t="s">
        <v>5406</v>
      </c>
    </row>
    <row r="644" ht="15.75" customHeight="1">
      <c r="A644" s="12" t="s">
        <v>172</v>
      </c>
      <c r="B644" s="12" t="s">
        <v>3831</v>
      </c>
      <c r="C644" s="46" t="s">
        <v>5596</v>
      </c>
      <c r="D644" s="12" t="s">
        <v>1029</v>
      </c>
      <c r="E644" s="12" t="s">
        <v>5406</v>
      </c>
    </row>
    <row r="645" ht="15.75" customHeight="1">
      <c r="A645" s="12" t="s">
        <v>172</v>
      </c>
      <c r="B645" s="12" t="s">
        <v>3834</v>
      </c>
      <c r="C645" s="46" t="s">
        <v>5597</v>
      </c>
      <c r="D645" s="12" t="s">
        <v>1029</v>
      </c>
      <c r="E645" s="12" t="s">
        <v>5406</v>
      </c>
    </row>
    <row r="646" ht="15.75" customHeight="1">
      <c r="A646" s="12" t="s">
        <v>172</v>
      </c>
      <c r="B646" s="12" t="s">
        <v>3837</v>
      </c>
      <c r="C646" s="46" t="s">
        <v>5598</v>
      </c>
      <c r="D646" s="12" t="s">
        <v>1029</v>
      </c>
      <c r="E646" s="12" t="s">
        <v>5406</v>
      </c>
    </row>
    <row r="647" ht="15.75" customHeight="1">
      <c r="A647" s="12" t="s">
        <v>172</v>
      </c>
      <c r="B647" s="12" t="s">
        <v>3840</v>
      </c>
      <c r="C647" s="46" t="s">
        <v>5599</v>
      </c>
      <c r="D647" s="12" t="s">
        <v>1029</v>
      </c>
      <c r="E647" s="12" t="s">
        <v>5406</v>
      </c>
    </row>
    <row r="648" ht="15.75" customHeight="1">
      <c r="A648" s="12" t="s">
        <v>172</v>
      </c>
      <c r="B648" s="12" t="s">
        <v>3843</v>
      </c>
      <c r="C648" s="46" t="s">
        <v>5600</v>
      </c>
      <c r="D648" s="12" t="s">
        <v>1029</v>
      </c>
      <c r="E648" s="12" t="s">
        <v>5406</v>
      </c>
    </row>
    <row r="649" ht="15.75" customHeight="1">
      <c r="A649" s="12" t="s">
        <v>172</v>
      </c>
      <c r="B649" s="12" t="s">
        <v>3846</v>
      </c>
      <c r="C649" s="46" t="s">
        <v>5601</v>
      </c>
      <c r="D649" s="12" t="s">
        <v>1029</v>
      </c>
      <c r="E649" s="12" t="s">
        <v>5406</v>
      </c>
    </row>
    <row r="650" ht="15.75" customHeight="1">
      <c r="A650" s="12" t="s">
        <v>172</v>
      </c>
      <c r="B650" s="12" t="s">
        <v>3850</v>
      </c>
      <c r="C650" s="46" t="s">
        <v>5602</v>
      </c>
      <c r="D650" s="12" t="s">
        <v>1029</v>
      </c>
      <c r="E650" s="12" t="s">
        <v>5406</v>
      </c>
    </row>
    <row r="651" ht="15.75" customHeight="1">
      <c r="A651" s="12" t="s">
        <v>172</v>
      </c>
      <c r="B651" s="12" t="s">
        <v>3854</v>
      </c>
      <c r="C651" s="46" t="s">
        <v>5603</v>
      </c>
      <c r="D651" s="12" t="s">
        <v>1029</v>
      </c>
      <c r="E651" s="12" t="s">
        <v>5406</v>
      </c>
    </row>
    <row r="652" ht="15.75" customHeight="1">
      <c r="A652" s="12" t="s">
        <v>172</v>
      </c>
      <c r="B652" s="12" t="s">
        <v>3857</v>
      </c>
      <c r="C652" s="46" t="s">
        <v>5604</v>
      </c>
      <c r="D652" s="12" t="s">
        <v>1029</v>
      </c>
      <c r="E652" s="12" t="s">
        <v>5406</v>
      </c>
    </row>
    <row r="653" ht="15.75" customHeight="1">
      <c r="A653" s="12" t="s">
        <v>172</v>
      </c>
      <c r="B653" s="12" t="s">
        <v>3860</v>
      </c>
      <c r="C653" s="46" t="s">
        <v>5605</v>
      </c>
      <c r="D653" s="12" t="s">
        <v>1029</v>
      </c>
      <c r="E653" s="12" t="s">
        <v>5406</v>
      </c>
    </row>
    <row r="654" ht="15.75" customHeight="1">
      <c r="A654" s="12" t="s">
        <v>172</v>
      </c>
      <c r="B654" s="12" t="s">
        <v>3864</v>
      </c>
      <c r="C654" s="46" t="s">
        <v>5606</v>
      </c>
      <c r="D654" s="12" t="s">
        <v>1029</v>
      </c>
      <c r="E654" s="12" t="s">
        <v>5406</v>
      </c>
    </row>
    <row r="655" ht="15.75" customHeight="1">
      <c r="A655" s="12" t="s">
        <v>172</v>
      </c>
      <c r="B655" s="12" t="s">
        <v>3867</v>
      </c>
      <c r="C655" s="46" t="s">
        <v>5607</v>
      </c>
      <c r="D655" s="12" t="s">
        <v>1029</v>
      </c>
      <c r="E655" s="12" t="s">
        <v>5406</v>
      </c>
    </row>
    <row r="656" ht="15.75" customHeight="1">
      <c r="A656" s="12" t="s">
        <v>172</v>
      </c>
      <c r="B656" s="12" t="s">
        <v>3871</v>
      </c>
      <c r="C656" s="46" t="s">
        <v>5608</v>
      </c>
      <c r="D656" s="12" t="s">
        <v>1029</v>
      </c>
      <c r="E656" s="12" t="s">
        <v>5406</v>
      </c>
    </row>
    <row r="657" ht="15.75" customHeight="1">
      <c r="A657" s="12" t="s">
        <v>172</v>
      </c>
      <c r="B657" s="12" t="s">
        <v>3874</v>
      </c>
      <c r="C657" s="46" t="s">
        <v>5609</v>
      </c>
      <c r="D657" s="12" t="s">
        <v>1029</v>
      </c>
      <c r="E657" s="12" t="s">
        <v>5406</v>
      </c>
    </row>
    <row r="658" ht="15.75" customHeight="1">
      <c r="A658" s="12" t="s">
        <v>172</v>
      </c>
      <c r="B658" s="12" t="s">
        <v>3879</v>
      </c>
      <c r="C658" s="46" t="s">
        <v>50</v>
      </c>
      <c r="D658" s="12" t="s">
        <v>1029</v>
      </c>
      <c r="E658" s="12" t="s">
        <v>5406</v>
      </c>
    </row>
    <row r="659" ht="15.75" customHeight="1">
      <c r="A659" s="12" t="s">
        <v>172</v>
      </c>
      <c r="B659" s="12" t="s">
        <v>3883</v>
      </c>
      <c r="C659" s="46" t="s">
        <v>5610</v>
      </c>
      <c r="D659" s="12" t="s">
        <v>1029</v>
      </c>
      <c r="E659" s="12" t="s">
        <v>5406</v>
      </c>
    </row>
    <row r="660" ht="15.75" customHeight="1">
      <c r="A660" s="12" t="s">
        <v>172</v>
      </c>
      <c r="B660" s="12" t="s">
        <v>3888</v>
      </c>
      <c r="C660" s="46" t="s">
        <v>5611</v>
      </c>
      <c r="D660" s="12" t="s">
        <v>1029</v>
      </c>
      <c r="E660" s="12" t="s">
        <v>5406</v>
      </c>
    </row>
    <row r="661" ht="15.75" customHeight="1">
      <c r="A661" s="12" t="s">
        <v>172</v>
      </c>
      <c r="B661" s="12" t="s">
        <v>3893</v>
      </c>
      <c r="C661" s="46" t="s">
        <v>5612</v>
      </c>
      <c r="D661" s="12" t="s">
        <v>1029</v>
      </c>
      <c r="E661" s="12" t="s">
        <v>5406</v>
      </c>
    </row>
    <row r="662" ht="15.75" customHeight="1">
      <c r="A662" s="12" t="s">
        <v>172</v>
      </c>
      <c r="B662" s="12" t="s">
        <v>3898</v>
      </c>
      <c r="C662" s="46" t="s">
        <v>5613</v>
      </c>
      <c r="D662" s="12" t="s">
        <v>1029</v>
      </c>
      <c r="E662" s="12" t="s">
        <v>5406</v>
      </c>
    </row>
    <row r="663" ht="15.75" customHeight="1">
      <c r="A663" s="12" t="s">
        <v>172</v>
      </c>
      <c r="B663" s="12" t="s">
        <v>3903</v>
      </c>
      <c r="C663" s="46" t="s">
        <v>5614</v>
      </c>
      <c r="D663" s="12" t="s">
        <v>1029</v>
      </c>
      <c r="E663" s="12" t="s">
        <v>5406</v>
      </c>
    </row>
    <row r="664" ht="15.75" customHeight="1">
      <c r="A664" s="12" t="s">
        <v>172</v>
      </c>
      <c r="B664" s="12" t="s">
        <v>3907</v>
      </c>
      <c r="C664" s="46" t="s">
        <v>5615</v>
      </c>
      <c r="D664" s="12" t="s">
        <v>1029</v>
      </c>
      <c r="E664" s="12" t="s">
        <v>5406</v>
      </c>
    </row>
    <row r="665" ht="15.75" customHeight="1">
      <c r="A665" s="12" t="s">
        <v>172</v>
      </c>
      <c r="B665" s="12" t="s">
        <v>3911</v>
      </c>
      <c r="C665" s="46" t="s">
        <v>5616</v>
      </c>
      <c r="D665" s="12" t="s">
        <v>1029</v>
      </c>
      <c r="E665" s="12" t="s">
        <v>5406</v>
      </c>
    </row>
    <row r="666" ht="15.75" customHeight="1">
      <c r="A666" s="12" t="s">
        <v>172</v>
      </c>
      <c r="B666" s="12" t="s">
        <v>3915</v>
      </c>
      <c r="C666" s="46" t="s">
        <v>5617</v>
      </c>
      <c r="D666" s="12" t="s">
        <v>1029</v>
      </c>
      <c r="E666" s="12" t="s">
        <v>5406</v>
      </c>
    </row>
    <row r="667" ht="15.75" customHeight="1">
      <c r="A667" s="12" t="s">
        <v>172</v>
      </c>
      <c r="B667" s="12" t="s">
        <v>3918</v>
      </c>
      <c r="C667" s="46" t="s">
        <v>5618</v>
      </c>
      <c r="D667" s="12" t="s">
        <v>1029</v>
      </c>
      <c r="E667" s="12" t="s">
        <v>5406</v>
      </c>
    </row>
    <row r="668" ht="15.75" customHeight="1">
      <c r="A668" s="12" t="s">
        <v>172</v>
      </c>
      <c r="B668" s="12" t="s">
        <v>3921</v>
      </c>
      <c r="C668" s="46" t="s">
        <v>5619</v>
      </c>
      <c r="D668" s="12" t="s">
        <v>1029</v>
      </c>
      <c r="E668" s="12" t="s">
        <v>5406</v>
      </c>
    </row>
    <row r="669" ht="15.75" customHeight="1">
      <c r="A669" s="12" t="s">
        <v>172</v>
      </c>
      <c r="B669" s="12" t="s">
        <v>3925</v>
      </c>
      <c r="C669" s="46" t="s">
        <v>5620</v>
      </c>
      <c r="D669" s="12" t="s">
        <v>1029</v>
      </c>
      <c r="E669" s="12" t="s">
        <v>5406</v>
      </c>
    </row>
    <row r="670" ht="15.75" customHeight="1">
      <c r="A670" s="12" t="s">
        <v>172</v>
      </c>
      <c r="B670" s="12" t="s">
        <v>3928</v>
      </c>
      <c r="C670" s="46" t="s">
        <v>5621</v>
      </c>
      <c r="D670" s="12" t="s">
        <v>1029</v>
      </c>
      <c r="E670" s="12" t="s">
        <v>5406</v>
      </c>
    </row>
    <row r="671" ht="15.75" customHeight="1">
      <c r="A671" s="12" t="s">
        <v>172</v>
      </c>
      <c r="B671" s="12" t="s">
        <v>3931</v>
      </c>
      <c r="C671" s="46" t="s">
        <v>5622</v>
      </c>
      <c r="D671" s="12" t="s">
        <v>1029</v>
      </c>
      <c r="E671" s="12" t="s">
        <v>5406</v>
      </c>
    </row>
    <row r="672" ht="15.75" customHeight="1">
      <c r="A672" s="12" t="s">
        <v>172</v>
      </c>
      <c r="B672" s="12" t="s">
        <v>3936</v>
      </c>
      <c r="C672" s="46" t="s">
        <v>5796</v>
      </c>
      <c r="D672" s="12" t="s">
        <v>1029</v>
      </c>
      <c r="E672" s="12" t="s">
        <v>5406</v>
      </c>
    </row>
    <row r="673" ht="15.75" customHeight="1">
      <c r="A673" s="12" t="s">
        <v>172</v>
      </c>
      <c r="B673" s="12" t="s">
        <v>3940</v>
      </c>
      <c r="C673" s="46" t="s">
        <v>5624</v>
      </c>
      <c r="D673" s="12" t="s">
        <v>1029</v>
      </c>
      <c r="E673" s="12" t="s">
        <v>5406</v>
      </c>
    </row>
    <row r="674" ht="15.75" customHeight="1">
      <c r="A674" s="12" t="s">
        <v>172</v>
      </c>
      <c r="B674" s="12" t="s">
        <v>3941</v>
      </c>
      <c r="C674" s="46" t="s">
        <v>5625</v>
      </c>
      <c r="D674" s="12" t="s">
        <v>1029</v>
      </c>
      <c r="E674" s="12" t="s">
        <v>5406</v>
      </c>
    </row>
    <row r="675" ht="15.75" customHeight="1">
      <c r="A675" s="12" t="s">
        <v>172</v>
      </c>
      <c r="B675" s="12" t="s">
        <v>3944</v>
      </c>
      <c r="C675" s="46" t="s">
        <v>5626</v>
      </c>
      <c r="D675" s="12" t="s">
        <v>1029</v>
      </c>
      <c r="E675" s="12" t="s">
        <v>5406</v>
      </c>
    </row>
    <row r="676" ht="15.75" customHeight="1">
      <c r="A676" s="12" t="s">
        <v>172</v>
      </c>
      <c r="B676" s="12" t="s">
        <v>3948</v>
      </c>
      <c r="C676" s="46" t="s">
        <v>5627</v>
      </c>
      <c r="D676" s="12" t="s">
        <v>1029</v>
      </c>
      <c r="E676" s="12" t="s">
        <v>5406</v>
      </c>
    </row>
    <row r="677" ht="15.75" customHeight="1">
      <c r="A677" s="12" t="s">
        <v>172</v>
      </c>
      <c r="B677" s="12" t="s">
        <v>3951</v>
      </c>
      <c r="C677" s="46" t="s">
        <v>5520</v>
      </c>
      <c r="D677" s="12" t="s">
        <v>1029</v>
      </c>
      <c r="E677" s="12" t="s">
        <v>5406</v>
      </c>
    </row>
    <row r="678" ht="15.75" customHeight="1">
      <c r="A678" s="12" t="s">
        <v>172</v>
      </c>
      <c r="B678" s="12" t="s">
        <v>3955</v>
      </c>
      <c r="C678" s="46" t="s">
        <v>5629</v>
      </c>
      <c r="D678" s="12" t="s">
        <v>1029</v>
      </c>
      <c r="E678" s="12" t="s">
        <v>5406</v>
      </c>
    </row>
    <row r="679" ht="15.75" customHeight="1">
      <c r="A679" s="12" t="s">
        <v>172</v>
      </c>
      <c r="B679" s="12" t="s">
        <v>3957</v>
      </c>
      <c r="C679" s="46" t="s">
        <v>5630</v>
      </c>
      <c r="D679" s="12" t="s">
        <v>1029</v>
      </c>
      <c r="E679" s="12" t="s">
        <v>5406</v>
      </c>
    </row>
    <row r="680" ht="15.75" customHeight="1">
      <c r="A680" s="12" t="s">
        <v>172</v>
      </c>
      <c r="B680" s="12" t="s">
        <v>3960</v>
      </c>
      <c r="C680" s="46" t="s">
        <v>5631</v>
      </c>
      <c r="D680" s="12" t="s">
        <v>1029</v>
      </c>
      <c r="E680" s="12" t="s">
        <v>5406</v>
      </c>
    </row>
    <row r="681" ht="15.75" customHeight="1">
      <c r="A681" s="12" t="s">
        <v>172</v>
      </c>
      <c r="B681" s="12" t="s">
        <v>3964</v>
      </c>
      <c r="C681" s="46" t="s">
        <v>5632</v>
      </c>
      <c r="D681" s="12" t="s">
        <v>1029</v>
      </c>
      <c r="E681" s="12" t="s">
        <v>5406</v>
      </c>
    </row>
    <row r="682" ht="15.75" customHeight="1">
      <c r="A682" s="12" t="s">
        <v>172</v>
      </c>
      <c r="B682" s="12" t="s">
        <v>3967</v>
      </c>
      <c r="C682" s="46" t="s">
        <v>5633</v>
      </c>
      <c r="D682" s="12" t="s">
        <v>1029</v>
      </c>
      <c r="E682" s="12" t="s">
        <v>5406</v>
      </c>
    </row>
    <row r="683" ht="15.75" customHeight="1">
      <c r="A683" s="12" t="s">
        <v>172</v>
      </c>
      <c r="B683" s="12" t="s">
        <v>3971</v>
      </c>
      <c r="C683" s="46" t="s">
        <v>5634</v>
      </c>
      <c r="D683" s="12" t="s">
        <v>1029</v>
      </c>
      <c r="E683" s="12" t="s">
        <v>5406</v>
      </c>
    </row>
    <row r="684" ht="15.75" customHeight="1">
      <c r="A684" s="12" t="s">
        <v>172</v>
      </c>
      <c r="B684" s="12" t="s">
        <v>3973</v>
      </c>
      <c r="C684" s="46" t="s">
        <v>5635</v>
      </c>
      <c r="D684" s="12" t="s">
        <v>1029</v>
      </c>
      <c r="E684" s="12" t="s">
        <v>5406</v>
      </c>
    </row>
    <row r="685" ht="15.75" customHeight="1">
      <c r="A685" s="12" t="s">
        <v>172</v>
      </c>
      <c r="B685" s="12" t="s">
        <v>3978</v>
      </c>
      <c r="C685" s="46" t="s">
        <v>5636</v>
      </c>
      <c r="D685" s="12" t="s">
        <v>1029</v>
      </c>
      <c r="E685" s="12" t="s">
        <v>5406</v>
      </c>
    </row>
    <row r="686" ht="15.75" customHeight="1">
      <c r="A686" s="12" t="s">
        <v>172</v>
      </c>
      <c r="B686" s="12" t="s">
        <v>3981</v>
      </c>
      <c r="C686" s="46" t="s">
        <v>5637</v>
      </c>
      <c r="D686" s="12" t="s">
        <v>1029</v>
      </c>
      <c r="E686" s="12" t="s">
        <v>5406</v>
      </c>
    </row>
    <row r="687" ht="15.75" customHeight="1">
      <c r="A687" s="12" t="s">
        <v>172</v>
      </c>
      <c r="B687" s="12" t="s">
        <v>3985</v>
      </c>
      <c r="C687" s="46" t="s">
        <v>5638</v>
      </c>
      <c r="D687" s="12" t="s">
        <v>1029</v>
      </c>
      <c r="E687" s="12" t="s">
        <v>5406</v>
      </c>
    </row>
    <row r="688" ht="15.75" customHeight="1">
      <c r="A688" s="12" t="s">
        <v>172</v>
      </c>
      <c r="B688" s="12" t="s">
        <v>3988</v>
      </c>
      <c r="C688" s="46" t="s">
        <v>5639</v>
      </c>
      <c r="D688" s="12" t="s">
        <v>1029</v>
      </c>
      <c r="E688" s="12" t="s">
        <v>5406</v>
      </c>
    </row>
    <row r="689" ht="15.75" customHeight="1">
      <c r="A689" s="12" t="s">
        <v>172</v>
      </c>
      <c r="B689" s="12" t="s">
        <v>3991</v>
      </c>
      <c r="C689" s="46" t="s">
        <v>5640</v>
      </c>
      <c r="D689" s="12" t="s">
        <v>1029</v>
      </c>
      <c r="E689" s="12" t="s">
        <v>5406</v>
      </c>
    </row>
    <row r="690" ht="15.75" customHeight="1">
      <c r="A690" s="12" t="s">
        <v>172</v>
      </c>
      <c r="B690" s="12" t="s">
        <v>3995</v>
      </c>
      <c r="C690" s="46" t="s">
        <v>5641</v>
      </c>
      <c r="D690" s="12" t="s">
        <v>1029</v>
      </c>
      <c r="E690" s="12" t="s">
        <v>5406</v>
      </c>
    </row>
    <row r="691" ht="15.75" customHeight="1">
      <c r="A691" s="12" t="s">
        <v>172</v>
      </c>
      <c r="B691" s="12" t="s">
        <v>4000</v>
      </c>
      <c r="C691" s="46" t="s">
        <v>5642</v>
      </c>
      <c r="D691" s="12" t="s">
        <v>1029</v>
      </c>
      <c r="E691" s="12" t="s">
        <v>5406</v>
      </c>
    </row>
    <row r="692" ht="15.75" customHeight="1">
      <c r="A692" s="12" t="s">
        <v>172</v>
      </c>
      <c r="B692" s="12" t="s">
        <v>4003</v>
      </c>
      <c r="C692" s="46" t="s">
        <v>5643</v>
      </c>
      <c r="D692" s="12" t="s">
        <v>1029</v>
      </c>
      <c r="E692" s="12" t="s">
        <v>5406</v>
      </c>
    </row>
    <row r="693" ht="15.75" customHeight="1">
      <c r="A693" s="12" t="s">
        <v>172</v>
      </c>
      <c r="B693" s="12" t="s">
        <v>4006</v>
      </c>
      <c r="C693" s="46" t="s">
        <v>5644</v>
      </c>
      <c r="D693" s="12" t="s">
        <v>1029</v>
      </c>
      <c r="E693" s="12" t="s">
        <v>5406</v>
      </c>
    </row>
    <row r="694" ht="15.75" customHeight="1">
      <c r="A694" s="12" t="s">
        <v>172</v>
      </c>
      <c r="B694" s="12" t="s">
        <v>4010</v>
      </c>
      <c r="C694" s="46" t="s">
        <v>5645</v>
      </c>
      <c r="D694" s="12" t="s">
        <v>1029</v>
      </c>
      <c r="E694" s="12" t="s">
        <v>5406</v>
      </c>
    </row>
    <row r="695" ht="15.75" customHeight="1">
      <c r="A695" s="12" t="s">
        <v>172</v>
      </c>
      <c r="B695" s="12" t="s">
        <v>4013</v>
      </c>
      <c r="C695" s="46" t="s">
        <v>5646</v>
      </c>
      <c r="D695" s="12" t="s">
        <v>1029</v>
      </c>
      <c r="E695" s="12" t="s">
        <v>5406</v>
      </c>
    </row>
    <row r="696" ht="15.75" customHeight="1">
      <c r="A696" s="12" t="s">
        <v>172</v>
      </c>
      <c r="B696" s="12" t="s">
        <v>4017</v>
      </c>
      <c r="C696" s="46" t="s">
        <v>5647</v>
      </c>
      <c r="D696" s="12" t="s">
        <v>1029</v>
      </c>
      <c r="E696" s="12" t="s">
        <v>5406</v>
      </c>
    </row>
    <row r="697" ht="15.75" customHeight="1">
      <c r="A697" s="12" t="s">
        <v>172</v>
      </c>
      <c r="B697" s="12" t="s">
        <v>4020</v>
      </c>
      <c r="C697" s="46" t="s">
        <v>5648</v>
      </c>
      <c r="D697" s="12" t="s">
        <v>1029</v>
      </c>
      <c r="E697" s="12" t="s">
        <v>5406</v>
      </c>
    </row>
    <row r="698" ht="15.75" customHeight="1">
      <c r="A698" s="12" t="s">
        <v>172</v>
      </c>
      <c r="B698" s="12" t="s">
        <v>4024</v>
      </c>
      <c r="C698" s="46" t="s">
        <v>5649</v>
      </c>
      <c r="D698" s="12" t="s">
        <v>1029</v>
      </c>
      <c r="E698" s="12" t="s">
        <v>5406</v>
      </c>
    </row>
    <row r="699" ht="15.75" customHeight="1">
      <c r="A699" s="12" t="s">
        <v>172</v>
      </c>
      <c r="B699" s="12" t="s">
        <v>4027</v>
      </c>
      <c r="C699" s="46" t="s">
        <v>5650</v>
      </c>
      <c r="D699" s="12" t="s">
        <v>1029</v>
      </c>
      <c r="E699" s="12" t="s">
        <v>5406</v>
      </c>
    </row>
    <row r="700" ht="15.75" customHeight="1">
      <c r="A700" s="12" t="s">
        <v>172</v>
      </c>
      <c r="B700" s="12" t="s">
        <v>4031</v>
      </c>
      <c r="C700" s="46" t="s">
        <v>5651</v>
      </c>
      <c r="D700" s="12" t="s">
        <v>1029</v>
      </c>
      <c r="E700" s="12" t="s">
        <v>5406</v>
      </c>
    </row>
    <row r="701" ht="15.75" customHeight="1">
      <c r="A701" s="12" t="s">
        <v>172</v>
      </c>
      <c r="B701" s="12" t="s">
        <v>4034</v>
      </c>
      <c r="C701" s="46" t="s">
        <v>5652</v>
      </c>
      <c r="D701" s="12" t="s">
        <v>1029</v>
      </c>
      <c r="E701" s="12" t="s">
        <v>5406</v>
      </c>
    </row>
    <row r="702" ht="15.75" customHeight="1">
      <c r="A702" s="12" t="s">
        <v>172</v>
      </c>
      <c r="B702" s="12" t="s">
        <v>4037</v>
      </c>
      <c r="C702" s="46" t="s">
        <v>5653</v>
      </c>
      <c r="D702" s="12" t="s">
        <v>1029</v>
      </c>
      <c r="E702" s="12" t="s">
        <v>5406</v>
      </c>
    </row>
    <row r="703" ht="15.75" customHeight="1">
      <c r="A703" s="12" t="s">
        <v>172</v>
      </c>
      <c r="B703" s="12" t="s">
        <v>4040</v>
      </c>
      <c r="C703" s="46" t="s">
        <v>5654</v>
      </c>
      <c r="D703" s="12" t="s">
        <v>1029</v>
      </c>
      <c r="E703" s="12" t="s">
        <v>5406</v>
      </c>
    </row>
    <row r="704" ht="15.75" customHeight="1">
      <c r="A704" s="12" t="s">
        <v>172</v>
      </c>
      <c r="B704" s="12" t="s">
        <v>4044</v>
      </c>
      <c r="C704" s="46" t="s">
        <v>5655</v>
      </c>
      <c r="D704" s="12" t="s">
        <v>1029</v>
      </c>
      <c r="E704" s="12" t="s">
        <v>5406</v>
      </c>
    </row>
    <row r="705" ht="15.75" customHeight="1">
      <c r="A705" s="12" t="s">
        <v>172</v>
      </c>
      <c r="B705" s="12" t="s">
        <v>4048</v>
      </c>
      <c r="C705" s="46" t="s">
        <v>5656</v>
      </c>
      <c r="D705" s="12" t="s">
        <v>1029</v>
      </c>
      <c r="E705" s="12" t="s">
        <v>5406</v>
      </c>
    </row>
    <row r="706" ht="15.75" customHeight="1">
      <c r="A706" s="12" t="s">
        <v>172</v>
      </c>
      <c r="B706" s="12" t="s">
        <v>4052</v>
      </c>
      <c r="C706" s="46" t="s">
        <v>5657</v>
      </c>
      <c r="D706" s="12" t="s">
        <v>1029</v>
      </c>
      <c r="E706" s="12" t="s">
        <v>5406</v>
      </c>
    </row>
    <row r="707" ht="15.75" customHeight="1">
      <c r="A707" s="12" t="s">
        <v>172</v>
      </c>
      <c r="B707" s="12" t="s">
        <v>4055</v>
      </c>
      <c r="C707" s="46" t="s">
        <v>5658</v>
      </c>
      <c r="D707" s="12" t="s">
        <v>1029</v>
      </c>
      <c r="E707" s="12" t="s">
        <v>5406</v>
      </c>
    </row>
    <row r="708" ht="15.75" customHeight="1">
      <c r="A708" s="12" t="s">
        <v>172</v>
      </c>
      <c r="B708" s="12" t="s">
        <v>4058</v>
      </c>
      <c r="C708" s="46" t="s">
        <v>5659</v>
      </c>
      <c r="D708" s="12" t="s">
        <v>1029</v>
      </c>
      <c r="E708" s="12" t="s">
        <v>5406</v>
      </c>
    </row>
    <row r="709" ht="15.75" customHeight="1">
      <c r="A709" s="12" t="s">
        <v>172</v>
      </c>
      <c r="B709" s="12" t="s">
        <v>4063</v>
      </c>
      <c r="C709" s="46" t="s">
        <v>5660</v>
      </c>
      <c r="D709" s="12" t="s">
        <v>1029</v>
      </c>
      <c r="E709" s="12" t="s">
        <v>5406</v>
      </c>
    </row>
    <row r="710" ht="15.75" customHeight="1">
      <c r="A710" s="12" t="s">
        <v>172</v>
      </c>
      <c r="B710" s="12" t="s">
        <v>4067</v>
      </c>
      <c r="C710" s="46" t="s">
        <v>5661</v>
      </c>
      <c r="D710" s="12" t="s">
        <v>1029</v>
      </c>
      <c r="E710" s="12" t="s">
        <v>5406</v>
      </c>
    </row>
    <row r="711" ht="15.75" customHeight="1">
      <c r="A711" s="12" t="s">
        <v>172</v>
      </c>
      <c r="B711" s="12" t="s">
        <v>4070</v>
      </c>
      <c r="C711" s="46" t="s">
        <v>5662</v>
      </c>
      <c r="D711" s="12" t="s">
        <v>1029</v>
      </c>
      <c r="E711" s="12" t="s">
        <v>5406</v>
      </c>
    </row>
    <row r="712" ht="15.75" customHeight="1">
      <c r="A712" s="12" t="s">
        <v>172</v>
      </c>
      <c r="B712" s="12" t="s">
        <v>4074</v>
      </c>
      <c r="C712" s="46" t="s">
        <v>5663</v>
      </c>
      <c r="D712" s="12" t="s">
        <v>1029</v>
      </c>
      <c r="E712" s="12" t="s">
        <v>5406</v>
      </c>
    </row>
    <row r="713" ht="15.75" customHeight="1">
      <c r="A713" s="12" t="s">
        <v>172</v>
      </c>
      <c r="B713" s="12" t="s">
        <v>4077</v>
      </c>
      <c r="C713" s="46" t="s">
        <v>5664</v>
      </c>
      <c r="D713" s="12" t="s">
        <v>1029</v>
      </c>
      <c r="E713" s="12" t="s">
        <v>5406</v>
      </c>
    </row>
    <row r="714" ht="15.75" customHeight="1">
      <c r="A714" s="12" t="s">
        <v>172</v>
      </c>
      <c r="B714" s="12" t="s">
        <v>4080</v>
      </c>
      <c r="C714" s="46" t="s">
        <v>4770</v>
      </c>
      <c r="D714" s="12" t="s">
        <v>1029</v>
      </c>
      <c r="E714" s="12" t="s">
        <v>5406</v>
      </c>
    </row>
    <row r="715" ht="15.75" customHeight="1">
      <c r="A715" s="12" t="s">
        <v>172</v>
      </c>
      <c r="B715" s="12" t="s">
        <v>4084</v>
      </c>
      <c r="C715" s="46" t="s">
        <v>5665</v>
      </c>
      <c r="D715" s="12" t="s">
        <v>1029</v>
      </c>
      <c r="E715" s="12" t="s">
        <v>5406</v>
      </c>
    </row>
    <row r="716" ht="15.75" customHeight="1">
      <c r="A716" s="12" t="s">
        <v>172</v>
      </c>
      <c r="B716" s="12" t="s">
        <v>4088</v>
      </c>
      <c r="C716" s="46" t="s">
        <v>5666</v>
      </c>
      <c r="D716" s="12" t="s">
        <v>1029</v>
      </c>
      <c r="E716" s="12" t="s">
        <v>5406</v>
      </c>
    </row>
    <row r="717" ht="15.75" customHeight="1">
      <c r="A717" s="12" t="s">
        <v>172</v>
      </c>
      <c r="B717" s="12" t="s">
        <v>4092</v>
      </c>
      <c r="C717" s="46" t="s">
        <v>5667</v>
      </c>
      <c r="D717" s="12" t="s">
        <v>1029</v>
      </c>
      <c r="E717" s="12" t="s">
        <v>5406</v>
      </c>
    </row>
    <row r="718" ht="15.75" customHeight="1">
      <c r="A718" s="12" t="s">
        <v>172</v>
      </c>
      <c r="B718" s="12" t="s">
        <v>4096</v>
      </c>
      <c r="C718" s="46" t="s">
        <v>5668</v>
      </c>
      <c r="D718" s="12" t="s">
        <v>1029</v>
      </c>
      <c r="E718" s="12" t="s">
        <v>5406</v>
      </c>
    </row>
    <row r="719" ht="15.75" customHeight="1">
      <c r="A719" s="12" t="s">
        <v>172</v>
      </c>
      <c r="B719" s="12" t="s">
        <v>4100</v>
      </c>
      <c r="C719" s="46" t="s">
        <v>5669</v>
      </c>
      <c r="D719" s="12" t="s">
        <v>1029</v>
      </c>
      <c r="E719" s="12" t="s">
        <v>5406</v>
      </c>
    </row>
    <row r="720" ht="15.75" customHeight="1">
      <c r="A720" s="12" t="s">
        <v>172</v>
      </c>
      <c r="B720" s="12" t="s">
        <v>4104</v>
      </c>
      <c r="C720" s="46" t="s">
        <v>5670</v>
      </c>
      <c r="D720" s="12" t="s">
        <v>1029</v>
      </c>
      <c r="E720" s="12" t="s">
        <v>5406</v>
      </c>
    </row>
    <row r="721" ht="15.75" customHeight="1">
      <c r="A721" s="12" t="s">
        <v>172</v>
      </c>
      <c r="B721" s="12" t="s">
        <v>4108</v>
      </c>
      <c r="C721" s="46" t="s">
        <v>5671</v>
      </c>
      <c r="D721" s="12" t="s">
        <v>1029</v>
      </c>
      <c r="E721" s="12" t="s">
        <v>5406</v>
      </c>
    </row>
    <row r="722" ht="15.75" customHeight="1">
      <c r="A722" s="12" t="s">
        <v>172</v>
      </c>
      <c r="B722" s="12" t="s">
        <v>4111</v>
      </c>
      <c r="C722" s="46" t="s">
        <v>5672</v>
      </c>
      <c r="D722" s="12" t="s">
        <v>1029</v>
      </c>
      <c r="E722" s="12" t="s">
        <v>5406</v>
      </c>
    </row>
    <row r="723" ht="15.75" customHeight="1">
      <c r="A723" s="12" t="s">
        <v>172</v>
      </c>
      <c r="B723" s="12" t="s">
        <v>4116</v>
      </c>
      <c r="C723" s="46" t="s">
        <v>5673</v>
      </c>
      <c r="D723" s="12" t="s">
        <v>1029</v>
      </c>
      <c r="E723" s="12" t="s">
        <v>5406</v>
      </c>
    </row>
    <row r="724" ht="15.75" customHeight="1">
      <c r="A724" s="12" t="s">
        <v>172</v>
      </c>
      <c r="B724" s="12" t="s">
        <v>4119</v>
      </c>
      <c r="C724" s="46" t="s">
        <v>5674</v>
      </c>
      <c r="D724" s="12" t="s">
        <v>1029</v>
      </c>
      <c r="E724" s="12" t="s">
        <v>5406</v>
      </c>
    </row>
    <row r="725" ht="15.75" customHeight="1">
      <c r="A725" s="12" t="s">
        <v>172</v>
      </c>
      <c r="B725" s="12" t="s">
        <v>4121</v>
      </c>
      <c r="C725" s="46" t="s">
        <v>5675</v>
      </c>
      <c r="D725" s="12" t="s">
        <v>1029</v>
      </c>
      <c r="E725" s="12" t="s">
        <v>5406</v>
      </c>
    </row>
    <row r="726" ht="15.75" customHeight="1">
      <c r="A726" s="12" t="s">
        <v>172</v>
      </c>
      <c r="B726" s="12" t="s">
        <v>4124</v>
      </c>
      <c r="C726" s="46" t="s">
        <v>5676</v>
      </c>
      <c r="D726" s="12" t="s">
        <v>1029</v>
      </c>
      <c r="E726" s="12" t="s">
        <v>5406</v>
      </c>
    </row>
    <row r="727" ht="15.75" customHeight="1">
      <c r="A727" s="12" t="s">
        <v>172</v>
      </c>
      <c r="B727" s="12" t="s">
        <v>4127</v>
      </c>
      <c r="C727" s="46" t="s">
        <v>5677</v>
      </c>
      <c r="D727" s="12" t="s">
        <v>1029</v>
      </c>
      <c r="E727" s="12" t="s">
        <v>5406</v>
      </c>
    </row>
    <row r="728" ht="15.75" customHeight="1">
      <c r="A728" s="12" t="s">
        <v>172</v>
      </c>
      <c r="B728" s="12" t="s">
        <v>4131</v>
      </c>
      <c r="C728" s="46" t="s">
        <v>5678</v>
      </c>
      <c r="D728" s="12" t="s">
        <v>1029</v>
      </c>
      <c r="E728" s="12" t="s">
        <v>5406</v>
      </c>
    </row>
    <row r="729" ht="15.75" customHeight="1">
      <c r="A729" s="12" t="s">
        <v>172</v>
      </c>
      <c r="B729" s="12" t="s">
        <v>4134</v>
      </c>
      <c r="C729" s="46" t="s">
        <v>5679</v>
      </c>
      <c r="D729" s="12" t="s">
        <v>1029</v>
      </c>
      <c r="E729" s="12" t="s">
        <v>5406</v>
      </c>
    </row>
    <row r="730" ht="15.75" customHeight="1">
      <c r="A730" s="12" t="s">
        <v>172</v>
      </c>
      <c r="B730" s="12" t="s">
        <v>4138</v>
      </c>
      <c r="C730" s="46" t="s">
        <v>5680</v>
      </c>
      <c r="D730" s="12" t="s">
        <v>1029</v>
      </c>
      <c r="E730" s="12" t="s">
        <v>5406</v>
      </c>
    </row>
    <row r="731" ht="15.75" customHeight="1">
      <c r="A731" s="12" t="s">
        <v>172</v>
      </c>
      <c r="B731" s="12" t="s">
        <v>4141</v>
      </c>
      <c r="C731" s="46" t="s">
        <v>5681</v>
      </c>
      <c r="D731" s="12" t="s">
        <v>1029</v>
      </c>
      <c r="E731" s="12" t="s">
        <v>5406</v>
      </c>
    </row>
    <row r="732" ht="15.75" customHeight="1">
      <c r="A732" s="12" t="s">
        <v>172</v>
      </c>
      <c r="B732" s="12" t="s">
        <v>4143</v>
      </c>
      <c r="C732" s="46" t="s">
        <v>5682</v>
      </c>
      <c r="D732" s="12" t="s">
        <v>1029</v>
      </c>
      <c r="E732" s="12" t="s">
        <v>5406</v>
      </c>
    </row>
    <row r="733" ht="15.75" customHeight="1">
      <c r="A733" s="12" t="s">
        <v>172</v>
      </c>
      <c r="B733" s="12" t="s">
        <v>4146</v>
      </c>
      <c r="C733" s="46" t="s">
        <v>5683</v>
      </c>
      <c r="D733" s="12" t="s">
        <v>1029</v>
      </c>
      <c r="E733" s="12" t="s">
        <v>5406</v>
      </c>
    </row>
    <row r="734" ht="15.75" customHeight="1">
      <c r="A734" s="12" t="s">
        <v>172</v>
      </c>
      <c r="B734" s="12" t="s">
        <v>4149</v>
      </c>
      <c r="C734" s="46" t="s">
        <v>5684</v>
      </c>
      <c r="D734" s="12" t="s">
        <v>1029</v>
      </c>
      <c r="E734" s="12" t="s">
        <v>5406</v>
      </c>
    </row>
    <row r="735" ht="15.75" customHeight="1">
      <c r="A735" s="12" t="s">
        <v>172</v>
      </c>
      <c r="B735" s="12" t="s">
        <v>4152</v>
      </c>
      <c r="C735" s="46" t="s">
        <v>5685</v>
      </c>
      <c r="D735" s="12" t="s">
        <v>1029</v>
      </c>
      <c r="E735" s="12" t="s">
        <v>5406</v>
      </c>
    </row>
    <row r="736" ht="15.75" customHeight="1">
      <c r="A736" s="12" t="s">
        <v>172</v>
      </c>
      <c r="B736" s="12" t="s">
        <v>4156</v>
      </c>
      <c r="C736" s="46" t="s">
        <v>5686</v>
      </c>
      <c r="D736" s="12" t="s">
        <v>1029</v>
      </c>
      <c r="E736" s="12" t="s">
        <v>5406</v>
      </c>
    </row>
    <row r="737" ht="15.75" customHeight="1">
      <c r="A737" s="12" t="s">
        <v>172</v>
      </c>
      <c r="B737" s="12" t="s">
        <v>4159</v>
      </c>
      <c r="C737" s="46" t="s">
        <v>5687</v>
      </c>
      <c r="D737" s="12" t="s">
        <v>1029</v>
      </c>
      <c r="E737" s="12" t="s">
        <v>5406</v>
      </c>
    </row>
    <row r="738" ht="15.75" customHeight="1">
      <c r="A738" s="12" t="s">
        <v>172</v>
      </c>
      <c r="B738" s="12" t="s">
        <v>4162</v>
      </c>
      <c r="C738" s="46" t="s">
        <v>5688</v>
      </c>
      <c r="D738" s="12" t="s">
        <v>1029</v>
      </c>
      <c r="E738" s="12" t="s">
        <v>5406</v>
      </c>
    </row>
    <row r="739" ht="15.75" customHeight="1">
      <c r="A739" s="12" t="s">
        <v>172</v>
      </c>
      <c r="B739" s="12" t="s">
        <v>4164</v>
      </c>
      <c r="C739" s="46" t="s">
        <v>5689</v>
      </c>
      <c r="D739" s="12" t="s">
        <v>1029</v>
      </c>
      <c r="E739" s="12" t="s">
        <v>5406</v>
      </c>
    </row>
    <row r="740" ht="15.75" customHeight="1">
      <c r="A740" s="12" t="s">
        <v>172</v>
      </c>
      <c r="B740" s="12" t="s">
        <v>4167</v>
      </c>
      <c r="C740" s="46" t="s">
        <v>5690</v>
      </c>
      <c r="D740" s="12" t="s">
        <v>1029</v>
      </c>
      <c r="E740" s="12" t="s">
        <v>5406</v>
      </c>
    </row>
    <row r="741" ht="15.75" customHeight="1">
      <c r="A741" s="12" t="s">
        <v>172</v>
      </c>
      <c r="B741" s="12" t="s">
        <v>4169</v>
      </c>
      <c r="C741" s="46" t="s">
        <v>5691</v>
      </c>
      <c r="D741" s="12" t="s">
        <v>1029</v>
      </c>
      <c r="E741" s="12" t="s">
        <v>5406</v>
      </c>
    </row>
    <row r="742" ht="15.75" customHeight="1">
      <c r="A742" s="12" t="s">
        <v>172</v>
      </c>
      <c r="B742" s="12" t="s">
        <v>4173</v>
      </c>
      <c r="C742" s="46" t="s">
        <v>5692</v>
      </c>
      <c r="D742" s="12" t="s">
        <v>1029</v>
      </c>
      <c r="E742" s="12" t="s">
        <v>5406</v>
      </c>
    </row>
    <row r="743" ht="15.75" customHeight="1">
      <c r="A743" s="12" t="s">
        <v>172</v>
      </c>
      <c r="B743" s="12" t="s">
        <v>4176</v>
      </c>
      <c r="C743" s="46" t="s">
        <v>6115</v>
      </c>
      <c r="D743" s="12" t="s">
        <v>1029</v>
      </c>
      <c r="E743" s="12" t="s">
        <v>5406</v>
      </c>
    </row>
    <row r="744" ht="15.75" customHeight="1">
      <c r="A744" s="12" t="s">
        <v>172</v>
      </c>
      <c r="B744" s="12" t="s">
        <v>4180</v>
      </c>
      <c r="C744" s="46" t="s">
        <v>5694</v>
      </c>
      <c r="D744" s="12" t="s">
        <v>1029</v>
      </c>
      <c r="E744" s="12" t="s">
        <v>5406</v>
      </c>
    </row>
    <row r="745" ht="15.75" customHeight="1">
      <c r="A745" s="12" t="s">
        <v>172</v>
      </c>
      <c r="B745" s="12" t="s">
        <v>4183</v>
      </c>
      <c r="C745" s="46" t="s">
        <v>5695</v>
      </c>
      <c r="D745" s="12" t="s">
        <v>1029</v>
      </c>
      <c r="E745" s="12" t="s">
        <v>5406</v>
      </c>
    </row>
    <row r="746" ht="15.75" customHeight="1">
      <c r="A746" s="12" t="s">
        <v>172</v>
      </c>
      <c r="B746" s="12" t="s">
        <v>4187</v>
      </c>
      <c r="C746" s="46" t="s">
        <v>5696</v>
      </c>
      <c r="D746" s="12" t="s">
        <v>1029</v>
      </c>
      <c r="E746" s="12" t="s">
        <v>5406</v>
      </c>
    </row>
    <row r="747" ht="15.75" customHeight="1">
      <c r="A747" s="12" t="s">
        <v>172</v>
      </c>
      <c r="B747" s="12" t="s">
        <v>4191</v>
      </c>
      <c r="C747" s="46" t="s">
        <v>5697</v>
      </c>
      <c r="D747" s="12" t="s">
        <v>1029</v>
      </c>
      <c r="E747" s="12" t="s">
        <v>5406</v>
      </c>
    </row>
    <row r="748" ht="15.75" customHeight="1">
      <c r="A748" s="12" t="s">
        <v>172</v>
      </c>
      <c r="B748" s="12" t="s">
        <v>4195</v>
      </c>
      <c r="C748" s="46" t="s">
        <v>6116</v>
      </c>
      <c r="D748" s="12" t="s">
        <v>1029</v>
      </c>
      <c r="E748" s="12" t="s">
        <v>5406</v>
      </c>
    </row>
    <row r="749" ht="15.75" customHeight="1">
      <c r="A749" s="12" t="s">
        <v>172</v>
      </c>
      <c r="B749" s="12" t="s">
        <v>4199</v>
      </c>
      <c r="C749" s="46" t="s">
        <v>6117</v>
      </c>
      <c r="D749" s="12" t="s">
        <v>1029</v>
      </c>
      <c r="E749" s="12" t="s">
        <v>5406</v>
      </c>
    </row>
    <row r="750" ht="15.75" customHeight="1">
      <c r="A750" s="12" t="s">
        <v>172</v>
      </c>
      <c r="B750" s="12" t="s">
        <v>4202</v>
      </c>
      <c r="C750" s="46" t="s">
        <v>6118</v>
      </c>
      <c r="D750" s="12" t="s">
        <v>1029</v>
      </c>
      <c r="E750" s="12" t="s">
        <v>5406</v>
      </c>
    </row>
    <row r="751" ht="15.75" customHeight="1">
      <c r="A751" s="12" t="s">
        <v>172</v>
      </c>
      <c r="B751" s="12" t="s">
        <v>4205</v>
      </c>
      <c r="C751" s="46" t="s">
        <v>6119</v>
      </c>
      <c r="D751" s="12" t="s">
        <v>1029</v>
      </c>
      <c r="E751" s="12" t="s">
        <v>5406</v>
      </c>
    </row>
    <row r="752" ht="15.75" customHeight="1">
      <c r="A752" s="12" t="s">
        <v>199</v>
      </c>
      <c r="B752" s="12" t="s">
        <v>3630</v>
      </c>
      <c r="C752" s="46" t="s">
        <v>6120</v>
      </c>
      <c r="D752" s="12" t="s">
        <v>1074</v>
      </c>
      <c r="E752" s="12" t="s">
        <v>5406</v>
      </c>
    </row>
    <row r="753" ht="15.75" customHeight="1">
      <c r="A753" s="12" t="s">
        <v>199</v>
      </c>
      <c r="B753" s="12" t="s">
        <v>3634</v>
      </c>
      <c r="C753" s="46" t="s">
        <v>5523</v>
      </c>
      <c r="D753" s="12" t="s">
        <v>1074</v>
      </c>
      <c r="E753" s="12" t="s">
        <v>5406</v>
      </c>
    </row>
    <row r="754" ht="15.75" customHeight="1">
      <c r="A754" s="12" t="s">
        <v>199</v>
      </c>
      <c r="B754" s="12" t="s">
        <v>3637</v>
      </c>
      <c r="C754" s="46" t="s">
        <v>5526</v>
      </c>
      <c r="D754" s="12" t="s">
        <v>1074</v>
      </c>
      <c r="E754" s="12" t="s">
        <v>5406</v>
      </c>
    </row>
    <row r="755" ht="15.75" customHeight="1">
      <c r="A755" s="12" t="s">
        <v>199</v>
      </c>
      <c r="B755" s="12" t="s">
        <v>3641</v>
      </c>
      <c r="C755" s="46" t="s">
        <v>5527</v>
      </c>
      <c r="D755" s="12" t="s">
        <v>1074</v>
      </c>
      <c r="E755" s="12" t="s">
        <v>5406</v>
      </c>
    </row>
    <row r="756" ht="15.75" customHeight="1">
      <c r="A756" s="12" t="s">
        <v>199</v>
      </c>
      <c r="B756" s="12" t="s">
        <v>3645</v>
      </c>
      <c r="C756" s="46" t="s">
        <v>5529</v>
      </c>
      <c r="D756" s="12" t="s">
        <v>1074</v>
      </c>
      <c r="E756" s="12" t="s">
        <v>5406</v>
      </c>
    </row>
    <row r="757" ht="15.75" customHeight="1">
      <c r="A757" s="12" t="s">
        <v>199</v>
      </c>
      <c r="B757" s="12" t="s">
        <v>3649</v>
      </c>
      <c r="C757" s="46" t="s">
        <v>5530</v>
      </c>
      <c r="D757" s="12" t="s">
        <v>1074</v>
      </c>
      <c r="E757" s="12" t="s">
        <v>5406</v>
      </c>
    </row>
    <row r="758" ht="15.75" customHeight="1">
      <c r="A758" s="12" t="s">
        <v>199</v>
      </c>
      <c r="B758" s="12" t="s">
        <v>3652</v>
      </c>
      <c r="C758" s="46" t="s">
        <v>5531</v>
      </c>
      <c r="D758" s="12" t="s">
        <v>1074</v>
      </c>
      <c r="E758" s="12" t="s">
        <v>5406</v>
      </c>
    </row>
    <row r="759" ht="15.75" customHeight="1">
      <c r="A759" s="12" t="s">
        <v>199</v>
      </c>
      <c r="B759" s="12" t="s">
        <v>3658</v>
      </c>
      <c r="C759" s="46" t="s">
        <v>5533</v>
      </c>
      <c r="D759" s="12" t="s">
        <v>1074</v>
      </c>
      <c r="E759" s="12" t="s">
        <v>5406</v>
      </c>
    </row>
    <row r="760" ht="15.75" customHeight="1">
      <c r="A760" s="12" t="s">
        <v>199</v>
      </c>
      <c r="B760" s="12" t="s">
        <v>3659</v>
      </c>
      <c r="C760" s="46" t="s">
        <v>5536</v>
      </c>
      <c r="D760" s="12" t="s">
        <v>1074</v>
      </c>
      <c r="E760" s="12" t="s">
        <v>5406</v>
      </c>
    </row>
    <row r="761" ht="15.75" customHeight="1">
      <c r="A761" s="12" t="s">
        <v>199</v>
      </c>
      <c r="B761" s="12" t="s">
        <v>3662</v>
      </c>
      <c r="C761" s="46" t="s">
        <v>5538</v>
      </c>
      <c r="D761" s="12" t="s">
        <v>1074</v>
      </c>
      <c r="E761" s="12" t="s">
        <v>5406</v>
      </c>
    </row>
    <row r="762" ht="15.75" customHeight="1">
      <c r="A762" s="12" t="s">
        <v>199</v>
      </c>
      <c r="B762" s="12" t="s">
        <v>3666</v>
      </c>
      <c r="C762" s="46" t="s">
        <v>5541</v>
      </c>
      <c r="D762" s="12" t="s">
        <v>1074</v>
      </c>
      <c r="E762" s="12" t="s">
        <v>5406</v>
      </c>
    </row>
    <row r="763" ht="15.75" customHeight="1">
      <c r="A763" s="12" t="s">
        <v>199</v>
      </c>
      <c r="B763" s="12" t="s">
        <v>3670</v>
      </c>
      <c r="C763" s="46" t="s">
        <v>5545</v>
      </c>
      <c r="D763" s="12" t="s">
        <v>1074</v>
      </c>
      <c r="E763" s="12" t="s">
        <v>5406</v>
      </c>
    </row>
    <row r="764" ht="15.75" customHeight="1">
      <c r="A764" s="12" t="s">
        <v>199</v>
      </c>
      <c r="B764" s="12" t="s">
        <v>3674</v>
      </c>
      <c r="C764" s="46" t="s">
        <v>5548</v>
      </c>
      <c r="D764" s="12" t="s">
        <v>1074</v>
      </c>
      <c r="E764" s="12" t="s">
        <v>5406</v>
      </c>
    </row>
    <row r="765" ht="15.75" customHeight="1">
      <c r="A765" s="12" t="s">
        <v>199</v>
      </c>
      <c r="B765" s="12" t="s">
        <v>3677</v>
      </c>
      <c r="C765" s="46" t="s">
        <v>5550</v>
      </c>
      <c r="D765" s="12" t="s">
        <v>1074</v>
      </c>
      <c r="E765" s="12" t="s">
        <v>5406</v>
      </c>
    </row>
    <row r="766" ht="15.75" customHeight="1">
      <c r="A766" s="12" t="s">
        <v>199</v>
      </c>
      <c r="B766" s="12" t="s">
        <v>3681</v>
      </c>
      <c r="C766" s="46" t="s">
        <v>5552</v>
      </c>
      <c r="D766" s="12" t="s">
        <v>1074</v>
      </c>
      <c r="E766" s="12" t="s">
        <v>5406</v>
      </c>
    </row>
    <row r="767" ht="15.75" customHeight="1">
      <c r="A767" s="12" t="s">
        <v>199</v>
      </c>
      <c r="B767" s="12" t="s">
        <v>3685</v>
      </c>
      <c r="C767" s="46" t="s">
        <v>5553</v>
      </c>
      <c r="D767" s="12" t="s">
        <v>1074</v>
      </c>
      <c r="E767" s="12" t="s">
        <v>5406</v>
      </c>
    </row>
    <row r="768" ht="15.75" customHeight="1">
      <c r="A768" s="12" t="s">
        <v>199</v>
      </c>
      <c r="B768" s="12" t="s">
        <v>3689</v>
      </c>
      <c r="C768" s="46" t="s">
        <v>5554</v>
      </c>
      <c r="D768" s="12" t="s">
        <v>1074</v>
      </c>
      <c r="E768" s="12" t="s">
        <v>5406</v>
      </c>
    </row>
    <row r="769" ht="15.75" customHeight="1">
      <c r="A769" s="12" t="s">
        <v>199</v>
      </c>
      <c r="B769" s="12" t="s">
        <v>3693</v>
      </c>
      <c r="C769" s="46" t="s">
        <v>5555</v>
      </c>
      <c r="D769" s="12" t="s">
        <v>1074</v>
      </c>
      <c r="E769" s="12" t="s">
        <v>5406</v>
      </c>
    </row>
    <row r="770" ht="15.75" customHeight="1">
      <c r="A770" s="12" t="s">
        <v>199</v>
      </c>
      <c r="B770" s="12" t="s">
        <v>3697</v>
      </c>
      <c r="C770" s="46" t="s">
        <v>5556</v>
      </c>
      <c r="D770" s="12" t="s">
        <v>1074</v>
      </c>
      <c r="E770" s="12" t="s">
        <v>5406</v>
      </c>
    </row>
    <row r="771" ht="15.75" customHeight="1">
      <c r="A771" s="12" t="s">
        <v>199</v>
      </c>
      <c r="B771" s="12" t="s">
        <v>3701</v>
      </c>
      <c r="C771" s="46" t="s">
        <v>5557</v>
      </c>
      <c r="D771" s="12" t="s">
        <v>1074</v>
      </c>
      <c r="E771" s="12" t="s">
        <v>5406</v>
      </c>
    </row>
    <row r="772" ht="15.75" customHeight="1">
      <c r="A772" s="12" t="s">
        <v>199</v>
      </c>
      <c r="B772" s="12" t="s">
        <v>3704</v>
      </c>
      <c r="C772" s="46" t="s">
        <v>5558</v>
      </c>
      <c r="D772" s="12" t="s">
        <v>1074</v>
      </c>
      <c r="E772" s="12" t="s">
        <v>5406</v>
      </c>
    </row>
    <row r="773" ht="15.75" customHeight="1">
      <c r="A773" s="12" t="s">
        <v>199</v>
      </c>
      <c r="B773" s="12" t="s">
        <v>3708</v>
      </c>
      <c r="C773" s="46" t="s">
        <v>5559</v>
      </c>
      <c r="D773" s="12" t="s">
        <v>1074</v>
      </c>
      <c r="E773" s="12" t="s">
        <v>5406</v>
      </c>
    </row>
    <row r="774" ht="15.75" customHeight="1">
      <c r="A774" s="12" t="s">
        <v>199</v>
      </c>
      <c r="B774" s="12" t="s">
        <v>3711</v>
      </c>
      <c r="C774" s="46" t="s">
        <v>5560</v>
      </c>
      <c r="D774" s="12" t="s">
        <v>1074</v>
      </c>
      <c r="E774" s="12" t="s">
        <v>5406</v>
      </c>
    </row>
    <row r="775" ht="15.75" customHeight="1">
      <c r="A775" s="12" t="s">
        <v>199</v>
      </c>
      <c r="B775" s="12" t="s">
        <v>3714</v>
      </c>
      <c r="C775" s="46" t="s">
        <v>5561</v>
      </c>
      <c r="D775" s="12" t="s">
        <v>1074</v>
      </c>
      <c r="E775" s="12" t="s">
        <v>5406</v>
      </c>
    </row>
    <row r="776" ht="15.75" customHeight="1">
      <c r="A776" s="12" t="s">
        <v>199</v>
      </c>
      <c r="B776" s="12" t="s">
        <v>3717</v>
      </c>
      <c r="C776" s="46" t="s">
        <v>5562</v>
      </c>
      <c r="D776" s="12" t="s">
        <v>1074</v>
      </c>
      <c r="E776" s="12" t="s">
        <v>5406</v>
      </c>
    </row>
    <row r="777" ht="15.75" customHeight="1">
      <c r="A777" s="12" t="s">
        <v>199</v>
      </c>
      <c r="B777" s="12" t="s">
        <v>3721</v>
      </c>
      <c r="C777" s="46" t="s">
        <v>5563</v>
      </c>
      <c r="D777" s="12" t="s">
        <v>1074</v>
      </c>
      <c r="E777" s="12" t="s">
        <v>5406</v>
      </c>
    </row>
    <row r="778" ht="15.75" customHeight="1">
      <c r="A778" s="12" t="s">
        <v>199</v>
      </c>
      <c r="B778" s="12" t="s">
        <v>3725</v>
      </c>
      <c r="C778" s="46" t="s">
        <v>5564</v>
      </c>
      <c r="D778" s="12" t="s">
        <v>1074</v>
      </c>
      <c r="E778" s="12" t="s">
        <v>5406</v>
      </c>
    </row>
    <row r="779" ht="15.75" customHeight="1">
      <c r="A779" s="12" t="s">
        <v>199</v>
      </c>
      <c r="B779" s="12" t="s">
        <v>3728</v>
      </c>
      <c r="C779" s="46" t="s">
        <v>5565</v>
      </c>
      <c r="D779" s="12" t="s">
        <v>1074</v>
      </c>
      <c r="E779" s="12" t="s">
        <v>5406</v>
      </c>
    </row>
    <row r="780" ht="15.75" customHeight="1">
      <c r="A780" s="12" t="s">
        <v>199</v>
      </c>
      <c r="B780" s="12" t="s">
        <v>3731</v>
      </c>
      <c r="C780" s="46" t="s">
        <v>5566</v>
      </c>
      <c r="D780" s="12" t="s">
        <v>1074</v>
      </c>
      <c r="E780" s="12" t="s">
        <v>5406</v>
      </c>
    </row>
    <row r="781" ht="15.75" customHeight="1">
      <c r="A781" s="12" t="s">
        <v>199</v>
      </c>
      <c r="B781" s="12" t="s">
        <v>3735</v>
      </c>
      <c r="C781" s="46" t="s">
        <v>5567</v>
      </c>
      <c r="D781" s="12" t="s">
        <v>1074</v>
      </c>
      <c r="E781" s="12" t="s">
        <v>5406</v>
      </c>
    </row>
    <row r="782" ht="15.75" customHeight="1">
      <c r="A782" s="12" t="s">
        <v>199</v>
      </c>
      <c r="B782" s="12" t="s">
        <v>3739</v>
      </c>
      <c r="C782" s="46" t="s">
        <v>5568</v>
      </c>
      <c r="D782" s="12" t="s">
        <v>1074</v>
      </c>
      <c r="E782" s="12" t="s">
        <v>5406</v>
      </c>
    </row>
    <row r="783" ht="15.75" customHeight="1">
      <c r="A783" s="12" t="s">
        <v>199</v>
      </c>
      <c r="B783" s="12" t="s">
        <v>3742</v>
      </c>
      <c r="C783" s="46" t="s">
        <v>5569</v>
      </c>
      <c r="D783" s="12" t="s">
        <v>1074</v>
      </c>
      <c r="E783" s="12" t="s">
        <v>5406</v>
      </c>
    </row>
    <row r="784" ht="15.75" customHeight="1">
      <c r="A784" s="12" t="s">
        <v>199</v>
      </c>
      <c r="B784" s="12" t="s">
        <v>3746</v>
      </c>
      <c r="C784" s="46" t="s">
        <v>5570</v>
      </c>
      <c r="D784" s="12" t="s">
        <v>1074</v>
      </c>
      <c r="E784" s="12" t="s">
        <v>5406</v>
      </c>
    </row>
    <row r="785" ht="15.75" customHeight="1">
      <c r="A785" s="12" t="s">
        <v>199</v>
      </c>
      <c r="B785" s="12" t="s">
        <v>3748</v>
      </c>
      <c r="C785" s="46" t="s">
        <v>5571</v>
      </c>
      <c r="D785" s="12" t="s">
        <v>1074</v>
      </c>
      <c r="E785" s="12" t="s">
        <v>5406</v>
      </c>
    </row>
    <row r="786" ht="15.75" customHeight="1">
      <c r="A786" s="12" t="s">
        <v>199</v>
      </c>
      <c r="B786" s="12" t="s">
        <v>3751</v>
      </c>
      <c r="C786" s="46" t="s">
        <v>5572</v>
      </c>
      <c r="D786" s="12" t="s">
        <v>1074</v>
      </c>
      <c r="E786" s="12" t="s">
        <v>5406</v>
      </c>
    </row>
    <row r="787" ht="15.75" customHeight="1">
      <c r="A787" s="12" t="s">
        <v>199</v>
      </c>
      <c r="B787" s="12" t="s">
        <v>3754</v>
      </c>
      <c r="C787" s="46" t="s">
        <v>5573</v>
      </c>
      <c r="D787" s="12" t="s">
        <v>1074</v>
      </c>
      <c r="E787" s="12" t="s">
        <v>5406</v>
      </c>
    </row>
    <row r="788" ht="15.75" customHeight="1">
      <c r="A788" s="12" t="s">
        <v>199</v>
      </c>
      <c r="B788" s="12" t="s">
        <v>3758</v>
      </c>
      <c r="C788" s="46" t="s">
        <v>5574</v>
      </c>
      <c r="D788" s="12" t="s">
        <v>1074</v>
      </c>
      <c r="E788" s="12" t="s">
        <v>5406</v>
      </c>
    </row>
    <row r="789" ht="15.75" customHeight="1">
      <c r="A789" s="12" t="s">
        <v>199</v>
      </c>
      <c r="B789" s="12" t="s">
        <v>3762</v>
      </c>
      <c r="C789" s="46" t="s">
        <v>5575</v>
      </c>
      <c r="D789" s="12" t="s">
        <v>1074</v>
      </c>
      <c r="E789" s="12" t="s">
        <v>5406</v>
      </c>
    </row>
    <row r="790" ht="15.75" customHeight="1">
      <c r="A790" s="12" t="s">
        <v>199</v>
      </c>
      <c r="B790" s="12" t="s">
        <v>3766</v>
      </c>
      <c r="C790" s="46" t="s">
        <v>5576</v>
      </c>
      <c r="D790" s="12" t="s">
        <v>1074</v>
      </c>
      <c r="E790" s="12" t="s">
        <v>5406</v>
      </c>
    </row>
    <row r="791" ht="15.75" customHeight="1">
      <c r="A791" s="12" t="s">
        <v>199</v>
      </c>
      <c r="B791" s="12" t="s">
        <v>3769</v>
      </c>
      <c r="C791" s="46" t="s">
        <v>5577</v>
      </c>
      <c r="D791" s="12" t="s">
        <v>1074</v>
      </c>
      <c r="E791" s="12" t="s">
        <v>5406</v>
      </c>
    </row>
    <row r="792" ht="15.75" customHeight="1">
      <c r="A792" s="12" t="s">
        <v>199</v>
      </c>
      <c r="B792" s="12" t="s">
        <v>3773</v>
      </c>
      <c r="C792" s="46" t="s">
        <v>5578</v>
      </c>
      <c r="D792" s="12" t="s">
        <v>1074</v>
      </c>
      <c r="E792" s="12" t="s">
        <v>5406</v>
      </c>
    </row>
    <row r="793" ht="15.75" customHeight="1">
      <c r="A793" s="12" t="s">
        <v>199</v>
      </c>
      <c r="B793" s="12" t="s">
        <v>3776</v>
      </c>
      <c r="C793" s="46" t="s">
        <v>5579</v>
      </c>
      <c r="D793" s="12" t="s">
        <v>1074</v>
      </c>
      <c r="E793" s="12" t="s">
        <v>5406</v>
      </c>
    </row>
    <row r="794" ht="15.75" customHeight="1">
      <c r="A794" s="12" t="s">
        <v>199</v>
      </c>
      <c r="B794" s="12" t="s">
        <v>3779</v>
      </c>
      <c r="C794" s="46" t="s">
        <v>5580</v>
      </c>
      <c r="D794" s="12" t="s">
        <v>1074</v>
      </c>
      <c r="E794" s="12" t="s">
        <v>5406</v>
      </c>
    </row>
    <row r="795" ht="15.75" customHeight="1">
      <c r="A795" s="12" t="s">
        <v>199</v>
      </c>
      <c r="B795" s="12" t="s">
        <v>3782</v>
      </c>
      <c r="C795" s="46" t="s">
        <v>5581</v>
      </c>
      <c r="D795" s="12" t="s">
        <v>1074</v>
      </c>
      <c r="E795" s="12" t="s">
        <v>5406</v>
      </c>
    </row>
    <row r="796" ht="15.75" customHeight="1">
      <c r="A796" s="12" t="s">
        <v>199</v>
      </c>
      <c r="B796" s="12" t="s">
        <v>3784</v>
      </c>
      <c r="C796" s="46" t="s">
        <v>5582</v>
      </c>
      <c r="D796" s="12" t="s">
        <v>1074</v>
      </c>
      <c r="E796" s="12" t="s">
        <v>5406</v>
      </c>
    </row>
    <row r="797" ht="15.75" customHeight="1">
      <c r="A797" s="12" t="s">
        <v>199</v>
      </c>
      <c r="B797" s="12" t="s">
        <v>3787</v>
      </c>
      <c r="C797" s="46" t="s">
        <v>5583</v>
      </c>
      <c r="D797" s="12" t="s">
        <v>1074</v>
      </c>
      <c r="E797" s="12" t="s">
        <v>5406</v>
      </c>
    </row>
    <row r="798" ht="15.75" customHeight="1">
      <c r="A798" s="12" t="s">
        <v>199</v>
      </c>
      <c r="B798" s="12" t="s">
        <v>3791</v>
      </c>
      <c r="C798" s="46" t="s">
        <v>5584</v>
      </c>
      <c r="D798" s="12" t="s">
        <v>1074</v>
      </c>
      <c r="E798" s="12" t="s">
        <v>5406</v>
      </c>
    </row>
    <row r="799" ht="15.75" customHeight="1">
      <c r="A799" s="12" t="s">
        <v>199</v>
      </c>
      <c r="B799" s="12" t="s">
        <v>3794</v>
      </c>
      <c r="C799" s="46" t="s">
        <v>5585</v>
      </c>
      <c r="D799" s="12" t="s">
        <v>1074</v>
      </c>
      <c r="E799" s="12" t="s">
        <v>5406</v>
      </c>
    </row>
    <row r="800" ht="15.75" customHeight="1">
      <c r="A800" s="12" t="s">
        <v>199</v>
      </c>
      <c r="B800" s="12" t="s">
        <v>3797</v>
      </c>
      <c r="C800" s="46" t="s">
        <v>5586</v>
      </c>
      <c r="D800" s="12" t="s">
        <v>1074</v>
      </c>
      <c r="E800" s="12" t="s">
        <v>5406</v>
      </c>
    </row>
    <row r="801" ht="15.75" customHeight="1">
      <c r="A801" s="12" t="s">
        <v>199</v>
      </c>
      <c r="B801" s="12" t="s">
        <v>3801</v>
      </c>
      <c r="C801" s="46" t="s">
        <v>5587</v>
      </c>
      <c r="D801" s="12" t="s">
        <v>1074</v>
      </c>
      <c r="E801" s="12" t="s">
        <v>5406</v>
      </c>
    </row>
    <row r="802" ht="15.75" customHeight="1">
      <c r="A802" s="12" t="s">
        <v>199</v>
      </c>
      <c r="B802" s="12" t="s">
        <v>3805</v>
      </c>
      <c r="C802" s="46" t="s">
        <v>5588</v>
      </c>
      <c r="D802" s="12" t="s">
        <v>1074</v>
      </c>
      <c r="E802" s="12" t="s">
        <v>5406</v>
      </c>
    </row>
    <row r="803" ht="15.75" customHeight="1">
      <c r="A803" s="12" t="s">
        <v>199</v>
      </c>
      <c r="B803" s="12" t="s">
        <v>3808</v>
      </c>
      <c r="C803" s="46" t="s">
        <v>5589</v>
      </c>
      <c r="D803" s="12" t="s">
        <v>1074</v>
      </c>
      <c r="E803" s="12" t="s">
        <v>5406</v>
      </c>
    </row>
    <row r="804" ht="15.75" customHeight="1">
      <c r="A804" s="12" t="s">
        <v>199</v>
      </c>
      <c r="B804" s="12" t="s">
        <v>3812</v>
      </c>
      <c r="C804" s="46" t="s">
        <v>5590</v>
      </c>
      <c r="D804" s="12" t="s">
        <v>1074</v>
      </c>
      <c r="E804" s="12" t="s">
        <v>5406</v>
      </c>
    </row>
    <row r="805" ht="15.75" customHeight="1">
      <c r="A805" s="12" t="s">
        <v>199</v>
      </c>
      <c r="B805" s="12" t="s">
        <v>3816</v>
      </c>
      <c r="C805" s="46" t="s">
        <v>5591</v>
      </c>
      <c r="D805" s="12" t="s">
        <v>1074</v>
      </c>
      <c r="E805" s="12" t="s">
        <v>5406</v>
      </c>
    </row>
    <row r="806" ht="15.75" customHeight="1">
      <c r="A806" s="12" t="s">
        <v>199</v>
      </c>
      <c r="B806" s="12" t="s">
        <v>3820</v>
      </c>
      <c r="C806" s="46" t="s">
        <v>5592</v>
      </c>
      <c r="D806" s="12" t="s">
        <v>1074</v>
      </c>
      <c r="E806" s="12" t="s">
        <v>5406</v>
      </c>
    </row>
    <row r="807" ht="15.75" customHeight="1">
      <c r="A807" s="12" t="s">
        <v>199</v>
      </c>
      <c r="B807" s="12" t="s">
        <v>3824</v>
      </c>
      <c r="C807" s="46" t="s">
        <v>5593</v>
      </c>
      <c r="D807" s="12" t="s">
        <v>1074</v>
      </c>
      <c r="E807" s="12" t="s">
        <v>5406</v>
      </c>
    </row>
    <row r="808" ht="15.75" customHeight="1">
      <c r="A808" s="12" t="s">
        <v>199</v>
      </c>
      <c r="B808" s="12" t="s">
        <v>3827</v>
      </c>
      <c r="C808" s="46" t="s">
        <v>5594</v>
      </c>
      <c r="D808" s="12" t="s">
        <v>1074</v>
      </c>
      <c r="E808" s="12" t="s">
        <v>5406</v>
      </c>
    </row>
    <row r="809" ht="15.75" customHeight="1">
      <c r="A809" s="12" t="s">
        <v>199</v>
      </c>
      <c r="B809" s="12" t="s">
        <v>3830</v>
      </c>
      <c r="C809" s="46" t="s">
        <v>5595</v>
      </c>
      <c r="D809" s="12" t="s">
        <v>1074</v>
      </c>
      <c r="E809" s="12" t="s">
        <v>5406</v>
      </c>
    </row>
    <row r="810" ht="15.75" customHeight="1">
      <c r="A810" s="12" t="s">
        <v>199</v>
      </c>
      <c r="B810" s="12" t="s">
        <v>3831</v>
      </c>
      <c r="C810" s="46" t="s">
        <v>5596</v>
      </c>
      <c r="D810" s="12" t="s">
        <v>1074</v>
      </c>
      <c r="E810" s="12" t="s">
        <v>5406</v>
      </c>
    </row>
    <row r="811" ht="15.75" customHeight="1">
      <c r="A811" s="12" t="s">
        <v>199</v>
      </c>
      <c r="B811" s="12" t="s">
        <v>3834</v>
      </c>
      <c r="C811" s="46" t="s">
        <v>5597</v>
      </c>
      <c r="D811" s="12" t="s">
        <v>1074</v>
      </c>
      <c r="E811" s="12" t="s">
        <v>5406</v>
      </c>
    </row>
    <row r="812" ht="15.75" customHeight="1">
      <c r="A812" s="12" t="s">
        <v>199</v>
      </c>
      <c r="B812" s="12" t="s">
        <v>3837</v>
      </c>
      <c r="C812" s="46" t="s">
        <v>5598</v>
      </c>
      <c r="D812" s="12" t="s">
        <v>1074</v>
      </c>
      <c r="E812" s="12" t="s">
        <v>5406</v>
      </c>
    </row>
    <row r="813" ht="15.75" customHeight="1">
      <c r="A813" s="12" t="s">
        <v>199</v>
      </c>
      <c r="B813" s="12" t="s">
        <v>3840</v>
      </c>
      <c r="C813" s="46" t="s">
        <v>5599</v>
      </c>
      <c r="D813" s="12" t="s">
        <v>1074</v>
      </c>
      <c r="E813" s="12" t="s">
        <v>5406</v>
      </c>
    </row>
    <row r="814" ht="15.75" customHeight="1">
      <c r="A814" s="12" t="s">
        <v>199</v>
      </c>
      <c r="B814" s="12" t="s">
        <v>3843</v>
      </c>
      <c r="C814" s="46" t="s">
        <v>5600</v>
      </c>
      <c r="D814" s="12" t="s">
        <v>1074</v>
      </c>
      <c r="E814" s="12" t="s">
        <v>5406</v>
      </c>
    </row>
    <row r="815" ht="15.75" customHeight="1">
      <c r="A815" s="12" t="s">
        <v>199</v>
      </c>
      <c r="B815" s="12" t="s">
        <v>3846</v>
      </c>
      <c r="C815" s="46" t="s">
        <v>5601</v>
      </c>
      <c r="D815" s="12" t="s">
        <v>1074</v>
      </c>
      <c r="E815" s="12" t="s">
        <v>5406</v>
      </c>
    </row>
    <row r="816" ht="15.75" customHeight="1">
      <c r="A816" s="12" t="s">
        <v>199</v>
      </c>
      <c r="B816" s="12" t="s">
        <v>3850</v>
      </c>
      <c r="C816" s="46" t="s">
        <v>5602</v>
      </c>
      <c r="D816" s="12" t="s">
        <v>1074</v>
      </c>
      <c r="E816" s="12" t="s">
        <v>5406</v>
      </c>
    </row>
    <row r="817" ht="15.75" customHeight="1">
      <c r="A817" s="12" t="s">
        <v>199</v>
      </c>
      <c r="B817" s="12" t="s">
        <v>3854</v>
      </c>
      <c r="C817" s="46" t="s">
        <v>5603</v>
      </c>
      <c r="D817" s="12" t="s">
        <v>1074</v>
      </c>
      <c r="E817" s="12" t="s">
        <v>5406</v>
      </c>
    </row>
    <row r="818" ht="15.75" customHeight="1">
      <c r="A818" s="12" t="s">
        <v>199</v>
      </c>
      <c r="B818" s="12" t="s">
        <v>3857</v>
      </c>
      <c r="C818" s="46" t="s">
        <v>5604</v>
      </c>
      <c r="D818" s="12" t="s">
        <v>1074</v>
      </c>
      <c r="E818" s="12" t="s">
        <v>5406</v>
      </c>
    </row>
    <row r="819" ht="15.75" customHeight="1">
      <c r="A819" s="12" t="s">
        <v>199</v>
      </c>
      <c r="B819" s="12" t="s">
        <v>3860</v>
      </c>
      <c r="C819" s="46" t="s">
        <v>5605</v>
      </c>
      <c r="D819" s="12" t="s">
        <v>1074</v>
      </c>
      <c r="E819" s="12" t="s">
        <v>5406</v>
      </c>
    </row>
    <row r="820" ht="15.75" customHeight="1">
      <c r="A820" s="12" t="s">
        <v>199</v>
      </c>
      <c r="B820" s="12" t="s">
        <v>3864</v>
      </c>
      <c r="C820" s="46" t="s">
        <v>5606</v>
      </c>
      <c r="D820" s="12" t="s">
        <v>1074</v>
      </c>
      <c r="E820" s="12" t="s">
        <v>5406</v>
      </c>
    </row>
    <row r="821" ht="15.75" customHeight="1">
      <c r="A821" s="12" t="s">
        <v>199</v>
      </c>
      <c r="B821" s="12" t="s">
        <v>3867</v>
      </c>
      <c r="C821" s="46" t="s">
        <v>5607</v>
      </c>
      <c r="D821" s="12" t="s">
        <v>1074</v>
      </c>
      <c r="E821" s="12" t="s">
        <v>5406</v>
      </c>
    </row>
    <row r="822" ht="15.75" customHeight="1">
      <c r="A822" s="12" t="s">
        <v>199</v>
      </c>
      <c r="B822" s="12" t="s">
        <v>3871</v>
      </c>
      <c r="C822" s="46" t="s">
        <v>5608</v>
      </c>
      <c r="D822" s="12" t="s">
        <v>1074</v>
      </c>
      <c r="E822" s="12" t="s">
        <v>5406</v>
      </c>
    </row>
    <row r="823" ht="15.75" customHeight="1">
      <c r="A823" s="12" t="s">
        <v>199</v>
      </c>
      <c r="B823" s="12" t="s">
        <v>3874</v>
      </c>
      <c r="C823" s="46" t="s">
        <v>5609</v>
      </c>
      <c r="D823" s="12" t="s">
        <v>1074</v>
      </c>
      <c r="E823" s="12" t="s">
        <v>5406</v>
      </c>
    </row>
    <row r="824" ht="15.75" customHeight="1">
      <c r="A824" s="12" t="s">
        <v>199</v>
      </c>
      <c r="B824" s="12" t="s">
        <v>3879</v>
      </c>
      <c r="C824" s="46" t="s">
        <v>50</v>
      </c>
      <c r="D824" s="12" t="s">
        <v>1074</v>
      </c>
      <c r="E824" s="12" t="s">
        <v>5406</v>
      </c>
    </row>
    <row r="825" ht="15.75" customHeight="1">
      <c r="A825" s="12" t="s">
        <v>199</v>
      </c>
      <c r="B825" s="12" t="s">
        <v>3883</v>
      </c>
      <c r="C825" s="46" t="s">
        <v>5610</v>
      </c>
      <c r="D825" s="12" t="s">
        <v>1074</v>
      </c>
      <c r="E825" s="12" t="s">
        <v>5406</v>
      </c>
    </row>
    <row r="826" ht="15.75" customHeight="1">
      <c r="A826" s="12" t="s">
        <v>199</v>
      </c>
      <c r="B826" s="12" t="s">
        <v>3888</v>
      </c>
      <c r="C826" s="46" t="s">
        <v>5611</v>
      </c>
      <c r="D826" s="12" t="s">
        <v>1074</v>
      </c>
      <c r="E826" s="12" t="s">
        <v>5406</v>
      </c>
    </row>
    <row r="827" ht="15.75" customHeight="1">
      <c r="A827" s="12" t="s">
        <v>199</v>
      </c>
      <c r="B827" s="12" t="s">
        <v>3893</v>
      </c>
      <c r="C827" s="46" t="s">
        <v>5612</v>
      </c>
      <c r="D827" s="12" t="s">
        <v>1074</v>
      </c>
      <c r="E827" s="12" t="s">
        <v>5406</v>
      </c>
    </row>
    <row r="828" ht="15.75" customHeight="1">
      <c r="A828" s="12" t="s">
        <v>199</v>
      </c>
      <c r="B828" s="12" t="s">
        <v>3898</v>
      </c>
      <c r="C828" s="46" t="s">
        <v>5613</v>
      </c>
      <c r="D828" s="12" t="s">
        <v>1074</v>
      </c>
      <c r="E828" s="12" t="s">
        <v>5406</v>
      </c>
    </row>
    <row r="829" ht="15.75" customHeight="1">
      <c r="A829" s="12" t="s">
        <v>199</v>
      </c>
      <c r="B829" s="12" t="s">
        <v>3903</v>
      </c>
      <c r="C829" s="46" t="s">
        <v>5614</v>
      </c>
      <c r="D829" s="12" t="s">
        <v>1074</v>
      </c>
      <c r="E829" s="12" t="s">
        <v>5406</v>
      </c>
    </row>
    <row r="830" ht="15.75" customHeight="1">
      <c r="A830" s="12" t="s">
        <v>199</v>
      </c>
      <c r="B830" s="12" t="s">
        <v>3907</v>
      </c>
      <c r="C830" s="46" t="s">
        <v>5615</v>
      </c>
      <c r="D830" s="12" t="s">
        <v>1074</v>
      </c>
      <c r="E830" s="12" t="s">
        <v>5406</v>
      </c>
    </row>
    <row r="831" ht="15.75" customHeight="1">
      <c r="A831" s="12" t="s">
        <v>199</v>
      </c>
      <c r="B831" s="12" t="s">
        <v>3911</v>
      </c>
      <c r="C831" s="46" t="s">
        <v>5616</v>
      </c>
      <c r="D831" s="12" t="s">
        <v>1074</v>
      </c>
      <c r="E831" s="12" t="s">
        <v>5406</v>
      </c>
    </row>
    <row r="832" ht="15.75" customHeight="1">
      <c r="A832" s="12" t="s">
        <v>199</v>
      </c>
      <c r="B832" s="12" t="s">
        <v>3915</v>
      </c>
      <c r="C832" s="46" t="s">
        <v>5617</v>
      </c>
      <c r="D832" s="12" t="s">
        <v>1074</v>
      </c>
      <c r="E832" s="12" t="s">
        <v>5406</v>
      </c>
    </row>
    <row r="833" ht="15.75" customHeight="1">
      <c r="A833" s="12" t="s">
        <v>199</v>
      </c>
      <c r="B833" s="12" t="s">
        <v>3918</v>
      </c>
      <c r="C833" s="46" t="s">
        <v>5618</v>
      </c>
      <c r="D833" s="12" t="s">
        <v>1074</v>
      </c>
      <c r="E833" s="12" t="s">
        <v>5406</v>
      </c>
    </row>
    <row r="834" ht="15.75" customHeight="1">
      <c r="A834" s="12" t="s">
        <v>199</v>
      </c>
      <c r="B834" s="12" t="s">
        <v>3921</v>
      </c>
      <c r="C834" s="46" t="s">
        <v>5619</v>
      </c>
      <c r="D834" s="12" t="s">
        <v>1074</v>
      </c>
      <c r="E834" s="12" t="s">
        <v>5406</v>
      </c>
    </row>
    <row r="835" ht="15.75" customHeight="1">
      <c r="A835" s="12" t="s">
        <v>199</v>
      </c>
      <c r="B835" s="12" t="s">
        <v>3925</v>
      </c>
      <c r="C835" s="46" t="s">
        <v>5620</v>
      </c>
      <c r="D835" s="12" t="s">
        <v>1074</v>
      </c>
      <c r="E835" s="12" t="s">
        <v>5406</v>
      </c>
    </row>
    <row r="836" ht="15.75" customHeight="1">
      <c r="A836" s="12" t="s">
        <v>199</v>
      </c>
      <c r="B836" s="12" t="s">
        <v>3928</v>
      </c>
      <c r="C836" s="46" t="s">
        <v>5621</v>
      </c>
      <c r="D836" s="12" t="s">
        <v>1074</v>
      </c>
      <c r="E836" s="12" t="s">
        <v>5406</v>
      </c>
    </row>
    <row r="837" ht="15.75" customHeight="1">
      <c r="A837" s="12" t="s">
        <v>199</v>
      </c>
      <c r="B837" s="12" t="s">
        <v>3931</v>
      </c>
      <c r="C837" s="46" t="s">
        <v>5622</v>
      </c>
      <c r="D837" s="12" t="s">
        <v>1074</v>
      </c>
      <c r="E837" s="12" t="s">
        <v>5406</v>
      </c>
    </row>
    <row r="838" ht="15.75" customHeight="1">
      <c r="A838" s="12" t="s">
        <v>199</v>
      </c>
      <c r="B838" s="12" t="s">
        <v>3936</v>
      </c>
      <c r="C838" s="46" t="s">
        <v>5623</v>
      </c>
      <c r="D838" s="12" t="s">
        <v>1074</v>
      </c>
      <c r="E838" s="12" t="s">
        <v>5406</v>
      </c>
    </row>
    <row r="839" ht="15.75" customHeight="1">
      <c r="A839" s="12" t="s">
        <v>199</v>
      </c>
      <c r="B839" s="12" t="s">
        <v>3940</v>
      </c>
      <c r="C839" s="46" t="s">
        <v>5624</v>
      </c>
      <c r="D839" s="12" t="s">
        <v>1074</v>
      </c>
      <c r="E839" s="12" t="s">
        <v>5406</v>
      </c>
    </row>
    <row r="840" ht="15.75" customHeight="1">
      <c r="A840" s="12" t="s">
        <v>199</v>
      </c>
      <c r="B840" s="12" t="s">
        <v>3941</v>
      </c>
      <c r="C840" s="46" t="s">
        <v>5625</v>
      </c>
      <c r="D840" s="12" t="s">
        <v>1074</v>
      </c>
      <c r="E840" s="12" t="s">
        <v>5406</v>
      </c>
    </row>
    <row r="841" ht="15.75" customHeight="1">
      <c r="A841" s="12" t="s">
        <v>199</v>
      </c>
      <c r="B841" s="12" t="s">
        <v>3944</v>
      </c>
      <c r="C841" s="46" t="s">
        <v>5626</v>
      </c>
      <c r="D841" s="12" t="s">
        <v>1074</v>
      </c>
      <c r="E841" s="12" t="s">
        <v>5406</v>
      </c>
    </row>
    <row r="842" ht="15.75" customHeight="1">
      <c r="A842" s="12" t="s">
        <v>199</v>
      </c>
      <c r="B842" s="12" t="s">
        <v>3948</v>
      </c>
      <c r="C842" s="46" t="s">
        <v>5627</v>
      </c>
      <c r="D842" s="12" t="s">
        <v>1074</v>
      </c>
      <c r="E842" s="12" t="s">
        <v>5406</v>
      </c>
    </row>
    <row r="843" ht="15.75" customHeight="1">
      <c r="A843" s="12" t="s">
        <v>199</v>
      </c>
      <c r="B843" s="12" t="s">
        <v>3951</v>
      </c>
      <c r="C843" s="46" t="s">
        <v>5628</v>
      </c>
      <c r="D843" s="12" t="s">
        <v>1074</v>
      </c>
      <c r="E843" s="12" t="s">
        <v>5406</v>
      </c>
    </row>
    <row r="844" ht="15.75" customHeight="1">
      <c r="A844" s="12" t="s">
        <v>199</v>
      </c>
      <c r="B844" s="12" t="s">
        <v>3955</v>
      </c>
      <c r="C844" s="46" t="s">
        <v>5629</v>
      </c>
      <c r="D844" s="12" t="s">
        <v>1074</v>
      </c>
      <c r="E844" s="12" t="s">
        <v>5406</v>
      </c>
    </row>
    <row r="845" ht="15.75" customHeight="1">
      <c r="A845" s="12" t="s">
        <v>199</v>
      </c>
      <c r="B845" s="12" t="s">
        <v>3957</v>
      </c>
      <c r="C845" s="46" t="s">
        <v>5630</v>
      </c>
      <c r="D845" s="12" t="s">
        <v>1074</v>
      </c>
      <c r="E845" s="12" t="s">
        <v>5406</v>
      </c>
    </row>
    <row r="846" ht="15.75" customHeight="1">
      <c r="A846" s="12" t="s">
        <v>199</v>
      </c>
      <c r="B846" s="12" t="s">
        <v>3960</v>
      </c>
      <c r="C846" s="46" t="s">
        <v>5631</v>
      </c>
      <c r="D846" s="12" t="s">
        <v>1074</v>
      </c>
      <c r="E846" s="12" t="s">
        <v>5406</v>
      </c>
    </row>
    <row r="847" ht="15.75" customHeight="1">
      <c r="A847" s="12" t="s">
        <v>199</v>
      </c>
      <c r="B847" s="12" t="s">
        <v>3964</v>
      </c>
      <c r="C847" s="46" t="s">
        <v>5632</v>
      </c>
      <c r="D847" s="12" t="s">
        <v>1074</v>
      </c>
      <c r="E847" s="12" t="s">
        <v>5406</v>
      </c>
    </row>
    <row r="848" ht="15.75" customHeight="1">
      <c r="A848" s="12" t="s">
        <v>199</v>
      </c>
      <c r="B848" s="12" t="s">
        <v>3967</v>
      </c>
      <c r="C848" s="46" t="s">
        <v>5633</v>
      </c>
      <c r="D848" s="12" t="s">
        <v>1074</v>
      </c>
      <c r="E848" s="12" t="s">
        <v>5406</v>
      </c>
    </row>
    <row r="849" ht="15.75" customHeight="1">
      <c r="A849" s="12" t="s">
        <v>199</v>
      </c>
      <c r="B849" s="12" t="s">
        <v>3971</v>
      </c>
      <c r="C849" s="46" t="s">
        <v>5634</v>
      </c>
      <c r="D849" s="12" t="s">
        <v>1074</v>
      </c>
      <c r="E849" s="12" t="s">
        <v>5406</v>
      </c>
    </row>
    <row r="850" ht="15.75" customHeight="1">
      <c r="A850" s="12" t="s">
        <v>199</v>
      </c>
      <c r="B850" s="12" t="s">
        <v>3973</v>
      </c>
      <c r="C850" s="46" t="s">
        <v>5635</v>
      </c>
      <c r="D850" s="12" t="s">
        <v>1074</v>
      </c>
      <c r="E850" s="12" t="s">
        <v>5406</v>
      </c>
    </row>
    <row r="851" ht="15.75" customHeight="1">
      <c r="A851" s="12" t="s">
        <v>199</v>
      </c>
      <c r="B851" s="12" t="s">
        <v>3978</v>
      </c>
      <c r="C851" s="46" t="s">
        <v>5636</v>
      </c>
      <c r="D851" s="12" t="s">
        <v>1074</v>
      </c>
      <c r="E851" s="12" t="s">
        <v>5406</v>
      </c>
    </row>
    <row r="852" ht="15.75" customHeight="1">
      <c r="A852" s="12" t="s">
        <v>199</v>
      </c>
      <c r="B852" s="12" t="s">
        <v>3981</v>
      </c>
      <c r="C852" s="46" t="s">
        <v>5637</v>
      </c>
      <c r="D852" s="12" t="s">
        <v>1074</v>
      </c>
      <c r="E852" s="12" t="s">
        <v>5406</v>
      </c>
    </row>
    <row r="853" ht="15.75" customHeight="1">
      <c r="A853" s="12" t="s">
        <v>199</v>
      </c>
      <c r="B853" s="12" t="s">
        <v>3985</v>
      </c>
      <c r="C853" s="46" t="s">
        <v>5638</v>
      </c>
      <c r="D853" s="12" t="s">
        <v>1074</v>
      </c>
      <c r="E853" s="12" t="s">
        <v>5406</v>
      </c>
    </row>
    <row r="854" ht="15.75" customHeight="1">
      <c r="A854" s="12" t="s">
        <v>199</v>
      </c>
      <c r="B854" s="12" t="s">
        <v>3988</v>
      </c>
      <c r="C854" s="46" t="s">
        <v>5639</v>
      </c>
      <c r="D854" s="12" t="s">
        <v>1074</v>
      </c>
      <c r="E854" s="12" t="s">
        <v>5406</v>
      </c>
    </row>
    <row r="855" ht="15.75" customHeight="1">
      <c r="A855" s="12" t="s">
        <v>199</v>
      </c>
      <c r="B855" s="12" t="s">
        <v>3991</v>
      </c>
      <c r="C855" s="46" t="s">
        <v>5640</v>
      </c>
      <c r="D855" s="12" t="s">
        <v>1074</v>
      </c>
      <c r="E855" s="12" t="s">
        <v>5406</v>
      </c>
    </row>
    <row r="856" ht="15.75" customHeight="1">
      <c r="A856" s="12" t="s">
        <v>199</v>
      </c>
      <c r="B856" s="12" t="s">
        <v>3995</v>
      </c>
      <c r="C856" s="46" t="s">
        <v>5641</v>
      </c>
      <c r="D856" s="12" t="s">
        <v>1074</v>
      </c>
      <c r="E856" s="12" t="s">
        <v>5406</v>
      </c>
    </row>
    <row r="857" ht="15.75" customHeight="1">
      <c r="A857" s="12" t="s">
        <v>199</v>
      </c>
      <c r="B857" s="12" t="s">
        <v>4000</v>
      </c>
      <c r="C857" s="46" t="s">
        <v>5642</v>
      </c>
      <c r="D857" s="12" t="s">
        <v>1074</v>
      </c>
      <c r="E857" s="12" t="s">
        <v>5406</v>
      </c>
    </row>
    <row r="858" ht="15.75" customHeight="1">
      <c r="A858" s="12" t="s">
        <v>199</v>
      </c>
      <c r="B858" s="12" t="s">
        <v>4003</v>
      </c>
      <c r="C858" s="46" t="s">
        <v>5643</v>
      </c>
      <c r="D858" s="12" t="s">
        <v>1074</v>
      </c>
      <c r="E858" s="12" t="s">
        <v>5406</v>
      </c>
    </row>
    <row r="859" ht="15.75" customHeight="1">
      <c r="A859" s="12" t="s">
        <v>199</v>
      </c>
      <c r="B859" s="12" t="s">
        <v>4006</v>
      </c>
      <c r="C859" s="46" t="s">
        <v>5644</v>
      </c>
      <c r="D859" s="12" t="s">
        <v>1074</v>
      </c>
      <c r="E859" s="12" t="s">
        <v>5406</v>
      </c>
    </row>
    <row r="860" ht="15.75" customHeight="1">
      <c r="A860" s="12" t="s">
        <v>199</v>
      </c>
      <c r="B860" s="12" t="s">
        <v>4010</v>
      </c>
      <c r="C860" s="46" t="s">
        <v>5645</v>
      </c>
      <c r="D860" s="12" t="s">
        <v>1074</v>
      </c>
      <c r="E860" s="12" t="s">
        <v>5406</v>
      </c>
    </row>
    <row r="861" ht="15.75" customHeight="1">
      <c r="A861" s="12" t="s">
        <v>199</v>
      </c>
      <c r="B861" s="12" t="s">
        <v>4013</v>
      </c>
      <c r="C861" s="46" t="s">
        <v>5646</v>
      </c>
      <c r="D861" s="12" t="s">
        <v>1074</v>
      </c>
      <c r="E861" s="12" t="s">
        <v>5406</v>
      </c>
    </row>
    <row r="862" ht="15.75" customHeight="1">
      <c r="A862" s="12" t="s">
        <v>199</v>
      </c>
      <c r="B862" s="12" t="s">
        <v>4017</v>
      </c>
      <c r="C862" s="46" t="s">
        <v>5647</v>
      </c>
      <c r="D862" s="12" t="s">
        <v>1074</v>
      </c>
      <c r="E862" s="12" t="s">
        <v>5406</v>
      </c>
    </row>
    <row r="863" ht="15.75" customHeight="1">
      <c r="A863" s="12" t="s">
        <v>199</v>
      </c>
      <c r="B863" s="12" t="s">
        <v>4020</v>
      </c>
      <c r="C863" s="46" t="s">
        <v>5648</v>
      </c>
      <c r="D863" s="12" t="s">
        <v>1074</v>
      </c>
      <c r="E863" s="12" t="s">
        <v>5406</v>
      </c>
    </row>
    <row r="864" ht="15.75" customHeight="1">
      <c r="A864" s="12" t="s">
        <v>199</v>
      </c>
      <c r="B864" s="12" t="s">
        <v>4024</v>
      </c>
      <c r="C864" s="46" t="s">
        <v>5649</v>
      </c>
      <c r="D864" s="12" t="s">
        <v>1074</v>
      </c>
      <c r="E864" s="12" t="s">
        <v>5406</v>
      </c>
    </row>
    <row r="865" ht="15.75" customHeight="1">
      <c r="A865" s="12" t="s">
        <v>199</v>
      </c>
      <c r="B865" s="12" t="s">
        <v>4027</v>
      </c>
      <c r="C865" s="46" t="s">
        <v>5650</v>
      </c>
      <c r="D865" s="12" t="s">
        <v>1074</v>
      </c>
      <c r="E865" s="12" t="s">
        <v>5406</v>
      </c>
    </row>
    <row r="866" ht="15.75" customHeight="1">
      <c r="A866" s="12" t="s">
        <v>199</v>
      </c>
      <c r="B866" s="12" t="s">
        <v>4031</v>
      </c>
      <c r="C866" s="46" t="s">
        <v>5651</v>
      </c>
      <c r="D866" s="12" t="s">
        <v>1074</v>
      </c>
      <c r="E866" s="12" t="s">
        <v>5406</v>
      </c>
    </row>
    <row r="867" ht="15.75" customHeight="1">
      <c r="A867" s="12" t="s">
        <v>199</v>
      </c>
      <c r="B867" s="12" t="s">
        <v>4034</v>
      </c>
      <c r="C867" s="46" t="s">
        <v>5652</v>
      </c>
      <c r="D867" s="12" t="s">
        <v>1074</v>
      </c>
      <c r="E867" s="12" t="s">
        <v>5406</v>
      </c>
    </row>
    <row r="868" ht="15.75" customHeight="1">
      <c r="A868" s="12" t="s">
        <v>199</v>
      </c>
      <c r="B868" s="12" t="s">
        <v>4037</v>
      </c>
      <c r="C868" s="46" t="s">
        <v>5653</v>
      </c>
      <c r="D868" s="12" t="s">
        <v>1074</v>
      </c>
      <c r="E868" s="12" t="s">
        <v>5406</v>
      </c>
    </row>
    <row r="869" ht="15.75" customHeight="1">
      <c r="A869" s="12" t="s">
        <v>199</v>
      </c>
      <c r="B869" s="12" t="s">
        <v>4040</v>
      </c>
      <c r="C869" s="46" t="s">
        <v>5654</v>
      </c>
      <c r="D869" s="12" t="s">
        <v>1074</v>
      </c>
      <c r="E869" s="12" t="s">
        <v>5406</v>
      </c>
    </row>
    <row r="870" ht="15.75" customHeight="1">
      <c r="A870" s="12" t="s">
        <v>199</v>
      </c>
      <c r="B870" s="12" t="s">
        <v>4044</v>
      </c>
      <c r="C870" s="46" t="s">
        <v>5655</v>
      </c>
      <c r="D870" s="12" t="s">
        <v>1074</v>
      </c>
      <c r="E870" s="12" t="s">
        <v>5406</v>
      </c>
    </row>
    <row r="871" ht="15.75" customHeight="1">
      <c r="A871" s="12" t="s">
        <v>199</v>
      </c>
      <c r="B871" s="12" t="s">
        <v>4048</v>
      </c>
      <c r="C871" s="46" t="s">
        <v>5656</v>
      </c>
      <c r="D871" s="12" t="s">
        <v>1074</v>
      </c>
      <c r="E871" s="12" t="s">
        <v>5406</v>
      </c>
    </row>
    <row r="872" ht="15.75" customHeight="1">
      <c r="A872" s="12" t="s">
        <v>199</v>
      </c>
      <c r="B872" s="12" t="s">
        <v>4052</v>
      </c>
      <c r="C872" s="46" t="s">
        <v>5657</v>
      </c>
      <c r="D872" s="12" t="s">
        <v>1074</v>
      </c>
      <c r="E872" s="12" t="s">
        <v>5406</v>
      </c>
    </row>
    <row r="873" ht="15.75" customHeight="1">
      <c r="A873" s="12" t="s">
        <v>199</v>
      </c>
      <c r="B873" s="12" t="s">
        <v>4055</v>
      </c>
      <c r="C873" s="46" t="s">
        <v>5658</v>
      </c>
      <c r="D873" s="12" t="s">
        <v>1074</v>
      </c>
      <c r="E873" s="12" t="s">
        <v>5406</v>
      </c>
    </row>
    <row r="874" ht="15.75" customHeight="1">
      <c r="A874" s="12" t="s">
        <v>199</v>
      </c>
      <c r="B874" s="12" t="s">
        <v>4058</v>
      </c>
      <c r="C874" s="46" t="s">
        <v>5659</v>
      </c>
      <c r="D874" s="12" t="s">
        <v>1074</v>
      </c>
      <c r="E874" s="12" t="s">
        <v>5406</v>
      </c>
    </row>
    <row r="875" ht="15.75" customHeight="1">
      <c r="A875" s="12" t="s">
        <v>199</v>
      </c>
      <c r="B875" s="12" t="s">
        <v>4063</v>
      </c>
      <c r="C875" s="46" t="s">
        <v>5660</v>
      </c>
      <c r="D875" s="12" t="s">
        <v>1074</v>
      </c>
      <c r="E875" s="12" t="s">
        <v>5406</v>
      </c>
    </row>
    <row r="876" ht="15.75" customHeight="1">
      <c r="A876" s="12" t="s">
        <v>199</v>
      </c>
      <c r="B876" s="12" t="s">
        <v>4067</v>
      </c>
      <c r="C876" s="46" t="s">
        <v>5661</v>
      </c>
      <c r="D876" s="12" t="s">
        <v>1074</v>
      </c>
      <c r="E876" s="12" t="s">
        <v>5406</v>
      </c>
    </row>
    <row r="877" ht="15.75" customHeight="1">
      <c r="A877" s="12" t="s">
        <v>199</v>
      </c>
      <c r="B877" s="12" t="s">
        <v>4070</v>
      </c>
      <c r="C877" s="46" t="s">
        <v>5662</v>
      </c>
      <c r="D877" s="12" t="s">
        <v>1074</v>
      </c>
      <c r="E877" s="12" t="s">
        <v>5406</v>
      </c>
    </row>
    <row r="878" ht="15.75" customHeight="1">
      <c r="A878" s="12" t="s">
        <v>199</v>
      </c>
      <c r="B878" s="12" t="s">
        <v>4074</v>
      </c>
      <c r="C878" s="46" t="s">
        <v>5663</v>
      </c>
      <c r="D878" s="12" t="s">
        <v>1074</v>
      </c>
      <c r="E878" s="12" t="s">
        <v>5406</v>
      </c>
    </row>
    <row r="879" ht="15.75" customHeight="1">
      <c r="A879" s="12" t="s">
        <v>199</v>
      </c>
      <c r="B879" s="12" t="s">
        <v>4077</v>
      </c>
      <c r="C879" s="46" t="s">
        <v>5664</v>
      </c>
      <c r="D879" s="12" t="s">
        <v>1074</v>
      </c>
      <c r="E879" s="12" t="s">
        <v>5406</v>
      </c>
    </row>
    <row r="880" ht="15.75" customHeight="1">
      <c r="A880" s="12" t="s">
        <v>199</v>
      </c>
      <c r="B880" s="12" t="s">
        <v>4080</v>
      </c>
      <c r="C880" s="46" t="s">
        <v>4770</v>
      </c>
      <c r="D880" s="12" t="s">
        <v>1074</v>
      </c>
      <c r="E880" s="12" t="s">
        <v>5406</v>
      </c>
    </row>
    <row r="881" ht="15.75" customHeight="1">
      <c r="A881" s="12" t="s">
        <v>199</v>
      </c>
      <c r="B881" s="12" t="s">
        <v>4084</v>
      </c>
      <c r="C881" s="46" t="s">
        <v>5665</v>
      </c>
      <c r="D881" s="12" t="s">
        <v>1074</v>
      </c>
      <c r="E881" s="12" t="s">
        <v>5406</v>
      </c>
    </row>
    <row r="882" ht="15.75" customHeight="1">
      <c r="A882" s="12" t="s">
        <v>199</v>
      </c>
      <c r="B882" s="12" t="s">
        <v>4088</v>
      </c>
      <c r="C882" s="46" t="s">
        <v>5666</v>
      </c>
      <c r="D882" s="12" t="s">
        <v>1074</v>
      </c>
      <c r="E882" s="12" t="s">
        <v>5406</v>
      </c>
    </row>
    <row r="883" ht="15.75" customHeight="1">
      <c r="A883" s="12" t="s">
        <v>199</v>
      </c>
      <c r="B883" s="12" t="s">
        <v>4092</v>
      </c>
      <c r="C883" s="46" t="s">
        <v>5667</v>
      </c>
      <c r="D883" s="12" t="s">
        <v>1074</v>
      </c>
      <c r="E883" s="12" t="s">
        <v>5406</v>
      </c>
    </row>
    <row r="884" ht="15.75" customHeight="1">
      <c r="A884" s="12" t="s">
        <v>199</v>
      </c>
      <c r="B884" s="12" t="s">
        <v>4096</v>
      </c>
      <c r="C884" s="46" t="s">
        <v>5668</v>
      </c>
      <c r="D884" s="12" t="s">
        <v>1074</v>
      </c>
      <c r="E884" s="12" t="s">
        <v>5406</v>
      </c>
    </row>
    <row r="885" ht="15.75" customHeight="1">
      <c r="A885" s="12" t="s">
        <v>199</v>
      </c>
      <c r="B885" s="12" t="s">
        <v>4100</v>
      </c>
      <c r="C885" s="46" t="s">
        <v>5669</v>
      </c>
      <c r="D885" s="12" t="s">
        <v>1074</v>
      </c>
      <c r="E885" s="12" t="s">
        <v>5406</v>
      </c>
    </row>
    <row r="886" ht="15.75" customHeight="1">
      <c r="A886" s="12" t="s">
        <v>199</v>
      </c>
      <c r="B886" s="12" t="s">
        <v>4104</v>
      </c>
      <c r="C886" s="46" t="s">
        <v>5670</v>
      </c>
      <c r="D886" s="12" t="s">
        <v>1074</v>
      </c>
      <c r="E886" s="12" t="s">
        <v>5406</v>
      </c>
    </row>
    <row r="887" ht="15.75" customHeight="1">
      <c r="A887" s="12" t="s">
        <v>199</v>
      </c>
      <c r="B887" s="12" t="s">
        <v>4108</v>
      </c>
      <c r="C887" s="46" t="s">
        <v>5671</v>
      </c>
      <c r="D887" s="12" t="s">
        <v>1074</v>
      </c>
      <c r="E887" s="12" t="s">
        <v>5406</v>
      </c>
    </row>
    <row r="888" ht="15.75" customHeight="1">
      <c r="A888" s="12" t="s">
        <v>199</v>
      </c>
      <c r="B888" s="12" t="s">
        <v>4111</v>
      </c>
      <c r="C888" s="46" t="s">
        <v>5672</v>
      </c>
      <c r="D888" s="12" t="s">
        <v>1074</v>
      </c>
      <c r="E888" s="12" t="s">
        <v>5406</v>
      </c>
    </row>
    <row r="889" ht="15.75" customHeight="1">
      <c r="A889" s="12" t="s">
        <v>199</v>
      </c>
      <c r="B889" s="12" t="s">
        <v>4116</v>
      </c>
      <c r="C889" s="46" t="s">
        <v>5673</v>
      </c>
      <c r="D889" s="12" t="s">
        <v>1074</v>
      </c>
      <c r="E889" s="12" t="s">
        <v>5406</v>
      </c>
    </row>
    <row r="890" ht="15.75" customHeight="1">
      <c r="A890" s="12" t="s">
        <v>199</v>
      </c>
      <c r="B890" s="12" t="s">
        <v>4119</v>
      </c>
      <c r="C890" s="46" t="s">
        <v>5674</v>
      </c>
      <c r="D890" s="12" t="s">
        <v>1074</v>
      </c>
      <c r="E890" s="12" t="s">
        <v>5406</v>
      </c>
    </row>
    <row r="891" ht="15.75" customHeight="1">
      <c r="A891" s="12" t="s">
        <v>199</v>
      </c>
      <c r="B891" s="12" t="s">
        <v>4121</v>
      </c>
      <c r="C891" s="46" t="s">
        <v>5675</v>
      </c>
      <c r="D891" s="12" t="s">
        <v>1074</v>
      </c>
      <c r="E891" s="12" t="s">
        <v>5406</v>
      </c>
    </row>
    <row r="892" ht="15.75" customHeight="1">
      <c r="A892" s="12" t="s">
        <v>199</v>
      </c>
      <c r="B892" s="12" t="s">
        <v>4124</v>
      </c>
      <c r="C892" s="46" t="s">
        <v>5676</v>
      </c>
      <c r="D892" s="12" t="s">
        <v>1074</v>
      </c>
      <c r="E892" s="12" t="s">
        <v>5406</v>
      </c>
    </row>
    <row r="893" ht="15.75" customHeight="1">
      <c r="A893" s="12" t="s">
        <v>199</v>
      </c>
      <c r="B893" s="12" t="s">
        <v>4127</v>
      </c>
      <c r="C893" s="46" t="s">
        <v>5677</v>
      </c>
      <c r="D893" s="12" t="s">
        <v>1074</v>
      </c>
      <c r="E893" s="12" t="s">
        <v>5406</v>
      </c>
    </row>
    <row r="894" ht="15.75" customHeight="1">
      <c r="A894" s="12" t="s">
        <v>199</v>
      </c>
      <c r="B894" s="12" t="s">
        <v>4131</v>
      </c>
      <c r="C894" s="46" t="s">
        <v>6121</v>
      </c>
      <c r="D894" s="12" t="s">
        <v>1074</v>
      </c>
      <c r="E894" s="12" t="s">
        <v>5406</v>
      </c>
    </row>
    <row r="895" ht="15.75" customHeight="1">
      <c r="A895" s="12" t="s">
        <v>199</v>
      </c>
      <c r="B895" s="12" t="s">
        <v>4134</v>
      </c>
      <c r="C895" s="46" t="s">
        <v>5679</v>
      </c>
      <c r="D895" s="12" t="s">
        <v>1074</v>
      </c>
      <c r="E895" s="12" t="s">
        <v>5406</v>
      </c>
    </row>
    <row r="896" ht="15.75" customHeight="1">
      <c r="A896" s="12" t="s">
        <v>199</v>
      </c>
      <c r="B896" s="12" t="s">
        <v>4138</v>
      </c>
      <c r="C896" s="46" t="s">
        <v>5680</v>
      </c>
      <c r="D896" s="12" t="s">
        <v>1074</v>
      </c>
      <c r="E896" s="12" t="s">
        <v>5406</v>
      </c>
    </row>
    <row r="897" ht="15.75" customHeight="1">
      <c r="A897" s="12" t="s">
        <v>199</v>
      </c>
      <c r="B897" s="12" t="s">
        <v>4141</v>
      </c>
      <c r="C897" s="46" t="s">
        <v>6122</v>
      </c>
      <c r="D897" s="12" t="s">
        <v>1074</v>
      </c>
      <c r="E897" s="12" t="s">
        <v>5406</v>
      </c>
    </row>
    <row r="898" ht="15.75" customHeight="1">
      <c r="A898" s="12" t="s">
        <v>199</v>
      </c>
      <c r="B898" s="12" t="s">
        <v>4143</v>
      </c>
      <c r="C898" s="46" t="s">
        <v>5682</v>
      </c>
      <c r="D898" s="12" t="s">
        <v>1074</v>
      </c>
      <c r="E898" s="12" t="s">
        <v>5406</v>
      </c>
    </row>
    <row r="899" ht="15.75" customHeight="1">
      <c r="A899" s="12" t="s">
        <v>199</v>
      </c>
      <c r="B899" s="12" t="s">
        <v>4146</v>
      </c>
      <c r="C899" s="46" t="s">
        <v>5683</v>
      </c>
      <c r="D899" s="12" t="s">
        <v>1074</v>
      </c>
      <c r="E899" s="12" t="s">
        <v>5406</v>
      </c>
    </row>
    <row r="900" ht="15.75" customHeight="1">
      <c r="A900" s="12" t="s">
        <v>199</v>
      </c>
      <c r="B900" s="12" t="s">
        <v>4149</v>
      </c>
      <c r="C900" s="46" t="s">
        <v>5684</v>
      </c>
      <c r="D900" s="12" t="s">
        <v>1074</v>
      </c>
      <c r="E900" s="12" t="s">
        <v>5406</v>
      </c>
    </row>
    <row r="901" ht="15.75" customHeight="1">
      <c r="A901" s="12" t="s">
        <v>199</v>
      </c>
      <c r="B901" s="12" t="s">
        <v>4152</v>
      </c>
      <c r="C901" s="46" t="s">
        <v>5685</v>
      </c>
      <c r="D901" s="12" t="s">
        <v>1074</v>
      </c>
      <c r="E901" s="12" t="s">
        <v>5406</v>
      </c>
    </row>
    <row r="902" ht="15.75" customHeight="1">
      <c r="A902" s="12" t="s">
        <v>199</v>
      </c>
      <c r="B902" s="12" t="s">
        <v>4156</v>
      </c>
      <c r="C902" s="46" t="s">
        <v>5686</v>
      </c>
      <c r="D902" s="12" t="s">
        <v>1074</v>
      </c>
      <c r="E902" s="12" t="s">
        <v>5406</v>
      </c>
    </row>
    <row r="903" ht="15.75" customHeight="1">
      <c r="A903" s="12" t="s">
        <v>199</v>
      </c>
      <c r="B903" s="12" t="s">
        <v>4159</v>
      </c>
      <c r="C903" s="46" t="s">
        <v>5687</v>
      </c>
      <c r="D903" s="12" t="s">
        <v>1074</v>
      </c>
      <c r="E903" s="12" t="s">
        <v>5406</v>
      </c>
    </row>
    <row r="904" ht="15.75" customHeight="1">
      <c r="A904" s="12" t="s">
        <v>199</v>
      </c>
      <c r="B904" s="12" t="s">
        <v>4162</v>
      </c>
      <c r="C904" s="46" t="s">
        <v>5688</v>
      </c>
      <c r="D904" s="12" t="s">
        <v>1074</v>
      </c>
      <c r="E904" s="12" t="s">
        <v>5406</v>
      </c>
    </row>
    <row r="905" ht="15.75" customHeight="1">
      <c r="A905" s="12" t="s">
        <v>199</v>
      </c>
      <c r="B905" s="12" t="s">
        <v>4164</v>
      </c>
      <c r="C905" s="46" t="s">
        <v>5689</v>
      </c>
      <c r="D905" s="12" t="s">
        <v>1074</v>
      </c>
      <c r="E905" s="12" t="s">
        <v>5406</v>
      </c>
    </row>
    <row r="906" ht="15.75" customHeight="1">
      <c r="A906" s="12" t="s">
        <v>199</v>
      </c>
      <c r="B906" s="12" t="s">
        <v>4167</v>
      </c>
      <c r="C906" s="46" t="s">
        <v>5690</v>
      </c>
      <c r="D906" s="12" t="s">
        <v>1074</v>
      </c>
      <c r="E906" s="12" t="s">
        <v>5406</v>
      </c>
    </row>
    <row r="907" ht="15.75" customHeight="1">
      <c r="A907" s="12" t="s">
        <v>199</v>
      </c>
      <c r="B907" s="12" t="s">
        <v>4169</v>
      </c>
      <c r="C907" s="46" t="s">
        <v>5691</v>
      </c>
      <c r="D907" s="12" t="s">
        <v>1074</v>
      </c>
      <c r="E907" s="12" t="s">
        <v>5406</v>
      </c>
    </row>
    <row r="908" ht="15.75" customHeight="1">
      <c r="A908" s="12" t="s">
        <v>199</v>
      </c>
      <c r="B908" s="12" t="s">
        <v>4173</v>
      </c>
      <c r="C908" s="46" t="s">
        <v>5692</v>
      </c>
      <c r="D908" s="12" t="s">
        <v>1074</v>
      </c>
      <c r="E908" s="12" t="s">
        <v>5406</v>
      </c>
    </row>
    <row r="909" ht="15.75" customHeight="1">
      <c r="A909" s="12" t="s">
        <v>199</v>
      </c>
      <c r="B909" s="12" t="s">
        <v>4176</v>
      </c>
      <c r="C909" s="46" t="s">
        <v>5693</v>
      </c>
      <c r="D909" s="12" t="s">
        <v>1074</v>
      </c>
      <c r="E909" s="12" t="s">
        <v>5406</v>
      </c>
    </row>
    <row r="910" ht="15.75" customHeight="1">
      <c r="A910" s="12" t="s">
        <v>199</v>
      </c>
      <c r="B910" s="12" t="s">
        <v>4180</v>
      </c>
      <c r="C910" s="46" t="s">
        <v>5694</v>
      </c>
      <c r="D910" s="12" t="s">
        <v>1074</v>
      </c>
      <c r="E910" s="12" t="s">
        <v>5406</v>
      </c>
    </row>
    <row r="911" ht="15.75" customHeight="1">
      <c r="A911" s="12" t="s">
        <v>199</v>
      </c>
      <c r="B911" s="12" t="s">
        <v>4183</v>
      </c>
      <c r="C911" s="46" t="s">
        <v>5695</v>
      </c>
      <c r="D911" s="12" t="s">
        <v>1074</v>
      </c>
      <c r="E911" s="12" t="s">
        <v>5406</v>
      </c>
    </row>
    <row r="912" ht="15.75" customHeight="1">
      <c r="A912" s="12" t="s">
        <v>199</v>
      </c>
      <c r="B912" s="12" t="s">
        <v>4187</v>
      </c>
      <c r="C912" s="46" t="s">
        <v>5696</v>
      </c>
      <c r="D912" s="12" t="s">
        <v>1074</v>
      </c>
      <c r="E912" s="12" t="s">
        <v>5406</v>
      </c>
    </row>
    <row r="913" ht="15.75" customHeight="1">
      <c r="A913" s="12" t="s">
        <v>199</v>
      </c>
      <c r="B913" s="12" t="s">
        <v>4191</v>
      </c>
      <c r="C913" s="46" t="s">
        <v>5697</v>
      </c>
      <c r="D913" s="12" t="s">
        <v>1074</v>
      </c>
      <c r="E913" s="12" t="s">
        <v>5406</v>
      </c>
    </row>
    <row r="914" ht="15.75" customHeight="1">
      <c r="A914" s="12" t="s">
        <v>199</v>
      </c>
      <c r="B914" s="12" t="s">
        <v>4195</v>
      </c>
      <c r="C914" s="46" t="s">
        <v>5698</v>
      </c>
      <c r="D914" s="12" t="s">
        <v>1074</v>
      </c>
      <c r="E914" s="12" t="s">
        <v>5406</v>
      </c>
    </row>
    <row r="915" ht="15.75" customHeight="1">
      <c r="A915" s="12" t="s">
        <v>199</v>
      </c>
      <c r="B915" s="12" t="s">
        <v>4199</v>
      </c>
      <c r="C915" s="46" t="s">
        <v>5699</v>
      </c>
      <c r="D915" s="12" t="s">
        <v>1074</v>
      </c>
      <c r="E915" s="12" t="s">
        <v>5406</v>
      </c>
    </row>
    <row r="916" ht="15.75" customHeight="1">
      <c r="A916" s="12" t="s">
        <v>199</v>
      </c>
      <c r="B916" s="12" t="s">
        <v>4202</v>
      </c>
      <c r="C916" s="46" t="s">
        <v>5700</v>
      </c>
      <c r="D916" s="12" t="s">
        <v>1074</v>
      </c>
      <c r="E916" s="12" t="s">
        <v>5406</v>
      </c>
    </row>
    <row r="917" ht="15.75" customHeight="1">
      <c r="A917" s="12" t="s">
        <v>199</v>
      </c>
      <c r="B917" s="12" t="s">
        <v>4205</v>
      </c>
      <c r="C917" s="46" t="s">
        <v>5701</v>
      </c>
      <c r="D917" s="12" t="s">
        <v>1074</v>
      </c>
      <c r="E917" s="12" t="s">
        <v>5406</v>
      </c>
    </row>
    <row r="918" ht="15.75" customHeight="1">
      <c r="A918" s="12" t="s">
        <v>199</v>
      </c>
      <c r="B918" s="12" t="s">
        <v>4208</v>
      </c>
      <c r="C918" s="46" t="s">
        <v>5702</v>
      </c>
      <c r="D918" s="12" t="s">
        <v>1074</v>
      </c>
      <c r="E918" s="12" t="s">
        <v>5406</v>
      </c>
    </row>
    <row r="919" ht="15.75" customHeight="1">
      <c r="A919" s="12" t="s">
        <v>199</v>
      </c>
      <c r="B919" s="12" t="s">
        <v>4213</v>
      </c>
      <c r="C919" s="46" t="s">
        <v>5703</v>
      </c>
      <c r="D919" s="12" t="s">
        <v>1074</v>
      </c>
      <c r="E919" s="12" t="s">
        <v>5406</v>
      </c>
    </row>
    <row r="920" ht="15.75" customHeight="1">
      <c r="A920" s="12" t="s">
        <v>199</v>
      </c>
      <c r="B920" s="12" t="s">
        <v>4216</v>
      </c>
      <c r="C920" s="46" t="s">
        <v>5704</v>
      </c>
      <c r="D920" s="12" t="s">
        <v>1074</v>
      </c>
      <c r="E920" s="12" t="s">
        <v>5406</v>
      </c>
    </row>
    <row r="921" ht="15.75" customHeight="1">
      <c r="A921" s="12" t="s">
        <v>199</v>
      </c>
      <c r="B921" s="12" t="s">
        <v>4219</v>
      </c>
      <c r="C921" s="46" t="s">
        <v>5705</v>
      </c>
      <c r="D921" s="12" t="s">
        <v>1074</v>
      </c>
      <c r="E921" s="12" t="s">
        <v>5406</v>
      </c>
    </row>
    <row r="922" ht="15.75" customHeight="1">
      <c r="A922" s="12" t="s">
        <v>199</v>
      </c>
      <c r="B922" s="12" t="s">
        <v>4222</v>
      </c>
      <c r="C922" s="46" t="s">
        <v>5706</v>
      </c>
      <c r="D922" s="12" t="s">
        <v>1074</v>
      </c>
      <c r="E922" s="12" t="s">
        <v>5406</v>
      </c>
    </row>
    <row r="923" ht="15.75" customHeight="1">
      <c r="A923" s="12" t="s">
        <v>199</v>
      </c>
      <c r="B923" s="12" t="s">
        <v>4225</v>
      </c>
      <c r="C923" s="46" t="s">
        <v>5707</v>
      </c>
      <c r="D923" s="12" t="s">
        <v>1074</v>
      </c>
      <c r="E923" s="12" t="s">
        <v>5406</v>
      </c>
    </row>
    <row r="924" ht="15.75" customHeight="1">
      <c r="A924" s="12" t="s">
        <v>199</v>
      </c>
      <c r="B924" s="12" t="s">
        <v>4228</v>
      </c>
      <c r="C924" s="46" t="s">
        <v>5708</v>
      </c>
      <c r="D924" s="12" t="s">
        <v>1074</v>
      </c>
      <c r="E924" s="12" t="s">
        <v>5406</v>
      </c>
    </row>
    <row r="925" ht="15.75" customHeight="1">
      <c r="A925" s="12" t="s">
        <v>199</v>
      </c>
      <c r="B925" s="12" t="s">
        <v>4232</v>
      </c>
      <c r="C925" s="46" t="s">
        <v>5709</v>
      </c>
      <c r="D925" s="12" t="s">
        <v>1074</v>
      </c>
      <c r="E925" s="12" t="s">
        <v>5406</v>
      </c>
    </row>
    <row r="926" ht="15.75" customHeight="1">
      <c r="A926" s="12" t="s">
        <v>199</v>
      </c>
      <c r="B926" s="12" t="s">
        <v>4236</v>
      </c>
      <c r="C926" s="46" t="s">
        <v>5710</v>
      </c>
      <c r="D926" s="12" t="s">
        <v>1074</v>
      </c>
      <c r="E926" s="12" t="s">
        <v>5406</v>
      </c>
    </row>
    <row r="927" ht="15.75" customHeight="1">
      <c r="A927" s="12" t="s">
        <v>199</v>
      </c>
      <c r="B927" s="12" t="s">
        <v>4239</v>
      </c>
      <c r="C927" s="46" t="s">
        <v>5711</v>
      </c>
      <c r="D927" s="12" t="s">
        <v>1074</v>
      </c>
      <c r="E927" s="12" t="s">
        <v>5406</v>
      </c>
    </row>
    <row r="928" ht="15.75" customHeight="1">
      <c r="A928" s="12" t="s">
        <v>199</v>
      </c>
      <c r="B928" s="12" t="s">
        <v>4243</v>
      </c>
      <c r="C928" s="46" t="s">
        <v>5712</v>
      </c>
      <c r="D928" s="12" t="s">
        <v>1074</v>
      </c>
      <c r="E928" s="12" t="s">
        <v>5406</v>
      </c>
    </row>
    <row r="929" ht="15.75" customHeight="1">
      <c r="A929" s="12" t="s">
        <v>199</v>
      </c>
      <c r="B929" s="12" t="s">
        <v>4246</v>
      </c>
      <c r="C929" s="46" t="s">
        <v>5713</v>
      </c>
      <c r="D929" s="12" t="s">
        <v>1074</v>
      </c>
      <c r="E929" s="12" t="s">
        <v>5406</v>
      </c>
    </row>
    <row r="930" ht="15.75" customHeight="1">
      <c r="A930" s="12" t="s">
        <v>199</v>
      </c>
      <c r="B930" s="12" t="s">
        <v>4250</v>
      </c>
      <c r="C930" s="46" t="s">
        <v>5714</v>
      </c>
      <c r="D930" s="12" t="s">
        <v>1074</v>
      </c>
      <c r="E930" s="12" t="s">
        <v>5406</v>
      </c>
    </row>
    <row r="931" ht="15.75" customHeight="1">
      <c r="A931" s="12" t="s">
        <v>199</v>
      </c>
      <c r="B931" s="12" t="s">
        <v>4253</v>
      </c>
      <c r="C931" s="46" t="s">
        <v>5715</v>
      </c>
      <c r="D931" s="12" t="s">
        <v>1074</v>
      </c>
      <c r="E931" s="12" t="s">
        <v>5406</v>
      </c>
    </row>
    <row r="932" ht="15.75" customHeight="1">
      <c r="A932" s="12" t="s">
        <v>199</v>
      </c>
      <c r="B932" s="12" t="s">
        <v>4258</v>
      </c>
      <c r="C932" s="46" t="s">
        <v>5716</v>
      </c>
      <c r="D932" s="12" t="s">
        <v>1074</v>
      </c>
      <c r="E932" s="12" t="s">
        <v>5406</v>
      </c>
    </row>
    <row r="933" ht="15.75" customHeight="1">
      <c r="A933" s="12" t="s">
        <v>199</v>
      </c>
      <c r="B933" s="12" t="s">
        <v>4262</v>
      </c>
      <c r="C933" s="46" t="s">
        <v>5520</v>
      </c>
      <c r="D933" s="12" t="s">
        <v>1074</v>
      </c>
      <c r="E933" s="12" t="s">
        <v>5406</v>
      </c>
    </row>
    <row r="934" ht="15.75" customHeight="1">
      <c r="A934" s="12" t="s">
        <v>199</v>
      </c>
      <c r="B934" s="12" t="s">
        <v>4266</v>
      </c>
      <c r="C934" s="46" t="s">
        <v>5718</v>
      </c>
      <c r="D934" s="12" t="s">
        <v>1074</v>
      </c>
      <c r="E934" s="12" t="s">
        <v>5406</v>
      </c>
    </row>
    <row r="935" ht="15.75" customHeight="1">
      <c r="A935" s="12" t="s">
        <v>199</v>
      </c>
      <c r="B935" s="12" t="s">
        <v>4269</v>
      </c>
      <c r="C935" s="46" t="s">
        <v>6123</v>
      </c>
      <c r="D935" s="12" t="s">
        <v>1074</v>
      </c>
      <c r="E935" s="12" t="s">
        <v>5406</v>
      </c>
    </row>
    <row r="936" ht="15.75" customHeight="1">
      <c r="A936" s="12" t="s">
        <v>199</v>
      </c>
      <c r="B936" s="12" t="s">
        <v>4271</v>
      </c>
      <c r="C936" s="46" t="s">
        <v>6124</v>
      </c>
      <c r="D936" s="12" t="s">
        <v>1074</v>
      </c>
      <c r="E936" s="12" t="s">
        <v>5406</v>
      </c>
    </row>
    <row r="937" ht="15.75" customHeight="1">
      <c r="A937" s="12" t="s">
        <v>199</v>
      </c>
      <c r="B937" s="12" t="s">
        <v>4275</v>
      </c>
      <c r="C937" s="46" t="s">
        <v>6125</v>
      </c>
      <c r="D937" s="12" t="s">
        <v>1074</v>
      </c>
      <c r="E937" s="12" t="s">
        <v>5406</v>
      </c>
    </row>
    <row r="938" ht="15.75" customHeight="1">
      <c r="A938" s="12" t="s">
        <v>199</v>
      </c>
      <c r="B938" s="12" t="s">
        <v>4278</v>
      </c>
      <c r="C938" s="46" t="s">
        <v>6126</v>
      </c>
      <c r="D938" s="12" t="s">
        <v>1074</v>
      </c>
      <c r="E938" s="12" t="s">
        <v>5406</v>
      </c>
    </row>
    <row r="939" ht="15.75" customHeight="1">
      <c r="A939" s="41"/>
      <c r="B939" s="41"/>
      <c r="C939" s="46"/>
      <c r="D939" s="41"/>
      <c r="E939" s="41"/>
    </row>
    <row r="940" ht="15.75" customHeight="1">
      <c r="A940" s="41"/>
      <c r="B940" s="41"/>
      <c r="C940" s="46"/>
      <c r="D940" s="41"/>
      <c r="E940" s="41"/>
    </row>
    <row r="941" ht="15.75" customHeight="1">
      <c r="A941" s="41"/>
      <c r="B941" s="41"/>
      <c r="C941" s="46"/>
      <c r="D941" s="41"/>
      <c r="E941" s="41"/>
    </row>
    <row r="942" ht="15.75" customHeight="1">
      <c r="A942" s="41"/>
      <c r="B942" s="41"/>
      <c r="C942" s="46"/>
      <c r="D942" s="41"/>
      <c r="E942" s="41"/>
    </row>
    <row r="943" ht="15.75" customHeight="1">
      <c r="A943" s="41"/>
      <c r="B943" s="41"/>
      <c r="C943" s="46"/>
      <c r="D943" s="41"/>
      <c r="E943" s="41"/>
    </row>
    <row r="944" ht="15.75" customHeight="1">
      <c r="A944" s="41"/>
      <c r="B944" s="41"/>
      <c r="C944" s="46"/>
      <c r="D944" s="41"/>
      <c r="E944" s="41"/>
    </row>
    <row r="945" ht="15.75" customHeight="1">
      <c r="A945" s="41"/>
      <c r="B945" s="41"/>
      <c r="C945" s="46"/>
      <c r="D945" s="41"/>
      <c r="E945" s="41"/>
    </row>
    <row r="946" ht="15.75" customHeight="1">
      <c r="A946" s="41"/>
      <c r="B946" s="41"/>
      <c r="C946" s="46"/>
      <c r="D946" s="41"/>
      <c r="E946" s="41"/>
    </row>
    <row r="947" ht="15.75" customHeight="1">
      <c r="A947" s="41"/>
      <c r="B947" s="41"/>
      <c r="C947" s="46"/>
      <c r="D947" s="41"/>
      <c r="E947" s="41"/>
    </row>
    <row r="948" ht="15.75" customHeight="1">
      <c r="A948" s="41"/>
      <c r="B948" s="41"/>
      <c r="C948" s="46"/>
      <c r="D948" s="41"/>
      <c r="E948" s="41"/>
    </row>
    <row r="949" ht="15.75" customHeight="1">
      <c r="A949" s="41"/>
      <c r="B949" s="41"/>
      <c r="C949" s="46"/>
      <c r="D949" s="41"/>
      <c r="E949" s="41"/>
    </row>
    <row r="950" ht="15.75" customHeight="1">
      <c r="A950" s="41"/>
      <c r="B950" s="41"/>
      <c r="C950" s="46"/>
      <c r="D950" s="41"/>
      <c r="E950" s="41"/>
    </row>
    <row r="951" ht="15.75" customHeight="1">
      <c r="A951" s="41"/>
      <c r="B951" s="41"/>
      <c r="C951" s="46"/>
      <c r="D951" s="41"/>
      <c r="E951" s="41"/>
    </row>
    <row r="952" ht="15.75" customHeight="1">
      <c r="A952" s="41"/>
      <c r="B952" s="41"/>
      <c r="C952" s="46"/>
      <c r="D952" s="41"/>
      <c r="E952" s="41"/>
    </row>
    <row r="953" ht="15.75" customHeight="1">
      <c r="A953" s="41"/>
      <c r="B953" s="41"/>
      <c r="C953" s="46"/>
      <c r="D953" s="41"/>
      <c r="E953" s="41"/>
    </row>
    <row r="954" ht="15.75" customHeight="1">
      <c r="A954" s="41"/>
      <c r="B954" s="41"/>
      <c r="C954" s="46"/>
      <c r="D954" s="41"/>
      <c r="E954" s="41"/>
    </row>
    <row r="955" ht="15.75" customHeight="1">
      <c r="A955" s="41"/>
      <c r="B955" s="41"/>
      <c r="C955" s="46"/>
      <c r="D955" s="41"/>
      <c r="E955" s="41"/>
    </row>
    <row r="956" ht="15.75" customHeight="1">
      <c r="A956" s="41"/>
      <c r="B956" s="41"/>
      <c r="C956" s="46"/>
      <c r="D956" s="41"/>
      <c r="E956" s="41"/>
    </row>
    <row r="957" ht="15.75" customHeight="1">
      <c r="A957" s="41"/>
      <c r="B957" s="41"/>
      <c r="C957" s="46"/>
      <c r="D957" s="41"/>
      <c r="E957" s="41"/>
    </row>
    <row r="958" ht="15.75" customHeight="1">
      <c r="A958" s="41"/>
      <c r="B958" s="41"/>
      <c r="C958" s="46"/>
      <c r="D958" s="41"/>
      <c r="E958" s="41"/>
    </row>
    <row r="959" ht="15.75" customHeight="1">
      <c r="A959" s="41"/>
      <c r="B959" s="41"/>
      <c r="C959" s="46"/>
      <c r="D959" s="41"/>
      <c r="E959" s="41"/>
    </row>
    <row r="960" ht="15.75" customHeight="1">
      <c r="A960" s="41"/>
      <c r="B960" s="41"/>
      <c r="C960" s="46"/>
      <c r="D960" s="41"/>
      <c r="E960" s="41"/>
    </row>
    <row r="961" ht="15.75" customHeight="1">
      <c r="A961" s="41"/>
      <c r="B961" s="41"/>
      <c r="C961" s="46"/>
      <c r="D961" s="41"/>
      <c r="E961" s="41"/>
    </row>
    <row r="962" ht="15.75" customHeight="1">
      <c r="A962" s="41"/>
      <c r="B962" s="41"/>
      <c r="C962" s="46"/>
      <c r="D962" s="41"/>
      <c r="E962" s="41"/>
    </row>
    <row r="963" ht="15.75" customHeight="1">
      <c r="A963" s="41"/>
      <c r="B963" s="41"/>
      <c r="C963" s="46"/>
      <c r="D963" s="41"/>
      <c r="E963" s="41"/>
    </row>
    <row r="964" ht="15.75" customHeight="1">
      <c r="A964" s="41"/>
      <c r="B964" s="41"/>
      <c r="C964" s="46"/>
      <c r="D964" s="41"/>
      <c r="E964" s="41"/>
    </row>
    <row r="965" ht="15.75" customHeight="1">
      <c r="A965" s="41"/>
      <c r="B965" s="41"/>
      <c r="C965" s="46"/>
      <c r="D965" s="41"/>
      <c r="E965" s="41"/>
    </row>
    <row r="966" ht="15.75" customHeight="1">
      <c r="A966" s="41"/>
      <c r="B966" s="41"/>
      <c r="C966" s="46"/>
      <c r="D966" s="41"/>
      <c r="E966" s="41"/>
    </row>
    <row r="967" ht="15.75" customHeight="1">
      <c r="A967" s="41"/>
      <c r="B967" s="41"/>
      <c r="C967" s="46"/>
      <c r="D967" s="41"/>
      <c r="E967" s="41"/>
    </row>
    <row r="968" ht="15.75" customHeight="1">
      <c r="A968" s="41"/>
      <c r="B968" s="41"/>
      <c r="C968" s="46"/>
      <c r="D968" s="41"/>
      <c r="E968" s="41"/>
    </row>
    <row r="969" ht="15.75" customHeight="1">
      <c r="A969" s="41"/>
      <c r="B969" s="41"/>
      <c r="C969" s="46"/>
      <c r="D969" s="41"/>
      <c r="E969" s="41"/>
    </row>
    <row r="970" ht="15.75" customHeight="1">
      <c r="A970" s="41"/>
      <c r="B970" s="41"/>
      <c r="C970" s="46"/>
      <c r="D970" s="41"/>
      <c r="E970" s="41"/>
    </row>
    <row r="971" ht="15.75" customHeight="1">
      <c r="A971" s="41"/>
      <c r="B971" s="41"/>
      <c r="C971" s="46"/>
      <c r="D971" s="41"/>
      <c r="E971" s="41"/>
    </row>
    <row r="972" ht="15.75" customHeight="1">
      <c r="A972" s="41"/>
      <c r="B972" s="41"/>
      <c r="C972" s="46"/>
      <c r="D972" s="41"/>
      <c r="E972" s="41"/>
    </row>
    <row r="973" ht="15.75" customHeight="1">
      <c r="A973" s="41"/>
      <c r="B973" s="41"/>
      <c r="C973" s="46"/>
      <c r="D973" s="41"/>
      <c r="E973" s="41"/>
    </row>
    <row r="974" ht="15.75" customHeight="1">
      <c r="A974" s="41"/>
      <c r="B974" s="41"/>
      <c r="C974" s="46"/>
      <c r="D974" s="41"/>
      <c r="E974" s="41"/>
    </row>
    <row r="975" ht="15.75" customHeight="1">
      <c r="A975" s="41"/>
      <c r="B975" s="41"/>
      <c r="C975" s="46"/>
      <c r="D975" s="41"/>
      <c r="E975" s="41"/>
    </row>
    <row r="976" ht="15.75" customHeight="1">
      <c r="A976" s="41"/>
      <c r="B976" s="41"/>
      <c r="C976" s="46"/>
      <c r="D976" s="41"/>
      <c r="E976" s="41"/>
    </row>
    <row r="977" ht="15.75" customHeight="1">
      <c r="A977" s="41"/>
      <c r="B977" s="41"/>
      <c r="C977" s="46"/>
      <c r="D977" s="41"/>
      <c r="E977" s="41"/>
    </row>
    <row r="978" ht="15.75" customHeight="1">
      <c r="A978" s="41"/>
      <c r="B978" s="41"/>
      <c r="C978" s="46"/>
      <c r="D978" s="41"/>
      <c r="E978" s="41"/>
    </row>
    <row r="979" ht="15.75" customHeight="1">
      <c r="A979" s="41"/>
      <c r="B979" s="41"/>
      <c r="C979" s="46"/>
      <c r="D979" s="41"/>
      <c r="E979" s="41"/>
    </row>
    <row r="980" ht="15.75" customHeight="1">
      <c r="A980" s="41"/>
      <c r="B980" s="41"/>
      <c r="C980" s="46"/>
      <c r="D980" s="41"/>
      <c r="E980" s="41"/>
    </row>
    <row r="981" ht="15.75" customHeight="1">
      <c r="A981" s="41"/>
      <c r="B981" s="41"/>
      <c r="C981" s="46"/>
      <c r="D981" s="41"/>
      <c r="E981" s="41"/>
    </row>
    <row r="982" ht="15.75" customHeight="1">
      <c r="A982" s="41"/>
      <c r="B982" s="41"/>
      <c r="C982" s="46"/>
      <c r="D982" s="41"/>
      <c r="E982" s="41"/>
    </row>
    <row r="983" ht="15.75" customHeight="1">
      <c r="A983" s="41"/>
      <c r="B983" s="41"/>
      <c r="C983" s="46"/>
      <c r="D983" s="41"/>
      <c r="E983" s="41"/>
    </row>
    <row r="984" ht="15.75" customHeight="1">
      <c r="A984" s="41"/>
      <c r="B984" s="41"/>
      <c r="C984" s="46"/>
      <c r="D984" s="41"/>
      <c r="E984" s="41"/>
    </row>
    <row r="985" ht="15.75" customHeight="1">
      <c r="A985" s="41"/>
      <c r="B985" s="41"/>
      <c r="C985" s="46"/>
      <c r="D985" s="41"/>
      <c r="E985" s="41"/>
    </row>
    <row r="986" ht="15.75" customHeight="1">
      <c r="A986" s="41"/>
      <c r="B986" s="41"/>
      <c r="C986" s="46"/>
      <c r="D986" s="41"/>
      <c r="E986" s="41"/>
    </row>
    <row r="987" ht="15.75" customHeight="1">
      <c r="A987" s="41"/>
      <c r="B987" s="41"/>
      <c r="C987" s="46"/>
      <c r="D987" s="41"/>
      <c r="E987" s="41"/>
    </row>
    <row r="988" ht="15.75" customHeight="1">
      <c r="A988" s="41"/>
      <c r="B988" s="41"/>
      <c r="C988" s="46"/>
      <c r="D988" s="41"/>
      <c r="E988" s="41"/>
    </row>
    <row r="989" ht="15.75" customHeight="1">
      <c r="A989" s="41"/>
      <c r="B989" s="41"/>
      <c r="C989" s="46"/>
      <c r="D989" s="41"/>
      <c r="E989" s="41"/>
    </row>
    <row r="990" ht="15.75" customHeight="1">
      <c r="A990" s="41"/>
      <c r="B990" s="41"/>
      <c r="C990" s="46"/>
      <c r="D990" s="41"/>
      <c r="E990" s="41"/>
    </row>
    <row r="991" ht="15.75" customHeight="1">
      <c r="A991" s="41"/>
      <c r="B991" s="41"/>
      <c r="C991" s="46"/>
      <c r="D991" s="41"/>
      <c r="E991" s="41"/>
    </row>
    <row r="992" ht="15.75" customHeight="1">
      <c r="A992" s="41"/>
      <c r="B992" s="41"/>
      <c r="C992" s="46"/>
      <c r="D992" s="41"/>
      <c r="E992" s="41"/>
    </row>
    <row r="993" ht="15.75" customHeight="1">
      <c r="A993" s="41"/>
      <c r="B993" s="41"/>
      <c r="C993" s="46"/>
      <c r="D993" s="41"/>
      <c r="E993" s="41"/>
    </row>
    <row r="994" ht="15.75" customHeight="1">
      <c r="A994" s="41"/>
      <c r="B994" s="41"/>
      <c r="C994" s="46"/>
      <c r="D994" s="41"/>
      <c r="E994" s="41"/>
    </row>
    <row r="995" ht="15.75" customHeight="1">
      <c r="A995" s="41"/>
      <c r="B995" s="41"/>
      <c r="C995" s="46"/>
      <c r="D995" s="41"/>
      <c r="E995" s="41"/>
    </row>
    <row r="996" ht="15.75" customHeight="1">
      <c r="A996" s="41"/>
      <c r="B996" s="41"/>
      <c r="C996" s="46"/>
      <c r="D996" s="41"/>
      <c r="E996" s="41"/>
    </row>
    <row r="997" ht="15.75" customHeight="1">
      <c r="A997" s="41"/>
      <c r="B997" s="41"/>
      <c r="C997" s="46"/>
      <c r="D997" s="41"/>
      <c r="E997" s="41"/>
    </row>
    <row r="998" ht="15.75" customHeight="1">
      <c r="A998" s="41"/>
      <c r="B998" s="41"/>
      <c r="C998" s="46"/>
      <c r="D998" s="41"/>
      <c r="E998" s="41"/>
    </row>
    <row r="999" ht="15.75" customHeight="1">
      <c r="A999" s="41"/>
      <c r="B999" s="41"/>
      <c r="C999" s="46"/>
      <c r="D999" s="41"/>
      <c r="E999" s="41"/>
    </row>
    <row r="1000" ht="15.75" customHeight="1">
      <c r="A1000" s="41"/>
      <c r="B1000" s="41"/>
      <c r="C1000" s="46"/>
      <c r="D1000" s="41"/>
      <c r="E1000" s="41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8FF"/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7.88"/>
    <col customWidth="1" min="2" max="2" width="29.5"/>
    <col customWidth="1" min="3" max="3" width="14.38"/>
    <col customWidth="1" min="4" max="4" width="16.13"/>
  </cols>
  <sheetData>
    <row r="1">
      <c r="A1" s="59" t="s">
        <v>5518</v>
      </c>
      <c r="B1" s="59" t="s">
        <v>5519</v>
      </c>
      <c r="C1" s="59" t="s">
        <v>5521</v>
      </c>
      <c r="D1" s="60" t="s">
        <v>5522</v>
      </c>
    </row>
    <row r="2">
      <c r="A2" s="61" t="s">
        <v>47</v>
      </c>
      <c r="B2" s="61" t="s">
        <v>5524</v>
      </c>
      <c r="C2" s="61" t="s">
        <v>50</v>
      </c>
      <c r="D2" s="61" t="s">
        <v>47</v>
      </c>
    </row>
    <row r="3">
      <c r="A3" s="61" t="s">
        <v>121</v>
      </c>
      <c r="B3" s="61" t="s">
        <v>5525</v>
      </c>
      <c r="C3" s="61" t="s">
        <v>50</v>
      </c>
      <c r="D3" s="61" t="s">
        <v>121</v>
      </c>
    </row>
    <row r="4">
      <c r="A4" s="61" t="s">
        <v>1029</v>
      </c>
      <c r="B4" s="61" t="s">
        <v>2906</v>
      </c>
      <c r="C4" s="61" t="s">
        <v>50</v>
      </c>
      <c r="D4" s="61" t="s">
        <v>1029</v>
      </c>
    </row>
    <row r="5">
      <c r="A5" s="61" t="s">
        <v>972</v>
      </c>
      <c r="B5" s="61" t="s">
        <v>34</v>
      </c>
      <c r="C5" s="61" t="s">
        <v>32</v>
      </c>
      <c r="D5" s="61" t="s">
        <v>972</v>
      </c>
    </row>
    <row r="6">
      <c r="A6" s="61" t="s">
        <v>985</v>
      </c>
      <c r="B6" s="61" t="s">
        <v>5528</v>
      </c>
      <c r="C6" s="61" t="s">
        <v>32</v>
      </c>
      <c r="D6" s="61" t="s">
        <v>985</v>
      </c>
    </row>
    <row r="7">
      <c r="A7" s="61" t="s">
        <v>1074</v>
      </c>
      <c r="B7" s="61" t="s">
        <v>2900</v>
      </c>
      <c r="C7" s="61" t="s">
        <v>32</v>
      </c>
      <c r="D7" s="61" t="s">
        <v>1074</v>
      </c>
    </row>
    <row r="8">
      <c r="A8" s="61" t="s">
        <v>3458</v>
      </c>
      <c r="B8" s="61" t="s">
        <v>1879</v>
      </c>
      <c r="C8" s="61" t="s">
        <v>23</v>
      </c>
      <c r="D8" s="61" t="s">
        <v>3458</v>
      </c>
    </row>
    <row r="9">
      <c r="A9" s="61" t="s">
        <v>5201</v>
      </c>
      <c r="B9" s="61" t="s">
        <v>1348</v>
      </c>
      <c r="C9" s="61" t="s">
        <v>23</v>
      </c>
      <c r="D9" s="61" t="s">
        <v>5201</v>
      </c>
    </row>
    <row r="10">
      <c r="A10" s="61" t="s">
        <v>5182</v>
      </c>
      <c r="B10" s="61" t="s">
        <v>5532</v>
      </c>
      <c r="C10" s="61" t="s">
        <v>23</v>
      </c>
      <c r="D10" s="61" t="s">
        <v>5182</v>
      </c>
    </row>
    <row r="11">
      <c r="A11" s="61" t="s">
        <v>3363</v>
      </c>
      <c r="B11" s="61" t="s">
        <v>5534</v>
      </c>
      <c r="C11" s="61" t="s">
        <v>61</v>
      </c>
      <c r="D11" s="61" t="s">
        <v>3363</v>
      </c>
    </row>
    <row r="12">
      <c r="A12" s="61" t="s">
        <v>3366</v>
      </c>
      <c r="B12" s="61" t="s">
        <v>5535</v>
      </c>
      <c r="C12" s="61" t="s">
        <v>61</v>
      </c>
      <c r="D12" s="61" t="s">
        <v>3366</v>
      </c>
    </row>
    <row r="13">
      <c r="A13" s="61" t="s">
        <v>3368</v>
      </c>
      <c r="B13" s="61" t="s">
        <v>5537</v>
      </c>
      <c r="C13" s="61" t="s">
        <v>50</v>
      </c>
      <c r="D13" s="61" t="s">
        <v>3368</v>
      </c>
    </row>
    <row r="14">
      <c r="A14" s="61" t="s">
        <v>3370</v>
      </c>
      <c r="B14" s="61" t="s">
        <v>5539</v>
      </c>
      <c r="C14" s="61" t="s">
        <v>50</v>
      </c>
      <c r="D14" s="61" t="s">
        <v>3370</v>
      </c>
    </row>
    <row r="15">
      <c r="A15" s="61" t="s">
        <v>5498</v>
      </c>
      <c r="B15" s="61" t="s">
        <v>5540</v>
      </c>
      <c r="C15" s="61" t="s">
        <v>23</v>
      </c>
      <c r="D15" s="61" t="s">
        <v>5542</v>
      </c>
    </row>
    <row r="16">
      <c r="A16" s="61" t="s">
        <v>5500</v>
      </c>
      <c r="B16" s="61" t="s">
        <v>5543</v>
      </c>
      <c r="C16" s="61" t="s">
        <v>32</v>
      </c>
      <c r="D16" s="61" t="s">
        <v>5542</v>
      </c>
    </row>
    <row r="17">
      <c r="A17" s="61" t="s">
        <v>5502</v>
      </c>
      <c r="B17" s="61" t="s">
        <v>5544</v>
      </c>
      <c r="C17" s="61" t="s">
        <v>61</v>
      </c>
      <c r="D17" s="61" t="s">
        <v>5542</v>
      </c>
    </row>
    <row r="18">
      <c r="A18" s="61" t="s">
        <v>5504</v>
      </c>
      <c r="B18" s="61" t="s">
        <v>5546</v>
      </c>
      <c r="C18" s="61" t="s">
        <v>50</v>
      </c>
      <c r="D18" s="61" t="s">
        <v>5542</v>
      </c>
    </row>
    <row r="19">
      <c r="A19" s="61" t="s">
        <v>5505</v>
      </c>
      <c r="B19" s="61" t="s">
        <v>5547</v>
      </c>
      <c r="C19" s="61" t="s">
        <v>32</v>
      </c>
      <c r="D19" s="61" t="s">
        <v>5542</v>
      </c>
    </row>
    <row r="20">
      <c r="A20" s="61" t="s">
        <v>5507</v>
      </c>
      <c r="B20" s="61" t="s">
        <v>5549</v>
      </c>
      <c r="C20" s="61" t="s">
        <v>50</v>
      </c>
      <c r="D20" s="61" t="s">
        <v>5542</v>
      </c>
    </row>
    <row r="21">
      <c r="A21" s="61" t="s">
        <v>5509</v>
      </c>
      <c r="B21" s="61" t="s">
        <v>5551</v>
      </c>
      <c r="C21" s="61" t="s">
        <v>32</v>
      </c>
      <c r="D21" s="61" t="s">
        <v>5509</v>
      </c>
    </row>
    <row r="22">
      <c r="A22" s="62"/>
      <c r="B22" s="62"/>
      <c r="C22" s="62"/>
      <c r="D22" s="62"/>
    </row>
    <row r="23">
      <c r="A23" s="62"/>
      <c r="B23" s="62"/>
      <c r="C23" s="62"/>
      <c r="D23" s="62"/>
    </row>
    <row r="24">
      <c r="A24" s="62"/>
      <c r="B24" s="62"/>
      <c r="C24" s="62"/>
      <c r="D24" s="62"/>
    </row>
    <row r="25">
      <c r="A25" s="62"/>
      <c r="B25" s="62"/>
      <c r="C25" s="62"/>
      <c r="D25" s="62"/>
    </row>
    <row r="26">
      <c r="A26" s="62"/>
      <c r="B26" s="62"/>
      <c r="C26" s="62"/>
      <c r="D26" s="62"/>
    </row>
    <row r="27">
      <c r="A27" s="62"/>
      <c r="B27" s="62"/>
      <c r="C27" s="62"/>
      <c r="D27" s="62"/>
    </row>
    <row r="28">
      <c r="A28" s="62"/>
      <c r="B28" s="62"/>
      <c r="C28" s="62"/>
      <c r="D28" s="62"/>
    </row>
    <row r="29">
      <c r="A29" s="62"/>
      <c r="B29" s="62"/>
      <c r="C29" s="62"/>
      <c r="D29" s="62"/>
    </row>
    <row r="30">
      <c r="A30" s="62"/>
      <c r="B30" s="62"/>
      <c r="C30" s="62"/>
      <c r="D30" s="62"/>
    </row>
    <row r="31">
      <c r="A31" s="62"/>
      <c r="B31" s="62"/>
      <c r="C31" s="62"/>
      <c r="D31" s="62"/>
    </row>
    <row r="32">
      <c r="A32" s="62"/>
      <c r="B32" s="62"/>
      <c r="C32" s="62"/>
      <c r="D32" s="62"/>
    </row>
    <row r="33">
      <c r="A33" s="62"/>
      <c r="B33" s="62"/>
      <c r="C33" s="62"/>
      <c r="D33" s="62"/>
    </row>
    <row r="34">
      <c r="A34" s="62"/>
      <c r="B34" s="62"/>
      <c r="C34" s="62"/>
      <c r="D34" s="62"/>
    </row>
    <row r="35">
      <c r="A35" s="62"/>
      <c r="B35" s="62"/>
      <c r="C35" s="62"/>
      <c r="D35" s="62"/>
    </row>
    <row r="36">
      <c r="A36" s="62"/>
      <c r="B36" s="62"/>
      <c r="C36" s="62"/>
      <c r="D36" s="62"/>
    </row>
    <row r="37">
      <c r="A37" s="62"/>
      <c r="B37" s="62"/>
      <c r="C37" s="62"/>
      <c r="D37" s="62"/>
    </row>
    <row r="38">
      <c r="A38" s="62"/>
      <c r="B38" s="62"/>
      <c r="C38" s="62"/>
      <c r="D38" s="62"/>
    </row>
    <row r="39">
      <c r="A39" s="62"/>
      <c r="B39" s="62"/>
      <c r="C39" s="62"/>
      <c r="D39" s="62"/>
    </row>
    <row r="40">
      <c r="A40" s="62"/>
      <c r="B40" s="62"/>
      <c r="C40" s="62"/>
      <c r="D40" s="62"/>
    </row>
    <row r="41">
      <c r="A41" s="62"/>
      <c r="B41" s="62"/>
      <c r="C41" s="62"/>
      <c r="D41" s="62"/>
    </row>
    <row r="42">
      <c r="A42" s="62"/>
      <c r="B42" s="62"/>
      <c r="C42" s="62"/>
      <c r="D42" s="62"/>
    </row>
    <row r="43">
      <c r="A43" s="62"/>
      <c r="B43" s="62"/>
      <c r="C43" s="62"/>
      <c r="D43" s="62"/>
    </row>
    <row r="44">
      <c r="A44" s="62"/>
      <c r="B44" s="62"/>
      <c r="C44" s="62"/>
      <c r="D44" s="62"/>
    </row>
    <row r="45">
      <c r="A45" s="62"/>
      <c r="B45" s="62"/>
      <c r="C45" s="62"/>
      <c r="D45" s="62"/>
    </row>
    <row r="46">
      <c r="A46" s="62"/>
      <c r="B46" s="62"/>
      <c r="C46" s="62"/>
      <c r="D46" s="62"/>
    </row>
    <row r="47">
      <c r="A47" s="62"/>
      <c r="B47" s="62"/>
      <c r="C47" s="62"/>
      <c r="D47" s="62"/>
    </row>
    <row r="48">
      <c r="A48" s="62"/>
      <c r="B48" s="62"/>
      <c r="C48" s="62"/>
      <c r="D48" s="62"/>
    </row>
    <row r="49">
      <c r="A49" s="62"/>
      <c r="B49" s="62"/>
      <c r="C49" s="62"/>
      <c r="D49" s="62"/>
    </row>
    <row r="50">
      <c r="A50" s="62"/>
      <c r="B50" s="62"/>
      <c r="C50" s="62"/>
      <c r="D50" s="62"/>
    </row>
    <row r="51">
      <c r="A51" s="62"/>
      <c r="B51" s="62"/>
      <c r="C51" s="62"/>
      <c r="D51" s="62"/>
    </row>
    <row r="52">
      <c r="A52" s="62"/>
      <c r="B52" s="62"/>
      <c r="C52" s="62"/>
      <c r="D52" s="62"/>
    </row>
    <row r="53">
      <c r="A53" s="62"/>
      <c r="B53" s="62"/>
      <c r="C53" s="62"/>
      <c r="D53" s="62"/>
    </row>
    <row r="54">
      <c r="A54" s="62"/>
      <c r="B54" s="62"/>
      <c r="C54" s="62"/>
      <c r="D54" s="62"/>
    </row>
    <row r="55">
      <c r="A55" s="62"/>
      <c r="B55" s="62"/>
      <c r="C55" s="62"/>
      <c r="D55" s="62"/>
    </row>
    <row r="56">
      <c r="A56" s="62"/>
      <c r="B56" s="62"/>
      <c r="C56" s="62"/>
      <c r="D56" s="62"/>
    </row>
    <row r="57">
      <c r="A57" s="62"/>
      <c r="B57" s="62"/>
      <c r="C57" s="62"/>
      <c r="D57" s="62"/>
    </row>
    <row r="58">
      <c r="A58" s="62"/>
      <c r="B58" s="62"/>
      <c r="C58" s="62"/>
      <c r="D58" s="62"/>
    </row>
    <row r="59">
      <c r="A59" s="62"/>
      <c r="B59" s="62"/>
      <c r="C59" s="62"/>
      <c r="D59" s="62"/>
    </row>
    <row r="60">
      <c r="A60" s="62"/>
      <c r="B60" s="62"/>
      <c r="C60" s="62"/>
      <c r="D60" s="62"/>
    </row>
    <row r="61">
      <c r="A61" s="62"/>
      <c r="B61" s="62"/>
      <c r="C61" s="62"/>
      <c r="D61" s="62"/>
    </row>
    <row r="62">
      <c r="A62" s="62"/>
      <c r="B62" s="62"/>
      <c r="C62" s="62"/>
      <c r="D62" s="62"/>
    </row>
    <row r="63">
      <c r="A63" s="62"/>
      <c r="B63" s="62"/>
      <c r="C63" s="62"/>
      <c r="D63" s="62"/>
    </row>
    <row r="64">
      <c r="A64" s="62"/>
      <c r="B64" s="62"/>
      <c r="C64" s="62"/>
      <c r="D64" s="62"/>
    </row>
    <row r="65">
      <c r="A65" s="62"/>
      <c r="B65" s="62"/>
      <c r="C65" s="62"/>
      <c r="D65" s="62"/>
    </row>
    <row r="66">
      <c r="A66" s="62"/>
      <c r="B66" s="62"/>
      <c r="C66" s="62"/>
      <c r="D66" s="62"/>
    </row>
    <row r="67">
      <c r="A67" s="62"/>
      <c r="B67" s="62"/>
      <c r="C67" s="62"/>
      <c r="D67" s="62"/>
    </row>
    <row r="68">
      <c r="A68" s="62"/>
      <c r="B68" s="62"/>
      <c r="C68" s="62"/>
      <c r="D68" s="62"/>
    </row>
    <row r="69">
      <c r="A69" s="62"/>
      <c r="B69" s="62"/>
      <c r="C69" s="62"/>
      <c r="D69" s="62"/>
    </row>
    <row r="70">
      <c r="A70" s="62"/>
      <c r="B70" s="62"/>
      <c r="C70" s="62"/>
      <c r="D70" s="62"/>
    </row>
    <row r="71">
      <c r="A71" s="62"/>
      <c r="B71" s="62"/>
      <c r="C71" s="62"/>
      <c r="D71" s="62"/>
    </row>
    <row r="72">
      <c r="A72" s="62"/>
      <c r="B72" s="62"/>
      <c r="C72" s="62"/>
      <c r="D72" s="62"/>
    </row>
    <row r="73">
      <c r="A73" s="62"/>
      <c r="B73" s="62"/>
      <c r="C73" s="62"/>
      <c r="D73" s="62"/>
    </row>
    <row r="74">
      <c r="A74" s="62"/>
      <c r="B74" s="62"/>
      <c r="C74" s="62"/>
      <c r="D74" s="62"/>
    </row>
    <row r="75">
      <c r="A75" s="62"/>
      <c r="B75" s="62"/>
      <c r="C75" s="62"/>
      <c r="D75" s="62"/>
    </row>
    <row r="76">
      <c r="A76" s="62"/>
      <c r="B76" s="62"/>
      <c r="C76" s="62"/>
      <c r="D76" s="62"/>
    </row>
    <row r="77">
      <c r="A77" s="62"/>
      <c r="B77" s="62"/>
      <c r="C77" s="62"/>
      <c r="D77" s="62"/>
    </row>
    <row r="78">
      <c r="A78" s="62"/>
      <c r="B78" s="62"/>
      <c r="C78" s="62"/>
      <c r="D78" s="62"/>
    </row>
    <row r="79">
      <c r="A79" s="62"/>
      <c r="B79" s="62"/>
      <c r="C79" s="62"/>
      <c r="D79" s="62"/>
    </row>
    <row r="80">
      <c r="A80" s="62"/>
      <c r="B80" s="62"/>
      <c r="C80" s="62"/>
      <c r="D80" s="62"/>
    </row>
    <row r="81">
      <c r="A81" s="62"/>
      <c r="B81" s="62"/>
      <c r="C81" s="62"/>
      <c r="D81" s="62"/>
    </row>
    <row r="82">
      <c r="A82" s="62"/>
      <c r="B82" s="62"/>
      <c r="C82" s="62"/>
      <c r="D82" s="62"/>
    </row>
    <row r="83">
      <c r="A83" s="62"/>
      <c r="B83" s="62"/>
      <c r="C83" s="62"/>
      <c r="D83" s="62"/>
    </row>
    <row r="84">
      <c r="A84" s="62"/>
      <c r="B84" s="62"/>
      <c r="C84" s="62"/>
      <c r="D84" s="62"/>
    </row>
    <row r="85">
      <c r="A85" s="62"/>
      <c r="B85" s="62"/>
      <c r="C85" s="62"/>
      <c r="D85" s="62"/>
    </row>
    <row r="86">
      <c r="A86" s="62"/>
      <c r="B86" s="62"/>
      <c r="C86" s="62"/>
      <c r="D86" s="62"/>
    </row>
    <row r="87">
      <c r="A87" s="62"/>
      <c r="B87" s="62"/>
      <c r="C87" s="62"/>
      <c r="D87" s="62"/>
    </row>
    <row r="88">
      <c r="A88" s="62"/>
      <c r="B88" s="62"/>
      <c r="C88" s="62"/>
      <c r="D88" s="62"/>
    </row>
    <row r="89">
      <c r="A89" s="62"/>
      <c r="B89" s="62"/>
      <c r="C89" s="62"/>
      <c r="D89" s="62"/>
    </row>
    <row r="90">
      <c r="A90" s="62"/>
      <c r="B90" s="62"/>
      <c r="C90" s="62"/>
      <c r="D90" s="62"/>
    </row>
    <row r="91">
      <c r="A91" s="62"/>
      <c r="B91" s="62"/>
      <c r="C91" s="62"/>
      <c r="D91" s="62"/>
    </row>
    <row r="92">
      <c r="A92" s="62"/>
      <c r="B92" s="62"/>
      <c r="C92" s="62"/>
      <c r="D92" s="62"/>
    </row>
    <row r="93">
      <c r="A93" s="62"/>
      <c r="B93" s="62"/>
      <c r="C93" s="62"/>
      <c r="D93" s="62"/>
    </row>
    <row r="94">
      <c r="A94" s="62"/>
      <c r="B94" s="62"/>
      <c r="C94" s="62"/>
      <c r="D94" s="62"/>
    </row>
    <row r="95">
      <c r="A95" s="62"/>
      <c r="B95" s="62"/>
      <c r="C95" s="62"/>
      <c r="D95" s="62"/>
    </row>
    <row r="96">
      <c r="A96" s="62"/>
      <c r="B96" s="62"/>
      <c r="C96" s="62"/>
      <c r="D96" s="62"/>
    </row>
    <row r="97">
      <c r="A97" s="62"/>
      <c r="B97" s="62"/>
      <c r="C97" s="62"/>
      <c r="D97" s="62"/>
    </row>
    <row r="98">
      <c r="A98" s="62"/>
      <c r="B98" s="62"/>
      <c r="C98" s="62"/>
      <c r="D98" s="62"/>
    </row>
    <row r="99">
      <c r="A99" s="62"/>
      <c r="B99" s="62"/>
      <c r="C99" s="62"/>
      <c r="D99" s="62"/>
    </row>
    <row r="100">
      <c r="A100" s="62"/>
      <c r="B100" s="62"/>
      <c r="C100" s="62"/>
      <c r="D100" s="62"/>
    </row>
    <row r="101">
      <c r="A101" s="62"/>
      <c r="B101" s="62"/>
      <c r="C101" s="62"/>
      <c r="D101" s="62"/>
    </row>
    <row r="102">
      <c r="A102" s="62"/>
      <c r="B102" s="62"/>
      <c r="C102" s="62"/>
      <c r="D102" s="62"/>
    </row>
    <row r="103">
      <c r="A103" s="62"/>
      <c r="B103" s="62"/>
      <c r="C103" s="62"/>
      <c r="D103" s="62"/>
    </row>
    <row r="104">
      <c r="A104" s="62"/>
      <c r="B104" s="62"/>
      <c r="C104" s="62"/>
      <c r="D104" s="62"/>
    </row>
    <row r="105">
      <c r="A105" s="62"/>
      <c r="B105" s="62"/>
      <c r="C105" s="62"/>
      <c r="D105" s="62"/>
    </row>
    <row r="106">
      <c r="A106" s="62"/>
      <c r="B106" s="62"/>
      <c r="C106" s="62"/>
      <c r="D106" s="62"/>
    </row>
    <row r="107">
      <c r="A107" s="62"/>
      <c r="B107" s="62"/>
      <c r="C107" s="62"/>
      <c r="D107" s="62"/>
    </row>
    <row r="108">
      <c r="A108" s="62"/>
      <c r="B108" s="62"/>
      <c r="C108" s="62"/>
      <c r="D108" s="62"/>
    </row>
    <row r="109">
      <c r="A109" s="62"/>
      <c r="B109" s="62"/>
      <c r="C109" s="62"/>
      <c r="D109" s="62"/>
    </row>
    <row r="110">
      <c r="A110" s="62"/>
      <c r="B110" s="62"/>
      <c r="C110" s="62"/>
      <c r="D110" s="62"/>
    </row>
    <row r="111">
      <c r="A111" s="62"/>
      <c r="B111" s="62"/>
      <c r="C111" s="62"/>
      <c r="D111" s="62"/>
    </row>
    <row r="112">
      <c r="A112" s="62"/>
      <c r="B112" s="62"/>
      <c r="C112" s="62"/>
      <c r="D112" s="62"/>
    </row>
    <row r="113">
      <c r="A113" s="62"/>
      <c r="B113" s="62"/>
      <c r="C113" s="62"/>
      <c r="D113" s="62"/>
    </row>
    <row r="114">
      <c r="A114" s="62"/>
      <c r="B114" s="62"/>
      <c r="C114" s="62"/>
      <c r="D114" s="62"/>
    </row>
    <row r="115">
      <c r="A115" s="62"/>
      <c r="B115" s="62"/>
      <c r="C115" s="62"/>
      <c r="D115" s="62"/>
    </row>
    <row r="116">
      <c r="A116" s="62"/>
      <c r="B116" s="62"/>
      <c r="C116" s="62"/>
      <c r="D116" s="62"/>
    </row>
    <row r="117">
      <c r="A117" s="62"/>
      <c r="B117" s="62"/>
      <c r="C117" s="62"/>
      <c r="D117" s="62"/>
    </row>
    <row r="118">
      <c r="A118" s="62"/>
      <c r="B118" s="62"/>
      <c r="C118" s="62"/>
      <c r="D118" s="62"/>
    </row>
    <row r="119">
      <c r="A119" s="62"/>
      <c r="B119" s="62"/>
      <c r="C119" s="62"/>
      <c r="D119" s="62"/>
    </row>
    <row r="120">
      <c r="A120" s="62"/>
      <c r="B120" s="62"/>
      <c r="C120" s="62"/>
      <c r="D120" s="62"/>
    </row>
    <row r="121">
      <c r="A121" s="62"/>
      <c r="B121" s="62"/>
      <c r="C121" s="62"/>
      <c r="D121" s="62"/>
    </row>
    <row r="122">
      <c r="A122" s="62"/>
      <c r="B122" s="62"/>
      <c r="C122" s="62"/>
      <c r="D122" s="62"/>
    </row>
    <row r="123">
      <c r="A123" s="62"/>
      <c r="B123" s="62"/>
      <c r="C123" s="62"/>
      <c r="D123" s="62"/>
    </row>
    <row r="124">
      <c r="A124" s="62"/>
      <c r="B124" s="62"/>
      <c r="C124" s="62"/>
      <c r="D124" s="62"/>
    </row>
    <row r="125">
      <c r="A125" s="62"/>
      <c r="B125" s="62"/>
      <c r="C125" s="62"/>
      <c r="D125" s="62"/>
    </row>
    <row r="126">
      <c r="A126" s="62"/>
      <c r="B126" s="62"/>
      <c r="C126" s="62"/>
      <c r="D126" s="62"/>
    </row>
    <row r="127">
      <c r="A127" s="62"/>
      <c r="B127" s="62"/>
      <c r="C127" s="62"/>
      <c r="D127" s="62"/>
    </row>
    <row r="128">
      <c r="A128" s="62"/>
      <c r="B128" s="62"/>
      <c r="C128" s="62"/>
      <c r="D128" s="62"/>
    </row>
    <row r="129">
      <c r="A129" s="62"/>
      <c r="B129" s="62"/>
      <c r="C129" s="62"/>
      <c r="D129" s="62"/>
    </row>
    <row r="130">
      <c r="A130" s="62"/>
      <c r="B130" s="62"/>
      <c r="C130" s="62"/>
      <c r="D130" s="62"/>
    </row>
    <row r="131">
      <c r="A131" s="62"/>
      <c r="B131" s="62"/>
      <c r="C131" s="62"/>
      <c r="D131" s="62"/>
    </row>
    <row r="132">
      <c r="A132" s="62"/>
      <c r="B132" s="62"/>
      <c r="C132" s="62"/>
      <c r="D132" s="62"/>
    </row>
    <row r="133">
      <c r="A133" s="62"/>
      <c r="B133" s="62"/>
      <c r="C133" s="62"/>
      <c r="D133" s="62"/>
    </row>
    <row r="134">
      <c r="A134" s="62"/>
      <c r="B134" s="62"/>
      <c r="C134" s="62"/>
      <c r="D134" s="62"/>
    </row>
    <row r="135">
      <c r="A135" s="62"/>
      <c r="B135" s="62"/>
      <c r="C135" s="62"/>
      <c r="D135" s="62"/>
    </row>
    <row r="136">
      <c r="A136" s="62"/>
      <c r="B136" s="62"/>
      <c r="C136" s="62"/>
      <c r="D136" s="62"/>
    </row>
    <row r="137">
      <c r="A137" s="62"/>
      <c r="B137" s="62"/>
      <c r="C137" s="62"/>
      <c r="D137" s="62"/>
    </row>
    <row r="138">
      <c r="A138" s="62"/>
      <c r="B138" s="62"/>
      <c r="C138" s="62"/>
      <c r="D138" s="62"/>
    </row>
    <row r="139">
      <c r="A139" s="62"/>
      <c r="B139" s="62"/>
      <c r="C139" s="62"/>
      <c r="D139" s="62"/>
    </row>
    <row r="140">
      <c r="A140" s="62"/>
      <c r="B140" s="62"/>
      <c r="C140" s="62"/>
      <c r="D140" s="62"/>
    </row>
    <row r="141">
      <c r="A141" s="62"/>
      <c r="B141" s="62"/>
      <c r="C141" s="62"/>
      <c r="D141" s="62"/>
    </row>
    <row r="142">
      <c r="A142" s="62"/>
      <c r="B142" s="62"/>
      <c r="C142" s="62"/>
      <c r="D142" s="62"/>
    </row>
    <row r="143">
      <c r="A143" s="62"/>
      <c r="B143" s="62"/>
      <c r="C143" s="62"/>
      <c r="D143" s="62"/>
    </row>
    <row r="144">
      <c r="A144" s="62"/>
      <c r="B144" s="62"/>
      <c r="C144" s="62"/>
      <c r="D144" s="62"/>
    </row>
    <row r="145">
      <c r="A145" s="62"/>
      <c r="B145" s="62"/>
      <c r="C145" s="62"/>
      <c r="D145" s="62"/>
    </row>
    <row r="146">
      <c r="A146" s="62"/>
      <c r="B146" s="62"/>
      <c r="C146" s="62"/>
      <c r="D146" s="62"/>
    </row>
    <row r="147">
      <c r="A147" s="62"/>
      <c r="B147" s="62"/>
      <c r="C147" s="62"/>
      <c r="D147" s="62"/>
    </row>
    <row r="148">
      <c r="A148" s="62"/>
      <c r="B148" s="62"/>
      <c r="C148" s="62"/>
      <c r="D148" s="62"/>
    </row>
    <row r="149">
      <c r="A149" s="62"/>
      <c r="B149" s="62"/>
      <c r="C149" s="62"/>
      <c r="D149" s="62"/>
    </row>
    <row r="150">
      <c r="A150" s="62"/>
      <c r="B150" s="62"/>
      <c r="C150" s="62"/>
      <c r="D150" s="62"/>
    </row>
    <row r="151">
      <c r="A151" s="62"/>
      <c r="B151" s="62"/>
      <c r="C151" s="62"/>
      <c r="D151" s="62"/>
    </row>
    <row r="152">
      <c r="A152" s="62"/>
      <c r="B152" s="62"/>
      <c r="C152" s="62"/>
      <c r="D152" s="62"/>
    </row>
    <row r="153">
      <c r="A153" s="62"/>
      <c r="B153" s="62"/>
      <c r="C153" s="62"/>
      <c r="D153" s="62"/>
    </row>
    <row r="154">
      <c r="A154" s="62"/>
      <c r="B154" s="62"/>
      <c r="C154" s="62"/>
      <c r="D154" s="62"/>
    </row>
    <row r="155">
      <c r="A155" s="62"/>
      <c r="B155" s="62"/>
      <c r="C155" s="62"/>
      <c r="D155" s="62"/>
    </row>
    <row r="156">
      <c r="A156" s="62"/>
      <c r="B156" s="62"/>
      <c r="C156" s="62"/>
      <c r="D156" s="62"/>
    </row>
    <row r="157">
      <c r="A157" s="62"/>
      <c r="B157" s="62"/>
      <c r="C157" s="62"/>
      <c r="D157" s="62"/>
    </row>
    <row r="158">
      <c r="A158" s="62"/>
      <c r="B158" s="62"/>
      <c r="C158" s="62"/>
      <c r="D158" s="62"/>
    </row>
    <row r="159">
      <c r="A159" s="62"/>
      <c r="B159" s="62"/>
      <c r="C159" s="62"/>
      <c r="D159" s="62"/>
    </row>
    <row r="160">
      <c r="A160" s="62"/>
      <c r="B160" s="62"/>
      <c r="C160" s="62"/>
      <c r="D160" s="62"/>
    </row>
    <row r="161">
      <c r="A161" s="62"/>
      <c r="B161" s="62"/>
      <c r="C161" s="62"/>
      <c r="D161" s="62"/>
    </row>
    <row r="162">
      <c r="A162" s="62"/>
      <c r="B162" s="62"/>
      <c r="C162" s="62"/>
      <c r="D162" s="62"/>
    </row>
    <row r="163">
      <c r="A163" s="62"/>
      <c r="B163" s="62"/>
      <c r="C163" s="62"/>
      <c r="D163" s="62"/>
    </row>
    <row r="164">
      <c r="A164" s="62"/>
      <c r="B164" s="62"/>
      <c r="C164" s="62"/>
      <c r="D164" s="62"/>
    </row>
    <row r="165">
      <c r="A165" s="62"/>
      <c r="B165" s="62"/>
      <c r="C165" s="62"/>
      <c r="D165" s="62"/>
    </row>
    <row r="166">
      <c r="A166" s="62"/>
      <c r="B166" s="62"/>
      <c r="C166" s="62"/>
      <c r="D166" s="62"/>
    </row>
    <row r="167">
      <c r="A167" s="62"/>
      <c r="B167" s="62"/>
      <c r="C167" s="62"/>
      <c r="D167" s="62"/>
    </row>
    <row r="168">
      <c r="A168" s="62"/>
      <c r="B168" s="62"/>
      <c r="C168" s="62"/>
      <c r="D168" s="62"/>
    </row>
    <row r="169">
      <c r="A169" s="62"/>
      <c r="B169" s="62"/>
      <c r="C169" s="62"/>
      <c r="D169" s="62"/>
    </row>
    <row r="170">
      <c r="A170" s="62"/>
      <c r="B170" s="62"/>
      <c r="C170" s="62"/>
      <c r="D170" s="62"/>
    </row>
    <row r="171">
      <c r="A171" s="62"/>
      <c r="B171" s="62"/>
      <c r="C171" s="62"/>
      <c r="D171" s="62"/>
    </row>
    <row r="172">
      <c r="A172" s="62"/>
      <c r="B172" s="62"/>
      <c r="C172" s="62"/>
      <c r="D172" s="62"/>
    </row>
    <row r="173">
      <c r="A173" s="62"/>
      <c r="B173" s="62"/>
      <c r="C173" s="62"/>
      <c r="D173" s="62"/>
    </row>
    <row r="174">
      <c r="A174" s="62"/>
      <c r="B174" s="62"/>
      <c r="C174" s="62"/>
      <c r="D174" s="62"/>
    </row>
    <row r="175">
      <c r="A175" s="62"/>
      <c r="B175" s="62"/>
      <c r="C175" s="62"/>
      <c r="D175" s="62"/>
    </row>
    <row r="176">
      <c r="A176" s="62"/>
      <c r="B176" s="62"/>
      <c r="C176" s="62"/>
      <c r="D176" s="62"/>
    </row>
    <row r="177">
      <c r="A177" s="62"/>
      <c r="B177" s="62"/>
      <c r="C177" s="62"/>
      <c r="D177" s="62"/>
    </row>
    <row r="178">
      <c r="A178" s="62"/>
      <c r="B178" s="62"/>
      <c r="C178" s="62"/>
      <c r="D178" s="62"/>
    </row>
    <row r="179">
      <c r="A179" s="62"/>
      <c r="B179" s="62"/>
      <c r="C179" s="62"/>
      <c r="D179" s="62"/>
    </row>
    <row r="180">
      <c r="A180" s="62"/>
      <c r="B180" s="62"/>
      <c r="C180" s="62"/>
      <c r="D180" s="62"/>
    </row>
    <row r="181">
      <c r="A181" s="62"/>
      <c r="B181" s="62"/>
      <c r="C181" s="62"/>
      <c r="D181" s="62"/>
    </row>
    <row r="182">
      <c r="A182" s="62"/>
      <c r="B182" s="62"/>
      <c r="C182" s="62"/>
      <c r="D182" s="62"/>
    </row>
    <row r="183">
      <c r="A183" s="62"/>
      <c r="B183" s="62"/>
      <c r="C183" s="62"/>
      <c r="D183" s="62"/>
    </row>
    <row r="184">
      <c r="A184" s="62"/>
      <c r="B184" s="62"/>
      <c r="C184" s="62"/>
      <c r="D184" s="62"/>
    </row>
    <row r="185">
      <c r="A185" s="62"/>
      <c r="B185" s="62"/>
      <c r="C185" s="62"/>
      <c r="D185" s="62"/>
    </row>
    <row r="186">
      <c r="A186" s="62"/>
      <c r="B186" s="62"/>
      <c r="C186" s="62"/>
      <c r="D186" s="62"/>
    </row>
    <row r="187">
      <c r="A187" s="62"/>
      <c r="B187" s="62"/>
      <c r="C187" s="62"/>
      <c r="D187" s="62"/>
    </row>
    <row r="188">
      <c r="A188" s="62"/>
      <c r="B188" s="62"/>
      <c r="C188" s="62"/>
      <c r="D188" s="62"/>
    </row>
    <row r="189">
      <c r="A189" s="62"/>
      <c r="B189" s="62"/>
      <c r="C189" s="62"/>
      <c r="D189" s="62"/>
    </row>
    <row r="190">
      <c r="A190" s="62"/>
      <c r="B190" s="62"/>
      <c r="C190" s="62"/>
      <c r="D190" s="62"/>
    </row>
    <row r="191">
      <c r="A191" s="62"/>
      <c r="B191" s="62"/>
      <c r="C191" s="62"/>
      <c r="D191" s="62"/>
    </row>
    <row r="192">
      <c r="A192" s="62"/>
      <c r="B192" s="62"/>
      <c r="C192" s="62"/>
      <c r="D192" s="62"/>
    </row>
    <row r="193">
      <c r="A193" s="62"/>
      <c r="B193" s="62"/>
      <c r="C193" s="62"/>
      <c r="D193" s="62"/>
    </row>
    <row r="194">
      <c r="A194" s="62"/>
      <c r="B194" s="62"/>
      <c r="C194" s="62"/>
      <c r="D194" s="62"/>
    </row>
    <row r="195">
      <c r="A195" s="62"/>
      <c r="B195" s="62"/>
      <c r="C195" s="62"/>
      <c r="D195" s="62"/>
    </row>
    <row r="196">
      <c r="A196" s="62"/>
      <c r="B196" s="62"/>
      <c r="C196" s="62"/>
      <c r="D196" s="62"/>
    </row>
    <row r="197">
      <c r="A197" s="62"/>
      <c r="B197" s="62"/>
      <c r="C197" s="62"/>
      <c r="D197" s="62"/>
    </row>
    <row r="198">
      <c r="A198" s="62"/>
      <c r="B198" s="62"/>
      <c r="C198" s="62"/>
      <c r="D198" s="62"/>
    </row>
    <row r="199">
      <c r="A199" s="62"/>
      <c r="B199" s="62"/>
      <c r="C199" s="62"/>
      <c r="D199" s="62"/>
    </row>
    <row r="200">
      <c r="A200" s="62"/>
      <c r="B200" s="62"/>
      <c r="C200" s="62"/>
      <c r="D200" s="62"/>
    </row>
    <row r="201">
      <c r="A201" s="62"/>
      <c r="B201" s="62"/>
      <c r="C201" s="62"/>
      <c r="D201" s="62"/>
    </row>
    <row r="202">
      <c r="A202" s="62"/>
      <c r="B202" s="62"/>
      <c r="C202" s="62"/>
      <c r="D202" s="62"/>
    </row>
    <row r="203">
      <c r="A203" s="62"/>
      <c r="B203" s="62"/>
      <c r="C203" s="62"/>
      <c r="D203" s="62"/>
    </row>
    <row r="204">
      <c r="A204" s="62"/>
      <c r="B204" s="62"/>
      <c r="C204" s="62"/>
      <c r="D204" s="62"/>
    </row>
    <row r="205">
      <c r="A205" s="62"/>
      <c r="B205" s="62"/>
      <c r="C205" s="62"/>
      <c r="D205" s="62"/>
    </row>
    <row r="206">
      <c r="A206" s="62"/>
      <c r="B206" s="62"/>
      <c r="C206" s="62"/>
      <c r="D206" s="62"/>
    </row>
    <row r="207">
      <c r="A207" s="62"/>
      <c r="B207" s="62"/>
      <c r="C207" s="62"/>
      <c r="D207" s="62"/>
    </row>
    <row r="208">
      <c r="A208" s="62"/>
      <c r="B208" s="62"/>
      <c r="C208" s="62"/>
      <c r="D208" s="62"/>
    </row>
    <row r="209">
      <c r="A209" s="62"/>
      <c r="B209" s="62"/>
      <c r="C209" s="62"/>
      <c r="D209" s="62"/>
    </row>
    <row r="210">
      <c r="A210" s="62"/>
      <c r="B210" s="62"/>
      <c r="C210" s="62"/>
      <c r="D210" s="62"/>
    </row>
    <row r="211">
      <c r="A211" s="62"/>
      <c r="B211" s="62"/>
      <c r="C211" s="62"/>
      <c r="D211" s="62"/>
    </row>
    <row r="212">
      <c r="A212" s="62"/>
      <c r="B212" s="62"/>
      <c r="C212" s="62"/>
      <c r="D212" s="62"/>
    </row>
    <row r="213">
      <c r="A213" s="62"/>
      <c r="B213" s="62"/>
      <c r="C213" s="62"/>
      <c r="D213" s="62"/>
    </row>
    <row r="214">
      <c r="A214" s="62"/>
      <c r="B214" s="62"/>
      <c r="C214" s="62"/>
      <c r="D214" s="62"/>
    </row>
    <row r="215">
      <c r="A215" s="62"/>
      <c r="B215" s="62"/>
      <c r="C215" s="62"/>
      <c r="D215" s="62"/>
    </row>
    <row r="216">
      <c r="A216" s="62"/>
      <c r="B216" s="62"/>
      <c r="C216" s="62"/>
      <c r="D216" s="62"/>
    </row>
    <row r="217">
      <c r="A217" s="62"/>
      <c r="B217" s="62"/>
      <c r="C217" s="62"/>
      <c r="D217" s="62"/>
    </row>
    <row r="218">
      <c r="A218" s="62"/>
      <c r="B218" s="62"/>
      <c r="C218" s="62"/>
      <c r="D218" s="62"/>
    </row>
    <row r="219">
      <c r="A219" s="62"/>
      <c r="B219" s="62"/>
      <c r="C219" s="62"/>
      <c r="D219" s="62"/>
    </row>
    <row r="220">
      <c r="A220" s="62"/>
      <c r="B220" s="62"/>
      <c r="C220" s="62"/>
      <c r="D220" s="62"/>
    </row>
    <row r="221">
      <c r="A221" s="62"/>
      <c r="B221" s="62"/>
      <c r="C221" s="62"/>
      <c r="D221" s="62"/>
    </row>
    <row r="222">
      <c r="A222" s="62"/>
      <c r="B222" s="62"/>
      <c r="C222" s="62"/>
      <c r="D222" s="62"/>
    </row>
    <row r="223">
      <c r="A223" s="62"/>
      <c r="B223" s="62"/>
      <c r="C223" s="62"/>
      <c r="D223" s="62"/>
    </row>
    <row r="224">
      <c r="A224" s="62"/>
      <c r="B224" s="62"/>
      <c r="C224" s="62"/>
      <c r="D224" s="62"/>
    </row>
    <row r="225">
      <c r="A225" s="62"/>
      <c r="B225" s="62"/>
      <c r="C225" s="62"/>
      <c r="D225" s="62"/>
    </row>
    <row r="226">
      <c r="A226" s="62"/>
      <c r="B226" s="62"/>
      <c r="C226" s="62"/>
      <c r="D226" s="62"/>
    </row>
    <row r="227">
      <c r="A227" s="62"/>
      <c r="B227" s="62"/>
      <c r="C227" s="62"/>
      <c r="D227" s="62"/>
    </row>
    <row r="228">
      <c r="A228" s="62"/>
      <c r="B228" s="62"/>
      <c r="C228" s="62"/>
      <c r="D228" s="62"/>
    </row>
    <row r="229">
      <c r="A229" s="62"/>
      <c r="B229" s="62"/>
      <c r="C229" s="62"/>
      <c r="D229" s="62"/>
    </row>
    <row r="230">
      <c r="A230" s="62"/>
      <c r="B230" s="62"/>
      <c r="C230" s="62"/>
      <c r="D230" s="62"/>
    </row>
    <row r="231">
      <c r="A231" s="62"/>
      <c r="B231" s="62"/>
      <c r="C231" s="62"/>
      <c r="D231" s="62"/>
    </row>
    <row r="232">
      <c r="A232" s="62"/>
      <c r="B232" s="62"/>
      <c r="C232" s="62"/>
      <c r="D232" s="62"/>
    </row>
    <row r="233">
      <c r="A233" s="62"/>
      <c r="B233" s="62"/>
      <c r="C233" s="62"/>
      <c r="D233" s="62"/>
    </row>
    <row r="234">
      <c r="A234" s="62"/>
      <c r="B234" s="62"/>
      <c r="C234" s="62"/>
      <c r="D234" s="62"/>
    </row>
    <row r="235">
      <c r="A235" s="62"/>
      <c r="B235" s="62"/>
      <c r="C235" s="62"/>
      <c r="D235" s="62"/>
    </row>
    <row r="236">
      <c r="A236" s="62"/>
      <c r="B236" s="62"/>
      <c r="C236" s="62"/>
      <c r="D236" s="62"/>
    </row>
    <row r="237">
      <c r="A237" s="62"/>
      <c r="B237" s="62"/>
      <c r="C237" s="62"/>
      <c r="D237" s="62"/>
    </row>
    <row r="238">
      <c r="A238" s="62"/>
      <c r="B238" s="62"/>
      <c r="C238" s="62"/>
      <c r="D238" s="62"/>
    </row>
    <row r="239">
      <c r="A239" s="62"/>
      <c r="B239" s="62"/>
      <c r="C239" s="62"/>
      <c r="D239" s="62"/>
    </row>
    <row r="240">
      <c r="A240" s="62"/>
      <c r="B240" s="62"/>
      <c r="C240" s="62"/>
      <c r="D240" s="62"/>
    </row>
    <row r="241">
      <c r="A241" s="62"/>
      <c r="B241" s="62"/>
      <c r="C241" s="62"/>
      <c r="D241" s="62"/>
    </row>
    <row r="242">
      <c r="A242" s="62"/>
      <c r="B242" s="62"/>
      <c r="C242" s="62"/>
      <c r="D242" s="62"/>
    </row>
    <row r="243">
      <c r="A243" s="62"/>
      <c r="B243" s="62"/>
      <c r="C243" s="62"/>
      <c r="D243" s="62"/>
    </row>
    <row r="244">
      <c r="A244" s="62"/>
      <c r="B244" s="62"/>
      <c r="C244" s="62"/>
      <c r="D244" s="62"/>
    </row>
    <row r="245">
      <c r="A245" s="62"/>
      <c r="B245" s="62"/>
      <c r="C245" s="62"/>
      <c r="D245" s="62"/>
    </row>
    <row r="246">
      <c r="A246" s="62"/>
      <c r="B246" s="62"/>
      <c r="C246" s="62"/>
      <c r="D246" s="62"/>
    </row>
    <row r="247">
      <c r="A247" s="62"/>
      <c r="B247" s="62"/>
      <c r="C247" s="62"/>
      <c r="D247" s="62"/>
    </row>
    <row r="248">
      <c r="A248" s="62"/>
      <c r="B248" s="62"/>
      <c r="C248" s="62"/>
      <c r="D248" s="62"/>
    </row>
    <row r="249">
      <c r="A249" s="62"/>
      <c r="B249" s="62"/>
      <c r="C249" s="62"/>
      <c r="D249" s="62"/>
    </row>
    <row r="250">
      <c r="A250" s="62"/>
      <c r="B250" s="62"/>
      <c r="C250" s="62"/>
      <c r="D250" s="62"/>
    </row>
    <row r="251">
      <c r="A251" s="62"/>
      <c r="B251" s="62"/>
      <c r="C251" s="62"/>
      <c r="D251" s="62"/>
    </row>
    <row r="252">
      <c r="A252" s="62"/>
      <c r="B252" s="62"/>
      <c r="C252" s="62"/>
      <c r="D252" s="62"/>
    </row>
    <row r="253">
      <c r="A253" s="62"/>
      <c r="B253" s="62"/>
      <c r="C253" s="62"/>
      <c r="D253" s="62"/>
    </row>
    <row r="254">
      <c r="A254" s="62"/>
      <c r="B254" s="62"/>
      <c r="C254" s="62"/>
      <c r="D254" s="62"/>
    </row>
    <row r="255">
      <c r="A255" s="62"/>
      <c r="B255" s="62"/>
      <c r="C255" s="62"/>
      <c r="D255" s="62"/>
    </row>
    <row r="256">
      <c r="A256" s="62"/>
      <c r="B256" s="62"/>
      <c r="C256" s="62"/>
      <c r="D256" s="62"/>
    </row>
    <row r="257">
      <c r="A257" s="62"/>
      <c r="B257" s="62"/>
      <c r="C257" s="62"/>
      <c r="D257" s="62"/>
    </row>
    <row r="258">
      <c r="A258" s="62"/>
      <c r="B258" s="62"/>
      <c r="C258" s="62"/>
      <c r="D258" s="62"/>
    </row>
    <row r="259">
      <c r="A259" s="62"/>
      <c r="B259" s="62"/>
      <c r="C259" s="62"/>
      <c r="D259" s="62"/>
    </row>
    <row r="260">
      <c r="A260" s="62"/>
      <c r="B260" s="62"/>
      <c r="C260" s="62"/>
      <c r="D260" s="62"/>
    </row>
    <row r="261">
      <c r="A261" s="62"/>
      <c r="B261" s="62"/>
      <c r="C261" s="62"/>
      <c r="D261" s="62"/>
    </row>
    <row r="262">
      <c r="A262" s="62"/>
      <c r="B262" s="62"/>
      <c r="C262" s="62"/>
      <c r="D262" s="62"/>
    </row>
    <row r="263">
      <c r="A263" s="62"/>
      <c r="B263" s="62"/>
      <c r="C263" s="62"/>
      <c r="D263" s="62"/>
    </row>
    <row r="264">
      <c r="A264" s="62"/>
      <c r="B264" s="62"/>
      <c r="C264" s="62"/>
      <c r="D264" s="62"/>
    </row>
    <row r="265">
      <c r="A265" s="62"/>
      <c r="B265" s="62"/>
      <c r="C265" s="62"/>
      <c r="D265" s="62"/>
    </row>
    <row r="266">
      <c r="A266" s="62"/>
      <c r="B266" s="62"/>
      <c r="C266" s="62"/>
      <c r="D266" s="62"/>
    </row>
    <row r="267">
      <c r="A267" s="62"/>
      <c r="B267" s="62"/>
      <c r="C267" s="62"/>
      <c r="D267" s="62"/>
    </row>
    <row r="268">
      <c r="A268" s="62"/>
      <c r="B268" s="62"/>
      <c r="C268" s="62"/>
      <c r="D268" s="62"/>
    </row>
    <row r="269">
      <c r="A269" s="62"/>
      <c r="B269" s="62"/>
      <c r="C269" s="62"/>
      <c r="D269" s="62"/>
    </row>
    <row r="270">
      <c r="A270" s="62"/>
      <c r="B270" s="62"/>
      <c r="C270" s="62"/>
      <c r="D270" s="62"/>
    </row>
    <row r="271">
      <c r="A271" s="62"/>
      <c r="B271" s="62"/>
      <c r="C271" s="62"/>
      <c r="D271" s="62"/>
    </row>
    <row r="272">
      <c r="A272" s="62"/>
      <c r="B272" s="62"/>
      <c r="C272" s="62"/>
      <c r="D272" s="62"/>
    </row>
    <row r="273">
      <c r="A273" s="62"/>
      <c r="B273" s="62"/>
      <c r="C273" s="62"/>
      <c r="D273" s="62"/>
    </row>
    <row r="274">
      <c r="A274" s="62"/>
      <c r="B274" s="62"/>
      <c r="C274" s="62"/>
      <c r="D274" s="62"/>
    </row>
    <row r="275">
      <c r="A275" s="62"/>
      <c r="B275" s="62"/>
      <c r="C275" s="62"/>
      <c r="D275" s="62"/>
    </row>
    <row r="276">
      <c r="A276" s="62"/>
      <c r="B276" s="62"/>
      <c r="C276" s="62"/>
      <c r="D276" s="62"/>
    </row>
    <row r="277">
      <c r="A277" s="62"/>
      <c r="B277" s="62"/>
      <c r="C277" s="62"/>
      <c r="D277" s="62"/>
    </row>
    <row r="278">
      <c r="A278" s="62"/>
      <c r="B278" s="62"/>
      <c r="C278" s="62"/>
      <c r="D278" s="62"/>
    </row>
    <row r="279">
      <c r="A279" s="62"/>
      <c r="B279" s="62"/>
      <c r="C279" s="62"/>
      <c r="D279" s="62"/>
    </row>
    <row r="280">
      <c r="A280" s="62"/>
      <c r="B280" s="62"/>
      <c r="C280" s="62"/>
      <c r="D280" s="62"/>
    </row>
    <row r="281">
      <c r="A281" s="62"/>
      <c r="B281" s="62"/>
      <c r="C281" s="62"/>
      <c r="D281" s="62"/>
    </row>
    <row r="282">
      <c r="A282" s="62"/>
      <c r="B282" s="62"/>
      <c r="C282" s="62"/>
      <c r="D282" s="62"/>
    </row>
    <row r="283">
      <c r="A283" s="62"/>
      <c r="B283" s="62"/>
      <c r="C283" s="62"/>
      <c r="D283" s="62"/>
    </row>
    <row r="284">
      <c r="A284" s="62"/>
      <c r="B284" s="62"/>
      <c r="C284" s="62"/>
      <c r="D284" s="62"/>
    </row>
    <row r="285">
      <c r="A285" s="62"/>
      <c r="B285" s="62"/>
      <c r="C285" s="62"/>
      <c r="D285" s="62"/>
    </row>
    <row r="286">
      <c r="A286" s="62"/>
      <c r="B286" s="62"/>
      <c r="C286" s="62"/>
      <c r="D286" s="62"/>
    </row>
    <row r="287">
      <c r="A287" s="62"/>
      <c r="B287" s="62"/>
      <c r="C287" s="62"/>
      <c r="D287" s="62"/>
    </row>
    <row r="288">
      <c r="A288" s="62"/>
      <c r="B288" s="62"/>
      <c r="C288" s="62"/>
      <c r="D288" s="62"/>
    </row>
    <row r="289">
      <c r="A289" s="62"/>
      <c r="B289" s="62"/>
      <c r="C289" s="62"/>
      <c r="D289" s="62"/>
    </row>
    <row r="290">
      <c r="A290" s="62"/>
      <c r="B290" s="62"/>
      <c r="C290" s="62"/>
      <c r="D290" s="62"/>
    </row>
    <row r="291">
      <c r="A291" s="62"/>
      <c r="B291" s="62"/>
      <c r="C291" s="62"/>
      <c r="D291" s="62"/>
    </row>
    <row r="292">
      <c r="A292" s="62"/>
      <c r="B292" s="62"/>
      <c r="C292" s="62"/>
      <c r="D292" s="62"/>
    </row>
    <row r="293">
      <c r="A293" s="62"/>
      <c r="B293" s="62"/>
      <c r="C293" s="62"/>
      <c r="D293" s="62"/>
    </row>
    <row r="294">
      <c r="A294" s="62"/>
      <c r="B294" s="62"/>
      <c r="C294" s="62"/>
      <c r="D294" s="62"/>
    </row>
    <row r="295">
      <c r="A295" s="62"/>
      <c r="B295" s="62"/>
      <c r="C295" s="62"/>
      <c r="D295" s="62"/>
    </row>
    <row r="296">
      <c r="A296" s="62"/>
      <c r="B296" s="62"/>
      <c r="C296" s="62"/>
      <c r="D296" s="62"/>
    </row>
    <row r="297">
      <c r="A297" s="62"/>
      <c r="B297" s="62"/>
      <c r="C297" s="62"/>
      <c r="D297" s="62"/>
    </row>
    <row r="298">
      <c r="A298" s="62"/>
      <c r="B298" s="62"/>
      <c r="C298" s="62"/>
      <c r="D298" s="62"/>
    </row>
    <row r="299">
      <c r="A299" s="62"/>
      <c r="B299" s="62"/>
      <c r="C299" s="62"/>
      <c r="D299" s="62"/>
    </row>
    <row r="300">
      <c r="A300" s="62"/>
      <c r="B300" s="62"/>
      <c r="C300" s="62"/>
      <c r="D300" s="62"/>
    </row>
    <row r="301">
      <c r="A301" s="62"/>
      <c r="B301" s="62"/>
      <c r="C301" s="62"/>
      <c r="D301" s="62"/>
    </row>
    <row r="302">
      <c r="A302" s="62"/>
      <c r="B302" s="62"/>
      <c r="C302" s="62"/>
      <c r="D302" s="62"/>
    </row>
    <row r="303">
      <c r="A303" s="62"/>
      <c r="B303" s="62"/>
      <c r="C303" s="62"/>
      <c r="D303" s="62"/>
    </row>
    <row r="304">
      <c r="A304" s="62"/>
      <c r="B304" s="62"/>
      <c r="C304" s="62"/>
      <c r="D304" s="62"/>
    </row>
    <row r="305">
      <c r="A305" s="62"/>
      <c r="B305" s="62"/>
      <c r="C305" s="62"/>
      <c r="D305" s="62"/>
    </row>
    <row r="306">
      <c r="A306" s="62"/>
      <c r="B306" s="62"/>
      <c r="C306" s="62"/>
      <c r="D306" s="62"/>
    </row>
    <row r="307">
      <c r="A307" s="62"/>
      <c r="B307" s="62"/>
      <c r="C307" s="62"/>
      <c r="D307" s="62"/>
    </row>
    <row r="308">
      <c r="A308" s="62"/>
      <c r="B308" s="62"/>
      <c r="C308" s="62"/>
      <c r="D308" s="62"/>
    </row>
    <row r="309">
      <c r="A309" s="62"/>
      <c r="B309" s="62"/>
      <c r="C309" s="62"/>
      <c r="D309" s="62"/>
    </row>
    <row r="310">
      <c r="A310" s="62"/>
      <c r="B310" s="62"/>
      <c r="C310" s="62"/>
      <c r="D310" s="62"/>
    </row>
    <row r="311">
      <c r="A311" s="62"/>
      <c r="B311" s="62"/>
      <c r="C311" s="62"/>
      <c r="D311" s="62"/>
    </row>
    <row r="312">
      <c r="A312" s="62"/>
      <c r="B312" s="62"/>
      <c r="C312" s="62"/>
      <c r="D312" s="62"/>
    </row>
    <row r="313">
      <c r="A313" s="62"/>
      <c r="B313" s="62"/>
      <c r="C313" s="62"/>
      <c r="D313" s="62"/>
    </row>
    <row r="314">
      <c r="A314" s="62"/>
      <c r="B314" s="62"/>
      <c r="C314" s="62"/>
      <c r="D314" s="62"/>
    </row>
    <row r="315">
      <c r="A315" s="62"/>
      <c r="B315" s="62"/>
      <c r="C315" s="62"/>
      <c r="D315" s="62"/>
    </row>
    <row r="316">
      <c r="A316" s="62"/>
      <c r="B316" s="62"/>
      <c r="C316" s="62"/>
      <c r="D316" s="62"/>
    </row>
    <row r="317">
      <c r="A317" s="62"/>
      <c r="B317" s="62"/>
      <c r="C317" s="62"/>
      <c r="D317" s="62"/>
    </row>
    <row r="318">
      <c r="A318" s="62"/>
      <c r="B318" s="62"/>
      <c r="C318" s="62"/>
      <c r="D318" s="62"/>
    </row>
    <row r="319">
      <c r="A319" s="62"/>
      <c r="B319" s="62"/>
      <c r="C319" s="62"/>
      <c r="D319" s="62"/>
    </row>
    <row r="320">
      <c r="A320" s="62"/>
      <c r="B320" s="62"/>
      <c r="C320" s="62"/>
      <c r="D320" s="62"/>
    </row>
    <row r="321">
      <c r="A321" s="62"/>
      <c r="B321" s="62"/>
      <c r="C321" s="62"/>
      <c r="D321" s="62"/>
    </row>
    <row r="322">
      <c r="A322" s="62"/>
      <c r="B322" s="62"/>
      <c r="C322" s="62"/>
      <c r="D322" s="62"/>
    </row>
    <row r="323">
      <c r="A323" s="62"/>
      <c r="B323" s="62"/>
      <c r="C323" s="62"/>
      <c r="D323" s="62"/>
    </row>
    <row r="324">
      <c r="A324" s="62"/>
      <c r="B324" s="62"/>
      <c r="C324" s="62"/>
      <c r="D324" s="62"/>
    </row>
    <row r="325">
      <c r="A325" s="62"/>
      <c r="B325" s="62"/>
      <c r="C325" s="62"/>
      <c r="D325" s="62"/>
    </row>
    <row r="326">
      <c r="A326" s="62"/>
      <c r="B326" s="62"/>
      <c r="C326" s="62"/>
      <c r="D326" s="62"/>
    </row>
    <row r="327">
      <c r="A327" s="62"/>
      <c r="B327" s="62"/>
      <c r="C327" s="62"/>
      <c r="D327" s="62"/>
    </row>
    <row r="328">
      <c r="A328" s="62"/>
      <c r="B328" s="62"/>
      <c r="C328" s="62"/>
      <c r="D328" s="62"/>
    </row>
    <row r="329">
      <c r="A329" s="62"/>
      <c r="B329" s="62"/>
      <c r="C329" s="62"/>
      <c r="D329" s="62"/>
    </row>
    <row r="330">
      <c r="A330" s="62"/>
      <c r="B330" s="62"/>
      <c r="C330" s="62"/>
      <c r="D330" s="62"/>
    </row>
    <row r="331">
      <c r="A331" s="62"/>
      <c r="B331" s="62"/>
      <c r="C331" s="62"/>
      <c r="D331" s="62"/>
    </row>
    <row r="332">
      <c r="A332" s="62"/>
      <c r="B332" s="62"/>
      <c r="C332" s="62"/>
      <c r="D332" s="62"/>
    </row>
    <row r="333">
      <c r="A333" s="62"/>
      <c r="B333" s="62"/>
      <c r="C333" s="62"/>
      <c r="D333" s="62"/>
    </row>
    <row r="334">
      <c r="A334" s="62"/>
      <c r="B334" s="62"/>
      <c r="C334" s="62"/>
      <c r="D334" s="62"/>
    </row>
    <row r="335">
      <c r="A335" s="62"/>
      <c r="B335" s="62"/>
      <c r="C335" s="62"/>
      <c r="D335" s="62"/>
    </row>
    <row r="336">
      <c r="A336" s="62"/>
      <c r="B336" s="62"/>
      <c r="C336" s="62"/>
      <c r="D336" s="62"/>
    </row>
    <row r="337">
      <c r="A337" s="62"/>
      <c r="B337" s="62"/>
      <c r="C337" s="62"/>
      <c r="D337" s="62"/>
    </row>
    <row r="338">
      <c r="A338" s="62"/>
      <c r="B338" s="62"/>
      <c r="C338" s="62"/>
      <c r="D338" s="62"/>
    </row>
    <row r="339">
      <c r="A339" s="62"/>
      <c r="B339" s="62"/>
      <c r="C339" s="62"/>
      <c r="D339" s="62"/>
    </row>
    <row r="340">
      <c r="A340" s="62"/>
      <c r="B340" s="62"/>
      <c r="C340" s="62"/>
      <c r="D340" s="62"/>
    </row>
    <row r="341">
      <c r="A341" s="62"/>
      <c r="B341" s="62"/>
      <c r="C341" s="62"/>
      <c r="D341" s="62"/>
    </row>
    <row r="342">
      <c r="A342" s="62"/>
      <c r="B342" s="62"/>
      <c r="C342" s="62"/>
      <c r="D342" s="62"/>
    </row>
    <row r="343">
      <c r="A343" s="62"/>
      <c r="B343" s="62"/>
      <c r="C343" s="62"/>
      <c r="D343" s="62"/>
    </row>
    <row r="344">
      <c r="A344" s="62"/>
      <c r="B344" s="62"/>
      <c r="C344" s="62"/>
      <c r="D344" s="62"/>
    </row>
    <row r="345">
      <c r="A345" s="62"/>
      <c r="B345" s="62"/>
      <c r="C345" s="62"/>
      <c r="D345" s="62"/>
    </row>
    <row r="346">
      <c r="A346" s="62"/>
      <c r="B346" s="62"/>
      <c r="C346" s="62"/>
      <c r="D346" s="62"/>
    </row>
    <row r="347">
      <c r="A347" s="62"/>
      <c r="B347" s="62"/>
      <c r="C347" s="62"/>
      <c r="D347" s="62"/>
    </row>
    <row r="348">
      <c r="A348" s="62"/>
      <c r="B348" s="62"/>
      <c r="C348" s="62"/>
      <c r="D348" s="62"/>
    </row>
    <row r="349">
      <c r="A349" s="62"/>
      <c r="B349" s="62"/>
      <c r="C349" s="62"/>
      <c r="D349" s="62"/>
    </row>
    <row r="350">
      <c r="A350" s="62"/>
      <c r="B350" s="62"/>
      <c r="C350" s="62"/>
      <c r="D350" s="62"/>
    </row>
    <row r="351">
      <c r="A351" s="62"/>
      <c r="B351" s="62"/>
      <c r="C351" s="62"/>
      <c r="D351" s="62"/>
    </row>
    <row r="352">
      <c r="A352" s="62"/>
      <c r="B352" s="62"/>
      <c r="C352" s="62"/>
      <c r="D352" s="62"/>
    </row>
    <row r="353">
      <c r="A353" s="62"/>
      <c r="B353" s="62"/>
      <c r="C353" s="62"/>
      <c r="D353" s="62"/>
    </row>
    <row r="354">
      <c r="A354" s="62"/>
      <c r="B354" s="62"/>
      <c r="C354" s="62"/>
      <c r="D354" s="62"/>
    </row>
    <row r="355">
      <c r="A355" s="62"/>
      <c r="B355" s="62"/>
      <c r="C355" s="62"/>
      <c r="D355" s="62"/>
    </row>
    <row r="356">
      <c r="A356" s="62"/>
      <c r="B356" s="62"/>
      <c r="C356" s="62"/>
      <c r="D356" s="62"/>
    </row>
    <row r="357">
      <c r="A357" s="62"/>
      <c r="B357" s="62"/>
      <c r="C357" s="62"/>
      <c r="D357" s="62"/>
    </row>
    <row r="358">
      <c r="A358" s="62"/>
      <c r="B358" s="62"/>
      <c r="C358" s="62"/>
      <c r="D358" s="62"/>
    </row>
    <row r="359">
      <c r="A359" s="62"/>
      <c r="B359" s="62"/>
      <c r="C359" s="62"/>
      <c r="D359" s="62"/>
    </row>
    <row r="360">
      <c r="A360" s="62"/>
      <c r="B360" s="62"/>
      <c r="C360" s="62"/>
      <c r="D360" s="62"/>
    </row>
    <row r="361">
      <c r="A361" s="62"/>
      <c r="B361" s="62"/>
      <c r="C361" s="62"/>
      <c r="D361" s="62"/>
    </row>
    <row r="362">
      <c r="A362" s="62"/>
      <c r="B362" s="62"/>
      <c r="C362" s="62"/>
      <c r="D362" s="62"/>
    </row>
    <row r="363">
      <c r="A363" s="62"/>
      <c r="B363" s="62"/>
      <c r="C363" s="62"/>
      <c r="D363" s="62"/>
    </row>
    <row r="364">
      <c r="A364" s="62"/>
      <c r="B364" s="62"/>
      <c r="C364" s="62"/>
      <c r="D364" s="62"/>
    </row>
    <row r="365">
      <c r="A365" s="62"/>
      <c r="B365" s="62"/>
      <c r="C365" s="62"/>
      <c r="D365" s="62"/>
    </row>
    <row r="366">
      <c r="A366" s="62"/>
      <c r="B366" s="62"/>
      <c r="C366" s="62"/>
      <c r="D366" s="62"/>
    </row>
    <row r="367">
      <c r="A367" s="62"/>
      <c r="B367" s="62"/>
      <c r="C367" s="62"/>
      <c r="D367" s="62"/>
    </row>
    <row r="368">
      <c r="A368" s="62"/>
      <c r="B368" s="62"/>
      <c r="C368" s="62"/>
      <c r="D368" s="62"/>
    </row>
    <row r="369">
      <c r="A369" s="62"/>
      <c r="B369" s="62"/>
      <c r="C369" s="62"/>
      <c r="D369" s="62"/>
    </row>
    <row r="370">
      <c r="A370" s="62"/>
      <c r="B370" s="62"/>
      <c r="C370" s="62"/>
      <c r="D370" s="62"/>
    </row>
    <row r="371">
      <c r="A371" s="62"/>
      <c r="B371" s="62"/>
      <c r="C371" s="62"/>
      <c r="D371" s="62"/>
    </row>
    <row r="372">
      <c r="A372" s="62"/>
      <c r="B372" s="62"/>
      <c r="C372" s="62"/>
      <c r="D372" s="62"/>
    </row>
    <row r="373">
      <c r="A373" s="62"/>
      <c r="B373" s="62"/>
      <c r="C373" s="62"/>
      <c r="D373" s="62"/>
    </row>
    <row r="374">
      <c r="A374" s="62"/>
      <c r="B374" s="62"/>
      <c r="C374" s="62"/>
      <c r="D374" s="62"/>
    </row>
    <row r="375">
      <c r="A375" s="62"/>
      <c r="B375" s="62"/>
      <c r="C375" s="62"/>
      <c r="D375" s="62"/>
    </row>
    <row r="376">
      <c r="A376" s="62"/>
      <c r="B376" s="62"/>
      <c r="C376" s="62"/>
      <c r="D376" s="62"/>
    </row>
    <row r="377">
      <c r="A377" s="62"/>
      <c r="B377" s="62"/>
      <c r="C377" s="62"/>
      <c r="D377" s="62"/>
    </row>
    <row r="378">
      <c r="A378" s="62"/>
      <c r="B378" s="62"/>
      <c r="C378" s="62"/>
      <c r="D378" s="62"/>
    </row>
    <row r="379">
      <c r="A379" s="62"/>
      <c r="B379" s="62"/>
      <c r="C379" s="62"/>
      <c r="D379" s="62"/>
    </row>
    <row r="380">
      <c r="A380" s="62"/>
      <c r="B380" s="62"/>
      <c r="C380" s="62"/>
      <c r="D380" s="62"/>
    </row>
    <row r="381">
      <c r="A381" s="62"/>
      <c r="B381" s="62"/>
      <c r="C381" s="62"/>
      <c r="D381" s="62"/>
    </row>
    <row r="382">
      <c r="A382" s="62"/>
      <c r="B382" s="62"/>
      <c r="C382" s="62"/>
      <c r="D382" s="62"/>
    </row>
    <row r="383">
      <c r="A383" s="62"/>
      <c r="B383" s="62"/>
      <c r="C383" s="62"/>
      <c r="D383" s="62"/>
    </row>
    <row r="384">
      <c r="A384" s="62"/>
      <c r="B384" s="62"/>
      <c r="C384" s="62"/>
      <c r="D384" s="62"/>
    </row>
    <row r="385">
      <c r="A385" s="62"/>
      <c r="B385" s="62"/>
      <c r="C385" s="62"/>
      <c r="D385" s="62"/>
    </row>
    <row r="386">
      <c r="A386" s="62"/>
      <c r="B386" s="62"/>
      <c r="C386" s="62"/>
      <c r="D386" s="62"/>
    </row>
    <row r="387">
      <c r="A387" s="62"/>
      <c r="B387" s="62"/>
      <c r="C387" s="62"/>
      <c r="D387" s="62"/>
    </row>
    <row r="388">
      <c r="A388" s="62"/>
      <c r="B388" s="62"/>
      <c r="C388" s="62"/>
      <c r="D388" s="62"/>
    </row>
    <row r="389">
      <c r="A389" s="62"/>
      <c r="B389" s="62"/>
      <c r="C389" s="62"/>
      <c r="D389" s="62"/>
    </row>
    <row r="390">
      <c r="A390" s="62"/>
      <c r="B390" s="62"/>
      <c r="C390" s="62"/>
      <c r="D390" s="62"/>
    </row>
    <row r="391">
      <c r="A391" s="62"/>
      <c r="B391" s="62"/>
      <c r="C391" s="62"/>
      <c r="D391" s="62"/>
    </row>
    <row r="392">
      <c r="A392" s="62"/>
      <c r="B392" s="62"/>
      <c r="C392" s="62"/>
      <c r="D392" s="62"/>
    </row>
    <row r="393">
      <c r="A393" s="62"/>
      <c r="B393" s="62"/>
      <c r="C393" s="62"/>
      <c r="D393" s="62"/>
    </row>
    <row r="394">
      <c r="A394" s="62"/>
      <c r="B394" s="62"/>
      <c r="C394" s="62"/>
      <c r="D394" s="62"/>
    </row>
    <row r="395">
      <c r="A395" s="62"/>
      <c r="B395" s="62"/>
      <c r="C395" s="62"/>
      <c r="D395" s="62"/>
    </row>
    <row r="396">
      <c r="A396" s="62"/>
      <c r="B396" s="62"/>
      <c r="C396" s="62"/>
      <c r="D396" s="62"/>
    </row>
    <row r="397">
      <c r="A397" s="62"/>
      <c r="B397" s="62"/>
      <c r="C397" s="62"/>
      <c r="D397" s="62"/>
    </row>
    <row r="398">
      <c r="A398" s="62"/>
      <c r="B398" s="62"/>
      <c r="C398" s="62"/>
      <c r="D398" s="62"/>
    </row>
    <row r="399">
      <c r="A399" s="62"/>
      <c r="B399" s="62"/>
      <c r="C399" s="62"/>
      <c r="D399" s="62"/>
    </row>
    <row r="400">
      <c r="A400" s="62"/>
      <c r="B400" s="62"/>
      <c r="C400" s="62"/>
      <c r="D400" s="62"/>
    </row>
    <row r="401">
      <c r="A401" s="62"/>
      <c r="B401" s="62"/>
      <c r="C401" s="62"/>
      <c r="D401" s="62"/>
    </row>
    <row r="402">
      <c r="A402" s="62"/>
      <c r="B402" s="62"/>
      <c r="C402" s="62"/>
      <c r="D402" s="62"/>
    </row>
    <row r="403">
      <c r="A403" s="62"/>
      <c r="B403" s="62"/>
      <c r="C403" s="62"/>
      <c r="D403" s="62"/>
    </row>
    <row r="404">
      <c r="A404" s="62"/>
      <c r="B404" s="62"/>
      <c r="C404" s="62"/>
      <c r="D404" s="62"/>
    </row>
    <row r="405">
      <c r="A405" s="62"/>
      <c r="B405" s="62"/>
      <c r="C405" s="62"/>
      <c r="D405" s="62"/>
    </row>
    <row r="406">
      <c r="A406" s="62"/>
      <c r="B406" s="62"/>
      <c r="C406" s="62"/>
      <c r="D406" s="62"/>
    </row>
    <row r="407">
      <c r="A407" s="62"/>
      <c r="B407" s="62"/>
      <c r="C407" s="62"/>
      <c r="D407" s="62"/>
    </row>
    <row r="408">
      <c r="A408" s="62"/>
      <c r="B408" s="62"/>
      <c r="C408" s="62"/>
      <c r="D408" s="62"/>
    </row>
    <row r="409">
      <c r="A409" s="62"/>
      <c r="B409" s="62"/>
      <c r="C409" s="62"/>
      <c r="D409" s="62"/>
    </row>
    <row r="410">
      <c r="A410" s="62"/>
      <c r="B410" s="62"/>
      <c r="C410" s="62"/>
      <c r="D410" s="62"/>
    </row>
    <row r="411">
      <c r="A411" s="62"/>
      <c r="B411" s="62"/>
      <c r="C411" s="62"/>
      <c r="D411" s="62"/>
    </row>
    <row r="412">
      <c r="A412" s="62"/>
      <c r="B412" s="62"/>
      <c r="C412" s="62"/>
      <c r="D412" s="62"/>
    </row>
    <row r="413">
      <c r="A413" s="62"/>
      <c r="B413" s="62"/>
      <c r="C413" s="62"/>
      <c r="D413" s="62"/>
    </row>
    <row r="414">
      <c r="A414" s="62"/>
      <c r="B414" s="62"/>
      <c r="C414" s="62"/>
      <c r="D414" s="62"/>
    </row>
    <row r="415">
      <c r="A415" s="62"/>
      <c r="B415" s="62"/>
      <c r="C415" s="62"/>
      <c r="D415" s="62"/>
    </row>
    <row r="416">
      <c r="A416" s="62"/>
      <c r="B416" s="62"/>
      <c r="C416" s="62"/>
      <c r="D416" s="62"/>
    </row>
    <row r="417">
      <c r="A417" s="62"/>
      <c r="B417" s="62"/>
      <c r="C417" s="62"/>
      <c r="D417" s="62"/>
    </row>
    <row r="418">
      <c r="A418" s="62"/>
      <c r="B418" s="62"/>
      <c r="C418" s="62"/>
      <c r="D418" s="62"/>
    </row>
    <row r="419">
      <c r="A419" s="62"/>
      <c r="B419" s="62"/>
      <c r="C419" s="62"/>
      <c r="D419" s="62"/>
    </row>
    <row r="420">
      <c r="A420" s="62"/>
      <c r="B420" s="62"/>
      <c r="C420" s="62"/>
      <c r="D420" s="62"/>
    </row>
    <row r="421">
      <c r="A421" s="62"/>
      <c r="B421" s="62"/>
      <c r="C421" s="62"/>
      <c r="D421" s="62"/>
    </row>
    <row r="422">
      <c r="A422" s="62"/>
      <c r="B422" s="62"/>
      <c r="C422" s="62"/>
      <c r="D422" s="62"/>
    </row>
    <row r="423">
      <c r="A423" s="62"/>
      <c r="B423" s="62"/>
      <c r="C423" s="62"/>
      <c r="D423" s="62"/>
    </row>
    <row r="424">
      <c r="A424" s="62"/>
      <c r="B424" s="62"/>
      <c r="C424" s="62"/>
      <c r="D424" s="62"/>
    </row>
    <row r="425">
      <c r="A425" s="62"/>
      <c r="B425" s="62"/>
      <c r="C425" s="62"/>
      <c r="D425" s="62"/>
    </row>
    <row r="426">
      <c r="A426" s="62"/>
      <c r="B426" s="62"/>
      <c r="C426" s="62"/>
      <c r="D426" s="62"/>
    </row>
    <row r="427">
      <c r="A427" s="62"/>
      <c r="B427" s="62"/>
      <c r="C427" s="62"/>
      <c r="D427" s="62"/>
    </row>
    <row r="428">
      <c r="A428" s="62"/>
      <c r="B428" s="62"/>
      <c r="C428" s="62"/>
      <c r="D428" s="62"/>
    </row>
    <row r="429">
      <c r="A429" s="62"/>
      <c r="B429" s="62"/>
      <c r="C429" s="62"/>
      <c r="D429" s="62"/>
    </row>
    <row r="430">
      <c r="A430" s="62"/>
      <c r="B430" s="62"/>
      <c r="C430" s="62"/>
      <c r="D430" s="62"/>
    </row>
    <row r="431">
      <c r="A431" s="62"/>
      <c r="B431" s="62"/>
      <c r="C431" s="62"/>
      <c r="D431" s="62"/>
    </row>
    <row r="432">
      <c r="A432" s="62"/>
      <c r="B432" s="62"/>
      <c r="C432" s="62"/>
      <c r="D432" s="62"/>
    </row>
    <row r="433">
      <c r="A433" s="62"/>
      <c r="B433" s="62"/>
      <c r="C433" s="62"/>
      <c r="D433" s="62"/>
    </row>
    <row r="434">
      <c r="A434" s="62"/>
      <c r="B434" s="62"/>
      <c r="C434" s="62"/>
      <c r="D434" s="62"/>
    </row>
    <row r="435">
      <c r="A435" s="62"/>
      <c r="B435" s="62"/>
      <c r="C435" s="62"/>
      <c r="D435" s="62"/>
    </row>
    <row r="436">
      <c r="A436" s="62"/>
      <c r="B436" s="62"/>
      <c r="C436" s="62"/>
      <c r="D436" s="62"/>
    </row>
    <row r="437">
      <c r="A437" s="62"/>
      <c r="B437" s="62"/>
      <c r="C437" s="62"/>
      <c r="D437" s="62"/>
    </row>
    <row r="438">
      <c r="A438" s="62"/>
      <c r="B438" s="62"/>
      <c r="C438" s="62"/>
      <c r="D438" s="62"/>
    </row>
    <row r="439">
      <c r="A439" s="62"/>
      <c r="B439" s="62"/>
      <c r="C439" s="62"/>
      <c r="D439" s="62"/>
    </row>
    <row r="440">
      <c r="A440" s="62"/>
      <c r="B440" s="62"/>
      <c r="C440" s="62"/>
      <c r="D440" s="62"/>
    </row>
    <row r="441">
      <c r="A441" s="62"/>
      <c r="B441" s="62"/>
      <c r="C441" s="62"/>
      <c r="D441" s="62"/>
    </row>
    <row r="442">
      <c r="A442" s="62"/>
      <c r="B442" s="62"/>
      <c r="C442" s="62"/>
      <c r="D442" s="62"/>
    </row>
    <row r="443">
      <c r="A443" s="62"/>
      <c r="B443" s="62"/>
      <c r="C443" s="62"/>
      <c r="D443" s="62"/>
    </row>
    <row r="444">
      <c r="A444" s="62"/>
      <c r="B444" s="62"/>
      <c r="C444" s="62"/>
      <c r="D444" s="62"/>
    </row>
    <row r="445">
      <c r="A445" s="62"/>
      <c r="B445" s="62"/>
      <c r="C445" s="62"/>
      <c r="D445" s="62"/>
    </row>
    <row r="446">
      <c r="A446" s="62"/>
      <c r="B446" s="62"/>
      <c r="C446" s="62"/>
      <c r="D446" s="62"/>
    </row>
    <row r="447">
      <c r="A447" s="62"/>
      <c r="B447" s="62"/>
      <c r="C447" s="62"/>
      <c r="D447" s="62"/>
    </row>
    <row r="448">
      <c r="A448" s="62"/>
      <c r="B448" s="62"/>
      <c r="C448" s="62"/>
      <c r="D448" s="62"/>
    </row>
    <row r="449">
      <c r="A449" s="62"/>
      <c r="B449" s="62"/>
      <c r="C449" s="62"/>
      <c r="D449" s="62"/>
    </row>
    <row r="450">
      <c r="A450" s="62"/>
      <c r="B450" s="62"/>
      <c r="C450" s="62"/>
      <c r="D450" s="62"/>
    </row>
    <row r="451">
      <c r="A451" s="62"/>
      <c r="B451" s="62"/>
      <c r="C451" s="62"/>
      <c r="D451" s="62"/>
    </row>
    <row r="452">
      <c r="A452" s="62"/>
      <c r="B452" s="62"/>
      <c r="C452" s="62"/>
      <c r="D452" s="62"/>
    </row>
    <row r="453">
      <c r="A453" s="62"/>
      <c r="B453" s="62"/>
      <c r="C453" s="62"/>
      <c r="D453" s="62"/>
    </row>
    <row r="454">
      <c r="A454" s="62"/>
      <c r="B454" s="62"/>
      <c r="C454" s="62"/>
      <c r="D454" s="62"/>
    </row>
    <row r="455">
      <c r="A455" s="62"/>
      <c r="B455" s="62"/>
      <c r="C455" s="62"/>
      <c r="D455" s="62"/>
    </row>
    <row r="456">
      <c r="A456" s="62"/>
      <c r="B456" s="62"/>
      <c r="C456" s="62"/>
      <c r="D456" s="62"/>
    </row>
    <row r="457">
      <c r="A457" s="62"/>
      <c r="B457" s="62"/>
      <c r="C457" s="62"/>
      <c r="D457" s="62"/>
    </row>
    <row r="458">
      <c r="A458" s="62"/>
      <c r="B458" s="62"/>
      <c r="C458" s="62"/>
      <c r="D458" s="62"/>
    </row>
    <row r="459">
      <c r="A459" s="62"/>
      <c r="B459" s="62"/>
      <c r="C459" s="62"/>
      <c r="D459" s="62"/>
    </row>
    <row r="460">
      <c r="A460" s="62"/>
      <c r="B460" s="62"/>
      <c r="C460" s="62"/>
      <c r="D460" s="62"/>
    </row>
    <row r="461">
      <c r="A461" s="62"/>
      <c r="B461" s="62"/>
      <c r="C461" s="62"/>
      <c r="D461" s="62"/>
    </row>
    <row r="462">
      <c r="A462" s="62"/>
      <c r="B462" s="62"/>
      <c r="C462" s="62"/>
      <c r="D462" s="62"/>
    </row>
    <row r="463">
      <c r="A463" s="62"/>
      <c r="B463" s="62"/>
      <c r="C463" s="62"/>
      <c r="D463" s="62"/>
    </row>
    <row r="464">
      <c r="A464" s="62"/>
      <c r="B464" s="62"/>
      <c r="C464" s="62"/>
      <c r="D464" s="62"/>
    </row>
    <row r="465">
      <c r="A465" s="62"/>
      <c r="B465" s="62"/>
      <c r="C465" s="62"/>
      <c r="D465" s="62"/>
    </row>
    <row r="466">
      <c r="A466" s="62"/>
      <c r="B466" s="62"/>
      <c r="C466" s="62"/>
      <c r="D466" s="62"/>
    </row>
    <row r="467">
      <c r="A467" s="62"/>
      <c r="B467" s="62"/>
      <c r="C467" s="62"/>
      <c r="D467" s="62"/>
    </row>
    <row r="468">
      <c r="A468" s="62"/>
      <c r="B468" s="62"/>
      <c r="C468" s="62"/>
      <c r="D468" s="62"/>
    </row>
    <row r="469">
      <c r="A469" s="62"/>
      <c r="B469" s="62"/>
      <c r="C469" s="62"/>
      <c r="D469" s="62"/>
    </row>
    <row r="470">
      <c r="A470" s="62"/>
      <c r="B470" s="62"/>
      <c r="C470" s="62"/>
      <c r="D470" s="62"/>
    </row>
    <row r="471">
      <c r="A471" s="62"/>
      <c r="B471" s="62"/>
      <c r="C471" s="62"/>
      <c r="D471" s="62"/>
    </row>
    <row r="472">
      <c r="A472" s="62"/>
      <c r="B472" s="62"/>
      <c r="C472" s="62"/>
      <c r="D472" s="62"/>
    </row>
    <row r="473">
      <c r="A473" s="62"/>
      <c r="B473" s="62"/>
      <c r="C473" s="62"/>
      <c r="D473" s="62"/>
    </row>
    <row r="474">
      <c r="A474" s="62"/>
      <c r="B474" s="62"/>
      <c r="C474" s="62"/>
      <c r="D474" s="62"/>
    </row>
    <row r="475">
      <c r="A475" s="62"/>
      <c r="B475" s="62"/>
      <c r="C475" s="62"/>
      <c r="D475" s="62"/>
    </row>
    <row r="476">
      <c r="A476" s="62"/>
      <c r="B476" s="62"/>
      <c r="C476" s="62"/>
      <c r="D476" s="62"/>
    </row>
    <row r="477">
      <c r="A477" s="62"/>
      <c r="B477" s="62"/>
      <c r="C477" s="62"/>
      <c r="D477" s="62"/>
    </row>
    <row r="478">
      <c r="A478" s="62"/>
      <c r="B478" s="62"/>
      <c r="C478" s="62"/>
      <c r="D478" s="62"/>
    </row>
    <row r="479">
      <c r="A479" s="62"/>
      <c r="B479" s="62"/>
      <c r="C479" s="62"/>
      <c r="D479" s="62"/>
    </row>
    <row r="480">
      <c r="A480" s="62"/>
      <c r="B480" s="62"/>
      <c r="C480" s="62"/>
      <c r="D480" s="62"/>
    </row>
    <row r="481">
      <c r="A481" s="62"/>
      <c r="B481" s="62"/>
      <c r="C481" s="62"/>
      <c r="D481" s="62"/>
    </row>
    <row r="482">
      <c r="A482" s="62"/>
      <c r="B482" s="62"/>
      <c r="C482" s="62"/>
      <c r="D482" s="62"/>
    </row>
    <row r="483">
      <c r="A483" s="62"/>
      <c r="B483" s="62"/>
      <c r="C483" s="62"/>
      <c r="D483" s="62"/>
    </row>
    <row r="484">
      <c r="A484" s="62"/>
      <c r="B484" s="62"/>
      <c r="C484" s="62"/>
      <c r="D484" s="62"/>
    </row>
    <row r="485">
      <c r="A485" s="62"/>
      <c r="B485" s="62"/>
      <c r="C485" s="62"/>
      <c r="D485" s="62"/>
    </row>
    <row r="486">
      <c r="A486" s="62"/>
      <c r="B486" s="62"/>
      <c r="C486" s="62"/>
      <c r="D486" s="62"/>
    </row>
    <row r="487">
      <c r="A487" s="62"/>
      <c r="B487" s="62"/>
      <c r="C487" s="62"/>
      <c r="D487" s="62"/>
    </row>
    <row r="488">
      <c r="A488" s="62"/>
      <c r="B488" s="62"/>
      <c r="C488" s="62"/>
      <c r="D488" s="62"/>
    </row>
    <row r="489">
      <c r="A489" s="62"/>
      <c r="B489" s="62"/>
      <c r="C489" s="62"/>
      <c r="D489" s="62"/>
    </row>
    <row r="490">
      <c r="A490" s="62"/>
      <c r="B490" s="62"/>
      <c r="C490" s="62"/>
      <c r="D490" s="62"/>
    </row>
    <row r="491">
      <c r="A491" s="62"/>
      <c r="B491" s="62"/>
      <c r="C491" s="62"/>
      <c r="D491" s="62"/>
    </row>
    <row r="492">
      <c r="A492" s="62"/>
      <c r="B492" s="62"/>
      <c r="C492" s="62"/>
      <c r="D492" s="62"/>
    </row>
    <row r="493">
      <c r="A493" s="62"/>
      <c r="B493" s="62"/>
      <c r="C493" s="62"/>
      <c r="D493" s="62"/>
    </row>
    <row r="494">
      <c r="A494" s="62"/>
      <c r="B494" s="62"/>
      <c r="C494" s="62"/>
      <c r="D494" s="62"/>
    </row>
    <row r="495">
      <c r="A495" s="62"/>
      <c r="B495" s="62"/>
      <c r="C495" s="62"/>
      <c r="D495" s="62"/>
    </row>
    <row r="496">
      <c r="A496" s="62"/>
      <c r="B496" s="62"/>
      <c r="C496" s="62"/>
      <c r="D496" s="62"/>
    </row>
    <row r="497">
      <c r="A497" s="62"/>
      <c r="B497" s="62"/>
      <c r="C497" s="62"/>
      <c r="D497" s="62"/>
    </row>
    <row r="498">
      <c r="A498" s="62"/>
      <c r="B498" s="62"/>
      <c r="C498" s="62"/>
      <c r="D498" s="62"/>
    </row>
    <row r="499">
      <c r="A499" s="62"/>
      <c r="B499" s="62"/>
      <c r="C499" s="62"/>
      <c r="D499" s="62"/>
    </row>
    <row r="500">
      <c r="A500" s="62"/>
      <c r="B500" s="62"/>
      <c r="C500" s="62"/>
      <c r="D500" s="62"/>
    </row>
    <row r="501">
      <c r="A501" s="62"/>
      <c r="B501" s="62"/>
      <c r="C501" s="62"/>
      <c r="D501" s="62"/>
    </row>
    <row r="502">
      <c r="A502" s="62"/>
      <c r="B502" s="62"/>
      <c r="C502" s="62"/>
      <c r="D502" s="62"/>
    </row>
    <row r="503">
      <c r="A503" s="62"/>
      <c r="B503" s="62"/>
      <c r="C503" s="62"/>
      <c r="D503" s="62"/>
    </row>
    <row r="504">
      <c r="A504" s="62"/>
      <c r="B504" s="62"/>
      <c r="C504" s="62"/>
      <c r="D504" s="62"/>
    </row>
    <row r="505">
      <c r="A505" s="62"/>
      <c r="B505" s="62"/>
      <c r="C505" s="62"/>
      <c r="D505" s="62"/>
    </row>
    <row r="506">
      <c r="A506" s="62"/>
      <c r="B506" s="62"/>
      <c r="C506" s="62"/>
      <c r="D506" s="62"/>
    </row>
    <row r="507">
      <c r="A507" s="62"/>
      <c r="B507" s="62"/>
      <c r="C507" s="62"/>
      <c r="D507" s="62"/>
    </row>
    <row r="508">
      <c r="A508" s="62"/>
      <c r="B508" s="62"/>
      <c r="C508" s="62"/>
      <c r="D508" s="62"/>
    </row>
    <row r="509">
      <c r="A509" s="62"/>
      <c r="B509" s="62"/>
      <c r="C509" s="62"/>
      <c r="D509" s="62"/>
    </row>
    <row r="510">
      <c r="A510" s="62"/>
      <c r="B510" s="62"/>
      <c r="C510" s="62"/>
      <c r="D510" s="62"/>
    </row>
    <row r="511">
      <c r="A511" s="62"/>
      <c r="B511" s="62"/>
      <c r="C511" s="62"/>
      <c r="D511" s="62"/>
    </row>
    <row r="512">
      <c r="A512" s="62"/>
      <c r="B512" s="62"/>
      <c r="C512" s="62"/>
      <c r="D512" s="62"/>
    </row>
    <row r="513">
      <c r="A513" s="62"/>
      <c r="B513" s="62"/>
      <c r="C513" s="62"/>
      <c r="D513" s="62"/>
    </row>
    <row r="514">
      <c r="A514" s="62"/>
      <c r="B514" s="62"/>
      <c r="C514" s="62"/>
      <c r="D514" s="62"/>
    </row>
    <row r="515">
      <c r="A515" s="62"/>
      <c r="B515" s="62"/>
      <c r="C515" s="62"/>
      <c r="D515" s="62"/>
    </row>
    <row r="516">
      <c r="A516" s="62"/>
      <c r="B516" s="62"/>
      <c r="C516" s="62"/>
      <c r="D516" s="62"/>
    </row>
    <row r="517">
      <c r="A517" s="62"/>
      <c r="B517" s="62"/>
      <c r="C517" s="62"/>
      <c r="D517" s="62"/>
    </row>
    <row r="518">
      <c r="A518" s="62"/>
      <c r="B518" s="62"/>
      <c r="C518" s="62"/>
      <c r="D518" s="62"/>
    </row>
    <row r="519">
      <c r="A519" s="62"/>
      <c r="B519" s="62"/>
      <c r="C519" s="62"/>
      <c r="D519" s="62"/>
    </row>
    <row r="520">
      <c r="A520" s="62"/>
      <c r="B520" s="62"/>
      <c r="C520" s="62"/>
      <c r="D520" s="62"/>
    </row>
    <row r="521">
      <c r="A521" s="62"/>
      <c r="B521" s="62"/>
      <c r="C521" s="62"/>
      <c r="D521" s="62"/>
    </row>
    <row r="522">
      <c r="A522" s="62"/>
      <c r="B522" s="62"/>
      <c r="C522" s="62"/>
      <c r="D522" s="62"/>
    </row>
    <row r="523">
      <c r="A523" s="62"/>
      <c r="B523" s="62"/>
      <c r="C523" s="62"/>
      <c r="D523" s="62"/>
    </row>
    <row r="524">
      <c r="A524" s="62"/>
      <c r="B524" s="62"/>
      <c r="C524" s="62"/>
      <c r="D524" s="62"/>
    </row>
    <row r="525">
      <c r="A525" s="62"/>
      <c r="B525" s="62"/>
      <c r="C525" s="62"/>
      <c r="D525" s="62"/>
    </row>
    <row r="526">
      <c r="A526" s="62"/>
      <c r="B526" s="62"/>
      <c r="C526" s="62"/>
      <c r="D526" s="62"/>
    </row>
    <row r="527">
      <c r="A527" s="62"/>
      <c r="B527" s="62"/>
      <c r="C527" s="62"/>
      <c r="D527" s="62"/>
    </row>
    <row r="528">
      <c r="A528" s="62"/>
      <c r="B528" s="62"/>
      <c r="C528" s="62"/>
      <c r="D528" s="62"/>
    </row>
    <row r="529">
      <c r="A529" s="62"/>
      <c r="B529" s="62"/>
      <c r="C529" s="62"/>
      <c r="D529" s="62"/>
    </row>
    <row r="530">
      <c r="A530" s="62"/>
      <c r="B530" s="62"/>
      <c r="C530" s="62"/>
      <c r="D530" s="62"/>
    </row>
    <row r="531">
      <c r="A531" s="62"/>
      <c r="B531" s="62"/>
      <c r="C531" s="62"/>
      <c r="D531" s="62"/>
    </row>
    <row r="532">
      <c r="A532" s="62"/>
      <c r="B532" s="62"/>
      <c r="C532" s="62"/>
      <c r="D532" s="62"/>
    </row>
    <row r="533">
      <c r="A533" s="62"/>
      <c r="B533" s="62"/>
      <c r="C533" s="62"/>
      <c r="D533" s="62"/>
    </row>
    <row r="534">
      <c r="A534" s="62"/>
      <c r="B534" s="62"/>
      <c r="C534" s="62"/>
      <c r="D534" s="62"/>
    </row>
    <row r="535">
      <c r="A535" s="62"/>
      <c r="B535" s="62"/>
      <c r="C535" s="62"/>
      <c r="D535" s="62"/>
    </row>
    <row r="536">
      <c r="A536" s="62"/>
      <c r="B536" s="62"/>
      <c r="C536" s="62"/>
      <c r="D536" s="62"/>
    </row>
    <row r="537">
      <c r="A537" s="62"/>
      <c r="B537" s="62"/>
      <c r="C537" s="62"/>
      <c r="D537" s="62"/>
    </row>
    <row r="538">
      <c r="A538" s="62"/>
      <c r="B538" s="62"/>
      <c r="C538" s="62"/>
      <c r="D538" s="62"/>
    </row>
    <row r="539">
      <c r="A539" s="62"/>
      <c r="B539" s="62"/>
      <c r="C539" s="62"/>
      <c r="D539" s="62"/>
    </row>
    <row r="540">
      <c r="A540" s="62"/>
      <c r="B540" s="62"/>
      <c r="C540" s="62"/>
      <c r="D540" s="62"/>
    </row>
    <row r="541">
      <c r="A541" s="62"/>
      <c r="B541" s="62"/>
      <c r="C541" s="62"/>
      <c r="D541" s="62"/>
    </row>
    <row r="542">
      <c r="A542" s="62"/>
      <c r="B542" s="62"/>
      <c r="C542" s="62"/>
      <c r="D542" s="62"/>
    </row>
    <row r="543">
      <c r="A543" s="62"/>
      <c r="B543" s="62"/>
      <c r="C543" s="62"/>
      <c r="D543" s="62"/>
    </row>
    <row r="544">
      <c r="A544" s="62"/>
      <c r="B544" s="62"/>
      <c r="C544" s="62"/>
      <c r="D544" s="62"/>
    </row>
    <row r="545">
      <c r="A545" s="62"/>
      <c r="B545" s="62"/>
      <c r="C545" s="62"/>
      <c r="D545" s="62"/>
    </row>
    <row r="546">
      <c r="A546" s="62"/>
      <c r="B546" s="62"/>
      <c r="C546" s="62"/>
      <c r="D546" s="62"/>
    </row>
    <row r="547">
      <c r="A547" s="62"/>
      <c r="B547" s="62"/>
      <c r="C547" s="62"/>
      <c r="D547" s="62"/>
    </row>
    <row r="548">
      <c r="A548" s="62"/>
      <c r="B548" s="62"/>
      <c r="C548" s="62"/>
      <c r="D548" s="62"/>
    </row>
    <row r="549">
      <c r="A549" s="62"/>
      <c r="B549" s="62"/>
      <c r="C549" s="62"/>
      <c r="D549" s="62"/>
    </row>
    <row r="550">
      <c r="A550" s="62"/>
      <c r="B550" s="62"/>
      <c r="C550" s="62"/>
      <c r="D550" s="62"/>
    </row>
    <row r="551">
      <c r="A551" s="62"/>
      <c r="B551" s="62"/>
      <c r="C551" s="62"/>
      <c r="D551" s="62"/>
    </row>
    <row r="552">
      <c r="A552" s="62"/>
      <c r="B552" s="62"/>
      <c r="C552" s="62"/>
      <c r="D552" s="62"/>
    </row>
    <row r="553">
      <c r="A553" s="62"/>
      <c r="B553" s="62"/>
      <c r="C553" s="62"/>
      <c r="D553" s="62"/>
    </row>
    <row r="554">
      <c r="A554" s="62"/>
      <c r="B554" s="62"/>
      <c r="C554" s="62"/>
      <c r="D554" s="62"/>
    </row>
    <row r="555">
      <c r="A555" s="62"/>
      <c r="B555" s="62"/>
      <c r="C555" s="62"/>
      <c r="D555" s="62"/>
    </row>
    <row r="556">
      <c r="A556" s="62"/>
      <c r="B556" s="62"/>
      <c r="C556" s="62"/>
      <c r="D556" s="62"/>
    </row>
    <row r="557">
      <c r="A557" s="62"/>
      <c r="B557" s="62"/>
      <c r="C557" s="62"/>
      <c r="D557" s="62"/>
    </row>
    <row r="558">
      <c r="A558" s="62"/>
      <c r="B558" s="62"/>
      <c r="C558" s="62"/>
      <c r="D558" s="62"/>
    </row>
    <row r="559">
      <c r="A559" s="62"/>
      <c r="B559" s="62"/>
      <c r="C559" s="62"/>
      <c r="D559" s="62"/>
    </row>
    <row r="560">
      <c r="A560" s="62"/>
      <c r="B560" s="62"/>
      <c r="C560" s="62"/>
      <c r="D560" s="62"/>
    </row>
    <row r="561">
      <c r="A561" s="62"/>
      <c r="B561" s="62"/>
      <c r="C561" s="62"/>
      <c r="D561" s="62"/>
    </row>
    <row r="562">
      <c r="A562" s="62"/>
      <c r="B562" s="62"/>
      <c r="C562" s="62"/>
      <c r="D562" s="62"/>
    </row>
    <row r="563">
      <c r="A563" s="62"/>
      <c r="B563" s="62"/>
      <c r="C563" s="62"/>
      <c r="D563" s="62"/>
    </row>
    <row r="564">
      <c r="A564" s="62"/>
      <c r="B564" s="62"/>
      <c r="C564" s="62"/>
      <c r="D564" s="62"/>
    </row>
    <row r="565">
      <c r="A565" s="62"/>
      <c r="B565" s="62"/>
      <c r="C565" s="62"/>
      <c r="D565" s="62"/>
    </row>
    <row r="566">
      <c r="A566" s="62"/>
      <c r="B566" s="62"/>
      <c r="C566" s="62"/>
      <c r="D566" s="62"/>
    </row>
    <row r="567">
      <c r="A567" s="62"/>
      <c r="B567" s="62"/>
      <c r="C567" s="62"/>
      <c r="D567" s="62"/>
    </row>
    <row r="568">
      <c r="A568" s="62"/>
      <c r="B568" s="62"/>
      <c r="C568" s="62"/>
      <c r="D568" s="62"/>
    </row>
    <row r="569">
      <c r="A569" s="62"/>
      <c r="B569" s="62"/>
      <c r="C569" s="62"/>
      <c r="D569" s="62"/>
    </row>
    <row r="570">
      <c r="A570" s="62"/>
      <c r="B570" s="62"/>
      <c r="C570" s="62"/>
      <c r="D570" s="62"/>
    </row>
    <row r="571">
      <c r="A571" s="62"/>
      <c r="B571" s="62"/>
      <c r="C571" s="62"/>
      <c r="D571" s="62"/>
    </row>
    <row r="572">
      <c r="A572" s="62"/>
      <c r="B572" s="62"/>
      <c r="C572" s="62"/>
      <c r="D572" s="62"/>
    </row>
    <row r="573">
      <c r="A573" s="62"/>
      <c r="B573" s="62"/>
      <c r="C573" s="62"/>
      <c r="D573" s="62"/>
    </row>
    <row r="574">
      <c r="A574" s="62"/>
      <c r="B574" s="62"/>
      <c r="C574" s="62"/>
      <c r="D574" s="62"/>
    </row>
    <row r="575">
      <c r="A575" s="62"/>
      <c r="B575" s="62"/>
      <c r="C575" s="62"/>
      <c r="D575" s="62"/>
    </row>
    <row r="576">
      <c r="A576" s="62"/>
      <c r="B576" s="62"/>
      <c r="C576" s="62"/>
      <c r="D576" s="62"/>
    </row>
    <row r="577">
      <c r="A577" s="62"/>
      <c r="B577" s="62"/>
      <c r="C577" s="62"/>
      <c r="D577" s="62"/>
    </row>
    <row r="578">
      <c r="A578" s="62"/>
      <c r="B578" s="62"/>
      <c r="C578" s="62"/>
      <c r="D578" s="62"/>
    </row>
    <row r="579">
      <c r="A579" s="62"/>
      <c r="B579" s="62"/>
      <c r="C579" s="62"/>
      <c r="D579" s="62"/>
    </row>
    <row r="580">
      <c r="A580" s="62"/>
      <c r="B580" s="62"/>
      <c r="C580" s="62"/>
      <c r="D580" s="62"/>
    </row>
    <row r="581">
      <c r="A581" s="62"/>
      <c r="B581" s="62"/>
      <c r="C581" s="62"/>
      <c r="D581" s="62"/>
    </row>
    <row r="582">
      <c r="A582" s="62"/>
      <c r="B582" s="62"/>
      <c r="C582" s="62"/>
      <c r="D582" s="62"/>
    </row>
    <row r="583">
      <c r="A583" s="62"/>
      <c r="B583" s="62"/>
      <c r="C583" s="62"/>
      <c r="D583" s="62"/>
    </row>
    <row r="584">
      <c r="A584" s="62"/>
      <c r="B584" s="62"/>
      <c r="C584" s="62"/>
      <c r="D584" s="62"/>
    </row>
    <row r="585">
      <c r="A585" s="62"/>
      <c r="B585" s="62"/>
      <c r="C585" s="62"/>
      <c r="D585" s="62"/>
    </row>
    <row r="586">
      <c r="A586" s="62"/>
      <c r="B586" s="62"/>
      <c r="C586" s="62"/>
      <c r="D586" s="62"/>
    </row>
    <row r="587">
      <c r="A587" s="62"/>
      <c r="B587" s="62"/>
      <c r="C587" s="62"/>
      <c r="D587" s="62"/>
    </row>
    <row r="588">
      <c r="A588" s="62"/>
      <c r="B588" s="62"/>
      <c r="C588" s="62"/>
      <c r="D588" s="62"/>
    </row>
    <row r="589">
      <c r="A589" s="62"/>
      <c r="B589" s="62"/>
      <c r="C589" s="62"/>
      <c r="D589" s="62"/>
    </row>
    <row r="590">
      <c r="A590" s="62"/>
      <c r="B590" s="62"/>
      <c r="C590" s="62"/>
      <c r="D590" s="62"/>
    </row>
    <row r="591">
      <c r="A591" s="62"/>
      <c r="B591" s="62"/>
      <c r="C591" s="62"/>
      <c r="D591" s="62"/>
    </row>
    <row r="592">
      <c r="A592" s="62"/>
      <c r="B592" s="62"/>
      <c r="C592" s="62"/>
      <c r="D592" s="62"/>
    </row>
    <row r="593">
      <c r="A593" s="62"/>
      <c r="B593" s="62"/>
      <c r="C593" s="62"/>
      <c r="D593" s="62"/>
    </row>
    <row r="594">
      <c r="A594" s="62"/>
      <c r="B594" s="62"/>
      <c r="C594" s="62"/>
      <c r="D594" s="62"/>
    </row>
    <row r="595">
      <c r="A595" s="62"/>
      <c r="B595" s="62"/>
      <c r="C595" s="62"/>
      <c r="D595" s="62"/>
    </row>
    <row r="596">
      <c r="A596" s="62"/>
      <c r="B596" s="62"/>
      <c r="C596" s="62"/>
      <c r="D596" s="62"/>
    </row>
    <row r="597">
      <c r="A597" s="62"/>
      <c r="B597" s="62"/>
      <c r="C597" s="62"/>
      <c r="D597" s="62"/>
    </row>
    <row r="598">
      <c r="A598" s="62"/>
      <c r="B598" s="62"/>
      <c r="C598" s="62"/>
      <c r="D598" s="62"/>
    </row>
    <row r="599">
      <c r="A599" s="62"/>
      <c r="B599" s="62"/>
      <c r="C599" s="62"/>
      <c r="D599" s="62"/>
    </row>
    <row r="600">
      <c r="A600" s="62"/>
      <c r="B600" s="62"/>
      <c r="C600" s="62"/>
      <c r="D600" s="62"/>
    </row>
    <row r="601">
      <c r="A601" s="62"/>
      <c r="B601" s="62"/>
      <c r="C601" s="62"/>
      <c r="D601" s="62"/>
    </row>
    <row r="602">
      <c r="A602" s="62"/>
      <c r="B602" s="62"/>
      <c r="C602" s="62"/>
      <c r="D602" s="62"/>
    </row>
    <row r="603">
      <c r="A603" s="62"/>
      <c r="B603" s="62"/>
      <c r="C603" s="62"/>
      <c r="D603" s="62"/>
    </row>
    <row r="604">
      <c r="A604" s="62"/>
      <c r="B604" s="62"/>
      <c r="C604" s="62"/>
      <c r="D604" s="62"/>
    </row>
    <row r="605">
      <c r="A605" s="62"/>
      <c r="B605" s="62"/>
      <c r="C605" s="62"/>
      <c r="D605" s="62"/>
    </row>
    <row r="606">
      <c r="A606" s="62"/>
      <c r="B606" s="62"/>
      <c r="C606" s="62"/>
      <c r="D606" s="62"/>
    </row>
    <row r="607">
      <c r="A607" s="62"/>
      <c r="B607" s="62"/>
      <c r="C607" s="62"/>
      <c r="D607" s="62"/>
    </row>
    <row r="608">
      <c r="A608" s="62"/>
      <c r="B608" s="62"/>
      <c r="C608" s="62"/>
      <c r="D608" s="62"/>
    </row>
    <row r="609">
      <c r="A609" s="62"/>
      <c r="B609" s="62"/>
      <c r="C609" s="62"/>
      <c r="D609" s="62"/>
    </row>
    <row r="610">
      <c r="A610" s="62"/>
      <c r="B610" s="62"/>
      <c r="C610" s="62"/>
      <c r="D610" s="62"/>
    </row>
    <row r="611">
      <c r="A611" s="62"/>
      <c r="B611" s="62"/>
      <c r="C611" s="62"/>
      <c r="D611" s="62"/>
    </row>
    <row r="612">
      <c r="A612" s="62"/>
      <c r="B612" s="62"/>
      <c r="C612" s="62"/>
      <c r="D612" s="62"/>
    </row>
    <row r="613">
      <c r="A613" s="62"/>
      <c r="B613" s="62"/>
      <c r="C613" s="62"/>
      <c r="D613" s="62"/>
    </row>
    <row r="614">
      <c r="A614" s="62"/>
      <c r="B614" s="62"/>
      <c r="C614" s="62"/>
      <c r="D614" s="62"/>
    </row>
    <row r="615">
      <c r="A615" s="62"/>
      <c r="B615" s="62"/>
      <c r="C615" s="62"/>
      <c r="D615" s="62"/>
    </row>
    <row r="616">
      <c r="A616" s="62"/>
      <c r="B616" s="62"/>
      <c r="C616" s="62"/>
      <c r="D616" s="62"/>
    </row>
    <row r="617">
      <c r="A617" s="62"/>
      <c r="B617" s="62"/>
      <c r="C617" s="62"/>
      <c r="D617" s="62"/>
    </row>
    <row r="618">
      <c r="A618" s="62"/>
      <c r="B618" s="62"/>
      <c r="C618" s="62"/>
      <c r="D618" s="62"/>
    </row>
    <row r="619">
      <c r="A619" s="62"/>
      <c r="B619" s="62"/>
      <c r="C619" s="62"/>
      <c r="D619" s="62"/>
    </row>
    <row r="620">
      <c r="A620" s="62"/>
      <c r="B620" s="62"/>
      <c r="C620" s="62"/>
      <c r="D620" s="62"/>
    </row>
    <row r="621">
      <c r="A621" s="62"/>
      <c r="B621" s="62"/>
      <c r="C621" s="62"/>
      <c r="D621" s="62"/>
    </row>
    <row r="622">
      <c r="A622" s="62"/>
      <c r="B622" s="62"/>
      <c r="C622" s="62"/>
      <c r="D622" s="62"/>
    </row>
    <row r="623">
      <c r="A623" s="62"/>
      <c r="B623" s="62"/>
      <c r="C623" s="62"/>
      <c r="D623" s="62"/>
    </row>
    <row r="624">
      <c r="A624" s="62"/>
      <c r="B624" s="62"/>
      <c r="C624" s="62"/>
      <c r="D624" s="62"/>
    </row>
    <row r="625">
      <c r="A625" s="62"/>
      <c r="B625" s="62"/>
      <c r="C625" s="62"/>
      <c r="D625" s="62"/>
    </row>
    <row r="626">
      <c r="A626" s="62"/>
      <c r="B626" s="62"/>
      <c r="C626" s="62"/>
      <c r="D626" s="62"/>
    </row>
    <row r="627">
      <c r="A627" s="62"/>
      <c r="B627" s="62"/>
      <c r="C627" s="62"/>
      <c r="D627" s="62"/>
    </row>
    <row r="628">
      <c r="A628" s="62"/>
      <c r="B628" s="62"/>
      <c r="C628" s="62"/>
      <c r="D628" s="62"/>
    </row>
    <row r="629">
      <c r="A629" s="62"/>
      <c r="B629" s="62"/>
      <c r="C629" s="62"/>
      <c r="D629" s="62"/>
    </row>
    <row r="630">
      <c r="A630" s="62"/>
      <c r="B630" s="62"/>
      <c r="C630" s="62"/>
      <c r="D630" s="62"/>
    </row>
    <row r="631">
      <c r="A631" s="62"/>
      <c r="B631" s="62"/>
      <c r="C631" s="62"/>
      <c r="D631" s="62"/>
    </row>
    <row r="632">
      <c r="A632" s="62"/>
      <c r="B632" s="62"/>
      <c r="C632" s="62"/>
      <c r="D632" s="62"/>
    </row>
    <row r="633">
      <c r="A633" s="62"/>
      <c r="B633" s="62"/>
      <c r="C633" s="62"/>
      <c r="D633" s="62"/>
    </row>
    <row r="634">
      <c r="A634" s="62"/>
      <c r="B634" s="62"/>
      <c r="C634" s="62"/>
      <c r="D634" s="62"/>
    </row>
    <row r="635">
      <c r="A635" s="62"/>
      <c r="B635" s="62"/>
      <c r="C635" s="62"/>
      <c r="D635" s="62"/>
    </row>
    <row r="636">
      <c r="A636" s="62"/>
      <c r="B636" s="62"/>
      <c r="C636" s="62"/>
      <c r="D636" s="62"/>
    </row>
    <row r="637">
      <c r="A637" s="62"/>
      <c r="B637" s="62"/>
      <c r="C637" s="62"/>
      <c r="D637" s="62"/>
    </row>
    <row r="638">
      <c r="A638" s="62"/>
      <c r="B638" s="62"/>
      <c r="C638" s="62"/>
      <c r="D638" s="62"/>
    </row>
    <row r="639">
      <c r="A639" s="62"/>
      <c r="B639" s="62"/>
      <c r="C639" s="62"/>
      <c r="D639" s="62"/>
    </row>
    <row r="640">
      <c r="A640" s="62"/>
      <c r="B640" s="62"/>
      <c r="C640" s="62"/>
      <c r="D640" s="62"/>
    </row>
    <row r="641">
      <c r="A641" s="62"/>
      <c r="B641" s="62"/>
      <c r="C641" s="62"/>
      <c r="D641" s="62"/>
    </row>
    <row r="642">
      <c r="A642" s="62"/>
      <c r="B642" s="62"/>
      <c r="C642" s="62"/>
      <c r="D642" s="62"/>
    </row>
    <row r="643">
      <c r="A643" s="62"/>
      <c r="B643" s="62"/>
      <c r="C643" s="62"/>
      <c r="D643" s="62"/>
    </row>
    <row r="644">
      <c r="A644" s="62"/>
      <c r="B644" s="62"/>
      <c r="C644" s="62"/>
      <c r="D644" s="62"/>
    </row>
    <row r="645">
      <c r="A645" s="62"/>
      <c r="B645" s="62"/>
      <c r="C645" s="62"/>
      <c r="D645" s="62"/>
    </row>
    <row r="646">
      <c r="A646" s="62"/>
      <c r="B646" s="62"/>
      <c r="C646" s="62"/>
      <c r="D646" s="62"/>
    </row>
    <row r="647">
      <c r="A647" s="62"/>
      <c r="B647" s="62"/>
      <c r="C647" s="62"/>
      <c r="D647" s="62"/>
    </row>
    <row r="648">
      <c r="A648" s="62"/>
      <c r="B648" s="62"/>
      <c r="C648" s="62"/>
      <c r="D648" s="62"/>
    </row>
    <row r="649">
      <c r="A649" s="62"/>
      <c r="B649" s="62"/>
      <c r="C649" s="62"/>
      <c r="D649" s="62"/>
    </row>
    <row r="650">
      <c r="A650" s="62"/>
      <c r="B650" s="62"/>
      <c r="C650" s="62"/>
      <c r="D650" s="62"/>
    </row>
    <row r="651">
      <c r="A651" s="62"/>
      <c r="B651" s="62"/>
      <c r="C651" s="62"/>
      <c r="D651" s="62"/>
    </row>
    <row r="652">
      <c r="A652" s="62"/>
      <c r="B652" s="62"/>
      <c r="C652" s="62"/>
      <c r="D652" s="62"/>
    </row>
    <row r="653">
      <c r="A653" s="62"/>
      <c r="B653" s="62"/>
      <c r="C653" s="62"/>
      <c r="D653" s="62"/>
    </row>
    <row r="654">
      <c r="A654" s="62"/>
      <c r="B654" s="62"/>
      <c r="C654" s="62"/>
      <c r="D654" s="62"/>
    </row>
    <row r="655">
      <c r="A655" s="62"/>
      <c r="B655" s="62"/>
      <c r="C655" s="62"/>
      <c r="D655" s="62"/>
    </row>
    <row r="656">
      <c r="A656" s="62"/>
      <c r="B656" s="62"/>
      <c r="C656" s="62"/>
      <c r="D656" s="62"/>
    </row>
    <row r="657">
      <c r="A657" s="62"/>
      <c r="B657" s="62"/>
      <c r="C657" s="62"/>
      <c r="D657" s="62"/>
    </row>
    <row r="658">
      <c r="A658" s="62"/>
      <c r="B658" s="62"/>
      <c r="C658" s="62"/>
      <c r="D658" s="62"/>
    </row>
    <row r="659">
      <c r="A659" s="62"/>
      <c r="B659" s="62"/>
      <c r="C659" s="62"/>
      <c r="D659" s="62"/>
    </row>
    <row r="660">
      <c r="A660" s="62"/>
      <c r="B660" s="62"/>
      <c r="C660" s="62"/>
      <c r="D660" s="62"/>
    </row>
    <row r="661">
      <c r="A661" s="62"/>
      <c r="B661" s="62"/>
      <c r="C661" s="62"/>
      <c r="D661" s="62"/>
    </row>
    <row r="662">
      <c r="A662" s="62"/>
      <c r="B662" s="62"/>
      <c r="C662" s="62"/>
      <c r="D662" s="62"/>
    </row>
    <row r="663">
      <c r="A663" s="62"/>
      <c r="B663" s="62"/>
      <c r="C663" s="62"/>
      <c r="D663" s="62"/>
    </row>
    <row r="664">
      <c r="A664" s="62"/>
      <c r="B664" s="62"/>
      <c r="C664" s="62"/>
      <c r="D664" s="62"/>
    </row>
    <row r="665">
      <c r="A665" s="62"/>
      <c r="B665" s="62"/>
      <c r="C665" s="62"/>
      <c r="D665" s="62"/>
    </row>
    <row r="666">
      <c r="A666" s="62"/>
      <c r="B666" s="62"/>
      <c r="C666" s="62"/>
      <c r="D666" s="62"/>
    </row>
    <row r="667">
      <c r="A667" s="62"/>
      <c r="B667" s="62"/>
      <c r="C667" s="62"/>
      <c r="D667" s="62"/>
    </row>
    <row r="668">
      <c r="A668" s="62"/>
      <c r="B668" s="62"/>
      <c r="C668" s="62"/>
      <c r="D668" s="62"/>
    </row>
    <row r="669">
      <c r="A669" s="62"/>
      <c r="B669" s="62"/>
      <c r="C669" s="62"/>
      <c r="D669" s="62"/>
    </row>
    <row r="670">
      <c r="A670" s="62"/>
      <c r="B670" s="62"/>
      <c r="C670" s="62"/>
      <c r="D670" s="62"/>
    </row>
    <row r="671">
      <c r="A671" s="62"/>
      <c r="B671" s="62"/>
      <c r="C671" s="62"/>
      <c r="D671" s="62"/>
    </row>
    <row r="672">
      <c r="A672" s="62"/>
      <c r="B672" s="62"/>
      <c r="C672" s="62"/>
      <c r="D672" s="62"/>
    </row>
    <row r="673">
      <c r="A673" s="62"/>
      <c r="B673" s="62"/>
      <c r="C673" s="62"/>
      <c r="D673" s="62"/>
    </row>
    <row r="674">
      <c r="A674" s="62"/>
      <c r="B674" s="62"/>
      <c r="C674" s="62"/>
      <c r="D674" s="62"/>
    </row>
    <row r="675">
      <c r="A675" s="62"/>
      <c r="B675" s="62"/>
      <c r="C675" s="62"/>
      <c r="D675" s="62"/>
    </row>
    <row r="676">
      <c r="A676" s="62"/>
      <c r="B676" s="62"/>
      <c r="C676" s="62"/>
      <c r="D676" s="62"/>
    </row>
    <row r="677">
      <c r="A677" s="62"/>
      <c r="B677" s="62"/>
      <c r="C677" s="62"/>
      <c r="D677" s="62"/>
    </row>
    <row r="678">
      <c r="A678" s="62"/>
      <c r="B678" s="62"/>
      <c r="C678" s="62"/>
      <c r="D678" s="62"/>
    </row>
    <row r="679">
      <c r="A679" s="62"/>
      <c r="B679" s="62"/>
      <c r="C679" s="62"/>
      <c r="D679" s="62"/>
    </row>
    <row r="680">
      <c r="A680" s="62"/>
      <c r="B680" s="62"/>
      <c r="C680" s="62"/>
      <c r="D680" s="62"/>
    </row>
    <row r="681">
      <c r="A681" s="62"/>
      <c r="B681" s="62"/>
      <c r="C681" s="62"/>
      <c r="D681" s="62"/>
    </row>
    <row r="682">
      <c r="A682" s="62"/>
      <c r="B682" s="62"/>
      <c r="C682" s="62"/>
      <c r="D682" s="62"/>
    </row>
    <row r="683">
      <c r="A683" s="62"/>
      <c r="B683" s="62"/>
      <c r="C683" s="62"/>
      <c r="D683" s="62"/>
    </row>
    <row r="684">
      <c r="A684" s="62"/>
      <c r="B684" s="62"/>
      <c r="C684" s="62"/>
      <c r="D684" s="62"/>
    </row>
    <row r="685">
      <c r="A685" s="62"/>
      <c r="B685" s="62"/>
      <c r="C685" s="62"/>
      <c r="D685" s="62"/>
    </row>
    <row r="686">
      <c r="A686" s="62"/>
      <c r="B686" s="62"/>
      <c r="C686" s="62"/>
      <c r="D686" s="62"/>
    </row>
    <row r="687">
      <c r="A687" s="62"/>
      <c r="B687" s="62"/>
      <c r="C687" s="62"/>
      <c r="D687" s="62"/>
    </row>
    <row r="688">
      <c r="A688" s="62"/>
      <c r="B688" s="62"/>
      <c r="C688" s="62"/>
      <c r="D688" s="62"/>
    </row>
    <row r="689">
      <c r="A689" s="62"/>
      <c r="B689" s="62"/>
      <c r="C689" s="62"/>
      <c r="D689" s="62"/>
    </row>
    <row r="690">
      <c r="A690" s="62"/>
      <c r="B690" s="62"/>
      <c r="C690" s="62"/>
      <c r="D690" s="62"/>
    </row>
    <row r="691">
      <c r="A691" s="62"/>
      <c r="B691" s="62"/>
      <c r="C691" s="62"/>
      <c r="D691" s="62"/>
    </row>
    <row r="692">
      <c r="A692" s="62"/>
      <c r="B692" s="62"/>
      <c r="C692" s="62"/>
      <c r="D692" s="62"/>
    </row>
    <row r="693">
      <c r="A693" s="62"/>
      <c r="B693" s="62"/>
      <c r="C693" s="62"/>
      <c r="D693" s="62"/>
    </row>
    <row r="694">
      <c r="A694" s="62"/>
      <c r="B694" s="62"/>
      <c r="C694" s="62"/>
      <c r="D694" s="62"/>
    </row>
    <row r="695">
      <c r="A695" s="62"/>
      <c r="B695" s="62"/>
      <c r="C695" s="62"/>
      <c r="D695" s="62"/>
    </row>
    <row r="696">
      <c r="A696" s="62"/>
      <c r="B696" s="62"/>
      <c r="C696" s="62"/>
      <c r="D696" s="62"/>
    </row>
    <row r="697">
      <c r="A697" s="62"/>
      <c r="B697" s="62"/>
      <c r="C697" s="62"/>
      <c r="D697" s="62"/>
    </row>
    <row r="698">
      <c r="A698" s="62"/>
      <c r="B698" s="62"/>
      <c r="C698" s="62"/>
      <c r="D698" s="62"/>
    </row>
    <row r="699">
      <c r="A699" s="62"/>
      <c r="B699" s="62"/>
      <c r="C699" s="62"/>
      <c r="D699" s="62"/>
    </row>
    <row r="700">
      <c r="A700" s="62"/>
      <c r="B700" s="62"/>
      <c r="C700" s="62"/>
      <c r="D700" s="62"/>
    </row>
    <row r="701">
      <c r="A701" s="62"/>
      <c r="B701" s="62"/>
      <c r="C701" s="62"/>
      <c r="D701" s="62"/>
    </row>
    <row r="702">
      <c r="A702" s="62"/>
      <c r="B702" s="62"/>
      <c r="C702" s="62"/>
      <c r="D702" s="62"/>
    </row>
    <row r="703">
      <c r="A703" s="62"/>
      <c r="B703" s="62"/>
      <c r="C703" s="62"/>
      <c r="D703" s="62"/>
    </row>
    <row r="704">
      <c r="A704" s="62"/>
      <c r="B704" s="62"/>
      <c r="C704" s="62"/>
      <c r="D704" s="62"/>
    </row>
    <row r="705">
      <c r="A705" s="62"/>
      <c r="B705" s="62"/>
      <c r="C705" s="62"/>
      <c r="D705" s="62"/>
    </row>
    <row r="706">
      <c r="A706" s="62"/>
      <c r="B706" s="62"/>
      <c r="C706" s="62"/>
      <c r="D706" s="62"/>
    </row>
    <row r="707">
      <c r="A707" s="62"/>
      <c r="B707" s="62"/>
      <c r="C707" s="62"/>
      <c r="D707" s="62"/>
    </row>
    <row r="708">
      <c r="A708" s="62"/>
      <c r="B708" s="62"/>
      <c r="C708" s="62"/>
      <c r="D708" s="62"/>
    </row>
    <row r="709">
      <c r="A709" s="62"/>
      <c r="B709" s="62"/>
      <c r="C709" s="62"/>
      <c r="D709" s="62"/>
    </row>
    <row r="710">
      <c r="A710" s="62"/>
      <c r="B710" s="62"/>
      <c r="C710" s="62"/>
      <c r="D710" s="62"/>
    </row>
    <row r="711">
      <c r="A711" s="62"/>
      <c r="B711" s="62"/>
      <c r="C711" s="62"/>
      <c r="D711" s="62"/>
    </row>
    <row r="712">
      <c r="A712" s="62"/>
      <c r="B712" s="62"/>
      <c r="C712" s="62"/>
      <c r="D712" s="62"/>
    </row>
    <row r="713">
      <c r="A713" s="62"/>
      <c r="B713" s="62"/>
      <c r="C713" s="62"/>
      <c r="D713" s="62"/>
    </row>
    <row r="714">
      <c r="A714" s="62"/>
      <c r="B714" s="62"/>
      <c r="C714" s="62"/>
      <c r="D714" s="62"/>
    </row>
    <row r="715">
      <c r="A715" s="62"/>
      <c r="B715" s="62"/>
      <c r="C715" s="62"/>
      <c r="D715" s="62"/>
    </row>
    <row r="716">
      <c r="A716" s="62"/>
      <c r="B716" s="62"/>
      <c r="C716" s="62"/>
      <c r="D716" s="62"/>
    </row>
    <row r="717">
      <c r="A717" s="62"/>
      <c r="B717" s="62"/>
      <c r="C717" s="62"/>
      <c r="D717" s="62"/>
    </row>
    <row r="718">
      <c r="A718" s="62"/>
      <c r="B718" s="62"/>
      <c r="C718" s="62"/>
      <c r="D718" s="62"/>
    </row>
    <row r="719">
      <c r="A719" s="62"/>
      <c r="B719" s="62"/>
      <c r="C719" s="62"/>
      <c r="D719" s="62"/>
    </row>
    <row r="720">
      <c r="A720" s="62"/>
      <c r="B720" s="62"/>
      <c r="C720" s="62"/>
      <c r="D720" s="62"/>
    </row>
    <row r="721">
      <c r="A721" s="62"/>
      <c r="B721" s="62"/>
      <c r="C721" s="62"/>
      <c r="D721" s="62"/>
    </row>
    <row r="722">
      <c r="A722" s="62"/>
      <c r="B722" s="62"/>
      <c r="C722" s="62"/>
      <c r="D722" s="62"/>
    </row>
    <row r="723">
      <c r="A723" s="62"/>
      <c r="B723" s="62"/>
      <c r="C723" s="62"/>
      <c r="D723" s="62"/>
    </row>
    <row r="724">
      <c r="A724" s="62"/>
      <c r="B724" s="62"/>
      <c r="C724" s="62"/>
      <c r="D724" s="62"/>
    </row>
    <row r="725">
      <c r="A725" s="62"/>
      <c r="B725" s="62"/>
      <c r="C725" s="62"/>
      <c r="D725" s="62"/>
    </row>
    <row r="726">
      <c r="A726" s="62"/>
      <c r="B726" s="62"/>
      <c r="C726" s="62"/>
      <c r="D726" s="62"/>
    </row>
    <row r="727">
      <c r="A727" s="62"/>
      <c r="B727" s="62"/>
      <c r="C727" s="62"/>
      <c r="D727" s="62"/>
    </row>
    <row r="728">
      <c r="A728" s="62"/>
      <c r="B728" s="62"/>
      <c r="C728" s="62"/>
      <c r="D728" s="62"/>
    </row>
    <row r="729">
      <c r="A729" s="62"/>
      <c r="B729" s="62"/>
      <c r="C729" s="62"/>
      <c r="D729" s="62"/>
    </row>
    <row r="730">
      <c r="A730" s="62"/>
      <c r="B730" s="62"/>
      <c r="C730" s="62"/>
      <c r="D730" s="62"/>
    </row>
    <row r="731">
      <c r="A731" s="62"/>
      <c r="B731" s="62"/>
      <c r="C731" s="62"/>
      <c r="D731" s="62"/>
    </row>
    <row r="732">
      <c r="A732" s="62"/>
      <c r="B732" s="62"/>
      <c r="C732" s="62"/>
      <c r="D732" s="62"/>
    </row>
    <row r="733">
      <c r="A733" s="62"/>
      <c r="B733" s="62"/>
      <c r="C733" s="62"/>
      <c r="D733" s="62"/>
    </row>
    <row r="734">
      <c r="A734" s="62"/>
      <c r="B734" s="62"/>
      <c r="C734" s="62"/>
      <c r="D734" s="62"/>
    </row>
    <row r="735">
      <c r="A735" s="62"/>
      <c r="B735" s="62"/>
      <c r="C735" s="62"/>
      <c r="D735" s="62"/>
    </row>
    <row r="736">
      <c r="A736" s="62"/>
      <c r="B736" s="62"/>
      <c r="C736" s="62"/>
      <c r="D736" s="62"/>
    </row>
    <row r="737">
      <c r="A737" s="62"/>
      <c r="B737" s="62"/>
      <c r="C737" s="62"/>
      <c r="D737" s="62"/>
    </row>
    <row r="738">
      <c r="A738" s="62"/>
      <c r="B738" s="62"/>
      <c r="C738" s="62"/>
      <c r="D738" s="62"/>
    </row>
    <row r="739">
      <c r="A739" s="62"/>
      <c r="B739" s="62"/>
      <c r="C739" s="62"/>
      <c r="D739" s="62"/>
    </row>
    <row r="740">
      <c r="A740" s="62"/>
      <c r="B740" s="62"/>
      <c r="C740" s="62"/>
      <c r="D740" s="62"/>
    </row>
    <row r="741">
      <c r="A741" s="62"/>
      <c r="B741" s="62"/>
      <c r="C741" s="62"/>
      <c r="D741" s="62"/>
    </row>
    <row r="742">
      <c r="A742" s="62"/>
      <c r="B742" s="62"/>
      <c r="C742" s="62"/>
      <c r="D742" s="62"/>
    </row>
    <row r="743">
      <c r="A743" s="62"/>
      <c r="B743" s="62"/>
      <c r="C743" s="62"/>
      <c r="D743" s="62"/>
    </row>
    <row r="744">
      <c r="A744" s="62"/>
      <c r="B744" s="62"/>
      <c r="C744" s="62"/>
      <c r="D744" s="62"/>
    </row>
    <row r="745">
      <c r="A745" s="62"/>
      <c r="B745" s="62"/>
      <c r="C745" s="62"/>
      <c r="D745" s="62"/>
    </row>
    <row r="746">
      <c r="A746" s="62"/>
      <c r="B746" s="62"/>
      <c r="C746" s="62"/>
      <c r="D746" s="62"/>
    </row>
    <row r="747">
      <c r="A747" s="62"/>
      <c r="B747" s="62"/>
      <c r="C747" s="62"/>
      <c r="D747" s="62"/>
    </row>
    <row r="748">
      <c r="A748" s="62"/>
      <c r="B748" s="62"/>
      <c r="C748" s="62"/>
      <c r="D748" s="62"/>
    </row>
    <row r="749">
      <c r="A749" s="62"/>
      <c r="B749" s="62"/>
      <c r="C749" s="62"/>
      <c r="D749" s="62"/>
    </row>
    <row r="750">
      <c r="A750" s="62"/>
      <c r="B750" s="62"/>
      <c r="C750" s="62"/>
      <c r="D750" s="62"/>
    </row>
    <row r="751">
      <c r="A751" s="62"/>
      <c r="B751" s="62"/>
      <c r="C751" s="62"/>
      <c r="D751" s="62"/>
    </row>
    <row r="752">
      <c r="A752" s="62"/>
      <c r="B752" s="62"/>
      <c r="C752" s="62"/>
      <c r="D752" s="62"/>
    </row>
    <row r="753">
      <c r="A753" s="62"/>
      <c r="B753" s="62"/>
      <c r="C753" s="62"/>
      <c r="D753" s="62"/>
    </row>
    <row r="754">
      <c r="A754" s="62"/>
      <c r="B754" s="62"/>
      <c r="C754" s="62"/>
      <c r="D754" s="62"/>
    </row>
    <row r="755">
      <c r="A755" s="62"/>
      <c r="B755" s="62"/>
      <c r="C755" s="62"/>
      <c r="D755" s="62"/>
    </row>
    <row r="756">
      <c r="A756" s="62"/>
      <c r="B756" s="62"/>
      <c r="C756" s="62"/>
      <c r="D756" s="62"/>
    </row>
    <row r="757">
      <c r="A757" s="62"/>
      <c r="B757" s="62"/>
      <c r="C757" s="62"/>
      <c r="D757" s="62"/>
    </row>
    <row r="758">
      <c r="A758" s="62"/>
      <c r="B758" s="62"/>
      <c r="C758" s="62"/>
      <c r="D758" s="62"/>
    </row>
    <row r="759">
      <c r="A759" s="62"/>
      <c r="B759" s="62"/>
      <c r="C759" s="62"/>
      <c r="D759" s="62"/>
    </row>
    <row r="760">
      <c r="A760" s="62"/>
      <c r="B760" s="62"/>
      <c r="C760" s="62"/>
      <c r="D760" s="62"/>
    </row>
    <row r="761">
      <c r="A761" s="62"/>
      <c r="B761" s="62"/>
      <c r="C761" s="62"/>
      <c r="D761" s="62"/>
    </row>
    <row r="762">
      <c r="A762" s="62"/>
      <c r="B762" s="62"/>
      <c r="C762" s="62"/>
      <c r="D762" s="62"/>
    </row>
    <row r="763">
      <c r="A763" s="62"/>
      <c r="B763" s="62"/>
      <c r="C763" s="62"/>
      <c r="D763" s="62"/>
    </row>
    <row r="764">
      <c r="A764" s="62"/>
      <c r="B764" s="62"/>
      <c r="C764" s="62"/>
      <c r="D764" s="62"/>
    </row>
    <row r="765">
      <c r="A765" s="62"/>
      <c r="B765" s="62"/>
      <c r="C765" s="62"/>
      <c r="D765" s="62"/>
    </row>
    <row r="766">
      <c r="A766" s="62"/>
      <c r="B766" s="62"/>
      <c r="C766" s="62"/>
      <c r="D766" s="62"/>
    </row>
    <row r="767">
      <c r="A767" s="62"/>
      <c r="B767" s="62"/>
      <c r="C767" s="62"/>
      <c r="D767" s="62"/>
    </row>
    <row r="768">
      <c r="A768" s="62"/>
      <c r="B768" s="62"/>
      <c r="C768" s="62"/>
      <c r="D768" s="62"/>
    </row>
    <row r="769">
      <c r="A769" s="62"/>
      <c r="B769" s="62"/>
      <c r="C769" s="62"/>
      <c r="D769" s="62"/>
    </row>
    <row r="770">
      <c r="A770" s="62"/>
      <c r="B770" s="62"/>
      <c r="C770" s="62"/>
      <c r="D770" s="62"/>
    </row>
    <row r="771">
      <c r="A771" s="62"/>
      <c r="B771" s="62"/>
      <c r="C771" s="62"/>
      <c r="D771" s="62"/>
    </row>
    <row r="772">
      <c r="A772" s="62"/>
      <c r="B772" s="62"/>
      <c r="C772" s="62"/>
      <c r="D772" s="62"/>
    </row>
    <row r="773">
      <c r="A773" s="62"/>
      <c r="B773" s="62"/>
      <c r="C773" s="62"/>
      <c r="D773" s="62"/>
    </row>
    <row r="774">
      <c r="A774" s="62"/>
      <c r="B774" s="62"/>
      <c r="C774" s="62"/>
      <c r="D774" s="62"/>
    </row>
    <row r="775">
      <c r="A775" s="62"/>
      <c r="B775" s="62"/>
      <c r="C775" s="62"/>
      <c r="D775" s="62"/>
    </row>
    <row r="776">
      <c r="A776" s="62"/>
      <c r="B776" s="62"/>
      <c r="C776" s="62"/>
      <c r="D776" s="62"/>
    </row>
    <row r="777">
      <c r="A777" s="62"/>
      <c r="B777" s="62"/>
      <c r="C777" s="62"/>
      <c r="D777" s="62"/>
    </row>
    <row r="778">
      <c r="A778" s="62"/>
      <c r="B778" s="62"/>
      <c r="C778" s="62"/>
      <c r="D778" s="62"/>
    </row>
    <row r="779">
      <c r="A779" s="62"/>
      <c r="B779" s="62"/>
      <c r="C779" s="62"/>
      <c r="D779" s="62"/>
    </row>
    <row r="780">
      <c r="A780" s="62"/>
      <c r="B780" s="62"/>
      <c r="C780" s="62"/>
      <c r="D780" s="62"/>
    </row>
    <row r="781">
      <c r="A781" s="62"/>
      <c r="B781" s="62"/>
      <c r="C781" s="62"/>
      <c r="D781" s="62"/>
    </row>
    <row r="782">
      <c r="A782" s="62"/>
      <c r="B782" s="62"/>
      <c r="C782" s="62"/>
      <c r="D782" s="62"/>
    </row>
    <row r="783">
      <c r="A783" s="62"/>
      <c r="B783" s="62"/>
      <c r="C783" s="62"/>
      <c r="D783" s="62"/>
    </row>
    <row r="784">
      <c r="A784" s="62"/>
      <c r="B784" s="62"/>
      <c r="C784" s="62"/>
      <c r="D784" s="62"/>
    </row>
    <row r="785">
      <c r="A785" s="62"/>
      <c r="B785" s="62"/>
      <c r="C785" s="62"/>
      <c r="D785" s="62"/>
    </row>
    <row r="786">
      <c r="A786" s="62"/>
      <c r="B786" s="62"/>
      <c r="C786" s="62"/>
      <c r="D786" s="62"/>
    </row>
    <row r="787">
      <c r="A787" s="62"/>
      <c r="B787" s="62"/>
      <c r="C787" s="62"/>
      <c r="D787" s="62"/>
    </row>
    <row r="788">
      <c r="A788" s="62"/>
      <c r="B788" s="62"/>
      <c r="C788" s="62"/>
      <c r="D788" s="62"/>
    </row>
    <row r="789">
      <c r="A789" s="62"/>
      <c r="B789" s="62"/>
      <c r="C789" s="62"/>
      <c r="D789" s="62"/>
    </row>
    <row r="790">
      <c r="A790" s="62"/>
      <c r="B790" s="62"/>
      <c r="C790" s="62"/>
      <c r="D790" s="62"/>
    </row>
    <row r="791">
      <c r="A791" s="62"/>
      <c r="B791" s="62"/>
      <c r="C791" s="62"/>
      <c r="D791" s="62"/>
    </row>
    <row r="792">
      <c r="A792" s="62"/>
      <c r="B792" s="62"/>
      <c r="C792" s="62"/>
      <c r="D792" s="62"/>
    </row>
    <row r="793">
      <c r="A793" s="62"/>
      <c r="B793" s="62"/>
      <c r="C793" s="62"/>
      <c r="D793" s="62"/>
    </row>
    <row r="794">
      <c r="A794" s="62"/>
      <c r="B794" s="62"/>
      <c r="C794" s="62"/>
      <c r="D794" s="62"/>
    </row>
    <row r="795">
      <c r="A795" s="62"/>
      <c r="B795" s="62"/>
      <c r="C795" s="62"/>
      <c r="D795" s="62"/>
    </row>
    <row r="796">
      <c r="A796" s="62"/>
      <c r="B796" s="62"/>
      <c r="C796" s="62"/>
      <c r="D796" s="62"/>
    </row>
    <row r="797">
      <c r="A797" s="62"/>
      <c r="B797" s="62"/>
      <c r="C797" s="62"/>
      <c r="D797" s="62"/>
    </row>
    <row r="798">
      <c r="A798" s="62"/>
      <c r="B798" s="62"/>
      <c r="C798" s="62"/>
      <c r="D798" s="62"/>
    </row>
    <row r="799">
      <c r="A799" s="62"/>
      <c r="B799" s="62"/>
      <c r="C799" s="62"/>
      <c r="D799" s="62"/>
    </row>
    <row r="800">
      <c r="A800" s="62"/>
      <c r="B800" s="62"/>
      <c r="C800" s="62"/>
      <c r="D800" s="62"/>
    </row>
    <row r="801">
      <c r="A801" s="62"/>
      <c r="B801" s="62"/>
      <c r="C801" s="62"/>
      <c r="D801" s="62"/>
    </row>
    <row r="802">
      <c r="A802" s="62"/>
      <c r="B802" s="62"/>
      <c r="C802" s="62"/>
      <c r="D802" s="62"/>
    </row>
    <row r="803">
      <c r="A803" s="62"/>
      <c r="B803" s="62"/>
      <c r="C803" s="62"/>
      <c r="D803" s="62"/>
    </row>
    <row r="804">
      <c r="A804" s="62"/>
      <c r="B804" s="62"/>
      <c r="C804" s="62"/>
      <c r="D804" s="62"/>
    </row>
    <row r="805">
      <c r="A805" s="62"/>
      <c r="B805" s="62"/>
      <c r="C805" s="62"/>
      <c r="D805" s="62"/>
    </row>
    <row r="806">
      <c r="A806" s="62"/>
      <c r="B806" s="62"/>
      <c r="C806" s="62"/>
      <c r="D806" s="62"/>
    </row>
    <row r="807">
      <c r="A807" s="62"/>
      <c r="B807" s="62"/>
      <c r="C807" s="62"/>
      <c r="D807" s="62"/>
    </row>
    <row r="808">
      <c r="A808" s="62"/>
      <c r="B808" s="62"/>
      <c r="C808" s="62"/>
      <c r="D808" s="62"/>
    </row>
    <row r="809">
      <c r="A809" s="62"/>
      <c r="B809" s="62"/>
      <c r="C809" s="62"/>
      <c r="D809" s="62"/>
    </row>
    <row r="810">
      <c r="A810" s="62"/>
      <c r="B810" s="62"/>
      <c r="C810" s="62"/>
      <c r="D810" s="62"/>
    </row>
    <row r="811">
      <c r="A811" s="62"/>
      <c r="B811" s="62"/>
      <c r="C811" s="62"/>
      <c r="D811" s="62"/>
    </row>
    <row r="812">
      <c r="A812" s="62"/>
      <c r="B812" s="62"/>
      <c r="C812" s="62"/>
      <c r="D812" s="62"/>
    </row>
    <row r="813">
      <c r="A813" s="62"/>
      <c r="B813" s="62"/>
      <c r="C813" s="62"/>
      <c r="D813" s="62"/>
    </row>
    <row r="814">
      <c r="A814" s="62"/>
      <c r="B814" s="62"/>
      <c r="C814" s="62"/>
      <c r="D814" s="62"/>
    </row>
    <row r="815">
      <c r="A815" s="62"/>
      <c r="B815" s="62"/>
      <c r="C815" s="62"/>
      <c r="D815" s="62"/>
    </row>
    <row r="816">
      <c r="A816" s="62"/>
      <c r="B816" s="62"/>
      <c r="C816" s="62"/>
      <c r="D816" s="62"/>
    </row>
    <row r="817">
      <c r="A817" s="62"/>
      <c r="B817" s="62"/>
      <c r="C817" s="62"/>
      <c r="D817" s="62"/>
    </row>
    <row r="818">
      <c r="A818" s="62"/>
      <c r="B818" s="62"/>
      <c r="C818" s="62"/>
      <c r="D818" s="62"/>
    </row>
    <row r="819">
      <c r="A819" s="62"/>
      <c r="B819" s="62"/>
      <c r="C819" s="62"/>
      <c r="D819" s="62"/>
    </row>
    <row r="820">
      <c r="A820" s="62"/>
      <c r="B820" s="62"/>
      <c r="C820" s="62"/>
      <c r="D820" s="62"/>
    </row>
    <row r="821">
      <c r="A821" s="62"/>
      <c r="B821" s="62"/>
      <c r="C821" s="62"/>
      <c r="D821" s="62"/>
    </row>
    <row r="822">
      <c r="A822" s="62"/>
      <c r="B822" s="62"/>
      <c r="C822" s="62"/>
      <c r="D822" s="62"/>
    </row>
    <row r="823">
      <c r="A823" s="62"/>
      <c r="B823" s="62"/>
      <c r="C823" s="62"/>
      <c r="D823" s="62"/>
    </row>
    <row r="824">
      <c r="A824" s="62"/>
      <c r="B824" s="62"/>
      <c r="C824" s="62"/>
      <c r="D824" s="62"/>
    </row>
    <row r="825">
      <c r="A825" s="62"/>
      <c r="B825" s="62"/>
      <c r="C825" s="62"/>
      <c r="D825" s="62"/>
    </row>
    <row r="826">
      <c r="A826" s="62"/>
      <c r="B826" s="62"/>
      <c r="C826" s="62"/>
      <c r="D826" s="62"/>
    </row>
    <row r="827">
      <c r="A827" s="62"/>
      <c r="B827" s="62"/>
      <c r="C827" s="62"/>
      <c r="D827" s="62"/>
    </row>
    <row r="828">
      <c r="A828" s="62"/>
      <c r="B828" s="62"/>
      <c r="C828" s="62"/>
      <c r="D828" s="62"/>
    </row>
    <row r="829">
      <c r="A829" s="62"/>
      <c r="B829" s="62"/>
      <c r="C829" s="62"/>
      <c r="D829" s="62"/>
    </row>
    <row r="830">
      <c r="A830" s="62"/>
      <c r="B830" s="62"/>
      <c r="C830" s="62"/>
      <c r="D830" s="62"/>
    </row>
    <row r="831">
      <c r="A831" s="62"/>
      <c r="B831" s="62"/>
      <c r="C831" s="62"/>
      <c r="D831" s="62"/>
    </row>
    <row r="832">
      <c r="A832" s="62"/>
      <c r="B832" s="62"/>
      <c r="C832" s="62"/>
      <c r="D832" s="62"/>
    </row>
    <row r="833">
      <c r="A833" s="62"/>
      <c r="B833" s="62"/>
      <c r="C833" s="62"/>
      <c r="D833" s="62"/>
    </row>
    <row r="834">
      <c r="A834" s="62"/>
      <c r="B834" s="62"/>
      <c r="C834" s="62"/>
      <c r="D834" s="62"/>
    </row>
    <row r="835">
      <c r="A835" s="62"/>
      <c r="B835" s="62"/>
      <c r="C835" s="62"/>
      <c r="D835" s="62"/>
    </row>
    <row r="836">
      <c r="A836" s="62"/>
      <c r="B836" s="62"/>
      <c r="C836" s="62"/>
      <c r="D836" s="62"/>
    </row>
    <row r="837">
      <c r="A837" s="62"/>
      <c r="B837" s="62"/>
      <c r="C837" s="62"/>
      <c r="D837" s="62"/>
    </row>
    <row r="838">
      <c r="A838" s="62"/>
      <c r="B838" s="62"/>
      <c r="C838" s="62"/>
      <c r="D838" s="62"/>
    </row>
    <row r="839">
      <c r="A839" s="62"/>
      <c r="B839" s="62"/>
      <c r="C839" s="62"/>
      <c r="D839" s="62"/>
    </row>
    <row r="840">
      <c r="A840" s="62"/>
      <c r="B840" s="62"/>
      <c r="C840" s="62"/>
      <c r="D840" s="62"/>
    </row>
    <row r="841">
      <c r="A841" s="62"/>
      <c r="B841" s="62"/>
      <c r="C841" s="62"/>
      <c r="D841" s="62"/>
    </row>
    <row r="842">
      <c r="A842" s="62"/>
      <c r="B842" s="62"/>
      <c r="C842" s="62"/>
      <c r="D842" s="62"/>
    </row>
    <row r="843">
      <c r="A843" s="62"/>
      <c r="B843" s="62"/>
      <c r="C843" s="62"/>
      <c r="D843" s="62"/>
    </row>
    <row r="844">
      <c r="A844" s="62"/>
      <c r="B844" s="62"/>
      <c r="C844" s="62"/>
      <c r="D844" s="62"/>
    </row>
    <row r="845">
      <c r="A845" s="62"/>
      <c r="B845" s="62"/>
      <c r="C845" s="62"/>
      <c r="D845" s="62"/>
    </row>
    <row r="846">
      <c r="A846" s="62"/>
      <c r="B846" s="62"/>
      <c r="C846" s="62"/>
      <c r="D846" s="62"/>
    </row>
    <row r="847">
      <c r="A847" s="62"/>
      <c r="B847" s="62"/>
      <c r="C847" s="62"/>
      <c r="D847" s="62"/>
    </row>
    <row r="848">
      <c r="A848" s="62"/>
      <c r="B848" s="62"/>
      <c r="C848" s="62"/>
      <c r="D848" s="62"/>
    </row>
    <row r="849">
      <c r="A849" s="62"/>
      <c r="B849" s="62"/>
      <c r="C849" s="62"/>
      <c r="D849" s="62"/>
    </row>
    <row r="850">
      <c r="A850" s="62"/>
      <c r="B850" s="62"/>
      <c r="C850" s="62"/>
      <c r="D850" s="62"/>
    </row>
    <row r="851">
      <c r="A851" s="62"/>
      <c r="B851" s="62"/>
      <c r="C851" s="62"/>
      <c r="D851" s="62"/>
    </row>
    <row r="852">
      <c r="A852" s="62"/>
      <c r="B852" s="62"/>
      <c r="C852" s="62"/>
      <c r="D852" s="62"/>
    </row>
    <row r="853">
      <c r="A853" s="62"/>
      <c r="B853" s="62"/>
      <c r="C853" s="62"/>
      <c r="D853" s="62"/>
    </row>
    <row r="854">
      <c r="A854" s="62"/>
      <c r="B854" s="62"/>
      <c r="C854" s="62"/>
      <c r="D854" s="62"/>
    </row>
    <row r="855">
      <c r="A855" s="62"/>
      <c r="B855" s="62"/>
      <c r="C855" s="62"/>
      <c r="D855" s="62"/>
    </row>
    <row r="856">
      <c r="A856" s="62"/>
      <c r="B856" s="62"/>
      <c r="C856" s="62"/>
      <c r="D856" s="62"/>
    </row>
    <row r="857">
      <c r="A857" s="62"/>
      <c r="B857" s="62"/>
      <c r="C857" s="62"/>
      <c r="D857" s="62"/>
    </row>
    <row r="858">
      <c r="A858" s="62"/>
      <c r="B858" s="62"/>
      <c r="C858" s="62"/>
      <c r="D858" s="62"/>
    </row>
    <row r="859">
      <c r="A859" s="62"/>
      <c r="B859" s="62"/>
      <c r="C859" s="62"/>
      <c r="D859" s="62"/>
    </row>
    <row r="860">
      <c r="A860" s="62"/>
      <c r="B860" s="62"/>
      <c r="C860" s="62"/>
      <c r="D860" s="62"/>
    </row>
    <row r="861">
      <c r="A861" s="62"/>
      <c r="B861" s="62"/>
      <c r="C861" s="62"/>
      <c r="D861" s="62"/>
    </row>
    <row r="862">
      <c r="A862" s="62"/>
      <c r="B862" s="62"/>
      <c r="C862" s="62"/>
      <c r="D862" s="62"/>
    </row>
    <row r="863">
      <c r="A863" s="62"/>
      <c r="B863" s="62"/>
      <c r="C863" s="62"/>
      <c r="D863" s="62"/>
    </row>
    <row r="864">
      <c r="A864" s="62"/>
      <c r="B864" s="62"/>
      <c r="C864" s="62"/>
      <c r="D864" s="62"/>
    </row>
    <row r="865">
      <c r="A865" s="62"/>
      <c r="B865" s="62"/>
      <c r="C865" s="62"/>
      <c r="D865" s="62"/>
    </row>
    <row r="866">
      <c r="A866" s="62"/>
      <c r="B866" s="62"/>
      <c r="C866" s="62"/>
      <c r="D866" s="62"/>
    </row>
    <row r="867">
      <c r="A867" s="62"/>
      <c r="B867" s="62"/>
      <c r="C867" s="62"/>
      <c r="D867" s="62"/>
    </row>
    <row r="868">
      <c r="A868" s="62"/>
      <c r="B868" s="62"/>
      <c r="C868" s="62"/>
      <c r="D868" s="62"/>
    </row>
    <row r="869">
      <c r="A869" s="62"/>
      <c r="B869" s="62"/>
      <c r="C869" s="62"/>
      <c r="D869" s="62"/>
    </row>
    <row r="870">
      <c r="A870" s="62"/>
      <c r="B870" s="62"/>
      <c r="C870" s="62"/>
      <c r="D870" s="62"/>
    </row>
    <row r="871">
      <c r="A871" s="62"/>
      <c r="B871" s="62"/>
      <c r="C871" s="62"/>
      <c r="D871" s="62"/>
    </row>
    <row r="872">
      <c r="A872" s="62"/>
      <c r="B872" s="62"/>
      <c r="C872" s="62"/>
      <c r="D872" s="62"/>
    </row>
    <row r="873">
      <c r="A873" s="62"/>
      <c r="B873" s="62"/>
      <c r="C873" s="62"/>
      <c r="D873" s="62"/>
    </row>
    <row r="874">
      <c r="A874" s="62"/>
      <c r="B874" s="62"/>
      <c r="C874" s="62"/>
      <c r="D874" s="62"/>
    </row>
    <row r="875">
      <c r="A875" s="62"/>
      <c r="B875" s="62"/>
      <c r="C875" s="62"/>
      <c r="D875" s="62"/>
    </row>
    <row r="876">
      <c r="A876" s="62"/>
      <c r="B876" s="62"/>
      <c r="C876" s="62"/>
      <c r="D876" s="62"/>
    </row>
    <row r="877">
      <c r="A877" s="62"/>
      <c r="B877" s="62"/>
      <c r="C877" s="62"/>
      <c r="D877" s="62"/>
    </row>
    <row r="878">
      <c r="A878" s="62"/>
      <c r="B878" s="62"/>
      <c r="C878" s="62"/>
      <c r="D878" s="62"/>
    </row>
    <row r="879">
      <c r="A879" s="62"/>
      <c r="B879" s="62"/>
      <c r="C879" s="62"/>
      <c r="D879" s="62"/>
    </row>
    <row r="880">
      <c r="A880" s="62"/>
      <c r="B880" s="62"/>
      <c r="C880" s="62"/>
      <c r="D880" s="62"/>
    </row>
    <row r="881">
      <c r="A881" s="62"/>
      <c r="B881" s="62"/>
      <c r="C881" s="62"/>
      <c r="D881" s="62"/>
    </row>
    <row r="882">
      <c r="A882" s="62"/>
      <c r="B882" s="62"/>
      <c r="C882" s="62"/>
      <c r="D882" s="62"/>
    </row>
    <row r="883">
      <c r="A883" s="62"/>
      <c r="B883" s="62"/>
      <c r="C883" s="62"/>
      <c r="D883" s="62"/>
    </row>
    <row r="884">
      <c r="A884" s="62"/>
      <c r="B884" s="62"/>
      <c r="C884" s="62"/>
      <c r="D884" s="62"/>
    </row>
    <row r="885">
      <c r="A885" s="62"/>
      <c r="B885" s="62"/>
      <c r="C885" s="62"/>
      <c r="D885" s="62"/>
    </row>
    <row r="886">
      <c r="A886" s="62"/>
      <c r="B886" s="62"/>
      <c r="C886" s="62"/>
      <c r="D886" s="62"/>
    </row>
    <row r="887">
      <c r="A887" s="62"/>
      <c r="B887" s="62"/>
      <c r="C887" s="62"/>
      <c r="D887" s="62"/>
    </row>
    <row r="888">
      <c r="A888" s="62"/>
      <c r="B888" s="62"/>
      <c r="C888" s="62"/>
      <c r="D888" s="62"/>
    </row>
    <row r="889">
      <c r="A889" s="62"/>
      <c r="B889" s="62"/>
      <c r="C889" s="62"/>
      <c r="D889" s="62"/>
    </row>
    <row r="890">
      <c r="A890" s="62"/>
      <c r="B890" s="62"/>
      <c r="C890" s="62"/>
      <c r="D890" s="62"/>
    </row>
    <row r="891">
      <c r="A891" s="62"/>
      <c r="B891" s="62"/>
      <c r="C891" s="62"/>
      <c r="D891" s="62"/>
    </row>
    <row r="892">
      <c r="A892" s="62"/>
      <c r="B892" s="62"/>
      <c r="C892" s="62"/>
      <c r="D892" s="62"/>
    </row>
    <row r="893">
      <c r="A893" s="62"/>
      <c r="B893" s="62"/>
      <c r="C893" s="62"/>
      <c r="D893" s="62"/>
    </row>
    <row r="894">
      <c r="A894" s="62"/>
      <c r="B894" s="62"/>
      <c r="C894" s="62"/>
      <c r="D894" s="62"/>
    </row>
    <row r="895">
      <c r="A895" s="62"/>
      <c r="B895" s="62"/>
      <c r="C895" s="62"/>
      <c r="D895" s="62"/>
    </row>
    <row r="896">
      <c r="A896" s="62"/>
      <c r="B896" s="62"/>
      <c r="C896" s="62"/>
      <c r="D896" s="62"/>
    </row>
    <row r="897">
      <c r="A897" s="62"/>
      <c r="B897" s="62"/>
      <c r="C897" s="62"/>
      <c r="D897" s="62"/>
    </row>
    <row r="898">
      <c r="A898" s="62"/>
      <c r="B898" s="62"/>
      <c r="C898" s="62"/>
      <c r="D898" s="62"/>
    </row>
    <row r="899">
      <c r="A899" s="62"/>
      <c r="B899" s="62"/>
      <c r="C899" s="62"/>
      <c r="D899" s="62"/>
    </row>
    <row r="900">
      <c r="A900" s="62"/>
      <c r="B900" s="62"/>
      <c r="C900" s="62"/>
      <c r="D900" s="62"/>
    </row>
    <row r="901">
      <c r="A901" s="62"/>
      <c r="B901" s="62"/>
      <c r="C901" s="62"/>
      <c r="D901" s="62"/>
    </row>
    <row r="902">
      <c r="A902" s="62"/>
      <c r="B902" s="62"/>
      <c r="C902" s="62"/>
      <c r="D902" s="62"/>
    </row>
    <row r="903">
      <c r="A903" s="62"/>
      <c r="B903" s="62"/>
      <c r="C903" s="62"/>
      <c r="D903" s="62"/>
    </row>
    <row r="904">
      <c r="A904" s="62"/>
      <c r="B904" s="62"/>
      <c r="C904" s="62"/>
      <c r="D904" s="62"/>
    </row>
    <row r="905">
      <c r="A905" s="62"/>
      <c r="B905" s="62"/>
      <c r="C905" s="62"/>
      <c r="D905" s="62"/>
    </row>
    <row r="906">
      <c r="A906" s="62"/>
      <c r="B906" s="62"/>
      <c r="C906" s="62"/>
      <c r="D906" s="62"/>
    </row>
    <row r="907">
      <c r="A907" s="62"/>
      <c r="B907" s="62"/>
      <c r="C907" s="62"/>
      <c r="D907" s="62"/>
    </row>
    <row r="908">
      <c r="A908" s="62"/>
      <c r="B908" s="62"/>
      <c r="C908" s="62"/>
      <c r="D908" s="62"/>
    </row>
    <row r="909">
      <c r="A909" s="62"/>
      <c r="B909" s="62"/>
      <c r="C909" s="62"/>
      <c r="D909" s="62"/>
    </row>
    <row r="910">
      <c r="A910" s="62"/>
      <c r="B910" s="62"/>
      <c r="C910" s="62"/>
      <c r="D910" s="62"/>
    </row>
    <row r="911">
      <c r="A911" s="62"/>
      <c r="B911" s="62"/>
      <c r="C911" s="62"/>
      <c r="D911" s="62"/>
    </row>
    <row r="912">
      <c r="A912" s="62"/>
      <c r="B912" s="62"/>
      <c r="C912" s="62"/>
      <c r="D912" s="62"/>
    </row>
    <row r="913">
      <c r="A913" s="62"/>
      <c r="B913" s="62"/>
      <c r="C913" s="62"/>
      <c r="D913" s="62"/>
    </row>
    <row r="914">
      <c r="A914" s="62"/>
      <c r="B914" s="62"/>
      <c r="C914" s="62"/>
      <c r="D914" s="62"/>
    </row>
    <row r="915">
      <c r="A915" s="62"/>
      <c r="B915" s="62"/>
      <c r="C915" s="62"/>
      <c r="D915" s="62"/>
    </row>
    <row r="916">
      <c r="A916" s="62"/>
      <c r="B916" s="62"/>
      <c r="C916" s="62"/>
      <c r="D916" s="62"/>
    </row>
    <row r="917">
      <c r="A917" s="62"/>
      <c r="B917" s="62"/>
      <c r="C917" s="62"/>
      <c r="D917" s="62"/>
    </row>
    <row r="918">
      <c r="A918" s="62"/>
      <c r="B918" s="62"/>
      <c r="C918" s="62"/>
      <c r="D918" s="62"/>
    </row>
    <row r="919">
      <c r="A919" s="62"/>
      <c r="B919" s="62"/>
      <c r="C919" s="62"/>
      <c r="D919" s="62"/>
    </row>
    <row r="920">
      <c r="A920" s="62"/>
      <c r="B920" s="62"/>
      <c r="C920" s="62"/>
      <c r="D920" s="62"/>
    </row>
    <row r="921">
      <c r="A921" s="62"/>
      <c r="B921" s="62"/>
      <c r="C921" s="62"/>
      <c r="D921" s="62"/>
    </row>
    <row r="922">
      <c r="A922" s="62"/>
      <c r="B922" s="62"/>
      <c r="C922" s="62"/>
      <c r="D922" s="62"/>
    </row>
    <row r="923">
      <c r="A923" s="62"/>
      <c r="B923" s="62"/>
      <c r="C923" s="62"/>
      <c r="D923" s="62"/>
    </row>
    <row r="924">
      <c r="A924" s="62"/>
      <c r="B924" s="62"/>
      <c r="C924" s="62"/>
      <c r="D924" s="62"/>
    </row>
    <row r="925">
      <c r="A925" s="62"/>
      <c r="B925" s="62"/>
      <c r="C925" s="62"/>
      <c r="D925" s="62"/>
    </row>
    <row r="926">
      <c r="A926" s="62"/>
      <c r="B926" s="62"/>
      <c r="C926" s="62"/>
      <c r="D926" s="62"/>
    </row>
    <row r="927">
      <c r="A927" s="62"/>
      <c r="B927" s="62"/>
      <c r="C927" s="62"/>
      <c r="D927" s="62"/>
    </row>
    <row r="928">
      <c r="A928" s="62"/>
      <c r="B928" s="62"/>
      <c r="C928" s="62"/>
      <c r="D928" s="62"/>
    </row>
    <row r="929">
      <c r="A929" s="62"/>
      <c r="B929" s="62"/>
      <c r="C929" s="62"/>
      <c r="D929" s="62"/>
    </row>
    <row r="930">
      <c r="A930" s="62"/>
      <c r="B930" s="62"/>
      <c r="C930" s="62"/>
      <c r="D930" s="62"/>
    </row>
    <row r="931">
      <c r="A931" s="62"/>
      <c r="B931" s="62"/>
      <c r="C931" s="62"/>
      <c r="D931" s="62"/>
    </row>
    <row r="932">
      <c r="A932" s="62"/>
      <c r="B932" s="62"/>
      <c r="C932" s="62"/>
      <c r="D932" s="62"/>
    </row>
    <row r="933">
      <c r="A933" s="62"/>
      <c r="B933" s="62"/>
      <c r="C933" s="62"/>
      <c r="D933" s="62"/>
    </row>
    <row r="934">
      <c r="A934" s="62"/>
      <c r="B934" s="62"/>
      <c r="C934" s="62"/>
      <c r="D934" s="62"/>
    </row>
    <row r="935">
      <c r="A935" s="62"/>
      <c r="B935" s="62"/>
      <c r="C935" s="62"/>
      <c r="D935" s="62"/>
    </row>
    <row r="936">
      <c r="A936" s="62"/>
      <c r="B936" s="62"/>
      <c r="C936" s="62"/>
      <c r="D936" s="62"/>
    </row>
    <row r="937">
      <c r="A937" s="62"/>
      <c r="B937" s="62"/>
      <c r="C937" s="62"/>
      <c r="D937" s="62"/>
    </row>
    <row r="938">
      <c r="A938" s="62"/>
      <c r="B938" s="62"/>
      <c r="C938" s="62"/>
      <c r="D938" s="62"/>
    </row>
    <row r="939">
      <c r="A939" s="62"/>
      <c r="B939" s="62"/>
      <c r="C939" s="62"/>
      <c r="D939" s="62"/>
    </row>
    <row r="940">
      <c r="A940" s="62"/>
      <c r="B940" s="62"/>
      <c r="C940" s="62"/>
      <c r="D940" s="62"/>
    </row>
    <row r="941">
      <c r="A941" s="62"/>
      <c r="B941" s="62"/>
      <c r="C941" s="62"/>
      <c r="D941" s="62"/>
    </row>
    <row r="942">
      <c r="A942" s="62"/>
      <c r="B942" s="62"/>
      <c r="C942" s="62"/>
      <c r="D942" s="62"/>
    </row>
    <row r="943">
      <c r="A943" s="62"/>
      <c r="B943" s="62"/>
      <c r="C943" s="62"/>
      <c r="D943" s="62"/>
    </row>
    <row r="944">
      <c r="A944" s="62"/>
      <c r="B944" s="62"/>
      <c r="C944" s="62"/>
      <c r="D944" s="62"/>
    </row>
    <row r="945">
      <c r="A945" s="62"/>
      <c r="B945" s="62"/>
      <c r="C945" s="62"/>
      <c r="D945" s="62"/>
    </row>
    <row r="946">
      <c r="A946" s="62"/>
      <c r="B946" s="62"/>
      <c r="C946" s="62"/>
      <c r="D946" s="62"/>
    </row>
    <row r="947">
      <c r="A947" s="62"/>
      <c r="B947" s="62"/>
      <c r="C947" s="62"/>
      <c r="D947" s="62"/>
    </row>
    <row r="948">
      <c r="A948" s="62"/>
      <c r="B948" s="62"/>
      <c r="C948" s="62"/>
      <c r="D948" s="62"/>
    </row>
    <row r="949">
      <c r="A949" s="62"/>
      <c r="B949" s="62"/>
      <c r="C949" s="62"/>
      <c r="D949" s="62"/>
    </row>
    <row r="950">
      <c r="A950" s="62"/>
      <c r="B950" s="62"/>
      <c r="C950" s="62"/>
      <c r="D950" s="62"/>
    </row>
    <row r="951">
      <c r="A951" s="62"/>
      <c r="B951" s="62"/>
      <c r="C951" s="62"/>
      <c r="D951" s="62"/>
    </row>
    <row r="952">
      <c r="A952" s="62"/>
      <c r="B952" s="62"/>
      <c r="C952" s="62"/>
      <c r="D952" s="62"/>
    </row>
    <row r="953">
      <c r="A953" s="62"/>
      <c r="B953" s="62"/>
      <c r="C953" s="62"/>
      <c r="D953" s="62"/>
    </row>
    <row r="954">
      <c r="A954" s="62"/>
      <c r="B954" s="62"/>
      <c r="C954" s="62"/>
      <c r="D954" s="62"/>
    </row>
    <row r="955">
      <c r="A955" s="62"/>
      <c r="B955" s="62"/>
      <c r="C955" s="62"/>
      <c r="D955" s="62"/>
    </row>
    <row r="956">
      <c r="A956" s="62"/>
      <c r="B956" s="62"/>
      <c r="C956" s="62"/>
      <c r="D956" s="62"/>
    </row>
    <row r="957">
      <c r="A957" s="62"/>
      <c r="B957" s="62"/>
      <c r="C957" s="62"/>
      <c r="D957" s="62"/>
    </row>
    <row r="958">
      <c r="A958" s="62"/>
      <c r="B958" s="62"/>
      <c r="C958" s="62"/>
      <c r="D958" s="62"/>
    </row>
    <row r="959">
      <c r="A959" s="62"/>
      <c r="B959" s="62"/>
      <c r="C959" s="62"/>
      <c r="D959" s="62"/>
    </row>
    <row r="960">
      <c r="A960" s="62"/>
      <c r="B960" s="62"/>
      <c r="C960" s="62"/>
      <c r="D960" s="62"/>
    </row>
    <row r="961">
      <c r="A961" s="62"/>
      <c r="B961" s="62"/>
      <c r="C961" s="62"/>
      <c r="D961" s="62"/>
    </row>
    <row r="962">
      <c r="A962" s="62"/>
      <c r="B962" s="62"/>
      <c r="C962" s="62"/>
      <c r="D962" s="62"/>
    </row>
    <row r="963">
      <c r="A963" s="62"/>
      <c r="B963" s="62"/>
      <c r="C963" s="62"/>
      <c r="D963" s="62"/>
    </row>
    <row r="964">
      <c r="A964" s="62"/>
      <c r="B964" s="62"/>
      <c r="C964" s="62"/>
      <c r="D964" s="62"/>
    </row>
    <row r="965">
      <c r="A965" s="62"/>
      <c r="B965" s="62"/>
      <c r="C965" s="62"/>
      <c r="D965" s="62"/>
    </row>
    <row r="966">
      <c r="A966" s="62"/>
      <c r="B966" s="62"/>
      <c r="C966" s="62"/>
      <c r="D966" s="62"/>
    </row>
    <row r="967">
      <c r="A967" s="62"/>
      <c r="B967" s="62"/>
      <c r="C967" s="62"/>
      <c r="D967" s="62"/>
    </row>
    <row r="968">
      <c r="A968" s="62"/>
      <c r="B968" s="62"/>
      <c r="C968" s="62"/>
      <c r="D968" s="62"/>
    </row>
    <row r="969">
      <c r="A969" s="62"/>
      <c r="B969" s="62"/>
      <c r="C969" s="62"/>
      <c r="D969" s="62"/>
    </row>
    <row r="970">
      <c r="A970" s="62"/>
      <c r="B970" s="62"/>
      <c r="C970" s="62"/>
      <c r="D970" s="62"/>
    </row>
    <row r="971">
      <c r="A971" s="62"/>
      <c r="B971" s="62"/>
      <c r="C971" s="62"/>
      <c r="D971" s="62"/>
    </row>
    <row r="972">
      <c r="A972" s="62"/>
      <c r="B972" s="62"/>
      <c r="C972" s="62"/>
      <c r="D972" s="62"/>
    </row>
    <row r="973">
      <c r="A973" s="62"/>
      <c r="B973" s="62"/>
      <c r="C973" s="62"/>
      <c r="D973" s="62"/>
    </row>
    <row r="974">
      <c r="A974" s="62"/>
      <c r="B974" s="62"/>
      <c r="C974" s="62"/>
      <c r="D974" s="62"/>
    </row>
    <row r="975">
      <c r="A975" s="62"/>
      <c r="B975" s="62"/>
      <c r="C975" s="62"/>
      <c r="D975" s="62"/>
    </row>
    <row r="976">
      <c r="A976" s="62"/>
      <c r="B976" s="62"/>
      <c r="C976" s="62"/>
      <c r="D976" s="62"/>
    </row>
    <row r="977">
      <c r="A977" s="62"/>
      <c r="B977" s="62"/>
      <c r="C977" s="62"/>
      <c r="D977" s="62"/>
    </row>
    <row r="978">
      <c r="A978" s="62"/>
      <c r="B978" s="62"/>
      <c r="C978" s="62"/>
      <c r="D978" s="62"/>
    </row>
    <row r="979">
      <c r="A979" s="62"/>
      <c r="B979" s="62"/>
      <c r="C979" s="62"/>
      <c r="D979" s="62"/>
    </row>
    <row r="980">
      <c r="A980" s="62"/>
      <c r="B980" s="62"/>
      <c r="C980" s="62"/>
      <c r="D980" s="62"/>
    </row>
    <row r="981">
      <c r="A981" s="62"/>
      <c r="B981" s="62"/>
      <c r="C981" s="62"/>
      <c r="D981" s="62"/>
    </row>
    <row r="982">
      <c r="A982" s="62"/>
      <c r="B982" s="62"/>
      <c r="C982" s="62"/>
      <c r="D982" s="62"/>
    </row>
    <row r="983">
      <c r="A983" s="62"/>
      <c r="B983" s="62"/>
      <c r="C983" s="62"/>
      <c r="D983" s="62"/>
    </row>
    <row r="984">
      <c r="A984" s="62"/>
      <c r="B984" s="62"/>
      <c r="C984" s="62"/>
      <c r="D984" s="62"/>
    </row>
    <row r="985">
      <c r="A985" s="62"/>
      <c r="B985" s="62"/>
      <c r="C985" s="62"/>
      <c r="D985" s="62"/>
    </row>
    <row r="986">
      <c r="A986" s="62"/>
      <c r="B986" s="62"/>
      <c r="C986" s="62"/>
      <c r="D986" s="62"/>
    </row>
    <row r="987">
      <c r="A987" s="62"/>
      <c r="B987" s="62"/>
      <c r="C987" s="62"/>
      <c r="D987" s="62"/>
    </row>
    <row r="988">
      <c r="A988" s="62"/>
      <c r="B988" s="62"/>
      <c r="C988" s="62"/>
      <c r="D988" s="62"/>
    </row>
    <row r="989">
      <c r="A989" s="62"/>
      <c r="B989" s="62"/>
      <c r="C989" s="62"/>
      <c r="D989" s="62"/>
    </row>
    <row r="990">
      <c r="A990" s="62"/>
      <c r="B990" s="62"/>
      <c r="C990" s="62"/>
      <c r="D990" s="62"/>
    </row>
    <row r="991">
      <c r="A991" s="62"/>
      <c r="B991" s="62"/>
      <c r="C991" s="62"/>
      <c r="D991" s="62"/>
    </row>
    <row r="992">
      <c r="A992" s="62"/>
      <c r="B992" s="62"/>
      <c r="C992" s="62"/>
      <c r="D992" s="62"/>
    </row>
    <row r="993">
      <c r="A993" s="62"/>
      <c r="B993" s="62"/>
      <c r="C993" s="62"/>
      <c r="D993" s="62"/>
    </row>
    <row r="994">
      <c r="A994" s="62"/>
      <c r="B994" s="62"/>
      <c r="C994" s="62"/>
      <c r="D994" s="62"/>
    </row>
    <row r="995">
      <c r="A995" s="62"/>
      <c r="B995" s="62"/>
      <c r="C995" s="62"/>
      <c r="D995" s="62"/>
    </row>
    <row r="996">
      <c r="A996" s="62"/>
      <c r="B996" s="62"/>
      <c r="C996" s="62"/>
      <c r="D996" s="62"/>
    </row>
    <row r="997">
      <c r="A997" s="62"/>
      <c r="B997" s="62"/>
      <c r="C997" s="62"/>
      <c r="D997" s="62"/>
    </row>
    <row r="998">
      <c r="A998" s="62"/>
      <c r="B998" s="62"/>
      <c r="C998" s="62"/>
      <c r="D998" s="62"/>
    </row>
    <row r="999">
      <c r="A999" s="62"/>
      <c r="B999" s="62"/>
      <c r="C999" s="62"/>
      <c r="D999" s="62"/>
    </row>
    <row r="1000">
      <c r="A1000" s="62"/>
      <c r="B1000" s="62"/>
      <c r="C1000" s="62"/>
      <c r="D1000" s="6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/>
  <cols>
    <col collapsed="1" customWidth="1" min="2" max="2" width="51.13"/>
    <col customWidth="1" hidden="1" min="3" max="3" width="25.13" outlineLevel="1"/>
    <col hidden="1" min="4" max="5" width="12.63" outlineLevel="1"/>
    <col customWidth="1" min="6" max="6" width="23.5"/>
    <col customWidth="1" min="7" max="7" width="25.0"/>
    <col customWidth="1" min="8" max="8" width="21.63"/>
    <col collapsed="1" customWidth="1" min="9" max="9" width="21.63"/>
    <col customWidth="1" hidden="1" min="10" max="74" width="21.63" outlineLevel="1"/>
    <col collapsed="1" customWidth="1" min="75" max="75" width="21.63"/>
    <col customWidth="1" hidden="1" min="76" max="90" width="21.63" outlineLevel="1"/>
    <col collapsed="1" customWidth="1" min="91" max="91" width="21.63"/>
    <col customWidth="1" hidden="1" min="92" max="127" width="21.63" outlineLevel="1"/>
    <col customWidth="1" min="128" max="128" width="21.63"/>
    <col collapsed="1" customWidth="1" min="129" max="129" width="21.63"/>
    <col customWidth="1" hidden="1" min="130" max="145" width="21.63" outlineLevel="1"/>
    <col customWidth="1" min="146" max="147" width="21.63"/>
    <col customWidth="1" min="148" max="148" width="19.25"/>
  </cols>
  <sheetData>
    <row r="1" ht="44.25" customHeight="1">
      <c r="A1" s="63" t="s">
        <v>5797</v>
      </c>
      <c r="B1" s="63" t="s">
        <v>5798</v>
      </c>
      <c r="C1" s="63" t="s">
        <v>5799</v>
      </c>
      <c r="D1" s="63" t="s">
        <v>5800</v>
      </c>
      <c r="E1" s="63" t="s">
        <v>5801</v>
      </c>
      <c r="F1" s="63" t="s">
        <v>5802</v>
      </c>
      <c r="G1" s="63" t="s">
        <v>5803</v>
      </c>
      <c r="H1" s="63" t="s">
        <v>5804</v>
      </c>
      <c r="I1" s="63" t="s">
        <v>5805</v>
      </c>
      <c r="J1" s="63" t="s">
        <v>5806</v>
      </c>
      <c r="K1" s="63" t="s">
        <v>5807</v>
      </c>
      <c r="L1" s="63" t="s">
        <v>5808</v>
      </c>
      <c r="M1" s="63" t="s">
        <v>5809</v>
      </c>
      <c r="N1" s="63" t="s">
        <v>5810</v>
      </c>
      <c r="O1" s="63" t="s">
        <v>5811</v>
      </c>
      <c r="P1" s="63" t="s">
        <v>5812</v>
      </c>
      <c r="Q1" s="63" t="s">
        <v>5813</v>
      </c>
      <c r="R1" s="63" t="s">
        <v>5814</v>
      </c>
      <c r="S1" s="63" t="s">
        <v>5815</v>
      </c>
      <c r="T1" s="63" t="s">
        <v>5816</v>
      </c>
      <c r="U1" s="63" t="s">
        <v>5817</v>
      </c>
      <c r="V1" s="63" t="s">
        <v>5818</v>
      </c>
      <c r="W1" s="63" t="s">
        <v>5819</v>
      </c>
      <c r="X1" s="63" t="s">
        <v>5820</v>
      </c>
      <c r="Y1" s="63" t="s">
        <v>5821</v>
      </c>
      <c r="Z1" s="63" t="s">
        <v>5822</v>
      </c>
      <c r="AA1" s="63" t="s">
        <v>5823</v>
      </c>
      <c r="AB1" s="63" t="s">
        <v>5824</v>
      </c>
      <c r="AC1" s="63" t="s">
        <v>5825</v>
      </c>
      <c r="AD1" s="63" t="s">
        <v>5826</v>
      </c>
      <c r="AE1" s="63" t="s">
        <v>5827</v>
      </c>
      <c r="AF1" s="63" t="s">
        <v>5828</v>
      </c>
      <c r="AG1" s="63" t="s">
        <v>5829</v>
      </c>
      <c r="AH1" s="63" t="s">
        <v>5830</v>
      </c>
      <c r="AI1" s="63" t="s">
        <v>5831</v>
      </c>
      <c r="AJ1" s="63" t="s">
        <v>5832</v>
      </c>
      <c r="AK1" s="63" t="s">
        <v>5833</v>
      </c>
      <c r="AL1" s="63" t="s">
        <v>5834</v>
      </c>
      <c r="AM1" s="63" t="s">
        <v>5835</v>
      </c>
      <c r="AN1" s="63" t="s">
        <v>5836</v>
      </c>
      <c r="AO1" s="63" t="s">
        <v>5837</v>
      </c>
      <c r="AP1" s="63" t="s">
        <v>5838</v>
      </c>
      <c r="AQ1" s="63" t="s">
        <v>5839</v>
      </c>
      <c r="AR1" s="63" t="s">
        <v>5840</v>
      </c>
      <c r="AS1" s="63" t="s">
        <v>5841</v>
      </c>
      <c r="AT1" s="63" t="s">
        <v>5842</v>
      </c>
      <c r="AU1" s="63" t="s">
        <v>5843</v>
      </c>
      <c r="AV1" s="63" t="s">
        <v>5844</v>
      </c>
      <c r="AW1" s="63" t="s">
        <v>5845</v>
      </c>
      <c r="AX1" s="63" t="s">
        <v>5846</v>
      </c>
      <c r="AY1" s="63" t="s">
        <v>5847</v>
      </c>
      <c r="AZ1" s="63" t="s">
        <v>5848</v>
      </c>
      <c r="BA1" s="63" t="s">
        <v>5849</v>
      </c>
      <c r="BB1" s="63" t="s">
        <v>5850</v>
      </c>
      <c r="BC1" s="63" t="s">
        <v>5851</v>
      </c>
      <c r="BD1" s="63" t="s">
        <v>5852</v>
      </c>
      <c r="BE1" s="63" t="s">
        <v>5853</v>
      </c>
      <c r="BF1" s="63" t="s">
        <v>5854</v>
      </c>
      <c r="BG1" s="63" t="s">
        <v>5855</v>
      </c>
      <c r="BH1" s="63" t="s">
        <v>5856</v>
      </c>
      <c r="BI1" s="63" t="s">
        <v>5857</v>
      </c>
      <c r="BJ1" s="63" t="s">
        <v>5858</v>
      </c>
      <c r="BK1" s="63" t="s">
        <v>5859</v>
      </c>
      <c r="BL1" s="63" t="s">
        <v>5860</v>
      </c>
      <c r="BM1" s="63" t="s">
        <v>5861</v>
      </c>
      <c r="BN1" s="63" t="s">
        <v>5862</v>
      </c>
      <c r="BO1" s="63" t="s">
        <v>5863</v>
      </c>
      <c r="BP1" s="63" t="s">
        <v>5864</v>
      </c>
      <c r="BQ1" s="63" t="s">
        <v>5865</v>
      </c>
      <c r="BR1" s="63" t="s">
        <v>5866</v>
      </c>
      <c r="BS1" s="63" t="s">
        <v>5867</v>
      </c>
      <c r="BT1" s="63" t="s">
        <v>5868</v>
      </c>
      <c r="BU1" s="63" t="s">
        <v>5869</v>
      </c>
      <c r="BV1" s="63" t="s">
        <v>5870</v>
      </c>
      <c r="BW1" s="63" t="s">
        <v>5871</v>
      </c>
      <c r="BX1" s="63" t="s">
        <v>5872</v>
      </c>
      <c r="BY1" s="63" t="s">
        <v>5873</v>
      </c>
      <c r="BZ1" s="63" t="s">
        <v>5874</v>
      </c>
      <c r="CA1" s="63" t="s">
        <v>5875</v>
      </c>
      <c r="CB1" s="63" t="s">
        <v>5876</v>
      </c>
      <c r="CC1" s="63" t="s">
        <v>5877</v>
      </c>
      <c r="CD1" s="63" t="s">
        <v>5878</v>
      </c>
      <c r="CE1" s="63" t="s">
        <v>5880</v>
      </c>
      <c r="CF1" s="63" t="s">
        <v>5881</v>
      </c>
      <c r="CG1" s="63" t="s">
        <v>5882</v>
      </c>
      <c r="CH1" s="63" t="s">
        <v>5883</v>
      </c>
      <c r="CI1" s="63" t="s">
        <v>5884</v>
      </c>
      <c r="CJ1" s="63" t="s">
        <v>5885</v>
      </c>
      <c r="CK1" s="63" t="s">
        <v>5886</v>
      </c>
      <c r="CL1" s="63" t="s">
        <v>5887</v>
      </c>
      <c r="CM1" s="63" t="s">
        <v>5888</v>
      </c>
      <c r="CN1" s="63" t="s">
        <v>5889</v>
      </c>
      <c r="CO1" s="63" t="s">
        <v>5890</v>
      </c>
      <c r="CP1" s="63" t="s">
        <v>5891</v>
      </c>
      <c r="CQ1" s="63" t="s">
        <v>5893</v>
      </c>
      <c r="CR1" s="63" t="s">
        <v>5894</v>
      </c>
      <c r="CS1" s="63" t="s">
        <v>5895</v>
      </c>
      <c r="CT1" s="63" t="s">
        <v>5893</v>
      </c>
      <c r="CU1" s="63" t="s">
        <v>5894</v>
      </c>
      <c r="CV1" s="63" t="s">
        <v>5893</v>
      </c>
      <c r="CW1" s="63" t="s">
        <v>5894</v>
      </c>
      <c r="CX1" s="63" t="s">
        <v>5897</v>
      </c>
      <c r="CY1" s="63" t="s">
        <v>5893</v>
      </c>
      <c r="CZ1" s="63" t="s">
        <v>5894</v>
      </c>
      <c r="DA1" s="63" t="s">
        <v>5899</v>
      </c>
      <c r="DB1" s="63" t="s">
        <v>5893</v>
      </c>
      <c r="DC1" s="63" t="s">
        <v>5894</v>
      </c>
      <c r="DD1" s="63" t="s">
        <v>5901</v>
      </c>
      <c r="DE1" s="63" t="s">
        <v>5902</v>
      </c>
      <c r="DF1" s="63" t="s">
        <v>5903</v>
      </c>
      <c r="DG1" s="63" t="s">
        <v>5904</v>
      </c>
      <c r="DH1" s="63" t="s">
        <v>5906</v>
      </c>
      <c r="DI1" s="63" t="s">
        <v>5907</v>
      </c>
      <c r="DJ1" s="63" t="s">
        <v>5908</v>
      </c>
      <c r="DK1" s="63" t="s">
        <v>5909</v>
      </c>
      <c r="DL1" s="63" t="s">
        <v>5911</v>
      </c>
      <c r="DM1" s="63" t="s">
        <v>5912</v>
      </c>
      <c r="DN1" s="63" t="s">
        <v>5913</v>
      </c>
      <c r="DO1" s="63" t="s">
        <v>5915</v>
      </c>
      <c r="DP1" s="63" t="s">
        <v>5916</v>
      </c>
      <c r="DQ1" s="63" t="s">
        <v>5917</v>
      </c>
      <c r="DR1" s="63" t="s">
        <v>5919</v>
      </c>
      <c r="DS1" s="63" t="s">
        <v>5920</v>
      </c>
      <c r="DT1" s="63" t="s">
        <v>5921</v>
      </c>
      <c r="DU1" s="63" t="s">
        <v>5922</v>
      </c>
      <c r="DV1" s="63" t="s">
        <v>5925</v>
      </c>
      <c r="DW1" s="63" t="s">
        <v>5926</v>
      </c>
      <c r="DX1" s="63" t="s">
        <v>5928</v>
      </c>
      <c r="DY1" s="63" t="s">
        <v>5929</v>
      </c>
      <c r="DZ1" s="63" t="s">
        <v>5930</v>
      </c>
      <c r="EA1" s="63" t="s">
        <v>5931</v>
      </c>
      <c r="EB1" s="63" t="s">
        <v>5933</v>
      </c>
      <c r="EC1" s="63" t="s">
        <v>5934</v>
      </c>
      <c r="ED1" s="63" t="s">
        <v>5935</v>
      </c>
      <c r="EE1" s="63" t="s">
        <v>5936</v>
      </c>
      <c r="EF1" s="63" t="s">
        <v>5937</v>
      </c>
      <c r="EG1" s="63" t="s">
        <v>5938</v>
      </c>
      <c r="EH1" s="63" t="s">
        <v>5939</v>
      </c>
      <c r="EI1" s="63" t="s">
        <v>5940</v>
      </c>
      <c r="EJ1" s="63" t="s">
        <v>5941</v>
      </c>
      <c r="EK1" s="63" t="s">
        <v>5942</v>
      </c>
      <c r="EL1" s="63" t="s">
        <v>5943</v>
      </c>
      <c r="EM1" s="63" t="s">
        <v>5944</v>
      </c>
      <c r="EN1" s="63" t="s">
        <v>5945</v>
      </c>
      <c r="EO1" s="64" t="s">
        <v>5946</v>
      </c>
      <c r="EP1" s="65"/>
      <c r="EQ1" s="66"/>
      <c r="ER1" s="66"/>
    </row>
    <row r="2">
      <c r="A2" s="67" t="s">
        <v>47</v>
      </c>
      <c r="B2" s="67" t="s">
        <v>121</v>
      </c>
      <c r="C2" s="67" t="s">
        <v>1029</v>
      </c>
      <c r="D2" s="67" t="s">
        <v>972</v>
      </c>
      <c r="E2" s="67" t="s">
        <v>985</v>
      </c>
      <c r="F2" s="67" t="s">
        <v>1074</v>
      </c>
      <c r="G2" s="67" t="s">
        <v>3458</v>
      </c>
      <c r="H2" s="67" t="s">
        <v>5201</v>
      </c>
      <c r="I2" s="67" t="s">
        <v>5182</v>
      </c>
      <c r="J2" s="67" t="s">
        <v>3363</v>
      </c>
      <c r="K2" s="67" t="s">
        <v>3366</v>
      </c>
      <c r="L2" s="67" t="s">
        <v>3368</v>
      </c>
      <c r="M2" s="67" t="s">
        <v>3370</v>
      </c>
      <c r="N2" s="67" t="s">
        <v>5498</v>
      </c>
      <c r="O2" s="67" t="s">
        <v>5500</v>
      </c>
      <c r="P2" s="67" t="s">
        <v>5502</v>
      </c>
      <c r="Q2" s="67" t="s">
        <v>5504</v>
      </c>
      <c r="R2" s="67" t="s">
        <v>5505</v>
      </c>
      <c r="S2" s="67" t="s">
        <v>5507</v>
      </c>
      <c r="T2" s="67" t="s">
        <v>5509</v>
      </c>
      <c r="U2" s="67" t="s">
        <v>5511</v>
      </c>
      <c r="V2" s="67" t="s">
        <v>5513</v>
      </c>
      <c r="W2" s="67" t="s">
        <v>5514</v>
      </c>
      <c r="X2" s="67" t="s">
        <v>5516</v>
      </c>
      <c r="Y2" s="67" t="s">
        <v>5947</v>
      </c>
      <c r="Z2" s="67" t="s">
        <v>5948</v>
      </c>
      <c r="AA2" s="67" t="s">
        <v>5949</v>
      </c>
      <c r="AB2" s="67" t="s">
        <v>3373</v>
      </c>
      <c r="AC2" s="67" t="s">
        <v>3376</v>
      </c>
      <c r="AD2" s="67" t="s">
        <v>3378</v>
      </c>
      <c r="AE2" s="67" t="s">
        <v>3381</v>
      </c>
      <c r="AF2" s="67" t="s">
        <v>3384</v>
      </c>
      <c r="AG2" s="67" t="s">
        <v>3387</v>
      </c>
      <c r="AH2" s="67" t="s">
        <v>3389</v>
      </c>
      <c r="AI2" s="67" t="s">
        <v>3393</v>
      </c>
      <c r="AJ2" s="67" t="s">
        <v>3395</v>
      </c>
      <c r="AK2" s="67" t="s">
        <v>3397</v>
      </c>
      <c r="AL2" s="67" t="s">
        <v>3401</v>
      </c>
      <c r="AM2" s="67" t="s">
        <v>3403</v>
      </c>
      <c r="AN2" s="67" t="s">
        <v>3405</v>
      </c>
      <c r="AO2" s="67" t="s">
        <v>3409</v>
      </c>
      <c r="AP2" s="67" t="s">
        <v>3411</v>
      </c>
      <c r="AQ2" s="67" t="s">
        <v>3413</v>
      </c>
      <c r="AR2" s="67" t="s">
        <v>5950</v>
      </c>
      <c r="AS2" s="67" t="s">
        <v>5951</v>
      </c>
      <c r="AT2" s="67" t="s">
        <v>5952</v>
      </c>
      <c r="AU2" s="67" t="s">
        <v>5953</v>
      </c>
      <c r="AV2" s="67" t="s">
        <v>5954</v>
      </c>
      <c r="AW2" s="67" t="s">
        <v>5955</v>
      </c>
      <c r="AX2" s="67" t="s">
        <v>5956</v>
      </c>
      <c r="AY2" s="67" t="s">
        <v>5957</v>
      </c>
      <c r="AZ2" s="67" t="s">
        <v>5958</v>
      </c>
      <c r="BA2" s="67" t="s">
        <v>5959</v>
      </c>
      <c r="BB2" s="67" t="s">
        <v>5960</v>
      </c>
      <c r="BC2" s="67" t="s">
        <v>5961</v>
      </c>
      <c r="BD2" s="67" t="s">
        <v>5962</v>
      </c>
      <c r="BE2" s="67" t="s">
        <v>5963</v>
      </c>
      <c r="BF2" s="67" t="s">
        <v>5964</v>
      </c>
      <c r="BG2" s="67" t="s">
        <v>5965</v>
      </c>
      <c r="BH2" s="67" t="s">
        <v>5966</v>
      </c>
      <c r="BI2" s="67" t="s">
        <v>3480</v>
      </c>
      <c r="BJ2" s="67" t="s">
        <v>5967</v>
      </c>
      <c r="BK2" s="67" t="s">
        <v>5968</v>
      </c>
      <c r="BL2" s="67" t="s">
        <v>3464</v>
      </c>
      <c r="BM2" s="67" t="s">
        <v>5969</v>
      </c>
      <c r="BN2" s="67" t="s">
        <v>3465</v>
      </c>
      <c r="BO2" s="67" t="s">
        <v>5970</v>
      </c>
      <c r="BP2" s="67" t="s">
        <v>5971</v>
      </c>
      <c r="BQ2" s="67" t="s">
        <v>5972</v>
      </c>
      <c r="BR2" s="67" t="s">
        <v>5973</v>
      </c>
      <c r="BS2" s="67" t="s">
        <v>5974</v>
      </c>
      <c r="BT2" s="67" t="s">
        <v>3481</v>
      </c>
      <c r="BU2" s="67" t="s">
        <v>5975</v>
      </c>
      <c r="BV2" s="67" t="s">
        <v>5976</v>
      </c>
      <c r="BW2" s="67" t="s">
        <v>5977</v>
      </c>
      <c r="BX2" s="67" t="s">
        <v>5978</v>
      </c>
      <c r="BY2" s="67" t="s">
        <v>5979</v>
      </c>
      <c r="BZ2" s="67" t="s">
        <v>5980</v>
      </c>
      <c r="CA2" s="67" t="s">
        <v>5981</v>
      </c>
      <c r="CB2" s="67" t="s">
        <v>5982</v>
      </c>
      <c r="CC2" s="67" t="s">
        <v>5983</v>
      </c>
      <c r="CD2" s="67" t="s">
        <v>5984</v>
      </c>
      <c r="CE2" s="67" t="s">
        <v>5985</v>
      </c>
      <c r="CF2" s="67" t="s">
        <v>5986</v>
      </c>
      <c r="CG2" s="67" t="s">
        <v>5987</v>
      </c>
      <c r="CH2" s="67" t="s">
        <v>5988</v>
      </c>
      <c r="CI2" s="67" t="s">
        <v>5989</v>
      </c>
      <c r="CJ2" s="67" t="s">
        <v>5990</v>
      </c>
      <c r="CK2" s="67" t="s">
        <v>5991</v>
      </c>
      <c r="CL2" s="67" t="s">
        <v>5992</v>
      </c>
      <c r="CM2" s="67" t="s">
        <v>3416</v>
      </c>
      <c r="CN2" s="67" t="s">
        <v>5993</v>
      </c>
      <c r="CO2" s="67" t="s">
        <v>5994</v>
      </c>
      <c r="CP2" s="67" t="s">
        <v>5995</v>
      </c>
      <c r="CQ2" s="67" t="s">
        <v>5996</v>
      </c>
      <c r="CR2" s="67" t="s">
        <v>5997</v>
      </c>
      <c r="CS2" s="67" t="s">
        <v>5998</v>
      </c>
      <c r="CT2" s="67" t="s">
        <v>5999</v>
      </c>
      <c r="CU2" s="67" t="s">
        <v>3419</v>
      </c>
      <c r="CV2" s="67" t="s">
        <v>5042</v>
      </c>
      <c r="CW2" s="67" t="s">
        <v>6000</v>
      </c>
      <c r="CX2" s="67" t="s">
        <v>3952</v>
      </c>
      <c r="CY2" s="67" t="s">
        <v>6001</v>
      </c>
      <c r="CZ2" s="67" t="s">
        <v>5189</v>
      </c>
      <c r="DA2" s="67" t="s">
        <v>6002</v>
      </c>
      <c r="DB2" s="67" t="s">
        <v>4247</v>
      </c>
      <c r="DC2" s="67" t="s">
        <v>6003</v>
      </c>
      <c r="DD2" s="67" t="s">
        <v>6004</v>
      </c>
      <c r="DE2" s="67" t="s">
        <v>4372</v>
      </c>
      <c r="DF2" s="67" t="s">
        <v>3832</v>
      </c>
      <c r="DG2" s="67" t="s">
        <v>6005</v>
      </c>
      <c r="DH2" s="67" t="s">
        <v>6006</v>
      </c>
      <c r="DI2" s="67" t="s">
        <v>3821</v>
      </c>
      <c r="DJ2" s="67" t="s">
        <v>4583</v>
      </c>
      <c r="DK2" s="67" t="s">
        <v>6007</v>
      </c>
      <c r="DL2" s="67" t="s">
        <v>4056</v>
      </c>
      <c r="DM2" s="67" t="s">
        <v>4411</v>
      </c>
      <c r="DN2" s="67" t="s">
        <v>6008</v>
      </c>
      <c r="DO2" s="67" t="s">
        <v>3961</v>
      </c>
      <c r="DP2" s="67" t="s">
        <v>3770</v>
      </c>
      <c r="DQ2" s="67" t="s">
        <v>6009</v>
      </c>
      <c r="DR2" s="67" t="s">
        <v>3802</v>
      </c>
      <c r="DS2" s="67" t="s">
        <v>6010</v>
      </c>
      <c r="DT2" s="67" t="s">
        <v>3828</v>
      </c>
      <c r="DU2" s="67" t="s">
        <v>6011</v>
      </c>
      <c r="DV2" s="67" t="s">
        <v>6012</v>
      </c>
      <c r="DW2" s="67" t="s">
        <v>6013</v>
      </c>
      <c r="DX2" s="67" t="s">
        <v>3792</v>
      </c>
      <c r="DY2" s="67" t="s">
        <v>6014</v>
      </c>
      <c r="DZ2" s="67" t="s">
        <v>6015</v>
      </c>
      <c r="EA2" s="67" t="s">
        <v>4170</v>
      </c>
      <c r="EB2" s="67" t="s">
        <v>3965</v>
      </c>
      <c r="EC2" s="67" t="s">
        <v>6016</v>
      </c>
      <c r="ED2" s="67" t="s">
        <v>6017</v>
      </c>
      <c r="EE2" s="67" t="s">
        <v>6018</v>
      </c>
      <c r="EF2" s="67" t="s">
        <v>4254</v>
      </c>
      <c r="EG2" s="67" t="s">
        <v>4038</v>
      </c>
      <c r="EH2" s="67" t="s">
        <v>6019</v>
      </c>
      <c r="EI2" s="67" t="s">
        <v>6020</v>
      </c>
      <c r="EJ2" s="67" t="s">
        <v>6021</v>
      </c>
      <c r="EK2" s="67" t="s">
        <v>3841</v>
      </c>
      <c r="EL2" s="67" t="s">
        <v>6022</v>
      </c>
      <c r="EM2" s="67" t="s">
        <v>4014</v>
      </c>
      <c r="EN2" s="67" t="s">
        <v>4591</v>
      </c>
      <c r="EO2" s="68" t="s">
        <v>6023</v>
      </c>
      <c r="EP2" s="69"/>
      <c r="EQ2" s="70"/>
      <c r="ER2" s="70"/>
    </row>
    <row r="3">
      <c r="A3" s="67" t="s">
        <v>6024</v>
      </c>
      <c r="B3" s="67" t="s">
        <v>6025</v>
      </c>
      <c r="C3" s="67" t="s">
        <v>6026</v>
      </c>
      <c r="D3" s="67" t="s">
        <v>6027</v>
      </c>
      <c r="E3" s="67" t="s">
        <v>6028</v>
      </c>
      <c r="F3" s="67" t="s">
        <v>6029</v>
      </c>
      <c r="G3" s="67" t="s">
        <v>6030</v>
      </c>
      <c r="H3" s="67" t="s">
        <v>6031</v>
      </c>
      <c r="I3" s="67" t="s">
        <v>6032</v>
      </c>
      <c r="J3" s="67" t="s">
        <v>6033</v>
      </c>
      <c r="K3" s="67" t="s">
        <v>6034</v>
      </c>
      <c r="L3" s="67" t="s">
        <v>6035</v>
      </c>
      <c r="M3" s="67" t="s">
        <v>6036</v>
      </c>
      <c r="N3" s="67" t="s">
        <v>6037</v>
      </c>
      <c r="O3" s="67" t="s">
        <v>6038</v>
      </c>
      <c r="P3" s="67" t="s">
        <v>6039</v>
      </c>
      <c r="Q3" s="67" t="s">
        <v>6040</v>
      </c>
      <c r="R3" s="67" t="s">
        <v>6041</v>
      </c>
      <c r="S3" s="67" t="s">
        <v>6042</v>
      </c>
      <c r="T3" s="67" t="s">
        <v>6043</v>
      </c>
      <c r="U3" s="67" t="s">
        <v>6044</v>
      </c>
      <c r="V3" s="67" t="s">
        <v>6045</v>
      </c>
      <c r="W3" s="67" t="s">
        <v>6046</v>
      </c>
      <c r="X3" s="67" t="s">
        <v>6047</v>
      </c>
      <c r="Y3" s="67" t="s">
        <v>6048</v>
      </c>
      <c r="Z3" s="67" t="s">
        <v>6049</v>
      </c>
      <c r="AA3" s="67" t="s">
        <v>6050</v>
      </c>
      <c r="AB3" s="67" t="s">
        <v>6051</v>
      </c>
      <c r="AC3" s="67" t="s">
        <v>6052</v>
      </c>
      <c r="AD3" s="67" t="s">
        <v>6053</v>
      </c>
      <c r="AE3" s="67" t="s">
        <v>6054</v>
      </c>
      <c r="AF3" s="67" t="s">
        <v>6055</v>
      </c>
      <c r="AG3" s="67" t="s">
        <v>6056</v>
      </c>
      <c r="AH3" s="67" t="s">
        <v>6057</v>
      </c>
      <c r="AI3" s="67" t="s">
        <v>6058</v>
      </c>
      <c r="AJ3" s="67" t="s">
        <v>6059</v>
      </c>
      <c r="AK3" s="67" t="s">
        <v>6060</v>
      </c>
      <c r="AL3" s="67" t="s">
        <v>6061</v>
      </c>
      <c r="AM3" s="67" t="s">
        <v>6062</v>
      </c>
      <c r="AN3" s="67" t="s">
        <v>6063</v>
      </c>
      <c r="AO3" s="67" t="s">
        <v>6064</v>
      </c>
      <c r="AP3" s="67" t="s">
        <v>6065</v>
      </c>
      <c r="AQ3" s="67" t="s">
        <v>6066</v>
      </c>
      <c r="AR3" s="67" t="s">
        <v>6067</v>
      </c>
      <c r="AS3" s="67" t="s">
        <v>6068</v>
      </c>
      <c r="AT3" s="67" t="s">
        <v>6069</v>
      </c>
      <c r="AU3" s="67" t="s">
        <v>6070</v>
      </c>
      <c r="AV3" s="67" t="s">
        <v>6071</v>
      </c>
      <c r="AW3" s="67" t="s">
        <v>6072</v>
      </c>
      <c r="AX3" s="67" t="s">
        <v>6073</v>
      </c>
      <c r="AY3" s="67" t="s">
        <v>6074</v>
      </c>
      <c r="AZ3" s="67" t="s">
        <v>6075</v>
      </c>
      <c r="BA3" s="67" t="s">
        <v>6076</v>
      </c>
      <c r="BB3" s="67" t="s">
        <v>6077</v>
      </c>
      <c r="BC3" s="67" t="s">
        <v>6078</v>
      </c>
      <c r="BD3" s="67" t="s">
        <v>6079</v>
      </c>
      <c r="BE3" s="67" t="s">
        <v>6080</v>
      </c>
      <c r="BF3" s="67" t="s">
        <v>6081</v>
      </c>
      <c r="BG3" s="67" t="s">
        <v>6082</v>
      </c>
      <c r="BH3" s="67" t="s">
        <v>6083</v>
      </c>
      <c r="BI3" s="67" t="s">
        <v>6084</v>
      </c>
      <c r="BJ3" s="67" t="s">
        <v>6085</v>
      </c>
      <c r="BK3" s="67" t="s">
        <v>6086</v>
      </c>
      <c r="BL3" s="67" t="s">
        <v>6087</v>
      </c>
      <c r="BM3" s="67" t="s">
        <v>6088</v>
      </c>
      <c r="BN3" s="67" t="s">
        <v>6089</v>
      </c>
      <c r="BO3" s="67" t="s">
        <v>6090</v>
      </c>
      <c r="BP3" s="67" t="s">
        <v>6091</v>
      </c>
      <c r="BQ3" s="67" t="s">
        <v>6092</v>
      </c>
      <c r="BR3" s="67" t="s">
        <v>6093</v>
      </c>
      <c r="BS3" s="67" t="s">
        <v>6094</v>
      </c>
      <c r="BT3" s="67" t="s">
        <v>6095</v>
      </c>
      <c r="BU3" s="67" t="s">
        <v>6096</v>
      </c>
      <c r="BV3" s="67" t="s">
        <v>6097</v>
      </c>
      <c r="BW3" s="67" t="s">
        <v>6098</v>
      </c>
      <c r="BX3" s="67" t="s">
        <v>6099</v>
      </c>
      <c r="BY3" s="67" t="s">
        <v>6100</v>
      </c>
      <c r="BZ3" s="67" t="s">
        <v>6101</v>
      </c>
      <c r="CA3" s="67" t="s">
        <v>6102</v>
      </c>
      <c r="CB3" s="67" t="s">
        <v>6103</v>
      </c>
      <c r="CC3" s="67" t="s">
        <v>6104</v>
      </c>
      <c r="CD3" s="67" t="s">
        <v>6105</v>
      </c>
      <c r="CE3" s="67" t="s">
        <v>6106</v>
      </c>
      <c r="CF3" s="67" t="s">
        <v>6107</v>
      </c>
      <c r="CG3" s="67" t="s">
        <v>6108</v>
      </c>
      <c r="CH3" s="67" t="s">
        <v>6109</v>
      </c>
      <c r="CI3" s="67" t="s">
        <v>6110</v>
      </c>
      <c r="CJ3" s="67" t="s">
        <v>6111</v>
      </c>
      <c r="CK3" s="67" t="s">
        <v>6112</v>
      </c>
      <c r="CL3" s="67" t="s">
        <v>6113</v>
      </c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8"/>
      <c r="EP3" s="69"/>
      <c r="EQ3" s="71" t="s">
        <v>6114</v>
      </c>
      <c r="ER3" s="71"/>
    </row>
    <row r="4">
      <c r="A4" s="72" t="s">
        <v>443</v>
      </c>
      <c r="B4" s="73"/>
      <c r="C4" s="73"/>
      <c r="D4" s="73"/>
      <c r="E4" s="73"/>
      <c r="F4" s="73"/>
      <c r="G4" s="72" t="s">
        <v>73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2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69"/>
      <c r="EQ4" s="69" t="str">
        <f>TEXTJOIN(";",FALSE,A4:EO4)</f>
        <v>0076;;;;;;V;;;;;;;;;;;;;;;;;;;;;;;;;;;;;;;;;;;;;;;;;;;;;;;;;;;;;;;;;;;;;;;;;;;;;;;;;;;;;;;;;;;;;;;;;;;;;;;;;;;;;;;;;;;;;;;;;;;;;;;;;;;;;;;;;;;;;;;;;;</v>
      </c>
      <c r="ER4" s="69"/>
    </row>
    <row r="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69"/>
      <c r="EQ5" s="69"/>
      <c r="ER5" s="69"/>
    </row>
    <row r="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69"/>
      <c r="EQ6" s="69"/>
      <c r="ER6" s="69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69"/>
      <c r="EQ7" s="69"/>
      <c r="ER7" s="69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69"/>
      <c r="EQ8" s="69"/>
      <c r="ER8" s="69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69"/>
      <c r="EQ9" s="69"/>
      <c r="ER9" s="69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69"/>
      <c r="EQ10" s="69"/>
      <c r="ER10" s="69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69"/>
      <c r="EQ11" s="69"/>
      <c r="ER11" s="69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69"/>
      <c r="EQ12" s="69"/>
      <c r="ER12" s="69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69"/>
      <c r="EQ13" s="69"/>
      <c r="ER13" s="69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2"/>
      <c r="DY14" s="72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69"/>
      <c r="EQ14" s="69"/>
      <c r="ER14" s="69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69"/>
      <c r="EQ15" s="69"/>
      <c r="ER15" s="69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69"/>
      <c r="EQ16" s="69"/>
      <c r="ER16" s="69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69"/>
      <c r="EQ17" s="69"/>
      <c r="ER17" s="69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69"/>
      <c r="EQ18" s="69"/>
      <c r="ER18" s="69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69"/>
      <c r="EQ19" s="69"/>
      <c r="ER19" s="69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69"/>
      <c r="EQ20" s="69"/>
      <c r="ER20" s="69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2"/>
      <c r="DY21" s="72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69"/>
      <c r="EQ21" s="69"/>
      <c r="ER21" s="69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2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69"/>
      <c r="EQ22" s="69"/>
      <c r="ER22" s="69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2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69"/>
      <c r="EQ23" s="69"/>
      <c r="ER23" s="69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69"/>
      <c r="EQ24" s="69"/>
      <c r="ER24" s="69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2"/>
      <c r="DY25" s="72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69"/>
      <c r="EQ25" s="69"/>
      <c r="ER25" s="69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2"/>
      <c r="DY26" s="72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69"/>
      <c r="EQ26" s="69"/>
      <c r="ER26" s="69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2"/>
      <c r="DY27" s="72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69"/>
      <c r="EQ27" s="69"/>
      <c r="ER27" s="69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69"/>
      <c r="EQ28" s="69"/>
      <c r="ER28" s="69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69"/>
      <c r="EQ29" s="69"/>
      <c r="ER29" s="69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69"/>
      <c r="EQ30" s="69"/>
      <c r="ER30" s="69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2"/>
      <c r="DY31" s="72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69"/>
      <c r="EQ31" s="69"/>
      <c r="ER31" s="69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2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69"/>
      <c r="EQ32" s="69"/>
      <c r="ER32" s="69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69"/>
      <c r="EQ33" s="69"/>
      <c r="ER33" s="69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69"/>
      <c r="EQ34" s="69"/>
      <c r="ER34" s="69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2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69"/>
      <c r="EQ35" s="69"/>
      <c r="ER35" s="69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2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69"/>
      <c r="EQ36" s="69"/>
      <c r="ER36" s="69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2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69"/>
      <c r="EQ37" s="69"/>
      <c r="ER37" s="69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69"/>
      <c r="EQ38" s="69"/>
      <c r="ER38" s="69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2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69"/>
      <c r="EQ39" s="69"/>
      <c r="ER39" s="69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69"/>
      <c r="EQ40" s="69"/>
      <c r="ER40" s="69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69"/>
      <c r="EQ41" s="69"/>
      <c r="ER41" s="69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69"/>
      <c r="EQ42" s="69"/>
      <c r="ER42" s="69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69"/>
      <c r="EQ43" s="69"/>
      <c r="ER43" s="69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69"/>
      <c r="EQ44" s="69"/>
      <c r="ER44" s="69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69"/>
      <c r="EQ45" s="69"/>
      <c r="ER45" s="69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69"/>
      <c r="EQ46" s="69"/>
      <c r="ER46" s="69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69"/>
      <c r="EQ47" s="69"/>
      <c r="ER47" s="69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69"/>
      <c r="EQ48" s="69"/>
      <c r="ER48" s="69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69"/>
      <c r="EQ49" s="69"/>
      <c r="ER49" s="69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A50" s="73"/>
      <c r="EB50" s="73"/>
      <c r="EC50" s="73"/>
      <c r="ED50" s="73"/>
      <c r="EE50" s="73"/>
      <c r="EF50" s="73"/>
      <c r="EG50" s="73"/>
      <c r="EH50" s="73"/>
      <c r="EI50" s="73"/>
      <c r="EJ50" s="73"/>
      <c r="EK50" s="73"/>
      <c r="EL50" s="73"/>
      <c r="EM50" s="73"/>
      <c r="EN50" s="73"/>
      <c r="EO50" s="73"/>
      <c r="EP50" s="69"/>
      <c r="EQ50" s="69"/>
      <c r="ER50" s="69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2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69"/>
      <c r="EQ51" s="69"/>
      <c r="ER51" s="69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A52" s="73"/>
      <c r="EB52" s="73"/>
      <c r="EC52" s="73"/>
      <c r="ED52" s="73"/>
      <c r="EE52" s="73"/>
      <c r="EF52" s="73"/>
      <c r="EG52" s="73"/>
      <c r="EH52" s="73"/>
      <c r="EI52" s="73"/>
      <c r="EJ52" s="73"/>
      <c r="EK52" s="73"/>
      <c r="EL52" s="73"/>
      <c r="EM52" s="73"/>
      <c r="EN52" s="73"/>
      <c r="EO52" s="73"/>
      <c r="EP52" s="69"/>
      <c r="EQ52" s="69"/>
      <c r="ER52" s="69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2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69"/>
      <c r="EQ53" s="69"/>
      <c r="ER53" s="69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69"/>
      <c r="EQ54" s="69"/>
      <c r="ER54" s="69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3"/>
      <c r="EB55" s="73"/>
      <c r="EC55" s="73"/>
      <c r="ED55" s="73"/>
      <c r="EE55" s="73"/>
      <c r="EF55" s="73"/>
      <c r="EG55" s="73"/>
      <c r="EH55" s="73"/>
      <c r="EI55" s="73"/>
      <c r="EJ55" s="73"/>
      <c r="EK55" s="73"/>
      <c r="EL55" s="73"/>
      <c r="EM55" s="73"/>
      <c r="EN55" s="73"/>
      <c r="EO55" s="73"/>
      <c r="EP55" s="69"/>
      <c r="EQ55" s="69"/>
      <c r="ER55" s="69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69"/>
      <c r="EQ56" s="69"/>
      <c r="ER56" s="69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69"/>
      <c r="EQ57" s="69"/>
      <c r="ER57" s="69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69"/>
      <c r="EQ58" s="69"/>
      <c r="ER58" s="69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73"/>
      <c r="ED59" s="73"/>
      <c r="EE59" s="73"/>
      <c r="EF59" s="73"/>
      <c r="EG59" s="73"/>
      <c r="EH59" s="73"/>
      <c r="EI59" s="73"/>
      <c r="EJ59" s="73"/>
      <c r="EK59" s="73"/>
      <c r="EL59" s="73"/>
      <c r="EM59" s="73"/>
      <c r="EN59" s="73"/>
      <c r="EO59" s="73"/>
      <c r="EP59" s="69"/>
      <c r="EQ59" s="69"/>
      <c r="ER59" s="69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69"/>
      <c r="EQ60" s="69"/>
      <c r="ER60" s="69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2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69"/>
      <c r="EQ61" s="69"/>
      <c r="ER61" s="69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69"/>
      <c r="EQ62" s="69"/>
      <c r="ER62" s="69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69"/>
      <c r="EQ63" s="69"/>
      <c r="ER63" s="69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69"/>
      <c r="EQ64" s="69"/>
      <c r="ER64" s="69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69"/>
      <c r="EQ65" s="69"/>
      <c r="ER65" s="69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69"/>
      <c r="EQ66" s="69"/>
      <c r="ER66" s="69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73"/>
      <c r="EC67" s="73"/>
      <c r="ED67" s="73"/>
      <c r="EE67" s="73"/>
      <c r="EF67" s="73"/>
      <c r="EG67" s="73"/>
      <c r="EH67" s="73"/>
      <c r="EI67" s="73"/>
      <c r="EJ67" s="73"/>
      <c r="EK67" s="73"/>
      <c r="EL67" s="73"/>
      <c r="EM67" s="73"/>
      <c r="EN67" s="73"/>
      <c r="EO67" s="73"/>
      <c r="EP67" s="69"/>
      <c r="EQ67" s="69"/>
      <c r="ER67" s="69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69"/>
      <c r="EQ68" s="69"/>
      <c r="ER68" s="69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69"/>
      <c r="EQ69" s="69"/>
      <c r="ER69" s="69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73"/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69"/>
      <c r="EQ70" s="69"/>
      <c r="ER70" s="69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69"/>
      <c r="EQ71" s="69"/>
      <c r="ER71" s="69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69"/>
      <c r="EQ72" s="69"/>
      <c r="ER72" s="69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69"/>
      <c r="EQ73" s="69"/>
      <c r="ER73" s="69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2"/>
      <c r="CN74" s="73"/>
      <c r="CO74" s="73"/>
      <c r="CP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73"/>
      <c r="EB74" s="73"/>
      <c r="EC74" s="73"/>
      <c r="ED74" s="73"/>
      <c r="EE74" s="73"/>
      <c r="EF74" s="73"/>
      <c r="EG74" s="73"/>
      <c r="EH74" s="73"/>
      <c r="EI74" s="73"/>
      <c r="EJ74" s="73"/>
      <c r="EK74" s="73"/>
      <c r="EL74" s="73"/>
      <c r="EM74" s="73"/>
      <c r="EN74" s="73"/>
      <c r="EO74" s="73"/>
      <c r="EP74" s="69"/>
      <c r="EQ74" s="69"/>
      <c r="ER74" s="69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69"/>
      <c r="EQ75" s="69"/>
      <c r="ER75" s="69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69"/>
      <c r="EQ76" s="69"/>
      <c r="ER76" s="69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69"/>
      <c r="EQ77" s="69"/>
      <c r="ER77" s="69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69"/>
      <c r="EQ78" s="69"/>
      <c r="ER78" s="69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73"/>
      <c r="EH79" s="73"/>
      <c r="EI79" s="73"/>
      <c r="EJ79" s="73"/>
      <c r="EK79" s="73"/>
      <c r="EL79" s="73"/>
      <c r="EM79" s="73"/>
      <c r="EN79" s="73"/>
      <c r="EO79" s="73"/>
      <c r="EP79" s="69"/>
      <c r="EQ79" s="69"/>
      <c r="ER79" s="69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69"/>
      <c r="EQ80" s="69"/>
      <c r="ER80" s="69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73"/>
      <c r="EH81" s="73"/>
      <c r="EI81" s="73"/>
      <c r="EJ81" s="73"/>
      <c r="EK81" s="73"/>
      <c r="EL81" s="73"/>
      <c r="EM81" s="73"/>
      <c r="EN81" s="73"/>
      <c r="EO81" s="73"/>
      <c r="EP81" s="69"/>
      <c r="EQ81" s="69"/>
      <c r="ER81" s="69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69"/>
      <c r="EQ82" s="69"/>
      <c r="ER82" s="69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69"/>
      <c r="EQ83" s="69"/>
      <c r="ER83" s="69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69"/>
      <c r="EQ84" s="69"/>
      <c r="ER84" s="69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69"/>
      <c r="EQ85" s="69"/>
      <c r="ER85" s="69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69"/>
      <c r="EQ86" s="69"/>
      <c r="ER86" s="69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69"/>
      <c r="EQ87" s="69"/>
      <c r="ER87" s="69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69"/>
      <c r="EQ88" s="69"/>
      <c r="ER88" s="69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69"/>
      <c r="EQ89" s="69"/>
      <c r="ER89" s="69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69"/>
      <c r="EQ90" s="69"/>
      <c r="ER90" s="69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69"/>
      <c r="EQ91" s="69"/>
      <c r="ER91" s="69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69"/>
      <c r="EQ92" s="69"/>
      <c r="ER92" s="69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69"/>
      <c r="EQ93" s="69"/>
      <c r="ER93" s="69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69"/>
      <c r="EQ94" s="69"/>
      <c r="ER94" s="69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69"/>
      <c r="EQ95" s="69"/>
      <c r="ER95" s="69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69"/>
      <c r="EQ96" s="69"/>
      <c r="ER96" s="69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69"/>
      <c r="EQ97" s="69"/>
      <c r="ER97" s="69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69"/>
      <c r="EQ98" s="69"/>
      <c r="ER98" s="69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69"/>
      <c r="EQ99" s="69"/>
      <c r="ER99" s="69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69"/>
      <c r="EQ100" s="69"/>
      <c r="ER100" s="69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69"/>
      <c r="EQ101" s="69"/>
      <c r="ER101" s="69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69"/>
      <c r="EQ102" s="69"/>
      <c r="ER102" s="69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2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69"/>
      <c r="EQ103" s="69"/>
      <c r="ER103" s="69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2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69"/>
      <c r="EQ104" s="69"/>
      <c r="ER104" s="69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69"/>
      <c r="EQ105" s="69"/>
      <c r="ER105" s="69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2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69"/>
      <c r="EQ106" s="69"/>
      <c r="ER106" s="69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69"/>
      <c r="EQ107" s="69"/>
      <c r="ER107" s="69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  <c r="ED108" s="73"/>
      <c r="EE108" s="73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69"/>
      <c r="EQ108" s="69"/>
      <c r="ER108" s="69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  <c r="ED109" s="73"/>
      <c r="EE109" s="73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69"/>
      <c r="EQ109" s="69"/>
      <c r="ER109" s="69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69"/>
      <c r="EQ110" s="69"/>
      <c r="ER110" s="69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69"/>
      <c r="EQ111" s="69"/>
      <c r="ER111" s="69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/>
      <c r="ED112" s="73"/>
      <c r="EE112" s="73"/>
      <c r="EF112" s="73"/>
      <c r="EG112" s="73"/>
      <c r="EH112" s="73"/>
      <c r="EI112" s="73"/>
      <c r="EJ112" s="73"/>
      <c r="EK112" s="73"/>
      <c r="EL112" s="73"/>
      <c r="EM112" s="73"/>
      <c r="EN112" s="73"/>
      <c r="EO112" s="73"/>
      <c r="EP112" s="69"/>
      <c r="EQ112" s="69"/>
      <c r="ER112" s="69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  <c r="ED113" s="73"/>
      <c r="EE113" s="73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69"/>
      <c r="EQ113" s="69"/>
      <c r="ER113" s="69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69"/>
      <c r="EQ114" s="69"/>
      <c r="ER114" s="69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  <c r="ED115" s="73"/>
      <c r="EE115" s="73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69"/>
      <c r="EQ115" s="69"/>
      <c r="ER115" s="69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69"/>
      <c r="EQ116" s="69"/>
      <c r="ER116" s="69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69"/>
      <c r="EQ117" s="69"/>
      <c r="ER117" s="69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69"/>
      <c r="EQ118" s="69"/>
      <c r="ER118" s="69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69"/>
      <c r="EQ119" s="69"/>
      <c r="ER119" s="69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2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69"/>
      <c r="EQ120" s="69"/>
      <c r="ER120" s="69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2"/>
      <c r="DY121" s="72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69"/>
      <c r="EQ121" s="69"/>
      <c r="ER121" s="69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2"/>
      <c r="DY122" s="72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69"/>
      <c r="EQ122" s="69"/>
      <c r="ER122" s="69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2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2"/>
      <c r="DY123" s="72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69"/>
      <c r="EQ123" s="69"/>
      <c r="ER123" s="69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2"/>
      <c r="DY124" s="72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69"/>
      <c r="EQ124" s="69"/>
      <c r="ER124" s="69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2"/>
      <c r="DY125" s="72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69"/>
      <c r="EQ125" s="69"/>
      <c r="ER125" s="69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2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2"/>
      <c r="DY126" s="72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69"/>
      <c r="EQ126" s="69"/>
      <c r="ER126" s="69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2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2"/>
      <c r="DY127" s="72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69"/>
      <c r="EQ127" s="69"/>
      <c r="ER127" s="69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2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2"/>
      <c r="DY128" s="72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69"/>
      <c r="EQ128" s="69"/>
      <c r="ER128" s="69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2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2"/>
      <c r="DY129" s="72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69"/>
      <c r="EQ129" s="69"/>
      <c r="ER129" s="69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2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2"/>
      <c r="DY130" s="72"/>
      <c r="DZ130" s="73"/>
      <c r="EA130" s="73"/>
      <c r="EB130" s="73"/>
      <c r="EC130" s="73"/>
      <c r="ED130" s="73"/>
      <c r="EE130" s="73"/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69"/>
      <c r="EQ130" s="69"/>
      <c r="ER130" s="69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2"/>
      <c r="DY131" s="72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69"/>
      <c r="EQ131" s="69"/>
      <c r="ER131" s="69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2"/>
      <c r="DY132" s="72"/>
      <c r="DZ132" s="73"/>
      <c r="EA132" s="73"/>
      <c r="EB132" s="73"/>
      <c r="EC132" s="73"/>
      <c r="ED132" s="73"/>
      <c r="EE132" s="73"/>
      <c r="EF132" s="73"/>
      <c r="EG132" s="73"/>
      <c r="EH132" s="73"/>
      <c r="EI132" s="73"/>
      <c r="EJ132" s="73"/>
      <c r="EK132" s="73"/>
      <c r="EL132" s="73"/>
      <c r="EM132" s="73"/>
      <c r="EN132" s="73"/>
      <c r="EO132" s="73"/>
      <c r="EP132" s="69"/>
      <c r="EQ132" s="69"/>
      <c r="ER132" s="69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2"/>
      <c r="DY133" s="72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69"/>
      <c r="EQ133" s="69"/>
      <c r="ER133" s="69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2"/>
      <c r="DY134" s="72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69"/>
      <c r="EQ134" s="69"/>
      <c r="ER134" s="69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2"/>
      <c r="DY135" s="72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69"/>
      <c r="EQ135" s="69"/>
      <c r="ER135" s="69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2"/>
      <c r="DY136" s="72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69"/>
      <c r="EQ136" s="69"/>
      <c r="ER136" s="69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2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69"/>
      <c r="EQ137" s="69"/>
      <c r="ER137" s="69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2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2"/>
      <c r="DY138" s="72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69"/>
      <c r="EQ138" s="69"/>
      <c r="ER138" s="69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2"/>
      <c r="DY139" s="72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69"/>
      <c r="EQ139" s="69"/>
      <c r="ER139" s="69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2"/>
      <c r="DY140" s="72"/>
      <c r="DZ140" s="73"/>
      <c r="EA140" s="73"/>
      <c r="EB140" s="73"/>
      <c r="EC140" s="73"/>
      <c r="ED140" s="73"/>
      <c r="EE140" s="73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69"/>
      <c r="EQ140" s="69"/>
      <c r="ER140" s="69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2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2"/>
      <c r="DY141" s="72"/>
      <c r="DZ141" s="73"/>
      <c r="EA141" s="73"/>
      <c r="EB141" s="73"/>
      <c r="EC141" s="73"/>
      <c r="ED141" s="73"/>
      <c r="EE141" s="73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69"/>
      <c r="EQ141" s="69"/>
      <c r="ER141" s="69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2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2"/>
      <c r="DY142" s="72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69"/>
      <c r="EQ142" s="69"/>
      <c r="ER142" s="69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2"/>
      <c r="DY143" s="72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69"/>
      <c r="EQ143" s="69"/>
      <c r="ER143" s="69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2"/>
      <c r="DY144" s="72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69"/>
      <c r="EQ144" s="69"/>
      <c r="ER144" s="69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2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2"/>
      <c r="DY145" s="72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69"/>
      <c r="EQ145" s="69"/>
      <c r="ER145" s="69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2"/>
      <c r="DY146" s="72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69"/>
      <c r="EQ146" s="69"/>
      <c r="ER146" s="69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2"/>
      <c r="DY147" s="72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69"/>
      <c r="EQ147" s="69"/>
      <c r="ER147" s="69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2"/>
      <c r="DY148" s="72"/>
      <c r="DZ148" s="73"/>
      <c r="EA148" s="73"/>
      <c r="EB148" s="73"/>
      <c r="EC148" s="73"/>
      <c r="ED148" s="73"/>
      <c r="EE148" s="73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69"/>
      <c r="EQ148" s="69"/>
      <c r="ER148" s="69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2"/>
      <c r="DY149" s="72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69"/>
      <c r="EQ149" s="69"/>
      <c r="ER149" s="69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2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2"/>
      <c r="DY150" s="72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69"/>
      <c r="EQ150" s="69"/>
      <c r="ER150" s="69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2"/>
      <c r="DY151" s="72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69"/>
      <c r="EQ151" s="69"/>
      <c r="ER151" s="69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2"/>
      <c r="DY152" s="72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69"/>
      <c r="EQ152" s="69"/>
      <c r="ER152" s="69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2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2"/>
      <c r="DY153" s="72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69"/>
      <c r="EQ153" s="69"/>
      <c r="ER153" s="69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2"/>
      <c r="DY154" s="72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69"/>
      <c r="EQ154" s="69"/>
      <c r="ER154" s="69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2"/>
      <c r="DY155" s="72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69"/>
      <c r="EQ155" s="69"/>
      <c r="ER155" s="69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2"/>
      <c r="DY156" s="72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69"/>
      <c r="EQ156" s="69"/>
      <c r="ER156" s="69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2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2"/>
      <c r="DY157" s="72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69"/>
      <c r="EQ157" s="69"/>
      <c r="ER157" s="69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2"/>
      <c r="DY158" s="72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69"/>
      <c r="EQ158" s="69"/>
      <c r="ER158" s="69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2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2"/>
      <c r="DY159" s="72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69"/>
      <c r="EQ159" s="69"/>
      <c r="ER159" s="69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2"/>
      <c r="DY160" s="72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69"/>
      <c r="EQ160" s="69"/>
      <c r="ER160" s="69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2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2"/>
      <c r="DY161" s="72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69"/>
      <c r="EQ161" s="69"/>
      <c r="ER161" s="69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2"/>
      <c r="DY162" s="72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69"/>
      <c r="EQ162" s="69"/>
      <c r="ER162" s="69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2"/>
      <c r="DY163" s="72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69"/>
      <c r="EQ163" s="69"/>
      <c r="ER163" s="69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2"/>
      <c r="DY164" s="72"/>
      <c r="DZ164" s="73"/>
      <c r="EA164" s="73"/>
      <c r="EB164" s="73"/>
      <c r="EC164" s="73"/>
      <c r="ED164" s="73"/>
      <c r="EE164" s="73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69"/>
      <c r="EQ164" s="69"/>
      <c r="ER164" s="69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2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2"/>
      <c r="DY165" s="72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69"/>
      <c r="EQ165" s="69"/>
      <c r="ER165" s="69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2"/>
      <c r="DY166" s="72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69"/>
      <c r="EQ166" s="69"/>
      <c r="ER166" s="69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2"/>
      <c r="DY167" s="72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69"/>
      <c r="EQ167" s="69"/>
      <c r="ER167" s="69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2"/>
      <c r="DY168" s="72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69"/>
      <c r="EQ168" s="69"/>
      <c r="ER168" s="69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2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2"/>
      <c r="DY169" s="72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69"/>
      <c r="EQ169" s="69"/>
      <c r="ER169" s="69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2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2"/>
      <c r="DY170" s="72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69"/>
      <c r="EQ170" s="69"/>
      <c r="ER170" s="69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2"/>
      <c r="DY171" s="72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69"/>
      <c r="EQ171" s="69"/>
      <c r="ER171" s="69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2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2"/>
      <c r="DY172" s="72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69"/>
      <c r="EQ172" s="69"/>
      <c r="ER172" s="69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2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2"/>
      <c r="DY173" s="72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69"/>
      <c r="EQ173" s="69"/>
      <c r="ER173" s="69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2"/>
      <c r="DY174" s="72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69"/>
      <c r="EQ174" s="69"/>
      <c r="ER174" s="69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2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2"/>
      <c r="DY175" s="72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69"/>
      <c r="EQ175" s="69"/>
      <c r="ER175" s="69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2"/>
      <c r="DY176" s="72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69"/>
      <c r="EQ176" s="69"/>
      <c r="ER176" s="69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2"/>
      <c r="DY177" s="72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69"/>
      <c r="EQ177" s="69"/>
      <c r="ER177" s="69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2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2"/>
      <c r="DY178" s="72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69"/>
      <c r="EQ178" s="69"/>
      <c r="ER178" s="69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2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2"/>
      <c r="DY179" s="72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69"/>
      <c r="EQ179" s="69"/>
      <c r="ER179" s="69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2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2"/>
      <c r="DY180" s="72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69"/>
      <c r="EQ180" s="69"/>
      <c r="ER180" s="69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2"/>
      <c r="DY181" s="72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69"/>
      <c r="EQ181" s="69"/>
      <c r="ER181" s="69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2"/>
      <c r="DY182" s="72"/>
      <c r="DZ182" s="73"/>
      <c r="EA182" s="73"/>
      <c r="EB182" s="73"/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69"/>
      <c r="EQ182" s="69"/>
      <c r="ER182" s="69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2"/>
      <c r="DY183" s="72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69"/>
      <c r="EQ183" s="69"/>
      <c r="ER183" s="69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2"/>
      <c r="DY184" s="72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69"/>
      <c r="EQ184" s="69"/>
      <c r="ER184" s="69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2"/>
      <c r="DY185" s="72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69"/>
      <c r="EQ185" s="69"/>
      <c r="ER185" s="69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2"/>
      <c r="DY186" s="72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69"/>
      <c r="EQ186" s="69"/>
      <c r="ER186" s="69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2"/>
      <c r="DY187" s="72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69"/>
      <c r="EQ187" s="69"/>
      <c r="ER187" s="69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2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2"/>
      <c r="DY188" s="72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69"/>
      <c r="EQ188" s="69"/>
      <c r="ER188" s="69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2"/>
      <c r="DY189" s="72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69"/>
      <c r="EQ189" s="69"/>
      <c r="ER189" s="69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2"/>
      <c r="DY190" s="72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69"/>
      <c r="EQ190" s="69"/>
      <c r="ER190" s="69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2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2"/>
      <c r="DY191" s="72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69"/>
      <c r="EQ191" s="69"/>
      <c r="ER191" s="69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2"/>
      <c r="DY192" s="72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69"/>
      <c r="EQ192" s="69"/>
      <c r="ER192" s="69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2"/>
      <c r="DY193" s="72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69"/>
      <c r="EQ193" s="69"/>
      <c r="ER193" s="69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2"/>
      <c r="DY194" s="72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69"/>
      <c r="EQ194" s="69"/>
      <c r="ER194" s="69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2"/>
      <c r="DY195" s="72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69"/>
      <c r="EQ195" s="69"/>
      <c r="ER195" s="69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2"/>
      <c r="DY196" s="72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69"/>
      <c r="EQ196" s="69"/>
      <c r="ER196" s="69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2"/>
      <c r="DY197" s="72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69"/>
      <c r="EQ197" s="69"/>
      <c r="ER197" s="69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2"/>
      <c r="DY198" s="72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69"/>
      <c r="EQ198" s="69"/>
      <c r="ER198" s="69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2"/>
      <c r="DY199" s="72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69"/>
      <c r="EQ199" s="69"/>
      <c r="ER199" s="69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2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2"/>
      <c r="DY200" s="72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69"/>
      <c r="EQ200" s="69"/>
      <c r="ER200" s="69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2"/>
      <c r="DY201" s="72"/>
      <c r="DZ201" s="73"/>
      <c r="EA201" s="73"/>
      <c r="EB201" s="73"/>
      <c r="EC201" s="73"/>
      <c r="ED201" s="73"/>
      <c r="EE201" s="73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69"/>
      <c r="EQ201" s="69"/>
      <c r="ER201" s="69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2"/>
      <c r="DY202" s="72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69"/>
      <c r="EQ202" s="69"/>
      <c r="ER202" s="69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2"/>
      <c r="DY203" s="72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69"/>
      <c r="EQ203" s="69"/>
      <c r="ER203" s="69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2"/>
      <c r="DY204" s="72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69"/>
      <c r="EQ204" s="69"/>
      <c r="ER204" s="69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2"/>
      <c r="DY205" s="72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69"/>
      <c r="EQ205" s="69"/>
      <c r="ER205" s="69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2"/>
      <c r="DY206" s="72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69"/>
      <c r="EQ206" s="69"/>
      <c r="ER206" s="69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73"/>
      <c r="DW207" s="73"/>
      <c r="DX207" s="72"/>
      <c r="DY207" s="72"/>
      <c r="DZ207" s="73"/>
      <c r="EA207" s="73"/>
      <c r="EB207" s="73"/>
      <c r="EC207" s="73"/>
      <c r="ED207" s="73"/>
      <c r="EE207" s="73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69"/>
      <c r="EQ207" s="69"/>
      <c r="ER207" s="69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2"/>
      <c r="DY208" s="72"/>
      <c r="DZ208" s="73"/>
      <c r="EA208" s="73"/>
      <c r="EB208" s="73"/>
      <c r="EC208" s="73"/>
      <c r="ED208" s="73"/>
      <c r="EE208" s="73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69"/>
      <c r="EQ208" s="69"/>
      <c r="ER208" s="69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2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2"/>
      <c r="DY209" s="72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69"/>
      <c r="EQ209" s="69"/>
      <c r="ER209" s="69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2"/>
      <c r="DY210" s="72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69"/>
      <c r="EQ210" s="69"/>
      <c r="ER210" s="69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2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2"/>
      <c r="DY211" s="72"/>
      <c r="DZ211" s="73"/>
      <c r="EA211" s="73"/>
      <c r="EB211" s="73"/>
      <c r="EC211" s="73"/>
      <c r="ED211" s="73"/>
      <c r="EE211" s="73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69"/>
      <c r="EQ211" s="69"/>
      <c r="ER211" s="69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2"/>
      <c r="DY212" s="72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69"/>
      <c r="EQ212" s="69"/>
      <c r="ER212" s="69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2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73"/>
      <c r="DW213" s="73"/>
      <c r="DX213" s="72"/>
      <c r="DY213" s="72"/>
      <c r="DZ213" s="73"/>
      <c r="EA213" s="73"/>
      <c r="EB213" s="73"/>
      <c r="EC213" s="73"/>
      <c r="ED213" s="73"/>
      <c r="EE213" s="73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69"/>
      <c r="EQ213" s="69"/>
      <c r="ER213" s="69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2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2"/>
      <c r="DY214" s="72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69"/>
      <c r="EQ214" s="69"/>
      <c r="ER214" s="69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73"/>
      <c r="DW215" s="73"/>
      <c r="DX215" s="72"/>
      <c r="DY215" s="72"/>
      <c r="DZ215" s="73"/>
      <c r="EA215" s="73"/>
      <c r="EB215" s="73"/>
      <c r="EC215" s="73"/>
      <c r="ED215" s="73"/>
      <c r="EE215" s="73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69"/>
      <c r="EQ215" s="69"/>
      <c r="ER215" s="69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2"/>
      <c r="DY216" s="72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69"/>
      <c r="EQ216" s="69"/>
      <c r="ER216" s="69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2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73"/>
      <c r="DW217" s="73"/>
      <c r="DX217" s="72"/>
      <c r="DY217" s="72"/>
      <c r="DZ217" s="73"/>
      <c r="EA217" s="73"/>
      <c r="EB217" s="73"/>
      <c r="EC217" s="73"/>
      <c r="ED217" s="73"/>
      <c r="EE217" s="73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69"/>
      <c r="EQ217" s="69"/>
      <c r="ER217" s="69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/>
      <c r="DX218" s="72"/>
      <c r="DY218" s="72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69"/>
      <c r="EQ218" s="69"/>
      <c r="ER218" s="69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73"/>
      <c r="DW219" s="73"/>
      <c r="DX219" s="72"/>
      <c r="DY219" s="72"/>
      <c r="DZ219" s="73"/>
      <c r="EA219" s="73"/>
      <c r="EB219" s="73"/>
      <c r="EC219" s="73"/>
      <c r="ED219" s="73"/>
      <c r="EE219" s="73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69"/>
      <c r="EQ219" s="69"/>
      <c r="ER219" s="69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2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2"/>
      <c r="DY220" s="72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69"/>
      <c r="EQ220" s="69"/>
      <c r="ER220" s="69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2"/>
      <c r="DY221" s="72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69"/>
      <c r="EQ221" s="69"/>
      <c r="ER221" s="69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2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2"/>
      <c r="DY222" s="72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69"/>
      <c r="EQ222" s="69"/>
      <c r="ER222" s="69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2"/>
      <c r="DY223" s="72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69"/>
      <c r="EQ223" s="69"/>
      <c r="ER223" s="69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2"/>
      <c r="DY224" s="72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69"/>
      <c r="EQ224" s="69"/>
      <c r="ER224" s="69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2"/>
      <c r="DY225" s="72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69"/>
      <c r="EQ225" s="69"/>
      <c r="ER225" s="69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73"/>
      <c r="DW226" s="73"/>
      <c r="DX226" s="72"/>
      <c r="DY226" s="72"/>
      <c r="DZ226" s="73"/>
      <c r="EA226" s="73"/>
      <c r="EB226" s="73"/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69"/>
      <c r="EQ226" s="69"/>
      <c r="ER226" s="69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2"/>
      <c r="DY227" s="72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69"/>
      <c r="EQ227" s="69"/>
      <c r="ER227" s="69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2"/>
      <c r="DY228" s="72"/>
      <c r="DZ228" s="73"/>
      <c r="EA228" s="73"/>
      <c r="EB228" s="73"/>
      <c r="EC228" s="73"/>
      <c r="ED228" s="73"/>
      <c r="EE228" s="73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69"/>
      <c r="EQ228" s="69"/>
      <c r="ER228" s="69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2"/>
      <c r="DY229" s="72"/>
      <c r="DZ229" s="73"/>
      <c r="EA229" s="73"/>
      <c r="EB229" s="73"/>
      <c r="EC229" s="73"/>
      <c r="ED229" s="73"/>
      <c r="EE229" s="73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69"/>
      <c r="EQ229" s="69"/>
      <c r="ER229" s="69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73"/>
      <c r="DW230" s="73"/>
      <c r="DX230" s="72"/>
      <c r="DY230" s="72"/>
      <c r="DZ230" s="73"/>
      <c r="EA230" s="73"/>
      <c r="EB230" s="73"/>
      <c r="EC230" s="73"/>
      <c r="ED230" s="73"/>
      <c r="EE230" s="73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69"/>
      <c r="EQ230" s="69"/>
      <c r="ER230" s="69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  <c r="CK231" s="73"/>
      <c r="CL231" s="73"/>
      <c r="CM231" s="73"/>
      <c r="CN231" s="73"/>
      <c r="CO231" s="73"/>
      <c r="CP231" s="73"/>
      <c r="CQ231" s="73"/>
      <c r="CR231" s="73"/>
      <c r="CS231" s="73"/>
      <c r="CT231" s="73"/>
      <c r="CU231" s="73"/>
      <c r="CV231" s="73"/>
      <c r="CW231" s="73"/>
      <c r="CX231" s="73"/>
      <c r="CY231" s="73"/>
      <c r="CZ231" s="73"/>
      <c r="DA231" s="73"/>
      <c r="DB231" s="73"/>
      <c r="DC231" s="73"/>
      <c r="DD231" s="73"/>
      <c r="DE231" s="73"/>
      <c r="DF231" s="73"/>
      <c r="DG231" s="73"/>
      <c r="DH231" s="73"/>
      <c r="DI231" s="73"/>
      <c r="DJ231" s="73"/>
      <c r="DK231" s="73"/>
      <c r="DL231" s="73"/>
      <c r="DM231" s="73"/>
      <c r="DN231" s="73"/>
      <c r="DO231" s="73"/>
      <c r="DP231" s="73"/>
      <c r="DQ231" s="73"/>
      <c r="DR231" s="73"/>
      <c r="DS231" s="73"/>
      <c r="DT231" s="73"/>
      <c r="DU231" s="73"/>
      <c r="DV231" s="73"/>
      <c r="DW231" s="73"/>
      <c r="DX231" s="72"/>
      <c r="DY231" s="72"/>
      <c r="DZ231" s="73"/>
      <c r="EA231" s="73"/>
      <c r="EB231" s="73"/>
      <c r="EC231" s="73"/>
      <c r="ED231" s="73"/>
      <c r="EE231" s="73"/>
      <c r="EF231" s="73"/>
      <c r="EG231" s="73"/>
      <c r="EH231" s="73"/>
      <c r="EI231" s="73"/>
      <c r="EJ231" s="73"/>
      <c r="EK231" s="73"/>
      <c r="EL231" s="73"/>
      <c r="EM231" s="73"/>
      <c r="EN231" s="73"/>
      <c r="EO231" s="73"/>
      <c r="EP231" s="69"/>
      <c r="EQ231" s="69"/>
      <c r="ER231" s="69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73"/>
      <c r="DW232" s="73"/>
      <c r="DX232" s="72"/>
      <c r="DY232" s="72"/>
      <c r="DZ232" s="73"/>
      <c r="EA232" s="73"/>
      <c r="EB232" s="73"/>
      <c r="EC232" s="73"/>
      <c r="ED232" s="73"/>
      <c r="EE232" s="73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69"/>
      <c r="EQ232" s="69"/>
      <c r="ER232" s="69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73"/>
      <c r="DW233" s="73"/>
      <c r="DX233" s="72"/>
      <c r="DY233" s="72"/>
      <c r="DZ233" s="73"/>
      <c r="EA233" s="73"/>
      <c r="EB233" s="73"/>
      <c r="EC233" s="73"/>
      <c r="ED233" s="73"/>
      <c r="EE233" s="73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69"/>
      <c r="EQ233" s="69"/>
      <c r="ER233" s="69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73"/>
      <c r="CT234" s="73"/>
      <c r="CU234" s="73"/>
      <c r="CV234" s="73"/>
      <c r="CW234" s="73"/>
      <c r="CX234" s="73"/>
      <c r="CY234" s="73"/>
      <c r="CZ234" s="73"/>
      <c r="DA234" s="73"/>
      <c r="DB234" s="73"/>
      <c r="DC234" s="73"/>
      <c r="DD234" s="73"/>
      <c r="DE234" s="73"/>
      <c r="DF234" s="73"/>
      <c r="DG234" s="73"/>
      <c r="DH234" s="73"/>
      <c r="DI234" s="73"/>
      <c r="DJ234" s="73"/>
      <c r="DK234" s="73"/>
      <c r="DL234" s="73"/>
      <c r="DM234" s="73"/>
      <c r="DN234" s="73"/>
      <c r="DO234" s="73"/>
      <c r="DP234" s="73"/>
      <c r="DQ234" s="73"/>
      <c r="DR234" s="73"/>
      <c r="DS234" s="73"/>
      <c r="DT234" s="73"/>
      <c r="DU234" s="73"/>
      <c r="DV234" s="73"/>
      <c r="DW234" s="73"/>
      <c r="DX234" s="72"/>
      <c r="DY234" s="72"/>
      <c r="DZ234" s="73"/>
      <c r="EA234" s="73"/>
      <c r="EB234" s="73"/>
      <c r="EC234" s="73"/>
      <c r="ED234" s="73"/>
      <c r="EE234" s="73"/>
      <c r="EF234" s="73"/>
      <c r="EG234" s="73"/>
      <c r="EH234" s="73"/>
      <c r="EI234" s="73"/>
      <c r="EJ234" s="73"/>
      <c r="EK234" s="73"/>
      <c r="EL234" s="73"/>
      <c r="EM234" s="73"/>
      <c r="EN234" s="73"/>
      <c r="EO234" s="73"/>
      <c r="EP234" s="69"/>
      <c r="EQ234" s="69"/>
      <c r="ER234" s="69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2"/>
      <c r="DY235" s="72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69"/>
      <c r="EQ235" s="69"/>
      <c r="ER235" s="69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73"/>
      <c r="DW236" s="73"/>
      <c r="DX236" s="72"/>
      <c r="DY236" s="72"/>
      <c r="DZ236" s="73"/>
      <c r="EA236" s="73"/>
      <c r="EB236" s="73"/>
      <c r="EC236" s="73"/>
      <c r="ED236" s="73"/>
      <c r="EE236" s="73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69"/>
      <c r="EQ236" s="69"/>
      <c r="ER236" s="69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73"/>
      <c r="DW237" s="73"/>
      <c r="DX237" s="72"/>
      <c r="DY237" s="72"/>
      <c r="DZ237" s="73"/>
      <c r="EA237" s="73"/>
      <c r="EB237" s="73"/>
      <c r="EC237" s="73"/>
      <c r="ED237" s="73"/>
      <c r="EE237" s="73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69"/>
      <c r="EQ237" s="69"/>
      <c r="ER237" s="69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73"/>
      <c r="DW238" s="73"/>
      <c r="DX238" s="72"/>
      <c r="DY238" s="72"/>
      <c r="DZ238" s="73"/>
      <c r="EA238" s="73"/>
      <c r="EB238" s="73"/>
      <c r="EC238" s="73"/>
      <c r="ED238" s="73"/>
      <c r="EE238" s="73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69"/>
      <c r="EQ238" s="69"/>
      <c r="ER238" s="69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2"/>
      <c r="DY239" s="72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69"/>
      <c r="EQ239" s="69"/>
      <c r="ER239" s="69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2"/>
      <c r="DY240" s="72"/>
      <c r="DZ240" s="73"/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69"/>
      <c r="EQ240" s="69"/>
      <c r="ER240" s="69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3"/>
      <c r="DV241" s="73"/>
      <c r="DW241" s="73"/>
      <c r="DX241" s="72"/>
      <c r="DY241" s="72"/>
      <c r="DZ241" s="73"/>
      <c r="EA241" s="73"/>
      <c r="EB241" s="73"/>
      <c r="EC241" s="73"/>
      <c r="ED241" s="73"/>
      <c r="EE241" s="73"/>
      <c r="EF241" s="73"/>
      <c r="EG241" s="73"/>
      <c r="EH241" s="73"/>
      <c r="EI241" s="73"/>
      <c r="EJ241" s="73"/>
      <c r="EK241" s="73"/>
      <c r="EL241" s="73"/>
      <c r="EM241" s="73"/>
      <c r="EN241" s="73"/>
      <c r="EO241" s="73"/>
      <c r="EP241" s="69"/>
      <c r="EQ241" s="69"/>
      <c r="ER241" s="69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2"/>
      <c r="DY242" s="72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69"/>
      <c r="EQ242" s="69"/>
      <c r="ER242" s="69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3"/>
      <c r="DV243" s="73"/>
      <c r="DW243" s="73"/>
      <c r="DX243" s="72"/>
      <c r="DY243" s="72"/>
      <c r="DZ243" s="73"/>
      <c r="EA243" s="73"/>
      <c r="EB243" s="73"/>
      <c r="EC243" s="73"/>
      <c r="ED243" s="73"/>
      <c r="EE243" s="73"/>
      <c r="EF243" s="73"/>
      <c r="EG243" s="73"/>
      <c r="EH243" s="73"/>
      <c r="EI243" s="73"/>
      <c r="EJ243" s="73"/>
      <c r="EK243" s="73"/>
      <c r="EL243" s="73"/>
      <c r="EM243" s="73"/>
      <c r="EN243" s="73"/>
      <c r="EO243" s="73"/>
      <c r="EP243" s="69"/>
      <c r="EQ243" s="69"/>
      <c r="ER243" s="69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2"/>
      <c r="DY244" s="72"/>
      <c r="DZ244" s="73"/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69"/>
      <c r="EQ244" s="69"/>
      <c r="ER244" s="69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3"/>
      <c r="DV245" s="73"/>
      <c r="DW245" s="73"/>
      <c r="DX245" s="72"/>
      <c r="DY245" s="72"/>
      <c r="DZ245" s="73"/>
      <c r="EA245" s="73"/>
      <c r="EB245" s="73"/>
      <c r="EC245" s="73"/>
      <c r="ED245" s="73"/>
      <c r="EE245" s="73"/>
      <c r="EF245" s="73"/>
      <c r="EG245" s="73"/>
      <c r="EH245" s="73"/>
      <c r="EI245" s="73"/>
      <c r="EJ245" s="73"/>
      <c r="EK245" s="73"/>
      <c r="EL245" s="73"/>
      <c r="EM245" s="73"/>
      <c r="EN245" s="73"/>
      <c r="EO245" s="73"/>
      <c r="EP245" s="69"/>
      <c r="EQ245" s="69"/>
      <c r="ER245" s="69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73"/>
      <c r="DW246" s="73"/>
      <c r="DX246" s="72"/>
      <c r="DY246" s="72"/>
      <c r="DZ246" s="73"/>
      <c r="EA246" s="73"/>
      <c r="EB246" s="73"/>
      <c r="EC246" s="73"/>
      <c r="ED246" s="73"/>
      <c r="EE246" s="73"/>
      <c r="EF246" s="73"/>
      <c r="EG246" s="73"/>
      <c r="EH246" s="73"/>
      <c r="EI246" s="73"/>
      <c r="EJ246" s="73"/>
      <c r="EK246" s="73"/>
      <c r="EL246" s="73"/>
      <c r="EM246" s="73"/>
      <c r="EN246" s="73"/>
      <c r="EO246" s="73"/>
      <c r="EP246" s="69"/>
      <c r="EQ246" s="69"/>
      <c r="ER246" s="69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73"/>
      <c r="DW247" s="73"/>
      <c r="DX247" s="72"/>
      <c r="DY247" s="72"/>
      <c r="DZ247" s="73"/>
      <c r="EA247" s="73"/>
      <c r="EB247" s="73"/>
      <c r="EC247" s="73"/>
      <c r="ED247" s="73"/>
      <c r="EE247" s="73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69"/>
      <c r="EQ247" s="69"/>
      <c r="ER247" s="69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2"/>
      <c r="DY248" s="72"/>
      <c r="DZ248" s="73"/>
      <c r="EA248" s="73"/>
      <c r="EB248" s="73"/>
      <c r="EC248" s="73"/>
      <c r="ED248" s="73"/>
      <c r="EE248" s="73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69"/>
      <c r="EQ248" s="69"/>
      <c r="ER248" s="69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2"/>
      <c r="DY249" s="72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69"/>
      <c r="EQ249" s="69"/>
      <c r="ER249" s="69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73"/>
      <c r="DW250" s="73"/>
      <c r="DX250" s="72"/>
      <c r="DY250" s="72"/>
      <c r="DZ250" s="73"/>
      <c r="EA250" s="73"/>
      <c r="EB250" s="73"/>
      <c r="EC250" s="73"/>
      <c r="ED250" s="73"/>
      <c r="EE250" s="73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69"/>
      <c r="EQ250" s="69"/>
      <c r="ER250" s="69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73"/>
      <c r="DD251" s="73"/>
      <c r="DE251" s="73"/>
      <c r="DF251" s="73"/>
      <c r="DG251" s="73"/>
      <c r="DH251" s="73"/>
      <c r="DI251" s="73"/>
      <c r="DJ251" s="73"/>
      <c r="DK251" s="73"/>
      <c r="DL251" s="73"/>
      <c r="DM251" s="73"/>
      <c r="DN251" s="73"/>
      <c r="DO251" s="73"/>
      <c r="DP251" s="73"/>
      <c r="DQ251" s="73"/>
      <c r="DR251" s="73"/>
      <c r="DS251" s="73"/>
      <c r="DT251" s="73"/>
      <c r="DU251" s="73"/>
      <c r="DV251" s="73"/>
      <c r="DW251" s="73"/>
      <c r="DX251" s="72"/>
      <c r="DY251" s="72"/>
      <c r="DZ251" s="73"/>
      <c r="EA251" s="73"/>
      <c r="EB251" s="73"/>
      <c r="EC251" s="73"/>
      <c r="ED251" s="73"/>
      <c r="EE251" s="73"/>
      <c r="EF251" s="73"/>
      <c r="EG251" s="73"/>
      <c r="EH251" s="73"/>
      <c r="EI251" s="73"/>
      <c r="EJ251" s="73"/>
      <c r="EK251" s="73"/>
      <c r="EL251" s="73"/>
      <c r="EM251" s="73"/>
      <c r="EN251" s="73"/>
      <c r="EO251" s="73"/>
      <c r="EP251" s="69"/>
      <c r="EQ251" s="69"/>
      <c r="ER251" s="69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2"/>
      <c r="DY252" s="72"/>
      <c r="DZ252" s="73"/>
      <c r="EA252" s="73"/>
      <c r="EB252" s="73"/>
      <c r="EC252" s="73"/>
      <c r="ED252" s="73"/>
      <c r="EE252" s="73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69"/>
      <c r="EQ252" s="69"/>
      <c r="ER252" s="69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2"/>
      <c r="DY253" s="72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69"/>
      <c r="EQ253" s="69"/>
      <c r="ER253" s="69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2"/>
      <c r="DY254" s="72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69"/>
      <c r="EQ254" s="69"/>
      <c r="ER254" s="69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69"/>
      <c r="EQ255" s="69"/>
      <c r="ER255" s="69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73"/>
      <c r="DW256" s="73"/>
      <c r="DX256" s="72"/>
      <c r="DY256" s="72"/>
      <c r="DZ256" s="73"/>
      <c r="EA256" s="73"/>
      <c r="EB256" s="73"/>
      <c r="EC256" s="73"/>
      <c r="ED256" s="73"/>
      <c r="EE256" s="73"/>
      <c r="EF256" s="73"/>
      <c r="EG256" s="73"/>
      <c r="EH256" s="73"/>
      <c r="EI256" s="73"/>
      <c r="EJ256" s="73"/>
      <c r="EK256" s="73"/>
      <c r="EL256" s="73"/>
      <c r="EM256" s="73"/>
      <c r="EN256" s="73"/>
      <c r="EO256" s="73"/>
      <c r="EP256" s="69"/>
      <c r="EQ256" s="69"/>
      <c r="ER256" s="69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73"/>
      <c r="DW257" s="73"/>
      <c r="DX257" s="72"/>
      <c r="DY257" s="72"/>
      <c r="DZ257" s="73"/>
      <c r="EA257" s="73"/>
      <c r="EB257" s="73"/>
      <c r="EC257" s="73"/>
      <c r="ED257" s="73"/>
      <c r="EE257" s="73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69"/>
      <c r="EQ257" s="69"/>
      <c r="ER257" s="69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2"/>
      <c r="DY258" s="72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69"/>
      <c r="EQ258" s="69"/>
      <c r="ER258" s="69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2"/>
      <c r="DY259" s="72"/>
      <c r="DZ259" s="73"/>
      <c r="EA259" s="73"/>
      <c r="EB259" s="73"/>
      <c r="EC259" s="73"/>
      <c r="ED259" s="73"/>
      <c r="EE259" s="73"/>
      <c r="EF259" s="73"/>
      <c r="EG259" s="73"/>
      <c r="EH259" s="73"/>
      <c r="EI259" s="73"/>
      <c r="EJ259" s="73"/>
      <c r="EK259" s="73"/>
      <c r="EL259" s="73"/>
      <c r="EM259" s="73"/>
      <c r="EN259" s="73"/>
      <c r="EO259" s="73"/>
      <c r="EP259" s="69"/>
      <c r="EQ259" s="69"/>
      <c r="ER259" s="69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S260" s="73"/>
      <c r="DT260" s="73"/>
      <c r="DU260" s="73"/>
      <c r="DV260" s="73"/>
      <c r="DW260" s="73"/>
      <c r="DX260" s="72"/>
      <c r="DY260" s="72"/>
      <c r="DZ260" s="73"/>
      <c r="EA260" s="73"/>
      <c r="EB260" s="73"/>
      <c r="EC260" s="73"/>
      <c r="ED260" s="73"/>
      <c r="EE260" s="73"/>
      <c r="EF260" s="73"/>
      <c r="EG260" s="73"/>
      <c r="EH260" s="73"/>
      <c r="EI260" s="73"/>
      <c r="EJ260" s="73"/>
      <c r="EK260" s="73"/>
      <c r="EL260" s="73"/>
      <c r="EM260" s="73"/>
      <c r="EN260" s="73"/>
      <c r="EO260" s="73"/>
      <c r="EP260" s="69"/>
      <c r="EQ260" s="69"/>
      <c r="ER260" s="69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2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3"/>
      <c r="DV261" s="73"/>
      <c r="DW261" s="73"/>
      <c r="DX261" s="72"/>
      <c r="DY261" s="72"/>
      <c r="DZ261" s="73"/>
      <c r="EA261" s="73"/>
      <c r="EB261" s="73"/>
      <c r="EC261" s="73"/>
      <c r="ED261" s="73"/>
      <c r="EE261" s="73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69"/>
      <c r="EQ261" s="69"/>
      <c r="ER261" s="69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73"/>
      <c r="DD262" s="73"/>
      <c r="DE262" s="73"/>
      <c r="DF262" s="73"/>
      <c r="DG262" s="73"/>
      <c r="DH262" s="73"/>
      <c r="DI262" s="73"/>
      <c r="DJ262" s="73"/>
      <c r="DK262" s="73"/>
      <c r="DL262" s="73"/>
      <c r="DM262" s="73"/>
      <c r="DN262" s="73"/>
      <c r="DO262" s="73"/>
      <c r="DP262" s="73"/>
      <c r="DQ262" s="73"/>
      <c r="DR262" s="73"/>
      <c r="DS262" s="73"/>
      <c r="DT262" s="73"/>
      <c r="DU262" s="73"/>
      <c r="DV262" s="73"/>
      <c r="DW262" s="73"/>
      <c r="DX262" s="72"/>
      <c r="DY262" s="72"/>
      <c r="DZ262" s="73"/>
      <c r="EA262" s="73"/>
      <c r="EB262" s="73"/>
      <c r="EC262" s="73"/>
      <c r="ED262" s="73"/>
      <c r="EE262" s="73"/>
      <c r="EF262" s="73"/>
      <c r="EG262" s="73"/>
      <c r="EH262" s="73"/>
      <c r="EI262" s="73"/>
      <c r="EJ262" s="73"/>
      <c r="EK262" s="73"/>
      <c r="EL262" s="73"/>
      <c r="EM262" s="73"/>
      <c r="EN262" s="73"/>
      <c r="EO262" s="73"/>
      <c r="EP262" s="69"/>
      <c r="EQ262" s="69"/>
      <c r="ER262" s="69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3"/>
      <c r="DV263" s="73"/>
      <c r="DW263" s="73"/>
      <c r="DX263" s="72"/>
      <c r="DY263" s="72"/>
      <c r="DZ263" s="73"/>
      <c r="EA263" s="73"/>
      <c r="EB263" s="73"/>
      <c r="EC263" s="73"/>
      <c r="ED263" s="73"/>
      <c r="EE263" s="73"/>
      <c r="EF263" s="73"/>
      <c r="EG263" s="73"/>
      <c r="EH263" s="73"/>
      <c r="EI263" s="73"/>
      <c r="EJ263" s="73"/>
      <c r="EK263" s="73"/>
      <c r="EL263" s="73"/>
      <c r="EM263" s="73"/>
      <c r="EN263" s="73"/>
      <c r="EO263" s="73"/>
      <c r="EP263" s="69"/>
      <c r="EQ263" s="69"/>
      <c r="ER263" s="69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73"/>
      <c r="DD264" s="73"/>
      <c r="DE264" s="73"/>
      <c r="DF264" s="73"/>
      <c r="DG264" s="73"/>
      <c r="DH264" s="73"/>
      <c r="DI264" s="73"/>
      <c r="DJ264" s="73"/>
      <c r="DK264" s="73"/>
      <c r="DL264" s="73"/>
      <c r="DM264" s="73"/>
      <c r="DN264" s="73"/>
      <c r="DO264" s="73"/>
      <c r="DP264" s="73"/>
      <c r="DQ264" s="73"/>
      <c r="DR264" s="73"/>
      <c r="DS264" s="73"/>
      <c r="DT264" s="73"/>
      <c r="DU264" s="73"/>
      <c r="DV264" s="73"/>
      <c r="DW264" s="73"/>
      <c r="DX264" s="72"/>
      <c r="DY264" s="72"/>
      <c r="DZ264" s="73"/>
      <c r="EA264" s="73"/>
      <c r="EB264" s="73"/>
      <c r="EC264" s="73"/>
      <c r="ED264" s="73"/>
      <c r="EE264" s="73"/>
      <c r="EF264" s="73"/>
      <c r="EG264" s="73"/>
      <c r="EH264" s="73"/>
      <c r="EI264" s="73"/>
      <c r="EJ264" s="73"/>
      <c r="EK264" s="73"/>
      <c r="EL264" s="73"/>
      <c r="EM264" s="73"/>
      <c r="EN264" s="73"/>
      <c r="EO264" s="73"/>
      <c r="EP264" s="69"/>
      <c r="EQ264" s="69"/>
      <c r="ER264" s="69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2"/>
      <c r="DY265" s="72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69"/>
      <c r="EQ265" s="69"/>
      <c r="ER265" s="69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3"/>
      <c r="DV266" s="73"/>
      <c r="DW266" s="73"/>
      <c r="DX266" s="72"/>
      <c r="DY266" s="72"/>
      <c r="DZ266" s="73"/>
      <c r="EA266" s="73"/>
      <c r="EB266" s="73"/>
      <c r="EC266" s="73"/>
      <c r="ED266" s="73"/>
      <c r="EE266" s="73"/>
      <c r="EF266" s="73"/>
      <c r="EG266" s="73"/>
      <c r="EH266" s="73"/>
      <c r="EI266" s="73"/>
      <c r="EJ266" s="73"/>
      <c r="EK266" s="73"/>
      <c r="EL266" s="73"/>
      <c r="EM266" s="73"/>
      <c r="EN266" s="73"/>
      <c r="EO266" s="73"/>
      <c r="EP266" s="69"/>
      <c r="EQ266" s="69"/>
      <c r="ER266" s="69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2"/>
      <c r="DY267" s="72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69"/>
      <c r="EQ267" s="69"/>
      <c r="ER267" s="69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73"/>
      <c r="DW268" s="73"/>
      <c r="DX268" s="72"/>
      <c r="DY268" s="72"/>
      <c r="DZ268" s="73"/>
      <c r="EA268" s="73"/>
      <c r="EB268" s="73"/>
      <c r="EC268" s="73"/>
      <c r="ED268" s="73"/>
      <c r="EE268" s="73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69"/>
      <c r="EQ268" s="69"/>
      <c r="ER268" s="69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2"/>
      <c r="DY269" s="72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69"/>
      <c r="EQ269" s="69"/>
      <c r="ER269" s="69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73"/>
      <c r="DD270" s="73"/>
      <c r="DE270" s="73"/>
      <c r="DF270" s="73"/>
      <c r="DG270" s="73"/>
      <c r="DH270" s="73"/>
      <c r="DI270" s="73"/>
      <c r="DJ270" s="73"/>
      <c r="DK270" s="73"/>
      <c r="DL270" s="73"/>
      <c r="DM270" s="73"/>
      <c r="DN270" s="73"/>
      <c r="DO270" s="73"/>
      <c r="DP270" s="73"/>
      <c r="DQ270" s="73"/>
      <c r="DR270" s="73"/>
      <c r="DS270" s="73"/>
      <c r="DT270" s="73"/>
      <c r="DU270" s="73"/>
      <c r="DV270" s="73"/>
      <c r="DW270" s="73"/>
      <c r="DX270" s="72"/>
      <c r="DY270" s="72"/>
      <c r="DZ270" s="73"/>
      <c r="EA270" s="73"/>
      <c r="EB270" s="73"/>
      <c r="EC270" s="73"/>
      <c r="ED270" s="73"/>
      <c r="EE270" s="73"/>
      <c r="EF270" s="73"/>
      <c r="EG270" s="73"/>
      <c r="EH270" s="73"/>
      <c r="EI270" s="73"/>
      <c r="EJ270" s="73"/>
      <c r="EK270" s="73"/>
      <c r="EL270" s="73"/>
      <c r="EM270" s="73"/>
      <c r="EN270" s="73"/>
      <c r="EO270" s="73"/>
      <c r="EP270" s="69"/>
      <c r="EQ270" s="69"/>
      <c r="ER270" s="69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73"/>
      <c r="DD271" s="73"/>
      <c r="DE271" s="73"/>
      <c r="DF271" s="73"/>
      <c r="DG271" s="73"/>
      <c r="DH271" s="73"/>
      <c r="DI271" s="73"/>
      <c r="DJ271" s="73"/>
      <c r="DK271" s="73"/>
      <c r="DL271" s="73"/>
      <c r="DM271" s="73"/>
      <c r="DN271" s="73"/>
      <c r="DO271" s="73"/>
      <c r="DP271" s="73"/>
      <c r="DQ271" s="73"/>
      <c r="DR271" s="73"/>
      <c r="DS271" s="73"/>
      <c r="DT271" s="73"/>
      <c r="DU271" s="73"/>
      <c r="DV271" s="73"/>
      <c r="DW271" s="73"/>
      <c r="DX271" s="72"/>
      <c r="DY271" s="72"/>
      <c r="DZ271" s="73"/>
      <c r="EA271" s="73"/>
      <c r="EB271" s="73"/>
      <c r="EC271" s="73"/>
      <c r="ED271" s="73"/>
      <c r="EE271" s="73"/>
      <c r="EF271" s="73"/>
      <c r="EG271" s="73"/>
      <c r="EH271" s="73"/>
      <c r="EI271" s="73"/>
      <c r="EJ271" s="73"/>
      <c r="EK271" s="73"/>
      <c r="EL271" s="73"/>
      <c r="EM271" s="73"/>
      <c r="EN271" s="73"/>
      <c r="EO271" s="73"/>
      <c r="EP271" s="69"/>
      <c r="EQ271" s="69"/>
      <c r="ER271" s="69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73"/>
      <c r="DW272" s="73"/>
      <c r="DX272" s="72"/>
      <c r="DY272" s="72"/>
      <c r="DZ272" s="73"/>
      <c r="EA272" s="73"/>
      <c r="EB272" s="73"/>
      <c r="EC272" s="73"/>
      <c r="ED272" s="73"/>
      <c r="EE272" s="73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69"/>
      <c r="EQ272" s="69"/>
      <c r="ER272" s="69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73"/>
      <c r="DW273" s="73"/>
      <c r="DX273" s="72"/>
      <c r="DY273" s="72"/>
      <c r="DZ273" s="73"/>
      <c r="EA273" s="73"/>
      <c r="EB273" s="73"/>
      <c r="EC273" s="73"/>
      <c r="ED273" s="73"/>
      <c r="EE273" s="73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69"/>
      <c r="EQ273" s="69"/>
      <c r="ER273" s="69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73"/>
      <c r="DD274" s="73"/>
      <c r="DE274" s="73"/>
      <c r="DF274" s="73"/>
      <c r="DG274" s="73"/>
      <c r="DH274" s="73"/>
      <c r="DI274" s="73"/>
      <c r="DJ274" s="73"/>
      <c r="DK274" s="73"/>
      <c r="DL274" s="73"/>
      <c r="DM274" s="73"/>
      <c r="DN274" s="73"/>
      <c r="DO274" s="73"/>
      <c r="DP274" s="73"/>
      <c r="DQ274" s="73"/>
      <c r="DR274" s="73"/>
      <c r="DS274" s="73"/>
      <c r="DT274" s="73"/>
      <c r="DU274" s="73"/>
      <c r="DV274" s="73"/>
      <c r="DW274" s="73"/>
      <c r="DX274" s="72"/>
      <c r="DY274" s="72"/>
      <c r="DZ274" s="73"/>
      <c r="EA274" s="73"/>
      <c r="EB274" s="73"/>
      <c r="EC274" s="73"/>
      <c r="ED274" s="73"/>
      <c r="EE274" s="73"/>
      <c r="EF274" s="73"/>
      <c r="EG274" s="73"/>
      <c r="EH274" s="73"/>
      <c r="EI274" s="73"/>
      <c r="EJ274" s="73"/>
      <c r="EK274" s="73"/>
      <c r="EL274" s="73"/>
      <c r="EM274" s="73"/>
      <c r="EN274" s="73"/>
      <c r="EO274" s="73"/>
      <c r="EP274" s="69"/>
      <c r="EQ274" s="69"/>
      <c r="ER274" s="69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73"/>
      <c r="DW275" s="73"/>
      <c r="DX275" s="72"/>
      <c r="DY275" s="72"/>
      <c r="DZ275" s="73"/>
      <c r="EA275" s="73"/>
      <c r="EB275" s="73"/>
      <c r="EC275" s="73"/>
      <c r="ED275" s="73"/>
      <c r="EE275" s="73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69"/>
      <c r="EQ275" s="69"/>
      <c r="ER275" s="69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73"/>
      <c r="DW276" s="73"/>
      <c r="DX276" s="72"/>
      <c r="DY276" s="72"/>
      <c r="DZ276" s="73"/>
      <c r="EA276" s="73"/>
      <c r="EB276" s="73"/>
      <c r="EC276" s="73"/>
      <c r="ED276" s="73"/>
      <c r="EE276" s="73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69"/>
      <c r="EQ276" s="69"/>
      <c r="ER276" s="69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73"/>
      <c r="DW277" s="73"/>
      <c r="DX277" s="72"/>
      <c r="DY277" s="72"/>
      <c r="DZ277" s="73"/>
      <c r="EA277" s="73"/>
      <c r="EB277" s="73"/>
      <c r="EC277" s="73"/>
      <c r="ED277" s="73"/>
      <c r="EE277" s="73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69"/>
      <c r="EQ277" s="69"/>
      <c r="ER277" s="69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73"/>
      <c r="DW278" s="73"/>
      <c r="DX278" s="72"/>
      <c r="DY278" s="72"/>
      <c r="DZ278" s="73"/>
      <c r="EA278" s="73"/>
      <c r="EB278" s="73"/>
      <c r="EC278" s="73"/>
      <c r="ED278" s="73"/>
      <c r="EE278" s="73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69"/>
      <c r="EQ278" s="69"/>
      <c r="ER278" s="69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2"/>
      <c r="DY279" s="72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69"/>
      <c r="EQ279" s="69"/>
      <c r="ER279" s="69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73"/>
      <c r="DW280" s="73"/>
      <c r="DX280" s="72"/>
      <c r="DY280" s="72"/>
      <c r="DZ280" s="73"/>
      <c r="EA280" s="73"/>
      <c r="EB280" s="73"/>
      <c r="EC280" s="73"/>
      <c r="ED280" s="73"/>
      <c r="EE280" s="73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69"/>
      <c r="EQ280" s="69"/>
      <c r="ER280" s="69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3"/>
      <c r="DV281" s="73"/>
      <c r="DW281" s="73"/>
      <c r="DX281" s="72"/>
      <c r="DY281" s="72"/>
      <c r="DZ281" s="73"/>
      <c r="EA281" s="73"/>
      <c r="EB281" s="73"/>
      <c r="EC281" s="73"/>
      <c r="ED281" s="73"/>
      <c r="EE281" s="73"/>
      <c r="EF281" s="73"/>
      <c r="EG281" s="73"/>
      <c r="EH281" s="73"/>
      <c r="EI281" s="73"/>
      <c r="EJ281" s="73"/>
      <c r="EK281" s="73"/>
      <c r="EL281" s="73"/>
      <c r="EM281" s="73"/>
      <c r="EN281" s="73"/>
      <c r="EO281" s="73"/>
      <c r="EP281" s="69"/>
      <c r="EQ281" s="69"/>
      <c r="ER281" s="69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3"/>
      <c r="DV282" s="73"/>
      <c r="DW282" s="73"/>
      <c r="DX282" s="72"/>
      <c r="DY282" s="72"/>
      <c r="DZ282" s="73"/>
      <c r="EA282" s="73"/>
      <c r="EB282" s="73"/>
      <c r="EC282" s="73"/>
      <c r="ED282" s="73"/>
      <c r="EE282" s="73"/>
      <c r="EF282" s="73"/>
      <c r="EG282" s="73"/>
      <c r="EH282" s="73"/>
      <c r="EI282" s="73"/>
      <c r="EJ282" s="73"/>
      <c r="EK282" s="73"/>
      <c r="EL282" s="73"/>
      <c r="EM282" s="73"/>
      <c r="EN282" s="73"/>
      <c r="EO282" s="73"/>
      <c r="EP282" s="69"/>
      <c r="EQ282" s="69"/>
      <c r="ER282" s="69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73"/>
      <c r="DW283" s="73"/>
      <c r="DX283" s="72"/>
      <c r="DY283" s="72"/>
      <c r="DZ283" s="73"/>
      <c r="EA283" s="73"/>
      <c r="EB283" s="73"/>
      <c r="EC283" s="73"/>
      <c r="ED283" s="73"/>
      <c r="EE283" s="73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69"/>
      <c r="EQ283" s="69"/>
      <c r="ER283" s="69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2"/>
      <c r="DY284" s="72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69"/>
      <c r="EQ284" s="69"/>
      <c r="ER284" s="69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73"/>
      <c r="DW285" s="73"/>
      <c r="DX285" s="72"/>
      <c r="DY285" s="72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69"/>
      <c r="EQ285" s="69"/>
      <c r="ER285" s="69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2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73"/>
      <c r="DW286" s="73"/>
      <c r="DX286" s="72"/>
      <c r="DY286" s="72"/>
      <c r="DZ286" s="73"/>
      <c r="EA286" s="73"/>
      <c r="EB286" s="73"/>
      <c r="EC286" s="73"/>
      <c r="ED286" s="73"/>
      <c r="EE286" s="73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/>
      <c r="EP286" s="69"/>
      <c r="EQ286" s="69"/>
      <c r="ER286" s="69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2"/>
      <c r="DY287" s="72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69"/>
      <c r="EQ287" s="69"/>
      <c r="ER287" s="69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2"/>
      <c r="DY288" s="72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69"/>
      <c r="EQ288" s="69"/>
      <c r="ER288" s="69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73"/>
      <c r="DD289" s="73"/>
      <c r="DE289" s="73"/>
      <c r="DF289" s="73"/>
      <c r="DG289" s="73"/>
      <c r="DH289" s="73"/>
      <c r="DI289" s="73"/>
      <c r="DJ289" s="73"/>
      <c r="DK289" s="73"/>
      <c r="DL289" s="73"/>
      <c r="DM289" s="73"/>
      <c r="DN289" s="73"/>
      <c r="DO289" s="73"/>
      <c r="DP289" s="73"/>
      <c r="DQ289" s="73"/>
      <c r="DR289" s="73"/>
      <c r="DS289" s="73"/>
      <c r="DT289" s="73"/>
      <c r="DU289" s="73"/>
      <c r="DV289" s="73"/>
      <c r="DW289" s="73"/>
      <c r="DX289" s="72"/>
      <c r="DY289" s="72"/>
      <c r="DZ289" s="73"/>
      <c r="EA289" s="73"/>
      <c r="EB289" s="73"/>
      <c r="EC289" s="73"/>
      <c r="ED289" s="73"/>
      <c r="EE289" s="73"/>
      <c r="EF289" s="73"/>
      <c r="EG289" s="73"/>
      <c r="EH289" s="73"/>
      <c r="EI289" s="73"/>
      <c r="EJ289" s="73"/>
      <c r="EK289" s="73"/>
      <c r="EL289" s="73"/>
      <c r="EM289" s="73"/>
      <c r="EN289" s="73"/>
      <c r="EO289" s="73"/>
      <c r="EP289" s="69"/>
      <c r="EQ289" s="69"/>
      <c r="ER289" s="69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3"/>
      <c r="DV290" s="73"/>
      <c r="DW290" s="73"/>
      <c r="DX290" s="72"/>
      <c r="DY290" s="72"/>
      <c r="DZ290" s="73"/>
      <c r="EA290" s="73"/>
      <c r="EB290" s="73"/>
      <c r="EC290" s="73"/>
      <c r="ED290" s="73"/>
      <c r="EE290" s="73"/>
      <c r="EF290" s="73"/>
      <c r="EG290" s="73"/>
      <c r="EH290" s="73"/>
      <c r="EI290" s="73"/>
      <c r="EJ290" s="73"/>
      <c r="EK290" s="73"/>
      <c r="EL290" s="73"/>
      <c r="EM290" s="73"/>
      <c r="EN290" s="73"/>
      <c r="EO290" s="73"/>
      <c r="EP290" s="69"/>
      <c r="EQ290" s="69"/>
      <c r="ER290" s="69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2"/>
      <c r="DY291" s="72"/>
      <c r="DZ291" s="73"/>
      <c r="EA291" s="73"/>
      <c r="EB291" s="73"/>
      <c r="EC291" s="73"/>
      <c r="ED291" s="73"/>
      <c r="EE291" s="73"/>
      <c r="EF291" s="73"/>
      <c r="EG291" s="73"/>
      <c r="EH291" s="73"/>
      <c r="EI291" s="73"/>
      <c r="EJ291" s="73"/>
      <c r="EK291" s="73"/>
      <c r="EL291" s="73"/>
      <c r="EM291" s="73"/>
      <c r="EN291" s="73"/>
      <c r="EO291" s="73"/>
      <c r="EP291" s="69"/>
      <c r="EQ291" s="69"/>
      <c r="ER291" s="69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2"/>
      <c r="DY292" s="72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69"/>
      <c r="EQ292" s="69"/>
      <c r="ER292" s="69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2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2"/>
      <c r="DY293" s="72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69"/>
      <c r="EQ293" s="69"/>
      <c r="ER293" s="69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2"/>
      <c r="DY294" s="72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69"/>
      <c r="EQ294" s="69"/>
      <c r="ER294" s="69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2"/>
      <c r="DY295" s="72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69"/>
      <c r="EQ295" s="69"/>
      <c r="ER295" s="69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2"/>
      <c r="DY296" s="72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69"/>
      <c r="EQ296" s="69"/>
      <c r="ER296" s="69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73"/>
      <c r="DD297" s="73"/>
      <c r="DE297" s="73"/>
      <c r="DF297" s="73"/>
      <c r="DG297" s="73"/>
      <c r="DH297" s="73"/>
      <c r="DI297" s="73"/>
      <c r="DJ297" s="73"/>
      <c r="DK297" s="73"/>
      <c r="DL297" s="73"/>
      <c r="DM297" s="73"/>
      <c r="DN297" s="73"/>
      <c r="DO297" s="73"/>
      <c r="DP297" s="73"/>
      <c r="DQ297" s="73"/>
      <c r="DR297" s="73"/>
      <c r="DS297" s="73"/>
      <c r="DT297" s="73"/>
      <c r="DU297" s="73"/>
      <c r="DV297" s="73"/>
      <c r="DW297" s="73"/>
      <c r="DX297" s="72"/>
      <c r="DY297" s="72"/>
      <c r="DZ297" s="73"/>
      <c r="EA297" s="73"/>
      <c r="EB297" s="73"/>
      <c r="EC297" s="73"/>
      <c r="ED297" s="73"/>
      <c r="EE297" s="73"/>
      <c r="EF297" s="73"/>
      <c r="EG297" s="73"/>
      <c r="EH297" s="73"/>
      <c r="EI297" s="73"/>
      <c r="EJ297" s="73"/>
      <c r="EK297" s="73"/>
      <c r="EL297" s="73"/>
      <c r="EM297" s="73"/>
      <c r="EN297" s="73"/>
      <c r="EO297" s="73"/>
      <c r="EP297" s="69"/>
      <c r="EQ297" s="69"/>
      <c r="ER297" s="69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  <c r="CK298" s="73"/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73"/>
      <c r="DD298" s="73"/>
      <c r="DE298" s="73"/>
      <c r="DF298" s="73"/>
      <c r="DG298" s="73"/>
      <c r="DH298" s="73"/>
      <c r="DI298" s="73"/>
      <c r="DJ298" s="73"/>
      <c r="DK298" s="73"/>
      <c r="DL298" s="73"/>
      <c r="DM298" s="73"/>
      <c r="DN298" s="73"/>
      <c r="DO298" s="73"/>
      <c r="DP298" s="73"/>
      <c r="DQ298" s="73"/>
      <c r="DR298" s="73"/>
      <c r="DS298" s="73"/>
      <c r="DT298" s="73"/>
      <c r="DU298" s="73"/>
      <c r="DV298" s="73"/>
      <c r="DW298" s="73"/>
      <c r="DX298" s="72"/>
      <c r="DY298" s="72"/>
      <c r="DZ298" s="73"/>
      <c r="EA298" s="73"/>
      <c r="EB298" s="73"/>
      <c r="EC298" s="73"/>
      <c r="ED298" s="73"/>
      <c r="EE298" s="73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69"/>
      <c r="EQ298" s="69"/>
      <c r="ER298" s="69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73"/>
      <c r="DD299" s="73"/>
      <c r="DE299" s="73"/>
      <c r="DF299" s="73"/>
      <c r="DG299" s="73"/>
      <c r="DH299" s="73"/>
      <c r="DI299" s="73"/>
      <c r="DJ299" s="73"/>
      <c r="DK299" s="73"/>
      <c r="DL299" s="73"/>
      <c r="DM299" s="73"/>
      <c r="DN299" s="73"/>
      <c r="DO299" s="73"/>
      <c r="DP299" s="73"/>
      <c r="DQ299" s="73"/>
      <c r="DR299" s="73"/>
      <c r="DS299" s="73"/>
      <c r="DT299" s="73"/>
      <c r="DU299" s="73"/>
      <c r="DV299" s="73"/>
      <c r="DW299" s="73"/>
      <c r="DX299" s="72"/>
      <c r="DY299" s="72"/>
      <c r="DZ299" s="73"/>
      <c r="EA299" s="73"/>
      <c r="EB299" s="73"/>
      <c r="EC299" s="73"/>
      <c r="ED299" s="73"/>
      <c r="EE299" s="73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69"/>
      <c r="EQ299" s="69"/>
      <c r="ER299" s="69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73"/>
      <c r="DD300" s="73"/>
      <c r="DE300" s="73"/>
      <c r="DF300" s="73"/>
      <c r="DG300" s="73"/>
      <c r="DH300" s="73"/>
      <c r="DI300" s="73"/>
      <c r="DJ300" s="73"/>
      <c r="DK300" s="73"/>
      <c r="DL300" s="73"/>
      <c r="DM300" s="73"/>
      <c r="DN300" s="73"/>
      <c r="DO300" s="73"/>
      <c r="DP300" s="73"/>
      <c r="DQ300" s="73"/>
      <c r="DR300" s="73"/>
      <c r="DS300" s="73"/>
      <c r="DT300" s="73"/>
      <c r="DU300" s="73"/>
      <c r="DV300" s="73"/>
      <c r="DW300" s="73"/>
      <c r="DX300" s="72"/>
      <c r="DY300" s="72"/>
      <c r="DZ300" s="73"/>
      <c r="EA300" s="73"/>
      <c r="EB300" s="73"/>
      <c r="EC300" s="73"/>
      <c r="ED300" s="73"/>
      <c r="EE300" s="73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69"/>
      <c r="EQ300" s="69"/>
      <c r="ER300" s="69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  <c r="CI301" s="73"/>
      <c r="CJ301" s="73"/>
      <c r="CK301" s="73"/>
      <c r="CL301" s="73"/>
      <c r="CM301" s="73"/>
      <c r="CN301" s="73"/>
      <c r="CO301" s="73"/>
      <c r="CP301" s="73"/>
      <c r="CQ301" s="73"/>
      <c r="CR301" s="73"/>
      <c r="CS301" s="73"/>
      <c r="CT301" s="73"/>
      <c r="CU301" s="73"/>
      <c r="CV301" s="73"/>
      <c r="CW301" s="73"/>
      <c r="CX301" s="73"/>
      <c r="CY301" s="73"/>
      <c r="CZ301" s="73"/>
      <c r="DA301" s="73"/>
      <c r="DB301" s="73"/>
      <c r="DC301" s="73"/>
      <c r="DD301" s="73"/>
      <c r="DE301" s="73"/>
      <c r="DF301" s="73"/>
      <c r="DG301" s="73"/>
      <c r="DH301" s="73"/>
      <c r="DI301" s="73"/>
      <c r="DJ301" s="73"/>
      <c r="DK301" s="73"/>
      <c r="DL301" s="73"/>
      <c r="DM301" s="73"/>
      <c r="DN301" s="73"/>
      <c r="DO301" s="73"/>
      <c r="DP301" s="73"/>
      <c r="DQ301" s="73"/>
      <c r="DR301" s="73"/>
      <c r="DS301" s="73"/>
      <c r="DT301" s="73"/>
      <c r="DU301" s="73"/>
      <c r="DV301" s="73"/>
      <c r="DW301" s="73"/>
      <c r="DX301" s="73"/>
      <c r="DY301" s="73"/>
      <c r="DZ301" s="73"/>
      <c r="EA301" s="73"/>
      <c r="EB301" s="73"/>
      <c r="EC301" s="73"/>
      <c r="ED301" s="73"/>
      <c r="EE301" s="73"/>
      <c r="EF301" s="73"/>
      <c r="EG301" s="73"/>
      <c r="EH301" s="73"/>
      <c r="EI301" s="73"/>
      <c r="EJ301" s="73"/>
      <c r="EK301" s="73"/>
      <c r="EL301" s="73"/>
      <c r="EM301" s="73"/>
      <c r="EN301" s="73"/>
      <c r="EO301" s="73"/>
      <c r="EP301" s="69"/>
      <c r="EQ301" s="69"/>
      <c r="ER301" s="69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  <c r="CK302" s="73"/>
      <c r="CL302" s="73"/>
      <c r="CM302" s="73"/>
      <c r="CN302" s="73"/>
      <c r="CO302" s="73"/>
      <c r="CP302" s="73"/>
      <c r="CQ302" s="73"/>
      <c r="CR302" s="73"/>
      <c r="CS302" s="73"/>
      <c r="CT302" s="73"/>
      <c r="CU302" s="73"/>
      <c r="CV302" s="73"/>
      <c r="CW302" s="73"/>
      <c r="CX302" s="73"/>
      <c r="CY302" s="73"/>
      <c r="CZ302" s="73"/>
      <c r="DA302" s="73"/>
      <c r="DB302" s="73"/>
      <c r="DC302" s="73"/>
      <c r="DD302" s="73"/>
      <c r="DE302" s="73"/>
      <c r="DF302" s="73"/>
      <c r="DG302" s="73"/>
      <c r="DH302" s="73"/>
      <c r="DI302" s="73"/>
      <c r="DJ302" s="73"/>
      <c r="DK302" s="73"/>
      <c r="DL302" s="73"/>
      <c r="DM302" s="73"/>
      <c r="DN302" s="73"/>
      <c r="DO302" s="73"/>
      <c r="DP302" s="73"/>
      <c r="DQ302" s="73"/>
      <c r="DR302" s="73"/>
      <c r="DS302" s="73"/>
      <c r="DT302" s="73"/>
      <c r="DU302" s="73"/>
      <c r="DV302" s="73"/>
      <c r="DW302" s="73"/>
      <c r="DX302" s="72"/>
      <c r="DY302" s="72"/>
      <c r="DZ302" s="73"/>
      <c r="EA302" s="73"/>
      <c r="EB302" s="73"/>
      <c r="EC302" s="73"/>
      <c r="ED302" s="73"/>
      <c r="EE302" s="73"/>
      <c r="EF302" s="73"/>
      <c r="EG302" s="73"/>
      <c r="EH302" s="73"/>
      <c r="EI302" s="73"/>
      <c r="EJ302" s="73"/>
      <c r="EK302" s="73"/>
      <c r="EL302" s="73"/>
      <c r="EM302" s="73"/>
      <c r="EN302" s="73"/>
      <c r="EO302" s="73"/>
      <c r="EP302" s="69"/>
      <c r="EQ302" s="69"/>
      <c r="ER302" s="69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  <c r="CI303" s="73"/>
      <c r="CJ303" s="73"/>
      <c r="CK303" s="73"/>
      <c r="CL303" s="73"/>
      <c r="CM303" s="73"/>
      <c r="CN303" s="73"/>
      <c r="CO303" s="73"/>
      <c r="CP303" s="73"/>
      <c r="CQ303" s="73"/>
      <c r="CR303" s="73"/>
      <c r="CS303" s="73"/>
      <c r="CT303" s="73"/>
      <c r="CU303" s="73"/>
      <c r="CV303" s="73"/>
      <c r="CW303" s="73"/>
      <c r="CX303" s="73"/>
      <c r="CY303" s="73"/>
      <c r="CZ303" s="73"/>
      <c r="DA303" s="73"/>
      <c r="DB303" s="73"/>
      <c r="DC303" s="73"/>
      <c r="DD303" s="73"/>
      <c r="DE303" s="73"/>
      <c r="DF303" s="73"/>
      <c r="DG303" s="73"/>
      <c r="DH303" s="73"/>
      <c r="DI303" s="73"/>
      <c r="DJ303" s="73"/>
      <c r="DK303" s="73"/>
      <c r="DL303" s="73"/>
      <c r="DM303" s="73"/>
      <c r="DN303" s="73"/>
      <c r="DO303" s="73"/>
      <c r="DP303" s="73"/>
      <c r="DQ303" s="73"/>
      <c r="DR303" s="73"/>
      <c r="DS303" s="73"/>
      <c r="DT303" s="73"/>
      <c r="DU303" s="73"/>
      <c r="DV303" s="73"/>
      <c r="DW303" s="73"/>
      <c r="DX303" s="72"/>
      <c r="DY303" s="72"/>
      <c r="DZ303" s="73"/>
      <c r="EA303" s="73"/>
      <c r="EB303" s="73"/>
      <c r="EC303" s="73"/>
      <c r="ED303" s="73"/>
      <c r="EE303" s="73"/>
      <c r="EF303" s="73"/>
      <c r="EG303" s="73"/>
      <c r="EH303" s="73"/>
      <c r="EI303" s="73"/>
      <c r="EJ303" s="73"/>
      <c r="EK303" s="73"/>
      <c r="EL303" s="73"/>
      <c r="EM303" s="73"/>
      <c r="EN303" s="73"/>
      <c r="EO303" s="73"/>
      <c r="EP303" s="69"/>
      <c r="EQ303" s="69"/>
      <c r="ER303" s="69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  <c r="CK304" s="73"/>
      <c r="CL304" s="73"/>
      <c r="CM304" s="73"/>
      <c r="CN304" s="73"/>
      <c r="CO304" s="73"/>
      <c r="CP304" s="73"/>
      <c r="CQ304" s="73"/>
      <c r="CR304" s="73"/>
      <c r="CS304" s="73"/>
      <c r="CT304" s="73"/>
      <c r="CU304" s="73"/>
      <c r="CV304" s="73"/>
      <c r="CW304" s="73"/>
      <c r="CX304" s="73"/>
      <c r="CY304" s="73"/>
      <c r="CZ304" s="73"/>
      <c r="DA304" s="73"/>
      <c r="DB304" s="73"/>
      <c r="DC304" s="73"/>
      <c r="DD304" s="73"/>
      <c r="DE304" s="73"/>
      <c r="DF304" s="73"/>
      <c r="DG304" s="73"/>
      <c r="DH304" s="73"/>
      <c r="DI304" s="73"/>
      <c r="DJ304" s="73"/>
      <c r="DK304" s="73"/>
      <c r="DL304" s="73"/>
      <c r="DM304" s="73"/>
      <c r="DN304" s="73"/>
      <c r="DO304" s="73"/>
      <c r="DP304" s="73"/>
      <c r="DQ304" s="73"/>
      <c r="DR304" s="73"/>
      <c r="DS304" s="73"/>
      <c r="DT304" s="73"/>
      <c r="DU304" s="73"/>
      <c r="DV304" s="73"/>
      <c r="DW304" s="73"/>
      <c r="DX304" s="73"/>
      <c r="DY304" s="73"/>
      <c r="DZ304" s="73"/>
      <c r="EA304" s="73"/>
      <c r="EB304" s="73"/>
      <c r="EC304" s="73"/>
      <c r="ED304" s="73"/>
      <c r="EE304" s="73"/>
      <c r="EF304" s="73"/>
      <c r="EG304" s="73"/>
      <c r="EH304" s="73"/>
      <c r="EI304" s="73"/>
      <c r="EJ304" s="73"/>
      <c r="EK304" s="73"/>
      <c r="EL304" s="73"/>
      <c r="EM304" s="73"/>
      <c r="EN304" s="73"/>
      <c r="EO304" s="73"/>
      <c r="EP304" s="69"/>
      <c r="EQ304" s="69"/>
      <c r="ER304" s="69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  <c r="CI305" s="73"/>
      <c r="CJ305" s="73"/>
      <c r="CK305" s="73"/>
      <c r="CL305" s="73"/>
      <c r="CM305" s="73"/>
      <c r="CN305" s="73"/>
      <c r="CO305" s="73"/>
      <c r="CP305" s="73"/>
      <c r="CQ305" s="73"/>
      <c r="CR305" s="73"/>
      <c r="CS305" s="73"/>
      <c r="CT305" s="73"/>
      <c r="CU305" s="73"/>
      <c r="CV305" s="73"/>
      <c r="CW305" s="73"/>
      <c r="CX305" s="73"/>
      <c r="CY305" s="73"/>
      <c r="CZ305" s="73"/>
      <c r="DA305" s="73"/>
      <c r="DB305" s="73"/>
      <c r="DC305" s="73"/>
      <c r="DD305" s="73"/>
      <c r="DE305" s="73"/>
      <c r="DF305" s="73"/>
      <c r="DG305" s="73"/>
      <c r="DH305" s="73"/>
      <c r="DI305" s="73"/>
      <c r="DJ305" s="73"/>
      <c r="DK305" s="73"/>
      <c r="DL305" s="73"/>
      <c r="DM305" s="73"/>
      <c r="DN305" s="73"/>
      <c r="DO305" s="73"/>
      <c r="DP305" s="73"/>
      <c r="DQ305" s="73"/>
      <c r="DR305" s="73"/>
      <c r="DS305" s="73"/>
      <c r="DT305" s="73"/>
      <c r="DU305" s="73"/>
      <c r="DV305" s="73"/>
      <c r="DW305" s="73"/>
      <c r="DX305" s="73"/>
      <c r="DY305" s="73"/>
      <c r="DZ305" s="73"/>
      <c r="EA305" s="73"/>
      <c r="EB305" s="73"/>
      <c r="EC305" s="73"/>
      <c r="ED305" s="73"/>
      <c r="EE305" s="73"/>
      <c r="EF305" s="73"/>
      <c r="EG305" s="73"/>
      <c r="EH305" s="73"/>
      <c r="EI305" s="73"/>
      <c r="EJ305" s="73"/>
      <c r="EK305" s="73"/>
      <c r="EL305" s="73"/>
      <c r="EM305" s="73"/>
      <c r="EN305" s="73"/>
      <c r="EO305" s="73"/>
      <c r="EP305" s="69"/>
      <c r="EQ305" s="69"/>
      <c r="ER305" s="69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  <c r="CI306" s="73"/>
      <c r="CJ306" s="73"/>
      <c r="CK306" s="73"/>
      <c r="CL306" s="73"/>
      <c r="CM306" s="73"/>
      <c r="CN306" s="73"/>
      <c r="CO306" s="73"/>
      <c r="CP306" s="73"/>
      <c r="CQ306" s="73"/>
      <c r="CR306" s="73"/>
      <c r="CS306" s="73"/>
      <c r="CT306" s="73"/>
      <c r="CU306" s="73"/>
      <c r="CV306" s="73"/>
      <c r="CW306" s="73"/>
      <c r="CX306" s="73"/>
      <c r="CY306" s="73"/>
      <c r="CZ306" s="73"/>
      <c r="DA306" s="73"/>
      <c r="DB306" s="73"/>
      <c r="DC306" s="73"/>
      <c r="DD306" s="73"/>
      <c r="DE306" s="73"/>
      <c r="DF306" s="73"/>
      <c r="DG306" s="73"/>
      <c r="DH306" s="73"/>
      <c r="DI306" s="73"/>
      <c r="DJ306" s="73"/>
      <c r="DK306" s="73"/>
      <c r="DL306" s="73"/>
      <c r="DM306" s="73"/>
      <c r="DN306" s="73"/>
      <c r="DO306" s="73"/>
      <c r="DP306" s="73"/>
      <c r="DQ306" s="73"/>
      <c r="DR306" s="73"/>
      <c r="DS306" s="73"/>
      <c r="DT306" s="73"/>
      <c r="DU306" s="73"/>
      <c r="DV306" s="73"/>
      <c r="DW306" s="73"/>
      <c r="DX306" s="72"/>
      <c r="DY306" s="72"/>
      <c r="DZ306" s="73"/>
      <c r="EA306" s="73"/>
      <c r="EB306" s="73"/>
      <c r="EC306" s="73"/>
      <c r="ED306" s="73"/>
      <c r="EE306" s="73"/>
      <c r="EF306" s="73"/>
      <c r="EG306" s="73"/>
      <c r="EH306" s="73"/>
      <c r="EI306" s="73"/>
      <c r="EJ306" s="73"/>
      <c r="EK306" s="73"/>
      <c r="EL306" s="73"/>
      <c r="EM306" s="73"/>
      <c r="EN306" s="73"/>
      <c r="EO306" s="73"/>
      <c r="EP306" s="69"/>
      <c r="EQ306" s="69"/>
      <c r="ER306" s="69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  <c r="CK307" s="73"/>
      <c r="CL307" s="73"/>
      <c r="CM307" s="73"/>
      <c r="CN307" s="73"/>
      <c r="CO307" s="73"/>
      <c r="CP307" s="73"/>
      <c r="CQ307" s="73"/>
      <c r="CR307" s="73"/>
      <c r="CS307" s="73"/>
      <c r="CT307" s="73"/>
      <c r="CU307" s="73"/>
      <c r="CV307" s="73"/>
      <c r="CW307" s="73"/>
      <c r="CX307" s="73"/>
      <c r="CY307" s="73"/>
      <c r="CZ307" s="73"/>
      <c r="DA307" s="73"/>
      <c r="DB307" s="73"/>
      <c r="DC307" s="73"/>
      <c r="DD307" s="73"/>
      <c r="DE307" s="73"/>
      <c r="DF307" s="73"/>
      <c r="DG307" s="73"/>
      <c r="DH307" s="73"/>
      <c r="DI307" s="73"/>
      <c r="DJ307" s="73"/>
      <c r="DK307" s="73"/>
      <c r="DL307" s="73"/>
      <c r="DM307" s="73"/>
      <c r="DN307" s="73"/>
      <c r="DO307" s="73"/>
      <c r="DP307" s="73"/>
      <c r="DQ307" s="73"/>
      <c r="DR307" s="73"/>
      <c r="DS307" s="73"/>
      <c r="DT307" s="73"/>
      <c r="DU307" s="73"/>
      <c r="DV307" s="73"/>
      <c r="DW307" s="73"/>
      <c r="DX307" s="73"/>
      <c r="DY307" s="73"/>
      <c r="DZ307" s="73"/>
      <c r="EA307" s="73"/>
      <c r="EB307" s="73"/>
      <c r="EC307" s="73"/>
      <c r="ED307" s="73"/>
      <c r="EE307" s="73"/>
      <c r="EF307" s="73"/>
      <c r="EG307" s="73"/>
      <c r="EH307" s="73"/>
      <c r="EI307" s="73"/>
      <c r="EJ307" s="73"/>
      <c r="EK307" s="73"/>
      <c r="EL307" s="73"/>
      <c r="EM307" s="73"/>
      <c r="EN307" s="73"/>
      <c r="EO307" s="73"/>
      <c r="EP307" s="69"/>
      <c r="EQ307" s="69"/>
      <c r="ER307" s="69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  <c r="CK308" s="73"/>
      <c r="CL308" s="73"/>
      <c r="CM308" s="73"/>
      <c r="CN308" s="73"/>
      <c r="CO308" s="73"/>
      <c r="CP308" s="73"/>
      <c r="CQ308" s="73"/>
      <c r="CR308" s="73"/>
      <c r="CS308" s="73"/>
      <c r="CT308" s="73"/>
      <c r="CU308" s="73"/>
      <c r="CV308" s="73"/>
      <c r="CW308" s="73"/>
      <c r="CX308" s="73"/>
      <c r="CY308" s="73"/>
      <c r="CZ308" s="73"/>
      <c r="DA308" s="73"/>
      <c r="DB308" s="73"/>
      <c r="DC308" s="73"/>
      <c r="DD308" s="73"/>
      <c r="DE308" s="73"/>
      <c r="DF308" s="73"/>
      <c r="DG308" s="73"/>
      <c r="DH308" s="73"/>
      <c r="DI308" s="73"/>
      <c r="DJ308" s="73"/>
      <c r="DK308" s="73"/>
      <c r="DL308" s="73"/>
      <c r="DM308" s="73"/>
      <c r="DN308" s="73"/>
      <c r="DO308" s="73"/>
      <c r="DP308" s="73"/>
      <c r="DQ308" s="73"/>
      <c r="DR308" s="73"/>
      <c r="DS308" s="73"/>
      <c r="DT308" s="73"/>
      <c r="DU308" s="73"/>
      <c r="DV308" s="73"/>
      <c r="DW308" s="73"/>
      <c r="DX308" s="73"/>
      <c r="DY308" s="73"/>
      <c r="DZ308" s="73"/>
      <c r="EA308" s="73"/>
      <c r="EB308" s="73"/>
      <c r="EC308" s="73"/>
      <c r="ED308" s="73"/>
      <c r="EE308" s="73"/>
      <c r="EF308" s="73"/>
      <c r="EG308" s="73"/>
      <c r="EH308" s="73"/>
      <c r="EI308" s="73"/>
      <c r="EJ308" s="73"/>
      <c r="EK308" s="73"/>
      <c r="EL308" s="73"/>
      <c r="EM308" s="73"/>
      <c r="EN308" s="73"/>
      <c r="EO308" s="73"/>
      <c r="EP308" s="69"/>
      <c r="EQ308" s="69"/>
      <c r="ER308" s="69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73"/>
      <c r="CT309" s="73"/>
      <c r="CU309" s="73"/>
      <c r="CV309" s="73"/>
      <c r="CW309" s="73"/>
      <c r="CX309" s="73"/>
      <c r="CY309" s="73"/>
      <c r="CZ309" s="73"/>
      <c r="DA309" s="73"/>
      <c r="DB309" s="73"/>
      <c r="DC309" s="73"/>
      <c r="DD309" s="73"/>
      <c r="DE309" s="73"/>
      <c r="DF309" s="73"/>
      <c r="DG309" s="73"/>
      <c r="DH309" s="73"/>
      <c r="DI309" s="73"/>
      <c r="DJ309" s="73"/>
      <c r="DK309" s="73"/>
      <c r="DL309" s="73"/>
      <c r="DM309" s="73"/>
      <c r="DN309" s="73"/>
      <c r="DO309" s="73"/>
      <c r="DP309" s="73"/>
      <c r="DQ309" s="73"/>
      <c r="DR309" s="73"/>
      <c r="DS309" s="73"/>
      <c r="DT309" s="73"/>
      <c r="DU309" s="73"/>
      <c r="DV309" s="73"/>
      <c r="DW309" s="73"/>
      <c r="DX309" s="72"/>
      <c r="DY309" s="72"/>
      <c r="DZ309" s="73"/>
      <c r="EA309" s="73"/>
      <c r="EB309" s="73"/>
      <c r="EC309" s="73"/>
      <c r="ED309" s="73"/>
      <c r="EE309" s="73"/>
      <c r="EF309" s="73"/>
      <c r="EG309" s="73"/>
      <c r="EH309" s="73"/>
      <c r="EI309" s="73"/>
      <c r="EJ309" s="73"/>
      <c r="EK309" s="73"/>
      <c r="EL309" s="73"/>
      <c r="EM309" s="73"/>
      <c r="EN309" s="73"/>
      <c r="EO309" s="73"/>
      <c r="EP309" s="69"/>
      <c r="EQ309" s="69"/>
      <c r="ER309" s="69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  <c r="CI310" s="73"/>
      <c r="CJ310" s="73"/>
      <c r="CK310" s="73"/>
      <c r="CL310" s="73"/>
      <c r="CM310" s="73"/>
      <c r="CN310" s="73"/>
      <c r="CO310" s="73"/>
      <c r="CP310" s="73"/>
      <c r="CQ310" s="73"/>
      <c r="CR310" s="73"/>
      <c r="CS310" s="73"/>
      <c r="CT310" s="73"/>
      <c r="CU310" s="73"/>
      <c r="CV310" s="73"/>
      <c r="CW310" s="73"/>
      <c r="CX310" s="73"/>
      <c r="CY310" s="73"/>
      <c r="CZ310" s="73"/>
      <c r="DA310" s="73"/>
      <c r="DB310" s="73"/>
      <c r="DC310" s="73"/>
      <c r="DD310" s="73"/>
      <c r="DE310" s="73"/>
      <c r="DF310" s="73"/>
      <c r="DG310" s="73"/>
      <c r="DH310" s="73"/>
      <c r="DI310" s="73"/>
      <c r="DJ310" s="73"/>
      <c r="DK310" s="73"/>
      <c r="DL310" s="73"/>
      <c r="DM310" s="73"/>
      <c r="DN310" s="73"/>
      <c r="DO310" s="73"/>
      <c r="DP310" s="73"/>
      <c r="DQ310" s="73"/>
      <c r="DR310" s="73"/>
      <c r="DS310" s="73"/>
      <c r="DT310" s="73"/>
      <c r="DU310" s="73"/>
      <c r="DV310" s="73"/>
      <c r="DW310" s="73"/>
      <c r="DX310" s="72"/>
      <c r="DY310" s="72"/>
      <c r="DZ310" s="73"/>
      <c r="EA310" s="73"/>
      <c r="EB310" s="73"/>
      <c r="EC310" s="73"/>
      <c r="ED310" s="73"/>
      <c r="EE310" s="73"/>
      <c r="EF310" s="73"/>
      <c r="EG310" s="73"/>
      <c r="EH310" s="73"/>
      <c r="EI310" s="73"/>
      <c r="EJ310" s="73"/>
      <c r="EK310" s="73"/>
      <c r="EL310" s="73"/>
      <c r="EM310" s="73"/>
      <c r="EN310" s="73"/>
      <c r="EO310" s="73"/>
      <c r="EP310" s="69"/>
      <c r="EQ310" s="69"/>
      <c r="ER310" s="69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  <c r="CI311" s="73"/>
      <c r="CJ311" s="73"/>
      <c r="CK311" s="73"/>
      <c r="CL311" s="73"/>
      <c r="CM311" s="73"/>
      <c r="CN311" s="73"/>
      <c r="CO311" s="73"/>
      <c r="CP311" s="73"/>
      <c r="CQ311" s="73"/>
      <c r="CR311" s="73"/>
      <c r="CS311" s="73"/>
      <c r="CT311" s="73"/>
      <c r="CU311" s="73"/>
      <c r="CV311" s="73"/>
      <c r="CW311" s="73"/>
      <c r="CX311" s="73"/>
      <c r="CY311" s="73"/>
      <c r="CZ311" s="73"/>
      <c r="DA311" s="73"/>
      <c r="DB311" s="73"/>
      <c r="DC311" s="73"/>
      <c r="DD311" s="73"/>
      <c r="DE311" s="73"/>
      <c r="DF311" s="73"/>
      <c r="DG311" s="73"/>
      <c r="DH311" s="73"/>
      <c r="DI311" s="73"/>
      <c r="DJ311" s="73"/>
      <c r="DK311" s="73"/>
      <c r="DL311" s="73"/>
      <c r="DM311" s="73"/>
      <c r="DN311" s="73"/>
      <c r="DO311" s="73"/>
      <c r="DP311" s="73"/>
      <c r="DQ311" s="73"/>
      <c r="DR311" s="73"/>
      <c r="DS311" s="73"/>
      <c r="DT311" s="73"/>
      <c r="DU311" s="73"/>
      <c r="DV311" s="73"/>
      <c r="DW311" s="73"/>
      <c r="DX311" s="72"/>
      <c r="DY311" s="72"/>
      <c r="DZ311" s="73"/>
      <c r="EA311" s="73"/>
      <c r="EB311" s="73"/>
      <c r="EC311" s="73"/>
      <c r="ED311" s="73"/>
      <c r="EE311" s="73"/>
      <c r="EF311" s="73"/>
      <c r="EG311" s="73"/>
      <c r="EH311" s="73"/>
      <c r="EI311" s="73"/>
      <c r="EJ311" s="73"/>
      <c r="EK311" s="73"/>
      <c r="EL311" s="73"/>
      <c r="EM311" s="73"/>
      <c r="EN311" s="73"/>
      <c r="EO311" s="73"/>
      <c r="EP311" s="69"/>
      <c r="EQ311" s="69"/>
      <c r="ER311" s="69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  <c r="CK312" s="73"/>
      <c r="CL312" s="73"/>
      <c r="CM312" s="73"/>
      <c r="CN312" s="73"/>
      <c r="CO312" s="73"/>
      <c r="CP312" s="73"/>
      <c r="CQ312" s="73"/>
      <c r="CR312" s="73"/>
      <c r="CS312" s="73"/>
      <c r="CT312" s="73"/>
      <c r="CU312" s="73"/>
      <c r="CV312" s="73"/>
      <c r="CW312" s="73"/>
      <c r="CX312" s="73"/>
      <c r="CY312" s="73"/>
      <c r="CZ312" s="73"/>
      <c r="DA312" s="73"/>
      <c r="DB312" s="73"/>
      <c r="DC312" s="73"/>
      <c r="DD312" s="73"/>
      <c r="DE312" s="73"/>
      <c r="DF312" s="73"/>
      <c r="DG312" s="73"/>
      <c r="DH312" s="73"/>
      <c r="DI312" s="73"/>
      <c r="DJ312" s="73"/>
      <c r="DK312" s="73"/>
      <c r="DL312" s="73"/>
      <c r="DM312" s="73"/>
      <c r="DN312" s="73"/>
      <c r="DO312" s="73"/>
      <c r="DP312" s="73"/>
      <c r="DQ312" s="73"/>
      <c r="DR312" s="73"/>
      <c r="DS312" s="73"/>
      <c r="DT312" s="73"/>
      <c r="DU312" s="73"/>
      <c r="DV312" s="73"/>
      <c r="DW312" s="73"/>
      <c r="DX312" s="72"/>
      <c r="DY312" s="72"/>
      <c r="DZ312" s="73"/>
      <c r="EA312" s="73"/>
      <c r="EB312" s="73"/>
      <c r="EC312" s="73"/>
      <c r="ED312" s="73"/>
      <c r="EE312" s="73"/>
      <c r="EF312" s="73"/>
      <c r="EG312" s="73"/>
      <c r="EH312" s="73"/>
      <c r="EI312" s="73"/>
      <c r="EJ312" s="73"/>
      <c r="EK312" s="73"/>
      <c r="EL312" s="73"/>
      <c r="EM312" s="73"/>
      <c r="EN312" s="73"/>
      <c r="EO312" s="73"/>
      <c r="EP312" s="69"/>
      <c r="EQ312" s="69"/>
      <c r="ER312" s="69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  <c r="CK313" s="73"/>
      <c r="CL313" s="73"/>
      <c r="CM313" s="73"/>
      <c r="CN313" s="73"/>
      <c r="CO313" s="73"/>
      <c r="CP313" s="73"/>
      <c r="CQ313" s="73"/>
      <c r="CR313" s="73"/>
      <c r="CS313" s="73"/>
      <c r="CT313" s="73"/>
      <c r="CU313" s="73"/>
      <c r="CV313" s="73"/>
      <c r="CW313" s="73"/>
      <c r="CX313" s="73"/>
      <c r="CY313" s="73"/>
      <c r="CZ313" s="73"/>
      <c r="DA313" s="73"/>
      <c r="DB313" s="73"/>
      <c r="DC313" s="73"/>
      <c r="DD313" s="73"/>
      <c r="DE313" s="73"/>
      <c r="DF313" s="73"/>
      <c r="DG313" s="73"/>
      <c r="DH313" s="73"/>
      <c r="DI313" s="73"/>
      <c r="DJ313" s="73"/>
      <c r="DK313" s="73"/>
      <c r="DL313" s="73"/>
      <c r="DM313" s="73"/>
      <c r="DN313" s="73"/>
      <c r="DO313" s="73"/>
      <c r="DP313" s="73"/>
      <c r="DQ313" s="73"/>
      <c r="DR313" s="73"/>
      <c r="DS313" s="73"/>
      <c r="DT313" s="73"/>
      <c r="DU313" s="73"/>
      <c r="DV313" s="73"/>
      <c r="DW313" s="73"/>
      <c r="DX313" s="72"/>
      <c r="DY313" s="72"/>
      <c r="DZ313" s="73"/>
      <c r="EA313" s="73"/>
      <c r="EB313" s="73"/>
      <c r="EC313" s="73"/>
      <c r="ED313" s="73"/>
      <c r="EE313" s="73"/>
      <c r="EF313" s="73"/>
      <c r="EG313" s="73"/>
      <c r="EH313" s="73"/>
      <c r="EI313" s="73"/>
      <c r="EJ313" s="73"/>
      <c r="EK313" s="73"/>
      <c r="EL313" s="73"/>
      <c r="EM313" s="73"/>
      <c r="EN313" s="73"/>
      <c r="EO313" s="73"/>
      <c r="EP313" s="69"/>
      <c r="EQ313" s="69"/>
      <c r="ER313" s="69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73"/>
      <c r="CT314" s="73"/>
      <c r="CU314" s="73"/>
      <c r="CV314" s="73"/>
      <c r="CW314" s="73"/>
      <c r="CX314" s="73"/>
      <c r="CY314" s="73"/>
      <c r="CZ314" s="73"/>
      <c r="DA314" s="73"/>
      <c r="DB314" s="73"/>
      <c r="DC314" s="73"/>
      <c r="DD314" s="73"/>
      <c r="DE314" s="73"/>
      <c r="DF314" s="73"/>
      <c r="DG314" s="73"/>
      <c r="DH314" s="73"/>
      <c r="DI314" s="73"/>
      <c r="DJ314" s="73"/>
      <c r="DK314" s="73"/>
      <c r="DL314" s="73"/>
      <c r="DM314" s="73"/>
      <c r="DN314" s="73"/>
      <c r="DO314" s="73"/>
      <c r="DP314" s="73"/>
      <c r="DQ314" s="73"/>
      <c r="DR314" s="73"/>
      <c r="DS314" s="73"/>
      <c r="DT314" s="73"/>
      <c r="DU314" s="73"/>
      <c r="DV314" s="73"/>
      <c r="DW314" s="73"/>
      <c r="DX314" s="73"/>
      <c r="DY314" s="73"/>
      <c r="DZ314" s="73"/>
      <c r="EA314" s="73"/>
      <c r="EB314" s="73"/>
      <c r="EC314" s="73"/>
      <c r="ED314" s="73"/>
      <c r="EE314" s="73"/>
      <c r="EF314" s="73"/>
      <c r="EG314" s="73"/>
      <c r="EH314" s="73"/>
      <c r="EI314" s="73"/>
      <c r="EJ314" s="73"/>
      <c r="EK314" s="73"/>
      <c r="EL314" s="73"/>
      <c r="EM314" s="73"/>
      <c r="EN314" s="73"/>
      <c r="EO314" s="73"/>
      <c r="EP314" s="69"/>
      <c r="EQ314" s="69"/>
      <c r="ER314" s="69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  <c r="CK315" s="73"/>
      <c r="CL315" s="73"/>
      <c r="CM315" s="73"/>
      <c r="CN315" s="73"/>
      <c r="CO315" s="73"/>
      <c r="CP315" s="73"/>
      <c r="CQ315" s="73"/>
      <c r="CR315" s="73"/>
      <c r="CS315" s="73"/>
      <c r="CT315" s="73"/>
      <c r="CU315" s="73"/>
      <c r="CV315" s="73"/>
      <c r="CW315" s="73"/>
      <c r="CX315" s="73"/>
      <c r="CY315" s="73"/>
      <c r="CZ315" s="73"/>
      <c r="DA315" s="73"/>
      <c r="DB315" s="73"/>
      <c r="DC315" s="73"/>
      <c r="DD315" s="73"/>
      <c r="DE315" s="73"/>
      <c r="DF315" s="73"/>
      <c r="DG315" s="73"/>
      <c r="DH315" s="73"/>
      <c r="DI315" s="73"/>
      <c r="DJ315" s="73"/>
      <c r="DK315" s="73"/>
      <c r="DL315" s="73"/>
      <c r="DM315" s="73"/>
      <c r="DN315" s="73"/>
      <c r="DO315" s="73"/>
      <c r="DP315" s="73"/>
      <c r="DQ315" s="73"/>
      <c r="DR315" s="73"/>
      <c r="DS315" s="73"/>
      <c r="DT315" s="73"/>
      <c r="DU315" s="73"/>
      <c r="DV315" s="73"/>
      <c r="DW315" s="73"/>
      <c r="DX315" s="72"/>
      <c r="DY315" s="72"/>
      <c r="DZ315" s="73"/>
      <c r="EA315" s="73"/>
      <c r="EB315" s="73"/>
      <c r="EC315" s="73"/>
      <c r="ED315" s="73"/>
      <c r="EE315" s="73"/>
      <c r="EF315" s="73"/>
      <c r="EG315" s="73"/>
      <c r="EH315" s="73"/>
      <c r="EI315" s="73"/>
      <c r="EJ315" s="73"/>
      <c r="EK315" s="73"/>
      <c r="EL315" s="73"/>
      <c r="EM315" s="73"/>
      <c r="EN315" s="73"/>
      <c r="EO315" s="73"/>
      <c r="EP315" s="69"/>
      <c r="EQ315" s="69"/>
      <c r="ER315" s="69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  <c r="CK316" s="73"/>
      <c r="CL316" s="73"/>
      <c r="CM316" s="73"/>
      <c r="CN316" s="73"/>
      <c r="CO316" s="73"/>
      <c r="CP316" s="73"/>
      <c r="CQ316" s="73"/>
      <c r="CR316" s="73"/>
      <c r="CS316" s="73"/>
      <c r="CT316" s="73"/>
      <c r="CU316" s="73"/>
      <c r="CV316" s="73"/>
      <c r="CW316" s="73"/>
      <c r="CX316" s="73"/>
      <c r="CY316" s="73"/>
      <c r="CZ316" s="73"/>
      <c r="DA316" s="73"/>
      <c r="DB316" s="73"/>
      <c r="DC316" s="73"/>
      <c r="DD316" s="73"/>
      <c r="DE316" s="73"/>
      <c r="DF316" s="73"/>
      <c r="DG316" s="73"/>
      <c r="DH316" s="73"/>
      <c r="DI316" s="73"/>
      <c r="DJ316" s="73"/>
      <c r="DK316" s="73"/>
      <c r="DL316" s="73"/>
      <c r="DM316" s="73"/>
      <c r="DN316" s="73"/>
      <c r="DO316" s="73"/>
      <c r="DP316" s="73"/>
      <c r="DQ316" s="73"/>
      <c r="DR316" s="73"/>
      <c r="DS316" s="73"/>
      <c r="DT316" s="73"/>
      <c r="DU316" s="73"/>
      <c r="DV316" s="73"/>
      <c r="DW316" s="73"/>
      <c r="DX316" s="72"/>
      <c r="DY316" s="72"/>
      <c r="DZ316" s="73"/>
      <c r="EA316" s="73"/>
      <c r="EB316" s="73"/>
      <c r="EC316" s="73"/>
      <c r="ED316" s="73"/>
      <c r="EE316" s="73"/>
      <c r="EF316" s="73"/>
      <c r="EG316" s="73"/>
      <c r="EH316" s="73"/>
      <c r="EI316" s="73"/>
      <c r="EJ316" s="73"/>
      <c r="EK316" s="73"/>
      <c r="EL316" s="73"/>
      <c r="EM316" s="73"/>
      <c r="EN316" s="73"/>
      <c r="EO316" s="73"/>
      <c r="EP316" s="69"/>
      <c r="EQ316" s="69"/>
      <c r="ER316" s="69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  <c r="CK317" s="73"/>
      <c r="CL317" s="73"/>
      <c r="CM317" s="73"/>
      <c r="CN317" s="73"/>
      <c r="CO317" s="73"/>
      <c r="CP317" s="73"/>
      <c r="CQ317" s="73"/>
      <c r="CR317" s="73"/>
      <c r="CS317" s="73"/>
      <c r="CT317" s="73"/>
      <c r="CU317" s="73"/>
      <c r="CV317" s="73"/>
      <c r="CW317" s="73"/>
      <c r="CX317" s="73"/>
      <c r="CY317" s="73"/>
      <c r="CZ317" s="73"/>
      <c r="DA317" s="73"/>
      <c r="DB317" s="73"/>
      <c r="DC317" s="73"/>
      <c r="DD317" s="73"/>
      <c r="DE317" s="73"/>
      <c r="DF317" s="73"/>
      <c r="DG317" s="73"/>
      <c r="DH317" s="73"/>
      <c r="DI317" s="73"/>
      <c r="DJ317" s="73"/>
      <c r="DK317" s="73"/>
      <c r="DL317" s="73"/>
      <c r="DM317" s="73"/>
      <c r="DN317" s="73"/>
      <c r="DO317" s="73"/>
      <c r="DP317" s="73"/>
      <c r="DQ317" s="73"/>
      <c r="DR317" s="73"/>
      <c r="DS317" s="73"/>
      <c r="DT317" s="73"/>
      <c r="DU317" s="73"/>
      <c r="DV317" s="73"/>
      <c r="DW317" s="73"/>
      <c r="DX317" s="72"/>
      <c r="DY317" s="72"/>
      <c r="DZ317" s="73"/>
      <c r="EA317" s="73"/>
      <c r="EB317" s="73"/>
      <c r="EC317" s="73"/>
      <c r="ED317" s="73"/>
      <c r="EE317" s="73"/>
      <c r="EF317" s="73"/>
      <c r="EG317" s="73"/>
      <c r="EH317" s="73"/>
      <c r="EI317" s="73"/>
      <c r="EJ317" s="73"/>
      <c r="EK317" s="73"/>
      <c r="EL317" s="73"/>
      <c r="EM317" s="73"/>
      <c r="EN317" s="73"/>
      <c r="EO317" s="73"/>
      <c r="EP317" s="69"/>
      <c r="EQ317" s="69"/>
      <c r="ER317" s="69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73"/>
      <c r="DD318" s="73"/>
      <c r="DE318" s="73"/>
      <c r="DF318" s="73"/>
      <c r="DG318" s="73"/>
      <c r="DH318" s="73"/>
      <c r="DI318" s="73"/>
      <c r="DJ318" s="73"/>
      <c r="DK318" s="73"/>
      <c r="DL318" s="73"/>
      <c r="DM318" s="73"/>
      <c r="DN318" s="73"/>
      <c r="DO318" s="73"/>
      <c r="DP318" s="73"/>
      <c r="DQ318" s="73"/>
      <c r="DR318" s="73"/>
      <c r="DS318" s="73"/>
      <c r="DT318" s="73"/>
      <c r="DU318" s="73"/>
      <c r="DV318" s="73"/>
      <c r="DW318" s="73"/>
      <c r="DX318" s="72"/>
      <c r="DY318" s="72"/>
      <c r="DZ318" s="73"/>
      <c r="EA318" s="73"/>
      <c r="EB318" s="73"/>
      <c r="EC318" s="73"/>
      <c r="ED318" s="73"/>
      <c r="EE318" s="73"/>
      <c r="EF318" s="73"/>
      <c r="EG318" s="73"/>
      <c r="EH318" s="73"/>
      <c r="EI318" s="73"/>
      <c r="EJ318" s="73"/>
      <c r="EK318" s="73"/>
      <c r="EL318" s="73"/>
      <c r="EM318" s="73"/>
      <c r="EN318" s="73"/>
      <c r="EO318" s="73"/>
      <c r="EP318" s="69"/>
      <c r="EQ318" s="69"/>
      <c r="ER318" s="69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73"/>
      <c r="DD319" s="73"/>
      <c r="DE319" s="73"/>
      <c r="DF319" s="73"/>
      <c r="DG319" s="73"/>
      <c r="DH319" s="73"/>
      <c r="DI319" s="73"/>
      <c r="DJ319" s="73"/>
      <c r="DK319" s="73"/>
      <c r="DL319" s="73"/>
      <c r="DM319" s="73"/>
      <c r="DN319" s="73"/>
      <c r="DO319" s="73"/>
      <c r="DP319" s="73"/>
      <c r="DQ319" s="73"/>
      <c r="DR319" s="73"/>
      <c r="DS319" s="73"/>
      <c r="DT319" s="73"/>
      <c r="DU319" s="73"/>
      <c r="DV319" s="73"/>
      <c r="DW319" s="73"/>
      <c r="DX319" s="72"/>
      <c r="DY319" s="72"/>
      <c r="DZ319" s="73"/>
      <c r="EA319" s="73"/>
      <c r="EB319" s="73"/>
      <c r="EC319" s="73"/>
      <c r="ED319" s="73"/>
      <c r="EE319" s="73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69"/>
      <c r="EQ319" s="69"/>
      <c r="ER319" s="69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73"/>
      <c r="DD320" s="73"/>
      <c r="DE320" s="73"/>
      <c r="DF320" s="73"/>
      <c r="DG320" s="73"/>
      <c r="DH320" s="73"/>
      <c r="DI320" s="73"/>
      <c r="DJ320" s="73"/>
      <c r="DK320" s="73"/>
      <c r="DL320" s="73"/>
      <c r="DM320" s="73"/>
      <c r="DN320" s="73"/>
      <c r="DO320" s="73"/>
      <c r="DP320" s="73"/>
      <c r="DQ320" s="73"/>
      <c r="DR320" s="73"/>
      <c r="DS320" s="73"/>
      <c r="DT320" s="73"/>
      <c r="DU320" s="73"/>
      <c r="DV320" s="73"/>
      <c r="DW320" s="73"/>
      <c r="DX320" s="72"/>
      <c r="DY320" s="72"/>
      <c r="DZ320" s="73"/>
      <c r="EA320" s="73"/>
      <c r="EB320" s="73"/>
      <c r="EC320" s="73"/>
      <c r="ED320" s="73"/>
      <c r="EE320" s="73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69"/>
      <c r="EQ320" s="69"/>
      <c r="ER320" s="69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73"/>
      <c r="DD321" s="73"/>
      <c r="DE321" s="73"/>
      <c r="DF321" s="73"/>
      <c r="DG321" s="73"/>
      <c r="DH321" s="73"/>
      <c r="DI321" s="73"/>
      <c r="DJ321" s="73"/>
      <c r="DK321" s="73"/>
      <c r="DL321" s="73"/>
      <c r="DM321" s="73"/>
      <c r="DN321" s="73"/>
      <c r="DO321" s="73"/>
      <c r="DP321" s="73"/>
      <c r="DQ321" s="73"/>
      <c r="DR321" s="73"/>
      <c r="DS321" s="73"/>
      <c r="DT321" s="73"/>
      <c r="DU321" s="73"/>
      <c r="DV321" s="73"/>
      <c r="DW321" s="73"/>
      <c r="DX321" s="72"/>
      <c r="DY321" s="72"/>
      <c r="DZ321" s="73"/>
      <c r="EA321" s="73"/>
      <c r="EB321" s="73"/>
      <c r="EC321" s="73"/>
      <c r="ED321" s="73"/>
      <c r="EE321" s="73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69"/>
      <c r="EQ321" s="69"/>
      <c r="ER321" s="69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73"/>
      <c r="DD322" s="73"/>
      <c r="DE322" s="73"/>
      <c r="DF322" s="73"/>
      <c r="DG322" s="73"/>
      <c r="DH322" s="73"/>
      <c r="DI322" s="73"/>
      <c r="DJ322" s="73"/>
      <c r="DK322" s="73"/>
      <c r="DL322" s="73"/>
      <c r="DM322" s="73"/>
      <c r="DN322" s="73"/>
      <c r="DO322" s="73"/>
      <c r="DP322" s="73"/>
      <c r="DQ322" s="73"/>
      <c r="DR322" s="73"/>
      <c r="DS322" s="73"/>
      <c r="DT322" s="73"/>
      <c r="DU322" s="73"/>
      <c r="DV322" s="73"/>
      <c r="DW322" s="73"/>
      <c r="DX322" s="72"/>
      <c r="DY322" s="72"/>
      <c r="DZ322" s="73"/>
      <c r="EA322" s="73"/>
      <c r="EB322" s="73"/>
      <c r="EC322" s="73"/>
      <c r="ED322" s="73"/>
      <c r="EE322" s="73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69"/>
      <c r="EQ322" s="69"/>
      <c r="ER322" s="69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73"/>
      <c r="DD323" s="73"/>
      <c r="DE323" s="73"/>
      <c r="DF323" s="73"/>
      <c r="DG323" s="73"/>
      <c r="DH323" s="73"/>
      <c r="DI323" s="73"/>
      <c r="DJ323" s="73"/>
      <c r="DK323" s="73"/>
      <c r="DL323" s="73"/>
      <c r="DM323" s="73"/>
      <c r="DN323" s="73"/>
      <c r="DO323" s="73"/>
      <c r="DP323" s="73"/>
      <c r="DQ323" s="73"/>
      <c r="DR323" s="73"/>
      <c r="DS323" s="73"/>
      <c r="DT323" s="73"/>
      <c r="DU323" s="73"/>
      <c r="DV323" s="73"/>
      <c r="DW323" s="73"/>
      <c r="DX323" s="72"/>
      <c r="DY323" s="72"/>
      <c r="DZ323" s="73"/>
      <c r="EA323" s="73"/>
      <c r="EB323" s="73"/>
      <c r="EC323" s="73"/>
      <c r="ED323" s="73"/>
      <c r="EE323" s="73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69"/>
      <c r="EQ323" s="69"/>
      <c r="ER323" s="69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2"/>
      <c r="DY324" s="72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69"/>
      <c r="EQ324" s="69"/>
      <c r="ER324" s="69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2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73"/>
      <c r="DD325" s="73"/>
      <c r="DE325" s="73"/>
      <c r="DF325" s="73"/>
      <c r="DG325" s="73"/>
      <c r="DH325" s="73"/>
      <c r="DI325" s="73"/>
      <c r="DJ325" s="73"/>
      <c r="DK325" s="73"/>
      <c r="DL325" s="73"/>
      <c r="DM325" s="73"/>
      <c r="DN325" s="73"/>
      <c r="DO325" s="73"/>
      <c r="DP325" s="73"/>
      <c r="DQ325" s="73"/>
      <c r="DR325" s="73"/>
      <c r="DS325" s="73"/>
      <c r="DT325" s="73"/>
      <c r="DU325" s="73"/>
      <c r="DV325" s="73"/>
      <c r="DW325" s="73"/>
      <c r="DX325" s="72"/>
      <c r="DY325" s="72"/>
      <c r="DZ325" s="73"/>
      <c r="EA325" s="73"/>
      <c r="EB325" s="73"/>
      <c r="EC325" s="73"/>
      <c r="ED325" s="73"/>
      <c r="EE325" s="73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69"/>
      <c r="EQ325" s="69"/>
      <c r="ER325" s="69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73"/>
      <c r="DD326" s="73"/>
      <c r="DE326" s="73"/>
      <c r="DF326" s="73"/>
      <c r="DG326" s="73"/>
      <c r="DH326" s="73"/>
      <c r="DI326" s="73"/>
      <c r="DJ326" s="73"/>
      <c r="DK326" s="73"/>
      <c r="DL326" s="73"/>
      <c r="DM326" s="73"/>
      <c r="DN326" s="73"/>
      <c r="DO326" s="73"/>
      <c r="DP326" s="73"/>
      <c r="DQ326" s="73"/>
      <c r="DR326" s="73"/>
      <c r="DS326" s="73"/>
      <c r="DT326" s="73"/>
      <c r="DU326" s="73"/>
      <c r="DV326" s="73"/>
      <c r="DW326" s="73"/>
      <c r="DX326" s="73"/>
      <c r="DY326" s="73"/>
      <c r="DZ326" s="73"/>
      <c r="EA326" s="73"/>
      <c r="EB326" s="73"/>
      <c r="EC326" s="73"/>
      <c r="ED326" s="73"/>
      <c r="EE326" s="73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69"/>
      <c r="EQ326" s="69"/>
      <c r="ER326" s="69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73"/>
      <c r="DD327" s="73"/>
      <c r="DE327" s="73"/>
      <c r="DF327" s="73"/>
      <c r="DG327" s="73"/>
      <c r="DH327" s="73"/>
      <c r="DI327" s="73"/>
      <c r="DJ327" s="73"/>
      <c r="DK327" s="73"/>
      <c r="DL327" s="73"/>
      <c r="DM327" s="73"/>
      <c r="DN327" s="73"/>
      <c r="DO327" s="73"/>
      <c r="DP327" s="73"/>
      <c r="DQ327" s="73"/>
      <c r="DR327" s="73"/>
      <c r="DS327" s="73"/>
      <c r="DT327" s="73"/>
      <c r="DU327" s="73"/>
      <c r="DV327" s="73"/>
      <c r="DW327" s="73"/>
      <c r="DX327" s="72"/>
      <c r="DY327" s="72"/>
      <c r="DZ327" s="73"/>
      <c r="EA327" s="73"/>
      <c r="EB327" s="73"/>
      <c r="EC327" s="73"/>
      <c r="ED327" s="73"/>
      <c r="EE327" s="73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69"/>
      <c r="EQ327" s="69"/>
      <c r="ER327" s="69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2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73"/>
      <c r="DD328" s="73"/>
      <c r="DE328" s="73"/>
      <c r="DF328" s="73"/>
      <c r="DG328" s="73"/>
      <c r="DH328" s="73"/>
      <c r="DI328" s="73"/>
      <c r="DJ328" s="73"/>
      <c r="DK328" s="73"/>
      <c r="DL328" s="73"/>
      <c r="DM328" s="73"/>
      <c r="DN328" s="73"/>
      <c r="DO328" s="73"/>
      <c r="DP328" s="73"/>
      <c r="DQ328" s="73"/>
      <c r="DR328" s="73"/>
      <c r="DS328" s="73"/>
      <c r="DT328" s="73"/>
      <c r="DU328" s="73"/>
      <c r="DV328" s="73"/>
      <c r="DW328" s="73"/>
      <c r="DX328" s="72"/>
      <c r="DY328" s="72"/>
      <c r="DZ328" s="73"/>
      <c r="EA328" s="73"/>
      <c r="EB328" s="73"/>
      <c r="EC328" s="73"/>
      <c r="ED328" s="73"/>
      <c r="EE328" s="73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69"/>
      <c r="EQ328" s="69"/>
      <c r="ER328" s="69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73"/>
      <c r="DD329" s="73"/>
      <c r="DE329" s="73"/>
      <c r="DF329" s="73"/>
      <c r="DG329" s="73"/>
      <c r="DH329" s="73"/>
      <c r="DI329" s="73"/>
      <c r="DJ329" s="73"/>
      <c r="DK329" s="73"/>
      <c r="DL329" s="73"/>
      <c r="DM329" s="73"/>
      <c r="DN329" s="73"/>
      <c r="DO329" s="73"/>
      <c r="DP329" s="73"/>
      <c r="DQ329" s="73"/>
      <c r="DR329" s="73"/>
      <c r="DS329" s="73"/>
      <c r="DT329" s="73"/>
      <c r="DU329" s="73"/>
      <c r="DV329" s="73"/>
      <c r="DW329" s="73"/>
      <c r="DX329" s="72"/>
      <c r="DY329" s="72"/>
      <c r="DZ329" s="73"/>
      <c r="EA329" s="73"/>
      <c r="EB329" s="73"/>
      <c r="EC329" s="73"/>
      <c r="ED329" s="73"/>
      <c r="EE329" s="73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69"/>
      <c r="EQ329" s="69"/>
      <c r="ER329" s="69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73"/>
      <c r="DD330" s="73"/>
      <c r="DE330" s="73"/>
      <c r="DF330" s="73"/>
      <c r="DG330" s="73"/>
      <c r="DH330" s="73"/>
      <c r="DI330" s="73"/>
      <c r="DJ330" s="73"/>
      <c r="DK330" s="73"/>
      <c r="DL330" s="73"/>
      <c r="DM330" s="73"/>
      <c r="DN330" s="73"/>
      <c r="DO330" s="73"/>
      <c r="DP330" s="73"/>
      <c r="DQ330" s="73"/>
      <c r="DR330" s="73"/>
      <c r="DS330" s="73"/>
      <c r="DT330" s="73"/>
      <c r="DU330" s="73"/>
      <c r="DV330" s="73"/>
      <c r="DW330" s="73"/>
      <c r="DX330" s="72"/>
      <c r="DY330" s="72"/>
      <c r="DZ330" s="73"/>
      <c r="EA330" s="73"/>
      <c r="EB330" s="73"/>
      <c r="EC330" s="73"/>
      <c r="ED330" s="73"/>
      <c r="EE330" s="73"/>
      <c r="EF330" s="73"/>
      <c r="EG330" s="73"/>
      <c r="EH330" s="73"/>
      <c r="EI330" s="73"/>
      <c r="EJ330" s="73"/>
      <c r="EK330" s="73"/>
      <c r="EL330" s="73"/>
      <c r="EM330" s="73"/>
      <c r="EN330" s="73"/>
      <c r="EO330" s="73"/>
      <c r="EP330" s="69"/>
      <c r="EQ330" s="69"/>
      <c r="ER330" s="69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73"/>
      <c r="DD331" s="73"/>
      <c r="DE331" s="73"/>
      <c r="DF331" s="73"/>
      <c r="DG331" s="73"/>
      <c r="DH331" s="73"/>
      <c r="DI331" s="73"/>
      <c r="DJ331" s="73"/>
      <c r="DK331" s="73"/>
      <c r="DL331" s="73"/>
      <c r="DM331" s="73"/>
      <c r="DN331" s="73"/>
      <c r="DO331" s="73"/>
      <c r="DP331" s="73"/>
      <c r="DQ331" s="73"/>
      <c r="DR331" s="73"/>
      <c r="DS331" s="73"/>
      <c r="DT331" s="73"/>
      <c r="DU331" s="73"/>
      <c r="DV331" s="73"/>
      <c r="DW331" s="73"/>
      <c r="DX331" s="72"/>
      <c r="DY331" s="72"/>
      <c r="DZ331" s="73"/>
      <c r="EA331" s="73"/>
      <c r="EB331" s="73"/>
      <c r="EC331" s="73"/>
      <c r="ED331" s="73"/>
      <c r="EE331" s="73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69"/>
      <c r="EQ331" s="69"/>
      <c r="ER331" s="69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73"/>
      <c r="DD332" s="73"/>
      <c r="DE332" s="73"/>
      <c r="DF332" s="73"/>
      <c r="DG332" s="73"/>
      <c r="DH332" s="73"/>
      <c r="DI332" s="73"/>
      <c r="DJ332" s="73"/>
      <c r="DK332" s="73"/>
      <c r="DL332" s="73"/>
      <c r="DM332" s="73"/>
      <c r="DN332" s="73"/>
      <c r="DO332" s="73"/>
      <c r="DP332" s="73"/>
      <c r="DQ332" s="73"/>
      <c r="DR332" s="73"/>
      <c r="DS332" s="73"/>
      <c r="DT332" s="73"/>
      <c r="DU332" s="73"/>
      <c r="DV332" s="73"/>
      <c r="DW332" s="73"/>
      <c r="DX332" s="72"/>
      <c r="DY332" s="72"/>
      <c r="DZ332" s="73"/>
      <c r="EA332" s="73"/>
      <c r="EB332" s="73"/>
      <c r="EC332" s="73"/>
      <c r="ED332" s="73"/>
      <c r="EE332" s="73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69"/>
      <c r="EQ332" s="69"/>
      <c r="ER332" s="69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2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73"/>
      <c r="DD333" s="73"/>
      <c r="DE333" s="73"/>
      <c r="DF333" s="73"/>
      <c r="DG333" s="73"/>
      <c r="DH333" s="73"/>
      <c r="DI333" s="73"/>
      <c r="DJ333" s="73"/>
      <c r="DK333" s="73"/>
      <c r="DL333" s="73"/>
      <c r="DM333" s="73"/>
      <c r="DN333" s="73"/>
      <c r="DO333" s="73"/>
      <c r="DP333" s="73"/>
      <c r="DQ333" s="73"/>
      <c r="DR333" s="73"/>
      <c r="DS333" s="73"/>
      <c r="DT333" s="73"/>
      <c r="DU333" s="73"/>
      <c r="DV333" s="73"/>
      <c r="DW333" s="73"/>
      <c r="DX333" s="72"/>
      <c r="DY333" s="72"/>
      <c r="DZ333" s="73"/>
      <c r="EA333" s="73"/>
      <c r="EB333" s="73"/>
      <c r="EC333" s="73"/>
      <c r="ED333" s="73"/>
      <c r="EE333" s="73"/>
      <c r="EF333" s="73"/>
      <c r="EG333" s="73"/>
      <c r="EH333" s="73"/>
      <c r="EI333" s="73"/>
      <c r="EJ333" s="73"/>
      <c r="EK333" s="73"/>
      <c r="EL333" s="73"/>
      <c r="EM333" s="73"/>
      <c r="EN333" s="73"/>
      <c r="EO333" s="73"/>
      <c r="EP333" s="69"/>
      <c r="EQ333" s="69"/>
      <c r="ER333" s="69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73"/>
      <c r="CT334" s="73"/>
      <c r="CU334" s="73"/>
      <c r="CV334" s="73"/>
      <c r="CW334" s="73"/>
      <c r="CX334" s="73"/>
      <c r="CY334" s="73"/>
      <c r="CZ334" s="73"/>
      <c r="DA334" s="73"/>
      <c r="DB334" s="73"/>
      <c r="DC334" s="73"/>
      <c r="DD334" s="73"/>
      <c r="DE334" s="73"/>
      <c r="DF334" s="73"/>
      <c r="DG334" s="73"/>
      <c r="DH334" s="73"/>
      <c r="DI334" s="73"/>
      <c r="DJ334" s="73"/>
      <c r="DK334" s="73"/>
      <c r="DL334" s="73"/>
      <c r="DM334" s="73"/>
      <c r="DN334" s="73"/>
      <c r="DO334" s="73"/>
      <c r="DP334" s="73"/>
      <c r="DQ334" s="73"/>
      <c r="DR334" s="73"/>
      <c r="DS334" s="73"/>
      <c r="DT334" s="73"/>
      <c r="DU334" s="73"/>
      <c r="DV334" s="73"/>
      <c r="DW334" s="73"/>
      <c r="DX334" s="72"/>
      <c r="DY334" s="72"/>
      <c r="DZ334" s="73"/>
      <c r="EA334" s="73"/>
      <c r="EB334" s="73"/>
      <c r="EC334" s="73"/>
      <c r="ED334" s="73"/>
      <c r="EE334" s="73"/>
      <c r="EF334" s="73"/>
      <c r="EG334" s="73"/>
      <c r="EH334" s="73"/>
      <c r="EI334" s="73"/>
      <c r="EJ334" s="73"/>
      <c r="EK334" s="73"/>
      <c r="EL334" s="73"/>
      <c r="EM334" s="73"/>
      <c r="EN334" s="73"/>
      <c r="EO334" s="73"/>
      <c r="EP334" s="69"/>
      <c r="EQ334" s="69"/>
      <c r="ER334" s="69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  <c r="CK335" s="73"/>
      <c r="CL335" s="73"/>
      <c r="CM335" s="73"/>
      <c r="CN335" s="73"/>
      <c r="CO335" s="73"/>
      <c r="CP335" s="73"/>
      <c r="CQ335" s="73"/>
      <c r="CR335" s="73"/>
      <c r="CS335" s="73"/>
      <c r="CT335" s="73"/>
      <c r="CU335" s="73"/>
      <c r="CV335" s="73"/>
      <c r="CW335" s="73"/>
      <c r="CX335" s="73"/>
      <c r="CY335" s="73"/>
      <c r="CZ335" s="73"/>
      <c r="DA335" s="73"/>
      <c r="DB335" s="73"/>
      <c r="DC335" s="73"/>
      <c r="DD335" s="73"/>
      <c r="DE335" s="73"/>
      <c r="DF335" s="73"/>
      <c r="DG335" s="73"/>
      <c r="DH335" s="73"/>
      <c r="DI335" s="73"/>
      <c r="DJ335" s="73"/>
      <c r="DK335" s="73"/>
      <c r="DL335" s="73"/>
      <c r="DM335" s="73"/>
      <c r="DN335" s="73"/>
      <c r="DO335" s="73"/>
      <c r="DP335" s="73"/>
      <c r="DQ335" s="73"/>
      <c r="DR335" s="73"/>
      <c r="DS335" s="73"/>
      <c r="DT335" s="73"/>
      <c r="DU335" s="73"/>
      <c r="DV335" s="73"/>
      <c r="DW335" s="73"/>
      <c r="DX335" s="72"/>
      <c r="DY335" s="72"/>
      <c r="DZ335" s="73"/>
      <c r="EA335" s="73"/>
      <c r="EB335" s="73"/>
      <c r="EC335" s="73"/>
      <c r="ED335" s="73"/>
      <c r="EE335" s="73"/>
      <c r="EF335" s="73"/>
      <c r="EG335" s="73"/>
      <c r="EH335" s="73"/>
      <c r="EI335" s="73"/>
      <c r="EJ335" s="73"/>
      <c r="EK335" s="73"/>
      <c r="EL335" s="73"/>
      <c r="EM335" s="73"/>
      <c r="EN335" s="73"/>
      <c r="EO335" s="73"/>
      <c r="EP335" s="69"/>
      <c r="EQ335" s="69"/>
      <c r="ER335" s="69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2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  <c r="CZ336" s="73"/>
      <c r="DA336" s="73"/>
      <c r="DB336" s="73"/>
      <c r="DC336" s="73"/>
      <c r="DD336" s="73"/>
      <c r="DE336" s="73"/>
      <c r="DF336" s="73"/>
      <c r="DG336" s="73"/>
      <c r="DH336" s="73"/>
      <c r="DI336" s="73"/>
      <c r="DJ336" s="73"/>
      <c r="DK336" s="73"/>
      <c r="DL336" s="73"/>
      <c r="DM336" s="73"/>
      <c r="DN336" s="73"/>
      <c r="DO336" s="73"/>
      <c r="DP336" s="73"/>
      <c r="DQ336" s="73"/>
      <c r="DR336" s="73"/>
      <c r="DS336" s="73"/>
      <c r="DT336" s="73"/>
      <c r="DU336" s="73"/>
      <c r="DV336" s="73"/>
      <c r="DW336" s="73"/>
      <c r="DX336" s="72"/>
      <c r="DY336" s="72"/>
      <c r="DZ336" s="73"/>
      <c r="EA336" s="73"/>
      <c r="EB336" s="73"/>
      <c r="EC336" s="73"/>
      <c r="ED336" s="73"/>
      <c r="EE336" s="73"/>
      <c r="EF336" s="73"/>
      <c r="EG336" s="73"/>
      <c r="EH336" s="73"/>
      <c r="EI336" s="73"/>
      <c r="EJ336" s="73"/>
      <c r="EK336" s="73"/>
      <c r="EL336" s="73"/>
      <c r="EM336" s="73"/>
      <c r="EN336" s="73"/>
      <c r="EO336" s="73"/>
      <c r="EP336" s="69"/>
      <c r="EQ336" s="69"/>
      <c r="ER336" s="69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  <c r="CK337" s="73"/>
      <c r="CL337" s="73"/>
      <c r="CM337" s="73"/>
      <c r="CN337" s="73"/>
      <c r="CO337" s="73"/>
      <c r="CP337" s="73"/>
      <c r="CQ337" s="73"/>
      <c r="CR337" s="73"/>
      <c r="CS337" s="73"/>
      <c r="CT337" s="73"/>
      <c r="CU337" s="73"/>
      <c r="CV337" s="73"/>
      <c r="CW337" s="73"/>
      <c r="CX337" s="73"/>
      <c r="CY337" s="73"/>
      <c r="CZ337" s="73"/>
      <c r="DA337" s="73"/>
      <c r="DB337" s="73"/>
      <c r="DC337" s="73"/>
      <c r="DD337" s="73"/>
      <c r="DE337" s="73"/>
      <c r="DF337" s="73"/>
      <c r="DG337" s="73"/>
      <c r="DH337" s="73"/>
      <c r="DI337" s="73"/>
      <c r="DJ337" s="73"/>
      <c r="DK337" s="73"/>
      <c r="DL337" s="73"/>
      <c r="DM337" s="73"/>
      <c r="DN337" s="73"/>
      <c r="DO337" s="73"/>
      <c r="DP337" s="73"/>
      <c r="DQ337" s="73"/>
      <c r="DR337" s="73"/>
      <c r="DS337" s="73"/>
      <c r="DT337" s="73"/>
      <c r="DU337" s="73"/>
      <c r="DV337" s="73"/>
      <c r="DW337" s="73"/>
      <c r="DX337" s="72"/>
      <c r="DY337" s="72"/>
      <c r="DZ337" s="73"/>
      <c r="EA337" s="73"/>
      <c r="EB337" s="73"/>
      <c r="EC337" s="73"/>
      <c r="ED337" s="73"/>
      <c r="EE337" s="73"/>
      <c r="EF337" s="73"/>
      <c r="EG337" s="73"/>
      <c r="EH337" s="73"/>
      <c r="EI337" s="73"/>
      <c r="EJ337" s="73"/>
      <c r="EK337" s="73"/>
      <c r="EL337" s="73"/>
      <c r="EM337" s="73"/>
      <c r="EN337" s="73"/>
      <c r="EO337" s="73"/>
      <c r="EP337" s="69"/>
      <c r="EQ337" s="69"/>
      <c r="ER337" s="69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  <c r="CK338" s="73"/>
      <c r="CL338" s="73"/>
      <c r="CM338" s="72"/>
      <c r="CN338" s="73"/>
      <c r="CO338" s="73"/>
      <c r="CP338" s="73"/>
      <c r="CQ338" s="73"/>
      <c r="CR338" s="73"/>
      <c r="CS338" s="73"/>
      <c r="CT338" s="73"/>
      <c r="CU338" s="73"/>
      <c r="CV338" s="73"/>
      <c r="CW338" s="73"/>
      <c r="CX338" s="73"/>
      <c r="CY338" s="73"/>
      <c r="CZ338" s="73"/>
      <c r="DA338" s="73"/>
      <c r="DB338" s="73"/>
      <c r="DC338" s="73"/>
      <c r="DD338" s="73"/>
      <c r="DE338" s="73"/>
      <c r="DF338" s="73"/>
      <c r="DG338" s="73"/>
      <c r="DH338" s="73"/>
      <c r="DI338" s="73"/>
      <c r="DJ338" s="73"/>
      <c r="DK338" s="73"/>
      <c r="DL338" s="73"/>
      <c r="DM338" s="73"/>
      <c r="DN338" s="73"/>
      <c r="DO338" s="73"/>
      <c r="DP338" s="73"/>
      <c r="DQ338" s="73"/>
      <c r="DR338" s="73"/>
      <c r="DS338" s="73"/>
      <c r="DT338" s="73"/>
      <c r="DU338" s="73"/>
      <c r="DV338" s="73"/>
      <c r="DW338" s="73"/>
      <c r="DX338" s="72"/>
      <c r="DY338" s="72"/>
      <c r="DZ338" s="73"/>
      <c r="EA338" s="73"/>
      <c r="EB338" s="73"/>
      <c r="EC338" s="73"/>
      <c r="ED338" s="73"/>
      <c r="EE338" s="73"/>
      <c r="EF338" s="73"/>
      <c r="EG338" s="73"/>
      <c r="EH338" s="73"/>
      <c r="EI338" s="73"/>
      <c r="EJ338" s="73"/>
      <c r="EK338" s="73"/>
      <c r="EL338" s="73"/>
      <c r="EM338" s="73"/>
      <c r="EN338" s="73"/>
      <c r="EO338" s="73"/>
      <c r="EP338" s="69"/>
      <c r="EQ338" s="69"/>
      <c r="ER338" s="69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73"/>
      <c r="CT339" s="73"/>
      <c r="CU339" s="73"/>
      <c r="CV339" s="73"/>
      <c r="CW339" s="73"/>
      <c r="CX339" s="73"/>
      <c r="CY339" s="73"/>
      <c r="CZ339" s="73"/>
      <c r="DA339" s="73"/>
      <c r="DB339" s="73"/>
      <c r="DC339" s="73"/>
      <c r="DD339" s="73"/>
      <c r="DE339" s="73"/>
      <c r="DF339" s="73"/>
      <c r="DG339" s="73"/>
      <c r="DH339" s="73"/>
      <c r="DI339" s="73"/>
      <c r="DJ339" s="73"/>
      <c r="DK339" s="73"/>
      <c r="DL339" s="73"/>
      <c r="DM339" s="73"/>
      <c r="DN339" s="73"/>
      <c r="DO339" s="73"/>
      <c r="DP339" s="73"/>
      <c r="DQ339" s="73"/>
      <c r="DR339" s="73"/>
      <c r="DS339" s="73"/>
      <c r="DT339" s="73"/>
      <c r="DU339" s="73"/>
      <c r="DV339" s="73"/>
      <c r="DW339" s="73"/>
      <c r="DX339" s="72"/>
      <c r="DY339" s="72"/>
      <c r="DZ339" s="73"/>
      <c r="EA339" s="73"/>
      <c r="EB339" s="73"/>
      <c r="EC339" s="73"/>
      <c r="ED339" s="73"/>
      <c r="EE339" s="73"/>
      <c r="EF339" s="73"/>
      <c r="EG339" s="73"/>
      <c r="EH339" s="73"/>
      <c r="EI339" s="73"/>
      <c r="EJ339" s="73"/>
      <c r="EK339" s="73"/>
      <c r="EL339" s="73"/>
      <c r="EM339" s="73"/>
      <c r="EN339" s="73"/>
      <c r="EO339" s="73"/>
      <c r="EP339" s="69"/>
      <c r="EQ339" s="69"/>
      <c r="ER339" s="69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  <c r="CK340" s="73"/>
      <c r="CL340" s="73"/>
      <c r="CM340" s="73"/>
      <c r="CN340" s="73"/>
      <c r="CO340" s="73"/>
      <c r="CP340" s="73"/>
      <c r="CQ340" s="73"/>
      <c r="CR340" s="73"/>
      <c r="CS340" s="73"/>
      <c r="CT340" s="73"/>
      <c r="CU340" s="73"/>
      <c r="CV340" s="73"/>
      <c r="CW340" s="73"/>
      <c r="CX340" s="73"/>
      <c r="CY340" s="73"/>
      <c r="CZ340" s="73"/>
      <c r="DA340" s="73"/>
      <c r="DB340" s="73"/>
      <c r="DC340" s="73"/>
      <c r="DD340" s="73"/>
      <c r="DE340" s="73"/>
      <c r="DF340" s="73"/>
      <c r="DG340" s="73"/>
      <c r="DH340" s="73"/>
      <c r="DI340" s="73"/>
      <c r="DJ340" s="73"/>
      <c r="DK340" s="73"/>
      <c r="DL340" s="73"/>
      <c r="DM340" s="73"/>
      <c r="DN340" s="73"/>
      <c r="DO340" s="73"/>
      <c r="DP340" s="73"/>
      <c r="DQ340" s="73"/>
      <c r="DR340" s="73"/>
      <c r="DS340" s="73"/>
      <c r="DT340" s="73"/>
      <c r="DU340" s="73"/>
      <c r="DV340" s="73"/>
      <c r="DW340" s="73"/>
      <c r="DX340" s="72"/>
      <c r="DY340" s="72"/>
      <c r="DZ340" s="73"/>
      <c r="EA340" s="73"/>
      <c r="EB340" s="73"/>
      <c r="EC340" s="73"/>
      <c r="ED340" s="73"/>
      <c r="EE340" s="73"/>
      <c r="EF340" s="73"/>
      <c r="EG340" s="73"/>
      <c r="EH340" s="73"/>
      <c r="EI340" s="73"/>
      <c r="EJ340" s="73"/>
      <c r="EK340" s="73"/>
      <c r="EL340" s="73"/>
      <c r="EM340" s="73"/>
      <c r="EN340" s="73"/>
      <c r="EO340" s="73"/>
      <c r="EP340" s="69"/>
      <c r="EQ340" s="69"/>
      <c r="ER340" s="69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  <c r="CK341" s="73"/>
      <c r="CL341" s="73"/>
      <c r="CM341" s="73"/>
      <c r="CN341" s="73"/>
      <c r="CO341" s="73"/>
      <c r="CP341" s="73"/>
      <c r="CQ341" s="73"/>
      <c r="CR341" s="73"/>
      <c r="CS341" s="73"/>
      <c r="CT341" s="73"/>
      <c r="CU341" s="73"/>
      <c r="CV341" s="73"/>
      <c r="CW341" s="73"/>
      <c r="CX341" s="73"/>
      <c r="CY341" s="73"/>
      <c r="CZ341" s="73"/>
      <c r="DA341" s="73"/>
      <c r="DB341" s="73"/>
      <c r="DC341" s="73"/>
      <c r="DD341" s="73"/>
      <c r="DE341" s="73"/>
      <c r="DF341" s="73"/>
      <c r="DG341" s="73"/>
      <c r="DH341" s="73"/>
      <c r="DI341" s="73"/>
      <c r="DJ341" s="73"/>
      <c r="DK341" s="73"/>
      <c r="DL341" s="73"/>
      <c r="DM341" s="73"/>
      <c r="DN341" s="73"/>
      <c r="DO341" s="73"/>
      <c r="DP341" s="73"/>
      <c r="DQ341" s="73"/>
      <c r="DR341" s="73"/>
      <c r="DS341" s="73"/>
      <c r="DT341" s="73"/>
      <c r="DU341" s="73"/>
      <c r="DV341" s="73"/>
      <c r="DW341" s="73"/>
      <c r="DX341" s="72"/>
      <c r="DY341" s="72"/>
      <c r="DZ341" s="73"/>
      <c r="EA341" s="73"/>
      <c r="EB341" s="73"/>
      <c r="EC341" s="73"/>
      <c r="ED341" s="73"/>
      <c r="EE341" s="73"/>
      <c r="EF341" s="73"/>
      <c r="EG341" s="73"/>
      <c r="EH341" s="73"/>
      <c r="EI341" s="73"/>
      <c r="EJ341" s="73"/>
      <c r="EK341" s="73"/>
      <c r="EL341" s="73"/>
      <c r="EM341" s="73"/>
      <c r="EN341" s="73"/>
      <c r="EO341" s="73"/>
      <c r="EP341" s="69"/>
      <c r="EQ341" s="69"/>
      <c r="ER341" s="69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  <c r="CI342" s="73"/>
      <c r="CJ342" s="73"/>
      <c r="CK342" s="73"/>
      <c r="CL342" s="73"/>
      <c r="CM342" s="73"/>
      <c r="CN342" s="73"/>
      <c r="CO342" s="73"/>
      <c r="CP342" s="73"/>
      <c r="CQ342" s="73"/>
      <c r="CR342" s="73"/>
      <c r="CS342" s="73"/>
      <c r="CT342" s="73"/>
      <c r="CU342" s="73"/>
      <c r="CV342" s="73"/>
      <c r="CW342" s="73"/>
      <c r="CX342" s="73"/>
      <c r="CY342" s="73"/>
      <c r="CZ342" s="73"/>
      <c r="DA342" s="73"/>
      <c r="DB342" s="73"/>
      <c r="DC342" s="73"/>
      <c r="DD342" s="73"/>
      <c r="DE342" s="73"/>
      <c r="DF342" s="73"/>
      <c r="DG342" s="73"/>
      <c r="DH342" s="73"/>
      <c r="DI342" s="73"/>
      <c r="DJ342" s="73"/>
      <c r="DK342" s="73"/>
      <c r="DL342" s="73"/>
      <c r="DM342" s="73"/>
      <c r="DN342" s="73"/>
      <c r="DO342" s="73"/>
      <c r="DP342" s="73"/>
      <c r="DQ342" s="73"/>
      <c r="DR342" s="73"/>
      <c r="DS342" s="73"/>
      <c r="DT342" s="73"/>
      <c r="DU342" s="73"/>
      <c r="DV342" s="73"/>
      <c r="DW342" s="73"/>
      <c r="DX342" s="72"/>
      <c r="DY342" s="72"/>
      <c r="DZ342" s="73"/>
      <c r="EA342" s="73"/>
      <c r="EB342" s="73"/>
      <c r="EC342" s="73"/>
      <c r="ED342" s="73"/>
      <c r="EE342" s="73"/>
      <c r="EF342" s="73"/>
      <c r="EG342" s="73"/>
      <c r="EH342" s="73"/>
      <c r="EI342" s="73"/>
      <c r="EJ342" s="73"/>
      <c r="EK342" s="73"/>
      <c r="EL342" s="73"/>
      <c r="EM342" s="73"/>
      <c r="EN342" s="73"/>
      <c r="EO342" s="73"/>
      <c r="EP342" s="69"/>
      <c r="EQ342" s="69"/>
      <c r="ER342" s="69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  <c r="CK343" s="73"/>
      <c r="CL343" s="73"/>
      <c r="CM343" s="72"/>
      <c r="CN343" s="73"/>
      <c r="CO343" s="73"/>
      <c r="CP343" s="73"/>
      <c r="CQ343" s="73"/>
      <c r="CR343" s="73"/>
      <c r="CS343" s="73"/>
      <c r="CT343" s="73"/>
      <c r="CU343" s="73"/>
      <c r="CV343" s="73"/>
      <c r="CW343" s="73"/>
      <c r="CX343" s="73"/>
      <c r="CY343" s="73"/>
      <c r="CZ343" s="73"/>
      <c r="DA343" s="73"/>
      <c r="DB343" s="73"/>
      <c r="DC343" s="73"/>
      <c r="DD343" s="73"/>
      <c r="DE343" s="73"/>
      <c r="DF343" s="73"/>
      <c r="DG343" s="73"/>
      <c r="DH343" s="73"/>
      <c r="DI343" s="73"/>
      <c r="DJ343" s="73"/>
      <c r="DK343" s="73"/>
      <c r="DL343" s="73"/>
      <c r="DM343" s="73"/>
      <c r="DN343" s="73"/>
      <c r="DO343" s="73"/>
      <c r="DP343" s="73"/>
      <c r="DQ343" s="73"/>
      <c r="DR343" s="73"/>
      <c r="DS343" s="73"/>
      <c r="DT343" s="73"/>
      <c r="DU343" s="73"/>
      <c r="DV343" s="73"/>
      <c r="DW343" s="73"/>
      <c r="DX343" s="72"/>
      <c r="DY343" s="72"/>
      <c r="DZ343" s="73"/>
      <c r="EA343" s="73"/>
      <c r="EB343" s="73"/>
      <c r="EC343" s="73"/>
      <c r="ED343" s="73"/>
      <c r="EE343" s="73"/>
      <c r="EF343" s="73"/>
      <c r="EG343" s="73"/>
      <c r="EH343" s="73"/>
      <c r="EI343" s="73"/>
      <c r="EJ343" s="73"/>
      <c r="EK343" s="73"/>
      <c r="EL343" s="73"/>
      <c r="EM343" s="73"/>
      <c r="EN343" s="73"/>
      <c r="EO343" s="73"/>
      <c r="EP343" s="69"/>
      <c r="EQ343" s="69"/>
      <c r="ER343" s="69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2"/>
      <c r="CN344" s="73"/>
      <c r="CO344" s="73"/>
      <c r="CP344" s="73"/>
      <c r="CQ344" s="73"/>
      <c r="CR344" s="73"/>
      <c r="CS344" s="73"/>
      <c r="CT344" s="73"/>
      <c r="CU344" s="73"/>
      <c r="CV344" s="73"/>
      <c r="CW344" s="73"/>
      <c r="CX344" s="73"/>
      <c r="CY344" s="73"/>
      <c r="CZ344" s="73"/>
      <c r="DA344" s="73"/>
      <c r="DB344" s="73"/>
      <c r="DC344" s="73"/>
      <c r="DD344" s="73"/>
      <c r="DE344" s="73"/>
      <c r="DF344" s="73"/>
      <c r="DG344" s="73"/>
      <c r="DH344" s="73"/>
      <c r="DI344" s="73"/>
      <c r="DJ344" s="73"/>
      <c r="DK344" s="73"/>
      <c r="DL344" s="73"/>
      <c r="DM344" s="73"/>
      <c r="DN344" s="73"/>
      <c r="DO344" s="73"/>
      <c r="DP344" s="73"/>
      <c r="DQ344" s="73"/>
      <c r="DR344" s="73"/>
      <c r="DS344" s="73"/>
      <c r="DT344" s="73"/>
      <c r="DU344" s="73"/>
      <c r="DV344" s="73"/>
      <c r="DW344" s="73"/>
      <c r="DX344" s="72"/>
      <c r="DY344" s="72"/>
      <c r="DZ344" s="73"/>
      <c r="EA344" s="73"/>
      <c r="EB344" s="73"/>
      <c r="EC344" s="73"/>
      <c r="ED344" s="73"/>
      <c r="EE344" s="73"/>
      <c r="EF344" s="73"/>
      <c r="EG344" s="73"/>
      <c r="EH344" s="73"/>
      <c r="EI344" s="73"/>
      <c r="EJ344" s="73"/>
      <c r="EK344" s="73"/>
      <c r="EL344" s="73"/>
      <c r="EM344" s="73"/>
      <c r="EN344" s="73"/>
      <c r="EO344" s="73"/>
      <c r="EP344" s="69"/>
      <c r="EQ344" s="69"/>
      <c r="ER344" s="69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  <c r="CI345" s="73"/>
      <c r="CJ345" s="73"/>
      <c r="CK345" s="73"/>
      <c r="CL345" s="73"/>
      <c r="CM345" s="73"/>
      <c r="CN345" s="73"/>
      <c r="CO345" s="73"/>
      <c r="CP345" s="73"/>
      <c r="CQ345" s="73"/>
      <c r="CR345" s="73"/>
      <c r="CS345" s="73"/>
      <c r="CT345" s="73"/>
      <c r="CU345" s="73"/>
      <c r="CV345" s="73"/>
      <c r="CW345" s="73"/>
      <c r="CX345" s="73"/>
      <c r="CY345" s="73"/>
      <c r="CZ345" s="73"/>
      <c r="DA345" s="73"/>
      <c r="DB345" s="73"/>
      <c r="DC345" s="73"/>
      <c r="DD345" s="73"/>
      <c r="DE345" s="73"/>
      <c r="DF345" s="73"/>
      <c r="DG345" s="73"/>
      <c r="DH345" s="73"/>
      <c r="DI345" s="73"/>
      <c r="DJ345" s="73"/>
      <c r="DK345" s="73"/>
      <c r="DL345" s="73"/>
      <c r="DM345" s="73"/>
      <c r="DN345" s="73"/>
      <c r="DO345" s="73"/>
      <c r="DP345" s="73"/>
      <c r="DQ345" s="73"/>
      <c r="DR345" s="73"/>
      <c r="DS345" s="73"/>
      <c r="DT345" s="73"/>
      <c r="DU345" s="73"/>
      <c r="DV345" s="73"/>
      <c r="DW345" s="73"/>
      <c r="DX345" s="72"/>
      <c r="DY345" s="72"/>
      <c r="DZ345" s="73"/>
      <c r="EA345" s="73"/>
      <c r="EB345" s="73"/>
      <c r="EC345" s="73"/>
      <c r="ED345" s="73"/>
      <c r="EE345" s="73"/>
      <c r="EF345" s="73"/>
      <c r="EG345" s="73"/>
      <c r="EH345" s="73"/>
      <c r="EI345" s="73"/>
      <c r="EJ345" s="73"/>
      <c r="EK345" s="73"/>
      <c r="EL345" s="73"/>
      <c r="EM345" s="73"/>
      <c r="EN345" s="73"/>
      <c r="EO345" s="73"/>
      <c r="EP345" s="69"/>
      <c r="EQ345" s="69"/>
      <c r="ER345" s="69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  <c r="CK346" s="73"/>
      <c r="CL346" s="73"/>
      <c r="CM346" s="73"/>
      <c r="CN346" s="73"/>
      <c r="CO346" s="73"/>
      <c r="CP346" s="73"/>
      <c r="CQ346" s="73"/>
      <c r="CR346" s="73"/>
      <c r="CS346" s="73"/>
      <c r="CT346" s="73"/>
      <c r="CU346" s="73"/>
      <c r="CV346" s="73"/>
      <c r="CW346" s="73"/>
      <c r="CX346" s="73"/>
      <c r="CY346" s="73"/>
      <c r="CZ346" s="73"/>
      <c r="DA346" s="73"/>
      <c r="DB346" s="73"/>
      <c r="DC346" s="73"/>
      <c r="DD346" s="73"/>
      <c r="DE346" s="73"/>
      <c r="DF346" s="73"/>
      <c r="DG346" s="73"/>
      <c r="DH346" s="73"/>
      <c r="DI346" s="73"/>
      <c r="DJ346" s="73"/>
      <c r="DK346" s="73"/>
      <c r="DL346" s="73"/>
      <c r="DM346" s="73"/>
      <c r="DN346" s="73"/>
      <c r="DO346" s="73"/>
      <c r="DP346" s="73"/>
      <c r="DQ346" s="73"/>
      <c r="DR346" s="73"/>
      <c r="DS346" s="73"/>
      <c r="DT346" s="73"/>
      <c r="DU346" s="73"/>
      <c r="DV346" s="73"/>
      <c r="DW346" s="73"/>
      <c r="DX346" s="72"/>
      <c r="DY346" s="72"/>
      <c r="DZ346" s="73"/>
      <c r="EA346" s="73"/>
      <c r="EB346" s="73"/>
      <c r="EC346" s="73"/>
      <c r="ED346" s="73"/>
      <c r="EE346" s="73"/>
      <c r="EF346" s="73"/>
      <c r="EG346" s="73"/>
      <c r="EH346" s="73"/>
      <c r="EI346" s="73"/>
      <c r="EJ346" s="73"/>
      <c r="EK346" s="73"/>
      <c r="EL346" s="73"/>
      <c r="EM346" s="73"/>
      <c r="EN346" s="73"/>
      <c r="EO346" s="73"/>
      <c r="EP346" s="69"/>
      <c r="EQ346" s="69"/>
      <c r="ER346" s="69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  <c r="CK347" s="73"/>
      <c r="CL347" s="73"/>
      <c r="CM347" s="73"/>
      <c r="CN347" s="73"/>
      <c r="CO347" s="73"/>
      <c r="CP347" s="73"/>
      <c r="CQ347" s="73"/>
      <c r="CR347" s="73"/>
      <c r="CS347" s="73"/>
      <c r="CT347" s="73"/>
      <c r="CU347" s="73"/>
      <c r="CV347" s="73"/>
      <c r="CW347" s="73"/>
      <c r="CX347" s="73"/>
      <c r="CY347" s="73"/>
      <c r="CZ347" s="73"/>
      <c r="DA347" s="73"/>
      <c r="DB347" s="73"/>
      <c r="DC347" s="73"/>
      <c r="DD347" s="73"/>
      <c r="DE347" s="73"/>
      <c r="DF347" s="73"/>
      <c r="DG347" s="73"/>
      <c r="DH347" s="73"/>
      <c r="DI347" s="73"/>
      <c r="DJ347" s="73"/>
      <c r="DK347" s="73"/>
      <c r="DL347" s="73"/>
      <c r="DM347" s="73"/>
      <c r="DN347" s="73"/>
      <c r="DO347" s="73"/>
      <c r="DP347" s="73"/>
      <c r="DQ347" s="73"/>
      <c r="DR347" s="73"/>
      <c r="DS347" s="73"/>
      <c r="DT347" s="73"/>
      <c r="DU347" s="73"/>
      <c r="DV347" s="73"/>
      <c r="DW347" s="73"/>
      <c r="DX347" s="72"/>
      <c r="DY347" s="72"/>
      <c r="DZ347" s="73"/>
      <c r="EA347" s="73"/>
      <c r="EB347" s="73"/>
      <c r="EC347" s="73"/>
      <c r="ED347" s="73"/>
      <c r="EE347" s="73"/>
      <c r="EF347" s="73"/>
      <c r="EG347" s="73"/>
      <c r="EH347" s="73"/>
      <c r="EI347" s="73"/>
      <c r="EJ347" s="73"/>
      <c r="EK347" s="73"/>
      <c r="EL347" s="73"/>
      <c r="EM347" s="73"/>
      <c r="EN347" s="73"/>
      <c r="EO347" s="73"/>
      <c r="EP347" s="69"/>
      <c r="EQ347" s="69"/>
      <c r="ER347" s="69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  <c r="CK348" s="73"/>
      <c r="CL348" s="73"/>
      <c r="CM348" s="73"/>
      <c r="CN348" s="73"/>
      <c r="CO348" s="73"/>
      <c r="CP348" s="73"/>
      <c r="CQ348" s="73"/>
      <c r="CR348" s="73"/>
      <c r="CS348" s="73"/>
      <c r="CT348" s="73"/>
      <c r="CU348" s="73"/>
      <c r="CV348" s="73"/>
      <c r="CW348" s="73"/>
      <c r="CX348" s="73"/>
      <c r="CY348" s="73"/>
      <c r="CZ348" s="73"/>
      <c r="DA348" s="73"/>
      <c r="DB348" s="73"/>
      <c r="DC348" s="73"/>
      <c r="DD348" s="73"/>
      <c r="DE348" s="73"/>
      <c r="DF348" s="73"/>
      <c r="DG348" s="73"/>
      <c r="DH348" s="73"/>
      <c r="DI348" s="73"/>
      <c r="DJ348" s="73"/>
      <c r="DK348" s="73"/>
      <c r="DL348" s="73"/>
      <c r="DM348" s="73"/>
      <c r="DN348" s="73"/>
      <c r="DO348" s="73"/>
      <c r="DP348" s="73"/>
      <c r="DQ348" s="73"/>
      <c r="DR348" s="73"/>
      <c r="DS348" s="73"/>
      <c r="DT348" s="73"/>
      <c r="DU348" s="73"/>
      <c r="DV348" s="73"/>
      <c r="DW348" s="73"/>
      <c r="DX348" s="72"/>
      <c r="DY348" s="72"/>
      <c r="DZ348" s="73"/>
      <c r="EA348" s="73"/>
      <c r="EB348" s="73"/>
      <c r="EC348" s="73"/>
      <c r="ED348" s="73"/>
      <c r="EE348" s="73"/>
      <c r="EF348" s="73"/>
      <c r="EG348" s="73"/>
      <c r="EH348" s="73"/>
      <c r="EI348" s="73"/>
      <c r="EJ348" s="73"/>
      <c r="EK348" s="73"/>
      <c r="EL348" s="73"/>
      <c r="EM348" s="73"/>
      <c r="EN348" s="73"/>
      <c r="EO348" s="73"/>
      <c r="EP348" s="69"/>
      <c r="EQ348" s="69"/>
      <c r="ER348" s="69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2"/>
      <c r="CN349" s="73"/>
      <c r="CO349" s="73"/>
      <c r="CP349" s="73"/>
      <c r="CQ349" s="73"/>
      <c r="CR349" s="73"/>
      <c r="CS349" s="73"/>
      <c r="CT349" s="73"/>
      <c r="CU349" s="73"/>
      <c r="CV349" s="73"/>
      <c r="CW349" s="73"/>
      <c r="CX349" s="73"/>
      <c r="CY349" s="73"/>
      <c r="CZ349" s="73"/>
      <c r="DA349" s="73"/>
      <c r="DB349" s="73"/>
      <c r="DC349" s="73"/>
      <c r="DD349" s="73"/>
      <c r="DE349" s="73"/>
      <c r="DF349" s="73"/>
      <c r="DG349" s="73"/>
      <c r="DH349" s="73"/>
      <c r="DI349" s="73"/>
      <c r="DJ349" s="73"/>
      <c r="DK349" s="73"/>
      <c r="DL349" s="73"/>
      <c r="DM349" s="73"/>
      <c r="DN349" s="73"/>
      <c r="DO349" s="73"/>
      <c r="DP349" s="73"/>
      <c r="DQ349" s="73"/>
      <c r="DR349" s="73"/>
      <c r="DS349" s="73"/>
      <c r="DT349" s="73"/>
      <c r="DU349" s="73"/>
      <c r="DV349" s="73"/>
      <c r="DW349" s="73"/>
      <c r="DX349" s="72"/>
      <c r="DY349" s="72"/>
      <c r="DZ349" s="73"/>
      <c r="EA349" s="73"/>
      <c r="EB349" s="73"/>
      <c r="EC349" s="73"/>
      <c r="ED349" s="73"/>
      <c r="EE349" s="73"/>
      <c r="EF349" s="73"/>
      <c r="EG349" s="73"/>
      <c r="EH349" s="73"/>
      <c r="EI349" s="73"/>
      <c r="EJ349" s="73"/>
      <c r="EK349" s="73"/>
      <c r="EL349" s="73"/>
      <c r="EM349" s="73"/>
      <c r="EN349" s="73"/>
      <c r="EO349" s="73"/>
      <c r="EP349" s="69"/>
      <c r="EQ349" s="69"/>
      <c r="ER349" s="69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  <c r="CK350" s="73"/>
      <c r="CL350" s="73"/>
      <c r="CM350" s="73"/>
      <c r="CN350" s="73"/>
      <c r="CO350" s="73"/>
      <c r="CP350" s="73"/>
      <c r="CQ350" s="73"/>
      <c r="CR350" s="73"/>
      <c r="CS350" s="73"/>
      <c r="CT350" s="73"/>
      <c r="CU350" s="73"/>
      <c r="CV350" s="73"/>
      <c r="CW350" s="73"/>
      <c r="CX350" s="73"/>
      <c r="CY350" s="73"/>
      <c r="CZ350" s="73"/>
      <c r="DA350" s="73"/>
      <c r="DB350" s="73"/>
      <c r="DC350" s="73"/>
      <c r="DD350" s="73"/>
      <c r="DE350" s="73"/>
      <c r="DF350" s="73"/>
      <c r="DG350" s="73"/>
      <c r="DH350" s="73"/>
      <c r="DI350" s="73"/>
      <c r="DJ350" s="73"/>
      <c r="DK350" s="73"/>
      <c r="DL350" s="73"/>
      <c r="DM350" s="73"/>
      <c r="DN350" s="73"/>
      <c r="DO350" s="73"/>
      <c r="DP350" s="73"/>
      <c r="DQ350" s="73"/>
      <c r="DR350" s="73"/>
      <c r="DS350" s="73"/>
      <c r="DT350" s="73"/>
      <c r="DU350" s="73"/>
      <c r="DV350" s="73"/>
      <c r="DW350" s="73"/>
      <c r="DX350" s="72"/>
      <c r="DY350" s="72"/>
      <c r="DZ350" s="73"/>
      <c r="EA350" s="73"/>
      <c r="EB350" s="73"/>
      <c r="EC350" s="73"/>
      <c r="ED350" s="73"/>
      <c r="EE350" s="73"/>
      <c r="EF350" s="73"/>
      <c r="EG350" s="73"/>
      <c r="EH350" s="73"/>
      <c r="EI350" s="73"/>
      <c r="EJ350" s="73"/>
      <c r="EK350" s="73"/>
      <c r="EL350" s="73"/>
      <c r="EM350" s="73"/>
      <c r="EN350" s="73"/>
      <c r="EO350" s="73"/>
      <c r="EP350" s="69"/>
      <c r="EQ350" s="69"/>
      <c r="ER350" s="69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  <c r="CK351" s="73"/>
      <c r="CL351" s="73"/>
      <c r="CM351" s="73"/>
      <c r="CN351" s="73"/>
      <c r="CO351" s="73"/>
      <c r="CP351" s="73"/>
      <c r="CQ351" s="73"/>
      <c r="CR351" s="73"/>
      <c r="CS351" s="73"/>
      <c r="CT351" s="73"/>
      <c r="CU351" s="73"/>
      <c r="CV351" s="73"/>
      <c r="CW351" s="73"/>
      <c r="CX351" s="73"/>
      <c r="CY351" s="73"/>
      <c r="CZ351" s="73"/>
      <c r="DA351" s="73"/>
      <c r="DB351" s="73"/>
      <c r="DC351" s="73"/>
      <c r="DD351" s="73"/>
      <c r="DE351" s="73"/>
      <c r="DF351" s="73"/>
      <c r="DG351" s="73"/>
      <c r="DH351" s="73"/>
      <c r="DI351" s="73"/>
      <c r="DJ351" s="73"/>
      <c r="DK351" s="73"/>
      <c r="DL351" s="73"/>
      <c r="DM351" s="73"/>
      <c r="DN351" s="73"/>
      <c r="DO351" s="73"/>
      <c r="DP351" s="73"/>
      <c r="DQ351" s="73"/>
      <c r="DR351" s="73"/>
      <c r="DS351" s="73"/>
      <c r="DT351" s="73"/>
      <c r="DU351" s="73"/>
      <c r="DV351" s="73"/>
      <c r="DW351" s="73"/>
      <c r="DX351" s="72"/>
      <c r="DY351" s="72"/>
      <c r="DZ351" s="73"/>
      <c r="EA351" s="73"/>
      <c r="EB351" s="73"/>
      <c r="EC351" s="73"/>
      <c r="ED351" s="73"/>
      <c r="EE351" s="73"/>
      <c r="EF351" s="73"/>
      <c r="EG351" s="73"/>
      <c r="EH351" s="73"/>
      <c r="EI351" s="73"/>
      <c r="EJ351" s="73"/>
      <c r="EK351" s="73"/>
      <c r="EL351" s="73"/>
      <c r="EM351" s="73"/>
      <c r="EN351" s="73"/>
      <c r="EO351" s="73"/>
      <c r="EP351" s="69"/>
      <c r="EQ351" s="69"/>
      <c r="ER351" s="69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  <c r="CK352" s="73"/>
      <c r="CL352" s="73"/>
      <c r="CM352" s="73"/>
      <c r="CN352" s="73"/>
      <c r="CO352" s="73"/>
      <c r="CP352" s="73"/>
      <c r="CQ352" s="73"/>
      <c r="CR352" s="73"/>
      <c r="CS352" s="73"/>
      <c r="CT352" s="73"/>
      <c r="CU352" s="73"/>
      <c r="CV352" s="73"/>
      <c r="CW352" s="73"/>
      <c r="CX352" s="73"/>
      <c r="CY352" s="73"/>
      <c r="CZ352" s="73"/>
      <c r="DA352" s="73"/>
      <c r="DB352" s="73"/>
      <c r="DC352" s="73"/>
      <c r="DD352" s="73"/>
      <c r="DE352" s="73"/>
      <c r="DF352" s="73"/>
      <c r="DG352" s="73"/>
      <c r="DH352" s="73"/>
      <c r="DI352" s="73"/>
      <c r="DJ352" s="73"/>
      <c r="DK352" s="73"/>
      <c r="DL352" s="73"/>
      <c r="DM352" s="73"/>
      <c r="DN352" s="73"/>
      <c r="DO352" s="73"/>
      <c r="DP352" s="73"/>
      <c r="DQ352" s="73"/>
      <c r="DR352" s="73"/>
      <c r="DS352" s="73"/>
      <c r="DT352" s="73"/>
      <c r="DU352" s="73"/>
      <c r="DV352" s="73"/>
      <c r="DW352" s="73"/>
      <c r="DX352" s="72"/>
      <c r="DY352" s="72"/>
      <c r="DZ352" s="73"/>
      <c r="EA352" s="73"/>
      <c r="EB352" s="73"/>
      <c r="EC352" s="73"/>
      <c r="ED352" s="73"/>
      <c r="EE352" s="73"/>
      <c r="EF352" s="73"/>
      <c r="EG352" s="73"/>
      <c r="EH352" s="73"/>
      <c r="EI352" s="73"/>
      <c r="EJ352" s="73"/>
      <c r="EK352" s="73"/>
      <c r="EL352" s="73"/>
      <c r="EM352" s="73"/>
      <c r="EN352" s="73"/>
      <c r="EO352" s="73"/>
      <c r="EP352" s="69"/>
      <c r="EQ352" s="69"/>
      <c r="ER352" s="69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  <c r="CK353" s="73"/>
      <c r="CL353" s="73"/>
      <c r="CM353" s="73"/>
      <c r="CN353" s="73"/>
      <c r="CO353" s="73"/>
      <c r="CP353" s="73"/>
      <c r="CQ353" s="73"/>
      <c r="CR353" s="73"/>
      <c r="CS353" s="73"/>
      <c r="CT353" s="73"/>
      <c r="CU353" s="73"/>
      <c r="CV353" s="73"/>
      <c r="CW353" s="73"/>
      <c r="CX353" s="73"/>
      <c r="CY353" s="73"/>
      <c r="CZ353" s="73"/>
      <c r="DA353" s="73"/>
      <c r="DB353" s="73"/>
      <c r="DC353" s="73"/>
      <c r="DD353" s="73"/>
      <c r="DE353" s="73"/>
      <c r="DF353" s="73"/>
      <c r="DG353" s="73"/>
      <c r="DH353" s="73"/>
      <c r="DI353" s="73"/>
      <c r="DJ353" s="73"/>
      <c r="DK353" s="73"/>
      <c r="DL353" s="73"/>
      <c r="DM353" s="73"/>
      <c r="DN353" s="73"/>
      <c r="DO353" s="73"/>
      <c r="DP353" s="73"/>
      <c r="DQ353" s="73"/>
      <c r="DR353" s="73"/>
      <c r="DS353" s="73"/>
      <c r="DT353" s="73"/>
      <c r="DU353" s="73"/>
      <c r="DV353" s="73"/>
      <c r="DW353" s="73"/>
      <c r="DX353" s="72"/>
      <c r="DY353" s="72"/>
      <c r="DZ353" s="73"/>
      <c r="EA353" s="73"/>
      <c r="EB353" s="73"/>
      <c r="EC353" s="73"/>
      <c r="ED353" s="73"/>
      <c r="EE353" s="73"/>
      <c r="EF353" s="73"/>
      <c r="EG353" s="73"/>
      <c r="EH353" s="73"/>
      <c r="EI353" s="73"/>
      <c r="EJ353" s="73"/>
      <c r="EK353" s="73"/>
      <c r="EL353" s="73"/>
      <c r="EM353" s="73"/>
      <c r="EN353" s="73"/>
      <c r="EO353" s="73"/>
      <c r="EP353" s="69"/>
      <c r="EQ353" s="69"/>
      <c r="ER353" s="69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73"/>
      <c r="CT354" s="73"/>
      <c r="CU354" s="73"/>
      <c r="CV354" s="73"/>
      <c r="CW354" s="73"/>
      <c r="CX354" s="73"/>
      <c r="CY354" s="73"/>
      <c r="CZ354" s="73"/>
      <c r="DA354" s="73"/>
      <c r="DB354" s="73"/>
      <c r="DC354" s="73"/>
      <c r="DD354" s="73"/>
      <c r="DE354" s="73"/>
      <c r="DF354" s="73"/>
      <c r="DG354" s="73"/>
      <c r="DH354" s="73"/>
      <c r="DI354" s="73"/>
      <c r="DJ354" s="73"/>
      <c r="DK354" s="73"/>
      <c r="DL354" s="73"/>
      <c r="DM354" s="73"/>
      <c r="DN354" s="73"/>
      <c r="DO354" s="73"/>
      <c r="DP354" s="73"/>
      <c r="DQ354" s="73"/>
      <c r="DR354" s="73"/>
      <c r="DS354" s="73"/>
      <c r="DT354" s="73"/>
      <c r="DU354" s="73"/>
      <c r="DV354" s="73"/>
      <c r="DW354" s="73"/>
      <c r="DX354" s="72"/>
      <c r="DY354" s="72"/>
      <c r="DZ354" s="73"/>
      <c r="EA354" s="73"/>
      <c r="EB354" s="73"/>
      <c r="EC354" s="73"/>
      <c r="ED354" s="73"/>
      <c r="EE354" s="73"/>
      <c r="EF354" s="73"/>
      <c r="EG354" s="73"/>
      <c r="EH354" s="73"/>
      <c r="EI354" s="73"/>
      <c r="EJ354" s="73"/>
      <c r="EK354" s="73"/>
      <c r="EL354" s="73"/>
      <c r="EM354" s="73"/>
      <c r="EN354" s="73"/>
      <c r="EO354" s="73"/>
      <c r="EP354" s="69"/>
      <c r="EQ354" s="69"/>
      <c r="ER354" s="69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  <c r="CK355" s="73"/>
      <c r="CL355" s="73"/>
      <c r="CM355" s="73"/>
      <c r="CN355" s="73"/>
      <c r="CO355" s="73"/>
      <c r="CP355" s="73"/>
      <c r="CQ355" s="73"/>
      <c r="CR355" s="73"/>
      <c r="CS355" s="73"/>
      <c r="CT355" s="73"/>
      <c r="CU355" s="73"/>
      <c r="CV355" s="73"/>
      <c r="CW355" s="73"/>
      <c r="CX355" s="73"/>
      <c r="CY355" s="73"/>
      <c r="CZ355" s="73"/>
      <c r="DA355" s="73"/>
      <c r="DB355" s="73"/>
      <c r="DC355" s="73"/>
      <c r="DD355" s="73"/>
      <c r="DE355" s="73"/>
      <c r="DF355" s="73"/>
      <c r="DG355" s="73"/>
      <c r="DH355" s="73"/>
      <c r="DI355" s="73"/>
      <c r="DJ355" s="73"/>
      <c r="DK355" s="73"/>
      <c r="DL355" s="73"/>
      <c r="DM355" s="73"/>
      <c r="DN355" s="73"/>
      <c r="DO355" s="73"/>
      <c r="DP355" s="73"/>
      <c r="DQ355" s="73"/>
      <c r="DR355" s="73"/>
      <c r="DS355" s="73"/>
      <c r="DT355" s="73"/>
      <c r="DU355" s="73"/>
      <c r="DV355" s="73"/>
      <c r="DW355" s="73"/>
      <c r="DX355" s="72"/>
      <c r="DY355" s="72"/>
      <c r="DZ355" s="73"/>
      <c r="EA355" s="73"/>
      <c r="EB355" s="73"/>
      <c r="EC355" s="73"/>
      <c r="ED355" s="73"/>
      <c r="EE355" s="73"/>
      <c r="EF355" s="73"/>
      <c r="EG355" s="73"/>
      <c r="EH355" s="73"/>
      <c r="EI355" s="73"/>
      <c r="EJ355" s="73"/>
      <c r="EK355" s="73"/>
      <c r="EL355" s="73"/>
      <c r="EM355" s="73"/>
      <c r="EN355" s="73"/>
      <c r="EO355" s="73"/>
      <c r="EP355" s="69"/>
      <c r="EQ355" s="69"/>
      <c r="ER355" s="69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  <c r="CK356" s="73"/>
      <c r="CL356" s="73"/>
      <c r="CM356" s="73"/>
      <c r="CN356" s="73"/>
      <c r="CO356" s="73"/>
      <c r="CP356" s="73"/>
      <c r="CQ356" s="73"/>
      <c r="CR356" s="73"/>
      <c r="CS356" s="73"/>
      <c r="CT356" s="73"/>
      <c r="CU356" s="73"/>
      <c r="CV356" s="73"/>
      <c r="CW356" s="73"/>
      <c r="CX356" s="73"/>
      <c r="CY356" s="73"/>
      <c r="CZ356" s="73"/>
      <c r="DA356" s="73"/>
      <c r="DB356" s="73"/>
      <c r="DC356" s="73"/>
      <c r="DD356" s="73"/>
      <c r="DE356" s="73"/>
      <c r="DF356" s="73"/>
      <c r="DG356" s="73"/>
      <c r="DH356" s="73"/>
      <c r="DI356" s="73"/>
      <c r="DJ356" s="73"/>
      <c r="DK356" s="73"/>
      <c r="DL356" s="73"/>
      <c r="DM356" s="73"/>
      <c r="DN356" s="73"/>
      <c r="DO356" s="73"/>
      <c r="DP356" s="73"/>
      <c r="DQ356" s="73"/>
      <c r="DR356" s="73"/>
      <c r="DS356" s="73"/>
      <c r="DT356" s="73"/>
      <c r="DU356" s="73"/>
      <c r="DV356" s="73"/>
      <c r="DW356" s="73"/>
      <c r="DX356" s="72"/>
      <c r="DY356" s="72"/>
      <c r="DZ356" s="73"/>
      <c r="EA356" s="73"/>
      <c r="EB356" s="73"/>
      <c r="EC356" s="73"/>
      <c r="ED356" s="73"/>
      <c r="EE356" s="73"/>
      <c r="EF356" s="73"/>
      <c r="EG356" s="73"/>
      <c r="EH356" s="73"/>
      <c r="EI356" s="73"/>
      <c r="EJ356" s="73"/>
      <c r="EK356" s="73"/>
      <c r="EL356" s="73"/>
      <c r="EM356" s="73"/>
      <c r="EN356" s="73"/>
      <c r="EO356" s="73"/>
      <c r="EP356" s="69"/>
      <c r="EQ356" s="69"/>
      <c r="ER356" s="69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2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73"/>
      <c r="DD357" s="73"/>
      <c r="DE357" s="73"/>
      <c r="DF357" s="73"/>
      <c r="DG357" s="73"/>
      <c r="DH357" s="73"/>
      <c r="DI357" s="73"/>
      <c r="DJ357" s="73"/>
      <c r="DK357" s="73"/>
      <c r="DL357" s="73"/>
      <c r="DM357" s="73"/>
      <c r="DN357" s="73"/>
      <c r="DO357" s="73"/>
      <c r="DP357" s="73"/>
      <c r="DQ357" s="73"/>
      <c r="DR357" s="73"/>
      <c r="DS357" s="73"/>
      <c r="DT357" s="73"/>
      <c r="DU357" s="73"/>
      <c r="DV357" s="73"/>
      <c r="DW357" s="73"/>
      <c r="DX357" s="72"/>
      <c r="DY357" s="72"/>
      <c r="DZ357" s="73"/>
      <c r="EA357" s="73"/>
      <c r="EB357" s="73"/>
      <c r="EC357" s="73"/>
      <c r="ED357" s="73"/>
      <c r="EE357" s="73"/>
      <c r="EF357" s="73"/>
      <c r="EG357" s="73"/>
      <c r="EH357" s="73"/>
      <c r="EI357" s="73"/>
      <c r="EJ357" s="73"/>
      <c r="EK357" s="73"/>
      <c r="EL357" s="73"/>
      <c r="EM357" s="73"/>
      <c r="EN357" s="73"/>
      <c r="EO357" s="73"/>
      <c r="EP357" s="69"/>
      <c r="EQ357" s="69"/>
      <c r="ER357" s="69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  <c r="CK358" s="73"/>
      <c r="CL358" s="73"/>
      <c r="CM358" s="73"/>
      <c r="CN358" s="73"/>
      <c r="CO358" s="73"/>
      <c r="CP358" s="73"/>
      <c r="CQ358" s="73"/>
      <c r="CR358" s="73"/>
      <c r="CS358" s="73"/>
      <c r="CT358" s="73"/>
      <c r="CU358" s="73"/>
      <c r="CV358" s="73"/>
      <c r="CW358" s="73"/>
      <c r="CX358" s="73"/>
      <c r="CY358" s="73"/>
      <c r="CZ358" s="73"/>
      <c r="DA358" s="73"/>
      <c r="DB358" s="73"/>
      <c r="DC358" s="73"/>
      <c r="DD358" s="73"/>
      <c r="DE358" s="73"/>
      <c r="DF358" s="73"/>
      <c r="DG358" s="73"/>
      <c r="DH358" s="73"/>
      <c r="DI358" s="73"/>
      <c r="DJ358" s="73"/>
      <c r="DK358" s="73"/>
      <c r="DL358" s="73"/>
      <c r="DM358" s="73"/>
      <c r="DN358" s="73"/>
      <c r="DO358" s="73"/>
      <c r="DP358" s="73"/>
      <c r="DQ358" s="73"/>
      <c r="DR358" s="73"/>
      <c r="DS358" s="73"/>
      <c r="DT358" s="73"/>
      <c r="DU358" s="73"/>
      <c r="DV358" s="73"/>
      <c r="DW358" s="73"/>
      <c r="DX358" s="72"/>
      <c r="DY358" s="72"/>
      <c r="DZ358" s="73"/>
      <c r="EA358" s="73"/>
      <c r="EB358" s="73"/>
      <c r="EC358" s="73"/>
      <c r="ED358" s="73"/>
      <c r="EE358" s="73"/>
      <c r="EF358" s="73"/>
      <c r="EG358" s="73"/>
      <c r="EH358" s="73"/>
      <c r="EI358" s="73"/>
      <c r="EJ358" s="73"/>
      <c r="EK358" s="73"/>
      <c r="EL358" s="73"/>
      <c r="EM358" s="73"/>
      <c r="EN358" s="73"/>
      <c r="EO358" s="73"/>
      <c r="EP358" s="69"/>
      <c r="EQ358" s="69"/>
      <c r="ER358" s="69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73"/>
      <c r="CT359" s="73"/>
      <c r="CU359" s="73"/>
      <c r="CV359" s="73"/>
      <c r="CW359" s="73"/>
      <c r="CX359" s="73"/>
      <c r="CY359" s="73"/>
      <c r="CZ359" s="73"/>
      <c r="DA359" s="73"/>
      <c r="DB359" s="73"/>
      <c r="DC359" s="73"/>
      <c r="DD359" s="73"/>
      <c r="DE359" s="73"/>
      <c r="DF359" s="73"/>
      <c r="DG359" s="73"/>
      <c r="DH359" s="73"/>
      <c r="DI359" s="73"/>
      <c r="DJ359" s="73"/>
      <c r="DK359" s="73"/>
      <c r="DL359" s="73"/>
      <c r="DM359" s="73"/>
      <c r="DN359" s="73"/>
      <c r="DO359" s="73"/>
      <c r="DP359" s="73"/>
      <c r="DQ359" s="73"/>
      <c r="DR359" s="73"/>
      <c r="DS359" s="73"/>
      <c r="DT359" s="73"/>
      <c r="DU359" s="73"/>
      <c r="DV359" s="73"/>
      <c r="DW359" s="73"/>
      <c r="DX359" s="72"/>
      <c r="DY359" s="72"/>
      <c r="DZ359" s="73"/>
      <c r="EA359" s="73"/>
      <c r="EB359" s="73"/>
      <c r="EC359" s="73"/>
      <c r="ED359" s="73"/>
      <c r="EE359" s="73"/>
      <c r="EF359" s="73"/>
      <c r="EG359" s="73"/>
      <c r="EH359" s="73"/>
      <c r="EI359" s="73"/>
      <c r="EJ359" s="73"/>
      <c r="EK359" s="73"/>
      <c r="EL359" s="73"/>
      <c r="EM359" s="73"/>
      <c r="EN359" s="73"/>
      <c r="EO359" s="73"/>
      <c r="EP359" s="69"/>
      <c r="EQ359" s="69"/>
      <c r="ER359" s="69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  <c r="CK360" s="73"/>
      <c r="CL360" s="73"/>
      <c r="CM360" s="73"/>
      <c r="CN360" s="73"/>
      <c r="CO360" s="73"/>
      <c r="CP360" s="73"/>
      <c r="CQ360" s="73"/>
      <c r="CR360" s="73"/>
      <c r="CS360" s="73"/>
      <c r="CT360" s="73"/>
      <c r="CU360" s="73"/>
      <c r="CV360" s="73"/>
      <c r="CW360" s="73"/>
      <c r="CX360" s="73"/>
      <c r="CY360" s="73"/>
      <c r="CZ360" s="73"/>
      <c r="DA360" s="73"/>
      <c r="DB360" s="73"/>
      <c r="DC360" s="73"/>
      <c r="DD360" s="73"/>
      <c r="DE360" s="73"/>
      <c r="DF360" s="73"/>
      <c r="DG360" s="73"/>
      <c r="DH360" s="73"/>
      <c r="DI360" s="73"/>
      <c r="DJ360" s="73"/>
      <c r="DK360" s="73"/>
      <c r="DL360" s="73"/>
      <c r="DM360" s="73"/>
      <c r="DN360" s="73"/>
      <c r="DO360" s="73"/>
      <c r="DP360" s="73"/>
      <c r="DQ360" s="73"/>
      <c r="DR360" s="73"/>
      <c r="DS360" s="73"/>
      <c r="DT360" s="73"/>
      <c r="DU360" s="73"/>
      <c r="DV360" s="73"/>
      <c r="DW360" s="73"/>
      <c r="DX360" s="72"/>
      <c r="DY360" s="72"/>
      <c r="DZ360" s="73"/>
      <c r="EA360" s="73"/>
      <c r="EB360" s="73"/>
      <c r="EC360" s="73"/>
      <c r="ED360" s="73"/>
      <c r="EE360" s="73"/>
      <c r="EF360" s="73"/>
      <c r="EG360" s="73"/>
      <c r="EH360" s="73"/>
      <c r="EI360" s="73"/>
      <c r="EJ360" s="73"/>
      <c r="EK360" s="73"/>
      <c r="EL360" s="73"/>
      <c r="EM360" s="73"/>
      <c r="EN360" s="73"/>
      <c r="EO360" s="73"/>
      <c r="EP360" s="69"/>
      <c r="EQ360" s="69"/>
      <c r="ER360" s="69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  <c r="CK361" s="73"/>
      <c r="CL361" s="73"/>
      <c r="CM361" s="73"/>
      <c r="CN361" s="73"/>
      <c r="CO361" s="73"/>
      <c r="CP361" s="73"/>
      <c r="CQ361" s="73"/>
      <c r="CR361" s="73"/>
      <c r="CS361" s="73"/>
      <c r="CT361" s="73"/>
      <c r="CU361" s="73"/>
      <c r="CV361" s="73"/>
      <c r="CW361" s="73"/>
      <c r="CX361" s="73"/>
      <c r="CY361" s="73"/>
      <c r="CZ361" s="73"/>
      <c r="DA361" s="73"/>
      <c r="DB361" s="73"/>
      <c r="DC361" s="73"/>
      <c r="DD361" s="73"/>
      <c r="DE361" s="73"/>
      <c r="DF361" s="73"/>
      <c r="DG361" s="73"/>
      <c r="DH361" s="73"/>
      <c r="DI361" s="73"/>
      <c r="DJ361" s="73"/>
      <c r="DK361" s="73"/>
      <c r="DL361" s="73"/>
      <c r="DM361" s="73"/>
      <c r="DN361" s="73"/>
      <c r="DO361" s="73"/>
      <c r="DP361" s="73"/>
      <c r="DQ361" s="73"/>
      <c r="DR361" s="73"/>
      <c r="DS361" s="73"/>
      <c r="DT361" s="73"/>
      <c r="DU361" s="73"/>
      <c r="DV361" s="73"/>
      <c r="DW361" s="73"/>
      <c r="DX361" s="72"/>
      <c r="DY361" s="72"/>
      <c r="DZ361" s="73"/>
      <c r="EA361" s="73"/>
      <c r="EB361" s="73"/>
      <c r="EC361" s="73"/>
      <c r="ED361" s="73"/>
      <c r="EE361" s="73"/>
      <c r="EF361" s="73"/>
      <c r="EG361" s="73"/>
      <c r="EH361" s="73"/>
      <c r="EI361" s="73"/>
      <c r="EJ361" s="73"/>
      <c r="EK361" s="73"/>
      <c r="EL361" s="73"/>
      <c r="EM361" s="73"/>
      <c r="EN361" s="73"/>
      <c r="EO361" s="73"/>
      <c r="EP361" s="69"/>
      <c r="EQ361" s="69"/>
      <c r="ER361" s="69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  <c r="CK362" s="73"/>
      <c r="CL362" s="73"/>
      <c r="CM362" s="73"/>
      <c r="CN362" s="73"/>
      <c r="CO362" s="73"/>
      <c r="CP362" s="73"/>
      <c r="CQ362" s="73"/>
      <c r="CR362" s="73"/>
      <c r="CS362" s="73"/>
      <c r="CT362" s="73"/>
      <c r="CU362" s="73"/>
      <c r="CV362" s="73"/>
      <c r="CW362" s="73"/>
      <c r="CX362" s="73"/>
      <c r="CY362" s="73"/>
      <c r="CZ362" s="73"/>
      <c r="DA362" s="73"/>
      <c r="DB362" s="73"/>
      <c r="DC362" s="73"/>
      <c r="DD362" s="73"/>
      <c r="DE362" s="73"/>
      <c r="DF362" s="73"/>
      <c r="DG362" s="73"/>
      <c r="DH362" s="73"/>
      <c r="DI362" s="73"/>
      <c r="DJ362" s="73"/>
      <c r="DK362" s="73"/>
      <c r="DL362" s="73"/>
      <c r="DM362" s="73"/>
      <c r="DN362" s="73"/>
      <c r="DO362" s="73"/>
      <c r="DP362" s="73"/>
      <c r="DQ362" s="73"/>
      <c r="DR362" s="73"/>
      <c r="DS362" s="73"/>
      <c r="DT362" s="73"/>
      <c r="DU362" s="73"/>
      <c r="DV362" s="73"/>
      <c r="DW362" s="73"/>
      <c r="DX362" s="72"/>
      <c r="DY362" s="72"/>
      <c r="DZ362" s="73"/>
      <c r="EA362" s="73"/>
      <c r="EB362" s="73"/>
      <c r="EC362" s="73"/>
      <c r="ED362" s="73"/>
      <c r="EE362" s="73"/>
      <c r="EF362" s="73"/>
      <c r="EG362" s="73"/>
      <c r="EH362" s="73"/>
      <c r="EI362" s="73"/>
      <c r="EJ362" s="73"/>
      <c r="EK362" s="73"/>
      <c r="EL362" s="73"/>
      <c r="EM362" s="73"/>
      <c r="EN362" s="73"/>
      <c r="EO362" s="73"/>
      <c r="EP362" s="69"/>
      <c r="EQ362" s="69"/>
      <c r="ER362" s="69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  <c r="CK363" s="73"/>
      <c r="CL363" s="73"/>
      <c r="CM363" s="73"/>
      <c r="CN363" s="73"/>
      <c r="CO363" s="73"/>
      <c r="CP363" s="73"/>
      <c r="CQ363" s="73"/>
      <c r="CR363" s="73"/>
      <c r="CS363" s="73"/>
      <c r="CT363" s="73"/>
      <c r="CU363" s="73"/>
      <c r="CV363" s="73"/>
      <c r="CW363" s="73"/>
      <c r="CX363" s="73"/>
      <c r="CY363" s="73"/>
      <c r="CZ363" s="73"/>
      <c r="DA363" s="73"/>
      <c r="DB363" s="73"/>
      <c r="DC363" s="73"/>
      <c r="DD363" s="73"/>
      <c r="DE363" s="73"/>
      <c r="DF363" s="73"/>
      <c r="DG363" s="73"/>
      <c r="DH363" s="73"/>
      <c r="DI363" s="73"/>
      <c r="DJ363" s="73"/>
      <c r="DK363" s="73"/>
      <c r="DL363" s="73"/>
      <c r="DM363" s="73"/>
      <c r="DN363" s="73"/>
      <c r="DO363" s="73"/>
      <c r="DP363" s="73"/>
      <c r="DQ363" s="73"/>
      <c r="DR363" s="73"/>
      <c r="DS363" s="73"/>
      <c r="DT363" s="73"/>
      <c r="DU363" s="73"/>
      <c r="DV363" s="73"/>
      <c r="DW363" s="73"/>
      <c r="DX363" s="72"/>
      <c r="DY363" s="72"/>
      <c r="DZ363" s="73"/>
      <c r="EA363" s="73"/>
      <c r="EB363" s="73"/>
      <c r="EC363" s="73"/>
      <c r="ED363" s="73"/>
      <c r="EE363" s="73"/>
      <c r="EF363" s="73"/>
      <c r="EG363" s="73"/>
      <c r="EH363" s="73"/>
      <c r="EI363" s="73"/>
      <c r="EJ363" s="73"/>
      <c r="EK363" s="73"/>
      <c r="EL363" s="73"/>
      <c r="EM363" s="73"/>
      <c r="EN363" s="73"/>
      <c r="EO363" s="73"/>
      <c r="EP363" s="69"/>
      <c r="EQ363" s="69"/>
      <c r="ER363" s="69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73"/>
      <c r="CT364" s="73"/>
      <c r="CU364" s="73"/>
      <c r="CV364" s="73"/>
      <c r="CW364" s="73"/>
      <c r="CX364" s="73"/>
      <c r="CY364" s="73"/>
      <c r="CZ364" s="73"/>
      <c r="DA364" s="73"/>
      <c r="DB364" s="73"/>
      <c r="DC364" s="73"/>
      <c r="DD364" s="73"/>
      <c r="DE364" s="73"/>
      <c r="DF364" s="73"/>
      <c r="DG364" s="73"/>
      <c r="DH364" s="73"/>
      <c r="DI364" s="73"/>
      <c r="DJ364" s="73"/>
      <c r="DK364" s="73"/>
      <c r="DL364" s="73"/>
      <c r="DM364" s="73"/>
      <c r="DN364" s="73"/>
      <c r="DO364" s="73"/>
      <c r="DP364" s="73"/>
      <c r="DQ364" s="73"/>
      <c r="DR364" s="73"/>
      <c r="DS364" s="73"/>
      <c r="DT364" s="73"/>
      <c r="DU364" s="73"/>
      <c r="DV364" s="73"/>
      <c r="DW364" s="73"/>
      <c r="DX364" s="73"/>
      <c r="DY364" s="73"/>
      <c r="DZ364" s="73"/>
      <c r="EA364" s="73"/>
      <c r="EB364" s="73"/>
      <c r="EC364" s="73"/>
      <c r="ED364" s="73"/>
      <c r="EE364" s="73"/>
      <c r="EF364" s="73"/>
      <c r="EG364" s="73"/>
      <c r="EH364" s="73"/>
      <c r="EI364" s="73"/>
      <c r="EJ364" s="73"/>
      <c r="EK364" s="73"/>
      <c r="EL364" s="73"/>
      <c r="EM364" s="73"/>
      <c r="EN364" s="73"/>
      <c r="EO364" s="73"/>
      <c r="EP364" s="69"/>
      <c r="EQ364" s="69"/>
      <c r="ER364" s="69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  <c r="CM365" s="72"/>
      <c r="CN365" s="73"/>
      <c r="CO365" s="73"/>
      <c r="CP365" s="73"/>
      <c r="CQ365" s="73"/>
      <c r="CR365" s="73"/>
      <c r="CS365" s="73"/>
      <c r="CT365" s="73"/>
      <c r="CU365" s="73"/>
      <c r="CV365" s="73"/>
      <c r="CW365" s="73"/>
      <c r="CX365" s="73"/>
      <c r="CY365" s="73"/>
      <c r="CZ365" s="73"/>
      <c r="DA365" s="73"/>
      <c r="DB365" s="73"/>
      <c r="DC365" s="73"/>
      <c r="DD365" s="73"/>
      <c r="DE365" s="73"/>
      <c r="DF365" s="73"/>
      <c r="DG365" s="73"/>
      <c r="DH365" s="73"/>
      <c r="DI365" s="73"/>
      <c r="DJ365" s="73"/>
      <c r="DK365" s="73"/>
      <c r="DL365" s="73"/>
      <c r="DM365" s="73"/>
      <c r="DN365" s="73"/>
      <c r="DO365" s="73"/>
      <c r="DP365" s="73"/>
      <c r="DQ365" s="73"/>
      <c r="DR365" s="73"/>
      <c r="DS365" s="73"/>
      <c r="DT365" s="73"/>
      <c r="DU365" s="73"/>
      <c r="DV365" s="73"/>
      <c r="DW365" s="73"/>
      <c r="DX365" s="72"/>
      <c r="DY365" s="72"/>
      <c r="DZ365" s="73"/>
      <c r="EA365" s="73"/>
      <c r="EB365" s="73"/>
      <c r="EC365" s="73"/>
      <c r="ED365" s="73"/>
      <c r="EE365" s="73"/>
      <c r="EF365" s="73"/>
      <c r="EG365" s="73"/>
      <c r="EH365" s="73"/>
      <c r="EI365" s="73"/>
      <c r="EJ365" s="73"/>
      <c r="EK365" s="73"/>
      <c r="EL365" s="73"/>
      <c r="EM365" s="73"/>
      <c r="EN365" s="73"/>
      <c r="EO365" s="73"/>
      <c r="EP365" s="69"/>
      <c r="EQ365" s="69"/>
      <c r="ER365" s="69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  <c r="CM366" s="73"/>
      <c r="CN366" s="73"/>
      <c r="CO366" s="73"/>
      <c r="CP366" s="73"/>
      <c r="CQ366" s="73"/>
      <c r="CR366" s="73"/>
      <c r="CS366" s="73"/>
      <c r="CT366" s="73"/>
      <c r="CU366" s="73"/>
      <c r="CV366" s="73"/>
      <c r="CW366" s="73"/>
      <c r="CX366" s="73"/>
      <c r="CY366" s="73"/>
      <c r="CZ366" s="73"/>
      <c r="DA366" s="73"/>
      <c r="DB366" s="73"/>
      <c r="DC366" s="73"/>
      <c r="DD366" s="73"/>
      <c r="DE366" s="73"/>
      <c r="DF366" s="73"/>
      <c r="DG366" s="73"/>
      <c r="DH366" s="73"/>
      <c r="DI366" s="73"/>
      <c r="DJ366" s="73"/>
      <c r="DK366" s="73"/>
      <c r="DL366" s="73"/>
      <c r="DM366" s="73"/>
      <c r="DN366" s="73"/>
      <c r="DO366" s="73"/>
      <c r="DP366" s="73"/>
      <c r="DQ366" s="73"/>
      <c r="DR366" s="73"/>
      <c r="DS366" s="73"/>
      <c r="DT366" s="73"/>
      <c r="DU366" s="73"/>
      <c r="DV366" s="73"/>
      <c r="DW366" s="73"/>
      <c r="DX366" s="72"/>
      <c r="DY366" s="72"/>
      <c r="DZ366" s="73"/>
      <c r="EA366" s="73"/>
      <c r="EB366" s="73"/>
      <c r="EC366" s="73"/>
      <c r="ED366" s="73"/>
      <c r="EE366" s="73"/>
      <c r="EF366" s="73"/>
      <c r="EG366" s="73"/>
      <c r="EH366" s="73"/>
      <c r="EI366" s="73"/>
      <c r="EJ366" s="73"/>
      <c r="EK366" s="73"/>
      <c r="EL366" s="73"/>
      <c r="EM366" s="73"/>
      <c r="EN366" s="73"/>
      <c r="EO366" s="73"/>
      <c r="EP366" s="69"/>
      <c r="EQ366" s="69"/>
      <c r="ER366" s="69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  <c r="CM367" s="73"/>
      <c r="CN367" s="73"/>
      <c r="CO367" s="73"/>
      <c r="CP367" s="73"/>
      <c r="CQ367" s="73"/>
      <c r="CR367" s="73"/>
      <c r="CS367" s="73"/>
      <c r="CT367" s="73"/>
      <c r="CU367" s="73"/>
      <c r="CV367" s="73"/>
      <c r="CW367" s="73"/>
      <c r="CX367" s="73"/>
      <c r="CY367" s="73"/>
      <c r="CZ367" s="73"/>
      <c r="DA367" s="73"/>
      <c r="DB367" s="73"/>
      <c r="DC367" s="73"/>
      <c r="DD367" s="73"/>
      <c r="DE367" s="73"/>
      <c r="DF367" s="73"/>
      <c r="DG367" s="73"/>
      <c r="DH367" s="73"/>
      <c r="DI367" s="73"/>
      <c r="DJ367" s="73"/>
      <c r="DK367" s="73"/>
      <c r="DL367" s="73"/>
      <c r="DM367" s="73"/>
      <c r="DN367" s="73"/>
      <c r="DO367" s="73"/>
      <c r="DP367" s="73"/>
      <c r="DQ367" s="73"/>
      <c r="DR367" s="73"/>
      <c r="DS367" s="73"/>
      <c r="DT367" s="73"/>
      <c r="DU367" s="73"/>
      <c r="DV367" s="73"/>
      <c r="DW367" s="73"/>
      <c r="DX367" s="72"/>
      <c r="DY367" s="72"/>
      <c r="DZ367" s="73"/>
      <c r="EA367" s="73"/>
      <c r="EB367" s="73"/>
      <c r="EC367" s="73"/>
      <c r="ED367" s="73"/>
      <c r="EE367" s="73"/>
      <c r="EF367" s="73"/>
      <c r="EG367" s="73"/>
      <c r="EH367" s="73"/>
      <c r="EI367" s="73"/>
      <c r="EJ367" s="73"/>
      <c r="EK367" s="73"/>
      <c r="EL367" s="73"/>
      <c r="EM367" s="73"/>
      <c r="EN367" s="73"/>
      <c r="EO367" s="73"/>
      <c r="EP367" s="69"/>
      <c r="EQ367" s="69"/>
      <c r="ER367" s="69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  <c r="CK368" s="73"/>
      <c r="CL368" s="73"/>
      <c r="CM368" s="73"/>
      <c r="CN368" s="73"/>
      <c r="CO368" s="73"/>
      <c r="CP368" s="73"/>
      <c r="CQ368" s="73"/>
      <c r="CR368" s="73"/>
      <c r="CS368" s="73"/>
      <c r="CT368" s="73"/>
      <c r="CU368" s="73"/>
      <c r="CV368" s="73"/>
      <c r="CW368" s="73"/>
      <c r="CX368" s="73"/>
      <c r="CY368" s="73"/>
      <c r="CZ368" s="73"/>
      <c r="DA368" s="73"/>
      <c r="DB368" s="73"/>
      <c r="DC368" s="73"/>
      <c r="DD368" s="73"/>
      <c r="DE368" s="73"/>
      <c r="DF368" s="73"/>
      <c r="DG368" s="73"/>
      <c r="DH368" s="73"/>
      <c r="DI368" s="73"/>
      <c r="DJ368" s="73"/>
      <c r="DK368" s="73"/>
      <c r="DL368" s="73"/>
      <c r="DM368" s="73"/>
      <c r="DN368" s="73"/>
      <c r="DO368" s="73"/>
      <c r="DP368" s="73"/>
      <c r="DQ368" s="73"/>
      <c r="DR368" s="73"/>
      <c r="DS368" s="73"/>
      <c r="DT368" s="73"/>
      <c r="DU368" s="73"/>
      <c r="DV368" s="73"/>
      <c r="DW368" s="73"/>
      <c r="DX368" s="72"/>
      <c r="DY368" s="72"/>
      <c r="DZ368" s="73"/>
      <c r="EA368" s="73"/>
      <c r="EB368" s="73"/>
      <c r="EC368" s="73"/>
      <c r="ED368" s="73"/>
      <c r="EE368" s="73"/>
      <c r="EF368" s="73"/>
      <c r="EG368" s="73"/>
      <c r="EH368" s="73"/>
      <c r="EI368" s="73"/>
      <c r="EJ368" s="73"/>
      <c r="EK368" s="73"/>
      <c r="EL368" s="73"/>
      <c r="EM368" s="73"/>
      <c r="EN368" s="73"/>
      <c r="EO368" s="73"/>
      <c r="EP368" s="69"/>
      <c r="EQ368" s="69"/>
      <c r="ER368" s="69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73"/>
      <c r="CT369" s="73"/>
      <c r="CU369" s="73"/>
      <c r="CV369" s="73"/>
      <c r="CW369" s="73"/>
      <c r="CX369" s="73"/>
      <c r="CY369" s="73"/>
      <c r="CZ369" s="73"/>
      <c r="DA369" s="73"/>
      <c r="DB369" s="73"/>
      <c r="DC369" s="73"/>
      <c r="DD369" s="73"/>
      <c r="DE369" s="73"/>
      <c r="DF369" s="73"/>
      <c r="DG369" s="73"/>
      <c r="DH369" s="73"/>
      <c r="DI369" s="73"/>
      <c r="DJ369" s="73"/>
      <c r="DK369" s="73"/>
      <c r="DL369" s="73"/>
      <c r="DM369" s="73"/>
      <c r="DN369" s="73"/>
      <c r="DO369" s="73"/>
      <c r="DP369" s="73"/>
      <c r="DQ369" s="73"/>
      <c r="DR369" s="73"/>
      <c r="DS369" s="73"/>
      <c r="DT369" s="73"/>
      <c r="DU369" s="73"/>
      <c r="DV369" s="73"/>
      <c r="DW369" s="73"/>
      <c r="DX369" s="72"/>
      <c r="DY369" s="72"/>
      <c r="DZ369" s="73"/>
      <c r="EA369" s="73"/>
      <c r="EB369" s="73"/>
      <c r="EC369" s="73"/>
      <c r="ED369" s="73"/>
      <c r="EE369" s="73"/>
      <c r="EF369" s="73"/>
      <c r="EG369" s="73"/>
      <c r="EH369" s="73"/>
      <c r="EI369" s="73"/>
      <c r="EJ369" s="73"/>
      <c r="EK369" s="73"/>
      <c r="EL369" s="73"/>
      <c r="EM369" s="73"/>
      <c r="EN369" s="73"/>
      <c r="EO369" s="73"/>
      <c r="EP369" s="69"/>
      <c r="EQ369" s="69"/>
      <c r="ER369" s="69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  <c r="CK370" s="73"/>
      <c r="CL370" s="73"/>
      <c r="CM370" s="73"/>
      <c r="CN370" s="73"/>
      <c r="CO370" s="73"/>
      <c r="CP370" s="73"/>
      <c r="CQ370" s="73"/>
      <c r="CR370" s="73"/>
      <c r="CS370" s="73"/>
      <c r="CT370" s="73"/>
      <c r="CU370" s="73"/>
      <c r="CV370" s="73"/>
      <c r="CW370" s="73"/>
      <c r="CX370" s="73"/>
      <c r="CY370" s="73"/>
      <c r="CZ370" s="73"/>
      <c r="DA370" s="73"/>
      <c r="DB370" s="73"/>
      <c r="DC370" s="73"/>
      <c r="DD370" s="73"/>
      <c r="DE370" s="73"/>
      <c r="DF370" s="73"/>
      <c r="DG370" s="73"/>
      <c r="DH370" s="73"/>
      <c r="DI370" s="73"/>
      <c r="DJ370" s="73"/>
      <c r="DK370" s="73"/>
      <c r="DL370" s="73"/>
      <c r="DM370" s="73"/>
      <c r="DN370" s="73"/>
      <c r="DO370" s="73"/>
      <c r="DP370" s="73"/>
      <c r="DQ370" s="73"/>
      <c r="DR370" s="73"/>
      <c r="DS370" s="73"/>
      <c r="DT370" s="73"/>
      <c r="DU370" s="73"/>
      <c r="DV370" s="73"/>
      <c r="DW370" s="73"/>
      <c r="DX370" s="72"/>
      <c r="DY370" s="72"/>
      <c r="DZ370" s="73"/>
      <c r="EA370" s="73"/>
      <c r="EB370" s="73"/>
      <c r="EC370" s="73"/>
      <c r="ED370" s="73"/>
      <c r="EE370" s="73"/>
      <c r="EF370" s="73"/>
      <c r="EG370" s="73"/>
      <c r="EH370" s="73"/>
      <c r="EI370" s="73"/>
      <c r="EJ370" s="73"/>
      <c r="EK370" s="73"/>
      <c r="EL370" s="73"/>
      <c r="EM370" s="73"/>
      <c r="EN370" s="73"/>
      <c r="EO370" s="73"/>
      <c r="EP370" s="69"/>
      <c r="EQ370" s="69"/>
      <c r="ER370" s="69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  <c r="CK371" s="73"/>
      <c r="CL371" s="73"/>
      <c r="CM371" s="73"/>
      <c r="CN371" s="73"/>
      <c r="CO371" s="73"/>
      <c r="CP371" s="73"/>
      <c r="CQ371" s="73"/>
      <c r="CR371" s="73"/>
      <c r="CS371" s="73"/>
      <c r="CT371" s="73"/>
      <c r="CU371" s="73"/>
      <c r="CV371" s="73"/>
      <c r="CW371" s="73"/>
      <c r="CX371" s="73"/>
      <c r="CY371" s="73"/>
      <c r="CZ371" s="73"/>
      <c r="DA371" s="73"/>
      <c r="DB371" s="73"/>
      <c r="DC371" s="73"/>
      <c r="DD371" s="73"/>
      <c r="DE371" s="73"/>
      <c r="DF371" s="73"/>
      <c r="DG371" s="73"/>
      <c r="DH371" s="73"/>
      <c r="DI371" s="73"/>
      <c r="DJ371" s="73"/>
      <c r="DK371" s="73"/>
      <c r="DL371" s="73"/>
      <c r="DM371" s="73"/>
      <c r="DN371" s="73"/>
      <c r="DO371" s="73"/>
      <c r="DP371" s="73"/>
      <c r="DQ371" s="73"/>
      <c r="DR371" s="73"/>
      <c r="DS371" s="73"/>
      <c r="DT371" s="73"/>
      <c r="DU371" s="73"/>
      <c r="DV371" s="73"/>
      <c r="DW371" s="73"/>
      <c r="DX371" s="72"/>
      <c r="DY371" s="72"/>
      <c r="DZ371" s="73"/>
      <c r="EA371" s="73"/>
      <c r="EB371" s="73"/>
      <c r="EC371" s="73"/>
      <c r="ED371" s="73"/>
      <c r="EE371" s="73"/>
      <c r="EF371" s="73"/>
      <c r="EG371" s="73"/>
      <c r="EH371" s="73"/>
      <c r="EI371" s="73"/>
      <c r="EJ371" s="73"/>
      <c r="EK371" s="73"/>
      <c r="EL371" s="73"/>
      <c r="EM371" s="73"/>
      <c r="EN371" s="73"/>
      <c r="EO371" s="73"/>
      <c r="EP371" s="69"/>
      <c r="EQ371" s="69"/>
      <c r="ER371" s="69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  <c r="CK372" s="73"/>
      <c r="CL372" s="73"/>
      <c r="CM372" s="73"/>
      <c r="CN372" s="73"/>
      <c r="CO372" s="73"/>
      <c r="CP372" s="73"/>
      <c r="CQ372" s="73"/>
      <c r="CR372" s="73"/>
      <c r="CS372" s="73"/>
      <c r="CT372" s="73"/>
      <c r="CU372" s="73"/>
      <c r="CV372" s="73"/>
      <c r="CW372" s="73"/>
      <c r="CX372" s="73"/>
      <c r="CY372" s="73"/>
      <c r="CZ372" s="73"/>
      <c r="DA372" s="73"/>
      <c r="DB372" s="73"/>
      <c r="DC372" s="73"/>
      <c r="DD372" s="73"/>
      <c r="DE372" s="73"/>
      <c r="DF372" s="73"/>
      <c r="DG372" s="73"/>
      <c r="DH372" s="73"/>
      <c r="DI372" s="73"/>
      <c r="DJ372" s="73"/>
      <c r="DK372" s="73"/>
      <c r="DL372" s="73"/>
      <c r="DM372" s="73"/>
      <c r="DN372" s="73"/>
      <c r="DO372" s="73"/>
      <c r="DP372" s="73"/>
      <c r="DQ372" s="73"/>
      <c r="DR372" s="73"/>
      <c r="DS372" s="73"/>
      <c r="DT372" s="73"/>
      <c r="DU372" s="73"/>
      <c r="DV372" s="73"/>
      <c r="DW372" s="73"/>
      <c r="DX372" s="72"/>
      <c r="DY372" s="72"/>
      <c r="DZ372" s="73"/>
      <c r="EA372" s="73"/>
      <c r="EB372" s="73"/>
      <c r="EC372" s="73"/>
      <c r="ED372" s="73"/>
      <c r="EE372" s="73"/>
      <c r="EF372" s="73"/>
      <c r="EG372" s="73"/>
      <c r="EH372" s="73"/>
      <c r="EI372" s="73"/>
      <c r="EJ372" s="73"/>
      <c r="EK372" s="73"/>
      <c r="EL372" s="73"/>
      <c r="EM372" s="73"/>
      <c r="EN372" s="73"/>
      <c r="EO372" s="73"/>
      <c r="EP372" s="69"/>
      <c r="EQ372" s="69"/>
      <c r="ER372" s="69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  <c r="CK373" s="73"/>
      <c r="CL373" s="73"/>
      <c r="CM373" s="72"/>
      <c r="CN373" s="73"/>
      <c r="CO373" s="73"/>
      <c r="CP373" s="73"/>
      <c r="CQ373" s="73"/>
      <c r="CR373" s="73"/>
      <c r="CS373" s="73"/>
      <c r="CT373" s="73"/>
      <c r="CU373" s="73"/>
      <c r="CV373" s="73"/>
      <c r="CW373" s="73"/>
      <c r="CX373" s="73"/>
      <c r="CY373" s="73"/>
      <c r="CZ373" s="73"/>
      <c r="DA373" s="73"/>
      <c r="DB373" s="73"/>
      <c r="DC373" s="73"/>
      <c r="DD373" s="73"/>
      <c r="DE373" s="73"/>
      <c r="DF373" s="73"/>
      <c r="DG373" s="73"/>
      <c r="DH373" s="73"/>
      <c r="DI373" s="73"/>
      <c r="DJ373" s="73"/>
      <c r="DK373" s="73"/>
      <c r="DL373" s="73"/>
      <c r="DM373" s="73"/>
      <c r="DN373" s="73"/>
      <c r="DO373" s="73"/>
      <c r="DP373" s="73"/>
      <c r="DQ373" s="73"/>
      <c r="DR373" s="73"/>
      <c r="DS373" s="73"/>
      <c r="DT373" s="73"/>
      <c r="DU373" s="73"/>
      <c r="DV373" s="73"/>
      <c r="DW373" s="73"/>
      <c r="DX373" s="72"/>
      <c r="DY373" s="72"/>
      <c r="DZ373" s="73"/>
      <c r="EA373" s="73"/>
      <c r="EB373" s="73"/>
      <c r="EC373" s="73"/>
      <c r="ED373" s="73"/>
      <c r="EE373" s="73"/>
      <c r="EF373" s="73"/>
      <c r="EG373" s="73"/>
      <c r="EH373" s="73"/>
      <c r="EI373" s="73"/>
      <c r="EJ373" s="73"/>
      <c r="EK373" s="73"/>
      <c r="EL373" s="73"/>
      <c r="EM373" s="73"/>
      <c r="EN373" s="73"/>
      <c r="EO373" s="73"/>
      <c r="EP373" s="69"/>
      <c r="EQ373" s="69"/>
      <c r="ER373" s="69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  <c r="CK374" s="73"/>
      <c r="CL374" s="73"/>
      <c r="CM374" s="73"/>
      <c r="CN374" s="73"/>
      <c r="CO374" s="73"/>
      <c r="CP374" s="73"/>
      <c r="CQ374" s="73"/>
      <c r="CR374" s="73"/>
      <c r="CS374" s="73"/>
      <c r="CT374" s="73"/>
      <c r="CU374" s="73"/>
      <c r="CV374" s="73"/>
      <c r="CW374" s="73"/>
      <c r="CX374" s="73"/>
      <c r="CY374" s="73"/>
      <c r="CZ374" s="73"/>
      <c r="DA374" s="73"/>
      <c r="DB374" s="73"/>
      <c r="DC374" s="73"/>
      <c r="DD374" s="73"/>
      <c r="DE374" s="73"/>
      <c r="DF374" s="73"/>
      <c r="DG374" s="73"/>
      <c r="DH374" s="73"/>
      <c r="DI374" s="73"/>
      <c r="DJ374" s="73"/>
      <c r="DK374" s="73"/>
      <c r="DL374" s="73"/>
      <c r="DM374" s="73"/>
      <c r="DN374" s="73"/>
      <c r="DO374" s="73"/>
      <c r="DP374" s="73"/>
      <c r="DQ374" s="73"/>
      <c r="DR374" s="73"/>
      <c r="DS374" s="73"/>
      <c r="DT374" s="73"/>
      <c r="DU374" s="73"/>
      <c r="DV374" s="73"/>
      <c r="DW374" s="73"/>
      <c r="DX374" s="72"/>
      <c r="DY374" s="72"/>
      <c r="DZ374" s="73"/>
      <c r="EA374" s="73"/>
      <c r="EB374" s="73"/>
      <c r="EC374" s="73"/>
      <c r="ED374" s="73"/>
      <c r="EE374" s="73"/>
      <c r="EF374" s="73"/>
      <c r="EG374" s="73"/>
      <c r="EH374" s="73"/>
      <c r="EI374" s="73"/>
      <c r="EJ374" s="73"/>
      <c r="EK374" s="73"/>
      <c r="EL374" s="73"/>
      <c r="EM374" s="73"/>
      <c r="EN374" s="73"/>
      <c r="EO374" s="73"/>
      <c r="EP374" s="69"/>
      <c r="EQ374" s="69"/>
      <c r="ER374" s="69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73"/>
      <c r="DD375" s="73"/>
      <c r="DE375" s="73"/>
      <c r="DF375" s="73"/>
      <c r="DG375" s="73"/>
      <c r="DH375" s="73"/>
      <c r="DI375" s="73"/>
      <c r="DJ375" s="73"/>
      <c r="DK375" s="73"/>
      <c r="DL375" s="73"/>
      <c r="DM375" s="73"/>
      <c r="DN375" s="73"/>
      <c r="DO375" s="73"/>
      <c r="DP375" s="73"/>
      <c r="DQ375" s="73"/>
      <c r="DR375" s="73"/>
      <c r="DS375" s="73"/>
      <c r="DT375" s="73"/>
      <c r="DU375" s="73"/>
      <c r="DV375" s="73"/>
      <c r="DW375" s="73"/>
      <c r="DX375" s="72"/>
      <c r="DY375" s="72"/>
      <c r="DZ375" s="73"/>
      <c r="EA375" s="73"/>
      <c r="EB375" s="73"/>
      <c r="EC375" s="73"/>
      <c r="ED375" s="73"/>
      <c r="EE375" s="73"/>
      <c r="EF375" s="73"/>
      <c r="EG375" s="73"/>
      <c r="EH375" s="73"/>
      <c r="EI375" s="73"/>
      <c r="EJ375" s="73"/>
      <c r="EK375" s="73"/>
      <c r="EL375" s="73"/>
      <c r="EM375" s="73"/>
      <c r="EN375" s="73"/>
      <c r="EO375" s="73"/>
      <c r="EP375" s="69"/>
      <c r="EQ375" s="69"/>
      <c r="ER375" s="69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  <c r="CK376" s="73"/>
      <c r="CL376" s="73"/>
      <c r="CM376" s="72"/>
      <c r="CN376" s="73"/>
      <c r="CO376" s="73"/>
      <c r="CP376" s="73"/>
      <c r="CQ376" s="73"/>
      <c r="CR376" s="73"/>
      <c r="CS376" s="73"/>
      <c r="CT376" s="73"/>
      <c r="CU376" s="73"/>
      <c r="CV376" s="73"/>
      <c r="CW376" s="73"/>
      <c r="CX376" s="73"/>
      <c r="CY376" s="73"/>
      <c r="CZ376" s="73"/>
      <c r="DA376" s="73"/>
      <c r="DB376" s="73"/>
      <c r="DC376" s="73"/>
      <c r="DD376" s="73"/>
      <c r="DE376" s="73"/>
      <c r="DF376" s="73"/>
      <c r="DG376" s="73"/>
      <c r="DH376" s="73"/>
      <c r="DI376" s="73"/>
      <c r="DJ376" s="73"/>
      <c r="DK376" s="73"/>
      <c r="DL376" s="73"/>
      <c r="DM376" s="73"/>
      <c r="DN376" s="73"/>
      <c r="DO376" s="73"/>
      <c r="DP376" s="73"/>
      <c r="DQ376" s="73"/>
      <c r="DR376" s="73"/>
      <c r="DS376" s="73"/>
      <c r="DT376" s="73"/>
      <c r="DU376" s="73"/>
      <c r="DV376" s="73"/>
      <c r="DW376" s="73"/>
      <c r="DX376" s="72"/>
      <c r="DY376" s="72"/>
      <c r="DZ376" s="73"/>
      <c r="EA376" s="73"/>
      <c r="EB376" s="73"/>
      <c r="EC376" s="73"/>
      <c r="ED376" s="73"/>
      <c r="EE376" s="73"/>
      <c r="EF376" s="73"/>
      <c r="EG376" s="73"/>
      <c r="EH376" s="73"/>
      <c r="EI376" s="73"/>
      <c r="EJ376" s="73"/>
      <c r="EK376" s="73"/>
      <c r="EL376" s="73"/>
      <c r="EM376" s="73"/>
      <c r="EN376" s="73"/>
      <c r="EO376" s="73"/>
      <c r="EP376" s="69"/>
      <c r="EQ376" s="69"/>
      <c r="ER376" s="69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73"/>
      <c r="DD377" s="73"/>
      <c r="DE377" s="73"/>
      <c r="DF377" s="73"/>
      <c r="DG377" s="73"/>
      <c r="DH377" s="73"/>
      <c r="DI377" s="73"/>
      <c r="DJ377" s="73"/>
      <c r="DK377" s="73"/>
      <c r="DL377" s="73"/>
      <c r="DM377" s="73"/>
      <c r="DN377" s="73"/>
      <c r="DO377" s="73"/>
      <c r="DP377" s="73"/>
      <c r="DQ377" s="73"/>
      <c r="DR377" s="73"/>
      <c r="DS377" s="73"/>
      <c r="DT377" s="73"/>
      <c r="DU377" s="73"/>
      <c r="DV377" s="73"/>
      <c r="DW377" s="73"/>
      <c r="DX377" s="72"/>
      <c r="DY377" s="72"/>
      <c r="DZ377" s="73"/>
      <c r="EA377" s="73"/>
      <c r="EB377" s="73"/>
      <c r="EC377" s="73"/>
      <c r="ED377" s="73"/>
      <c r="EE377" s="73"/>
      <c r="EF377" s="73"/>
      <c r="EG377" s="73"/>
      <c r="EH377" s="73"/>
      <c r="EI377" s="73"/>
      <c r="EJ377" s="73"/>
      <c r="EK377" s="73"/>
      <c r="EL377" s="73"/>
      <c r="EM377" s="73"/>
      <c r="EN377" s="73"/>
      <c r="EO377" s="73"/>
      <c r="EP377" s="69"/>
      <c r="EQ377" s="69"/>
      <c r="ER377" s="69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  <c r="CI378" s="73"/>
      <c r="CJ378" s="73"/>
      <c r="CK378" s="73"/>
      <c r="CL378" s="73"/>
      <c r="CM378" s="72"/>
      <c r="CN378" s="73"/>
      <c r="CO378" s="73"/>
      <c r="CP378" s="73"/>
      <c r="CQ378" s="73"/>
      <c r="CR378" s="73"/>
      <c r="CS378" s="73"/>
      <c r="CT378" s="73"/>
      <c r="CU378" s="73"/>
      <c r="CV378" s="73"/>
      <c r="CW378" s="73"/>
      <c r="CX378" s="73"/>
      <c r="CY378" s="73"/>
      <c r="CZ378" s="73"/>
      <c r="DA378" s="73"/>
      <c r="DB378" s="73"/>
      <c r="DC378" s="73"/>
      <c r="DD378" s="73"/>
      <c r="DE378" s="73"/>
      <c r="DF378" s="73"/>
      <c r="DG378" s="73"/>
      <c r="DH378" s="73"/>
      <c r="DI378" s="73"/>
      <c r="DJ378" s="73"/>
      <c r="DK378" s="73"/>
      <c r="DL378" s="73"/>
      <c r="DM378" s="73"/>
      <c r="DN378" s="73"/>
      <c r="DO378" s="73"/>
      <c r="DP378" s="73"/>
      <c r="DQ378" s="73"/>
      <c r="DR378" s="73"/>
      <c r="DS378" s="73"/>
      <c r="DT378" s="73"/>
      <c r="DU378" s="73"/>
      <c r="DV378" s="73"/>
      <c r="DW378" s="73"/>
      <c r="DX378" s="72"/>
      <c r="DY378" s="72"/>
      <c r="DZ378" s="73"/>
      <c r="EA378" s="73"/>
      <c r="EB378" s="73"/>
      <c r="EC378" s="73"/>
      <c r="ED378" s="73"/>
      <c r="EE378" s="73"/>
      <c r="EF378" s="73"/>
      <c r="EG378" s="73"/>
      <c r="EH378" s="73"/>
      <c r="EI378" s="73"/>
      <c r="EJ378" s="73"/>
      <c r="EK378" s="73"/>
      <c r="EL378" s="73"/>
      <c r="EM378" s="73"/>
      <c r="EN378" s="73"/>
      <c r="EO378" s="73"/>
      <c r="EP378" s="69"/>
      <c r="EQ378" s="69"/>
      <c r="ER378" s="69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2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73"/>
      <c r="DD379" s="73"/>
      <c r="DE379" s="73"/>
      <c r="DF379" s="73"/>
      <c r="DG379" s="73"/>
      <c r="DH379" s="73"/>
      <c r="DI379" s="73"/>
      <c r="DJ379" s="73"/>
      <c r="DK379" s="73"/>
      <c r="DL379" s="73"/>
      <c r="DM379" s="73"/>
      <c r="DN379" s="73"/>
      <c r="DO379" s="73"/>
      <c r="DP379" s="73"/>
      <c r="DQ379" s="73"/>
      <c r="DR379" s="73"/>
      <c r="DS379" s="73"/>
      <c r="DT379" s="73"/>
      <c r="DU379" s="73"/>
      <c r="DV379" s="73"/>
      <c r="DW379" s="73"/>
      <c r="DX379" s="72"/>
      <c r="DY379" s="72"/>
      <c r="DZ379" s="73"/>
      <c r="EA379" s="73"/>
      <c r="EB379" s="73"/>
      <c r="EC379" s="73"/>
      <c r="ED379" s="73"/>
      <c r="EE379" s="73"/>
      <c r="EF379" s="73"/>
      <c r="EG379" s="73"/>
      <c r="EH379" s="73"/>
      <c r="EI379" s="73"/>
      <c r="EJ379" s="73"/>
      <c r="EK379" s="73"/>
      <c r="EL379" s="73"/>
      <c r="EM379" s="73"/>
      <c r="EN379" s="73"/>
      <c r="EO379" s="73"/>
      <c r="EP379" s="69"/>
      <c r="EQ379" s="69"/>
      <c r="ER379" s="69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  <c r="CK380" s="73"/>
      <c r="CL380" s="73"/>
      <c r="CM380" s="73"/>
      <c r="CN380" s="73"/>
      <c r="CO380" s="73"/>
      <c r="CP380" s="73"/>
      <c r="CQ380" s="73"/>
      <c r="CR380" s="73"/>
      <c r="CS380" s="73"/>
      <c r="CT380" s="73"/>
      <c r="CU380" s="73"/>
      <c r="CV380" s="73"/>
      <c r="CW380" s="73"/>
      <c r="CX380" s="73"/>
      <c r="CY380" s="73"/>
      <c r="CZ380" s="73"/>
      <c r="DA380" s="73"/>
      <c r="DB380" s="73"/>
      <c r="DC380" s="73"/>
      <c r="DD380" s="73"/>
      <c r="DE380" s="73"/>
      <c r="DF380" s="73"/>
      <c r="DG380" s="73"/>
      <c r="DH380" s="73"/>
      <c r="DI380" s="73"/>
      <c r="DJ380" s="73"/>
      <c r="DK380" s="73"/>
      <c r="DL380" s="73"/>
      <c r="DM380" s="73"/>
      <c r="DN380" s="73"/>
      <c r="DO380" s="73"/>
      <c r="DP380" s="73"/>
      <c r="DQ380" s="73"/>
      <c r="DR380" s="73"/>
      <c r="DS380" s="73"/>
      <c r="DT380" s="73"/>
      <c r="DU380" s="73"/>
      <c r="DV380" s="73"/>
      <c r="DW380" s="73"/>
      <c r="DX380" s="72"/>
      <c r="DY380" s="72"/>
      <c r="DZ380" s="73"/>
      <c r="EA380" s="73"/>
      <c r="EB380" s="73"/>
      <c r="EC380" s="73"/>
      <c r="ED380" s="73"/>
      <c r="EE380" s="73"/>
      <c r="EF380" s="73"/>
      <c r="EG380" s="73"/>
      <c r="EH380" s="73"/>
      <c r="EI380" s="73"/>
      <c r="EJ380" s="73"/>
      <c r="EK380" s="73"/>
      <c r="EL380" s="73"/>
      <c r="EM380" s="73"/>
      <c r="EN380" s="73"/>
      <c r="EO380" s="73"/>
      <c r="EP380" s="69"/>
      <c r="EQ380" s="69"/>
      <c r="ER380" s="69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73"/>
      <c r="DD381" s="73"/>
      <c r="DE381" s="73"/>
      <c r="DF381" s="73"/>
      <c r="DG381" s="73"/>
      <c r="DH381" s="73"/>
      <c r="DI381" s="73"/>
      <c r="DJ381" s="73"/>
      <c r="DK381" s="73"/>
      <c r="DL381" s="73"/>
      <c r="DM381" s="73"/>
      <c r="DN381" s="73"/>
      <c r="DO381" s="73"/>
      <c r="DP381" s="73"/>
      <c r="DQ381" s="73"/>
      <c r="DR381" s="73"/>
      <c r="DS381" s="73"/>
      <c r="DT381" s="73"/>
      <c r="DU381" s="73"/>
      <c r="DV381" s="73"/>
      <c r="DW381" s="73"/>
      <c r="DX381" s="72"/>
      <c r="DY381" s="72"/>
      <c r="DZ381" s="73"/>
      <c r="EA381" s="73"/>
      <c r="EB381" s="73"/>
      <c r="EC381" s="73"/>
      <c r="ED381" s="73"/>
      <c r="EE381" s="73"/>
      <c r="EF381" s="73"/>
      <c r="EG381" s="73"/>
      <c r="EH381" s="73"/>
      <c r="EI381" s="73"/>
      <c r="EJ381" s="73"/>
      <c r="EK381" s="73"/>
      <c r="EL381" s="73"/>
      <c r="EM381" s="73"/>
      <c r="EN381" s="73"/>
      <c r="EO381" s="73"/>
      <c r="EP381" s="69"/>
      <c r="EQ381" s="69"/>
      <c r="ER381" s="69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  <c r="CK382" s="73"/>
      <c r="CL382" s="73"/>
      <c r="CM382" s="73"/>
      <c r="CN382" s="73"/>
      <c r="CO382" s="73"/>
      <c r="CP382" s="73"/>
      <c r="CQ382" s="73"/>
      <c r="CR382" s="73"/>
      <c r="CS382" s="73"/>
      <c r="CT382" s="73"/>
      <c r="CU382" s="73"/>
      <c r="CV382" s="73"/>
      <c r="CW382" s="73"/>
      <c r="CX382" s="73"/>
      <c r="CY382" s="73"/>
      <c r="CZ382" s="73"/>
      <c r="DA382" s="73"/>
      <c r="DB382" s="73"/>
      <c r="DC382" s="73"/>
      <c r="DD382" s="73"/>
      <c r="DE382" s="73"/>
      <c r="DF382" s="73"/>
      <c r="DG382" s="73"/>
      <c r="DH382" s="73"/>
      <c r="DI382" s="73"/>
      <c r="DJ382" s="73"/>
      <c r="DK382" s="73"/>
      <c r="DL382" s="73"/>
      <c r="DM382" s="73"/>
      <c r="DN382" s="73"/>
      <c r="DO382" s="73"/>
      <c r="DP382" s="73"/>
      <c r="DQ382" s="73"/>
      <c r="DR382" s="73"/>
      <c r="DS382" s="73"/>
      <c r="DT382" s="73"/>
      <c r="DU382" s="73"/>
      <c r="DV382" s="73"/>
      <c r="DW382" s="73"/>
      <c r="DX382" s="72"/>
      <c r="DY382" s="72"/>
      <c r="DZ382" s="73"/>
      <c r="EA382" s="73"/>
      <c r="EB382" s="73"/>
      <c r="EC382" s="73"/>
      <c r="ED382" s="73"/>
      <c r="EE382" s="73"/>
      <c r="EF382" s="73"/>
      <c r="EG382" s="73"/>
      <c r="EH382" s="73"/>
      <c r="EI382" s="73"/>
      <c r="EJ382" s="73"/>
      <c r="EK382" s="73"/>
      <c r="EL382" s="73"/>
      <c r="EM382" s="73"/>
      <c r="EN382" s="73"/>
      <c r="EO382" s="73"/>
      <c r="EP382" s="69"/>
      <c r="EQ382" s="69"/>
      <c r="ER382" s="69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  <c r="CK383" s="73"/>
      <c r="CL383" s="73"/>
      <c r="CM383" s="73"/>
      <c r="CN383" s="73"/>
      <c r="CO383" s="73"/>
      <c r="CP383" s="73"/>
      <c r="CQ383" s="73"/>
      <c r="CR383" s="73"/>
      <c r="CS383" s="73"/>
      <c r="CT383" s="73"/>
      <c r="CU383" s="73"/>
      <c r="CV383" s="73"/>
      <c r="CW383" s="73"/>
      <c r="CX383" s="73"/>
      <c r="CY383" s="73"/>
      <c r="CZ383" s="73"/>
      <c r="DA383" s="73"/>
      <c r="DB383" s="73"/>
      <c r="DC383" s="73"/>
      <c r="DD383" s="73"/>
      <c r="DE383" s="73"/>
      <c r="DF383" s="73"/>
      <c r="DG383" s="73"/>
      <c r="DH383" s="73"/>
      <c r="DI383" s="73"/>
      <c r="DJ383" s="73"/>
      <c r="DK383" s="73"/>
      <c r="DL383" s="73"/>
      <c r="DM383" s="73"/>
      <c r="DN383" s="73"/>
      <c r="DO383" s="73"/>
      <c r="DP383" s="73"/>
      <c r="DQ383" s="73"/>
      <c r="DR383" s="73"/>
      <c r="DS383" s="73"/>
      <c r="DT383" s="73"/>
      <c r="DU383" s="73"/>
      <c r="DV383" s="73"/>
      <c r="DW383" s="73"/>
      <c r="DX383" s="72"/>
      <c r="DY383" s="72"/>
      <c r="DZ383" s="73"/>
      <c r="EA383" s="73"/>
      <c r="EB383" s="73"/>
      <c r="EC383" s="73"/>
      <c r="ED383" s="73"/>
      <c r="EE383" s="73"/>
      <c r="EF383" s="73"/>
      <c r="EG383" s="73"/>
      <c r="EH383" s="73"/>
      <c r="EI383" s="73"/>
      <c r="EJ383" s="73"/>
      <c r="EK383" s="73"/>
      <c r="EL383" s="73"/>
      <c r="EM383" s="73"/>
      <c r="EN383" s="73"/>
      <c r="EO383" s="73"/>
      <c r="EP383" s="69"/>
      <c r="EQ383" s="69"/>
      <c r="ER383" s="69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73"/>
      <c r="CT384" s="73"/>
      <c r="CU384" s="73"/>
      <c r="CV384" s="73"/>
      <c r="CW384" s="73"/>
      <c r="CX384" s="73"/>
      <c r="CY384" s="73"/>
      <c r="CZ384" s="73"/>
      <c r="DA384" s="73"/>
      <c r="DB384" s="73"/>
      <c r="DC384" s="73"/>
      <c r="DD384" s="73"/>
      <c r="DE384" s="73"/>
      <c r="DF384" s="73"/>
      <c r="DG384" s="73"/>
      <c r="DH384" s="73"/>
      <c r="DI384" s="73"/>
      <c r="DJ384" s="73"/>
      <c r="DK384" s="73"/>
      <c r="DL384" s="73"/>
      <c r="DM384" s="73"/>
      <c r="DN384" s="73"/>
      <c r="DO384" s="73"/>
      <c r="DP384" s="73"/>
      <c r="DQ384" s="73"/>
      <c r="DR384" s="73"/>
      <c r="DS384" s="73"/>
      <c r="DT384" s="73"/>
      <c r="DU384" s="73"/>
      <c r="DV384" s="73"/>
      <c r="DW384" s="73"/>
      <c r="DX384" s="72"/>
      <c r="DY384" s="72"/>
      <c r="DZ384" s="73"/>
      <c r="EA384" s="73"/>
      <c r="EB384" s="73"/>
      <c r="EC384" s="73"/>
      <c r="ED384" s="73"/>
      <c r="EE384" s="73"/>
      <c r="EF384" s="73"/>
      <c r="EG384" s="73"/>
      <c r="EH384" s="73"/>
      <c r="EI384" s="73"/>
      <c r="EJ384" s="73"/>
      <c r="EK384" s="73"/>
      <c r="EL384" s="73"/>
      <c r="EM384" s="73"/>
      <c r="EN384" s="73"/>
      <c r="EO384" s="73"/>
      <c r="EP384" s="69"/>
      <c r="EQ384" s="69"/>
      <c r="ER384" s="69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  <c r="CI385" s="73"/>
      <c r="CJ385" s="73"/>
      <c r="CK385" s="73"/>
      <c r="CL385" s="73"/>
      <c r="CM385" s="73"/>
      <c r="CN385" s="73"/>
      <c r="CO385" s="73"/>
      <c r="CP385" s="73"/>
      <c r="CQ385" s="73"/>
      <c r="CR385" s="73"/>
      <c r="CS385" s="73"/>
      <c r="CT385" s="73"/>
      <c r="CU385" s="73"/>
      <c r="CV385" s="73"/>
      <c r="CW385" s="73"/>
      <c r="CX385" s="73"/>
      <c r="CY385" s="73"/>
      <c r="CZ385" s="73"/>
      <c r="DA385" s="73"/>
      <c r="DB385" s="73"/>
      <c r="DC385" s="73"/>
      <c r="DD385" s="73"/>
      <c r="DE385" s="73"/>
      <c r="DF385" s="73"/>
      <c r="DG385" s="73"/>
      <c r="DH385" s="73"/>
      <c r="DI385" s="73"/>
      <c r="DJ385" s="73"/>
      <c r="DK385" s="73"/>
      <c r="DL385" s="73"/>
      <c r="DM385" s="73"/>
      <c r="DN385" s="73"/>
      <c r="DO385" s="73"/>
      <c r="DP385" s="73"/>
      <c r="DQ385" s="73"/>
      <c r="DR385" s="73"/>
      <c r="DS385" s="73"/>
      <c r="DT385" s="73"/>
      <c r="DU385" s="73"/>
      <c r="DV385" s="73"/>
      <c r="DW385" s="73"/>
      <c r="DX385" s="72"/>
      <c r="DY385" s="72"/>
      <c r="DZ385" s="73"/>
      <c r="EA385" s="73"/>
      <c r="EB385" s="73"/>
      <c r="EC385" s="73"/>
      <c r="ED385" s="73"/>
      <c r="EE385" s="73"/>
      <c r="EF385" s="73"/>
      <c r="EG385" s="73"/>
      <c r="EH385" s="73"/>
      <c r="EI385" s="73"/>
      <c r="EJ385" s="73"/>
      <c r="EK385" s="73"/>
      <c r="EL385" s="73"/>
      <c r="EM385" s="73"/>
      <c r="EN385" s="73"/>
      <c r="EO385" s="73"/>
      <c r="EP385" s="69"/>
      <c r="EQ385" s="69"/>
      <c r="ER385" s="69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  <c r="CK386" s="73"/>
      <c r="CL386" s="73"/>
      <c r="CM386" s="73"/>
      <c r="CN386" s="73"/>
      <c r="CO386" s="73"/>
      <c r="CP386" s="73"/>
      <c r="CQ386" s="73"/>
      <c r="CR386" s="73"/>
      <c r="CS386" s="73"/>
      <c r="CT386" s="73"/>
      <c r="CU386" s="73"/>
      <c r="CV386" s="73"/>
      <c r="CW386" s="73"/>
      <c r="CX386" s="73"/>
      <c r="CY386" s="73"/>
      <c r="CZ386" s="73"/>
      <c r="DA386" s="73"/>
      <c r="DB386" s="73"/>
      <c r="DC386" s="73"/>
      <c r="DD386" s="73"/>
      <c r="DE386" s="73"/>
      <c r="DF386" s="73"/>
      <c r="DG386" s="73"/>
      <c r="DH386" s="73"/>
      <c r="DI386" s="73"/>
      <c r="DJ386" s="73"/>
      <c r="DK386" s="73"/>
      <c r="DL386" s="73"/>
      <c r="DM386" s="73"/>
      <c r="DN386" s="73"/>
      <c r="DO386" s="73"/>
      <c r="DP386" s="73"/>
      <c r="DQ386" s="73"/>
      <c r="DR386" s="73"/>
      <c r="DS386" s="73"/>
      <c r="DT386" s="73"/>
      <c r="DU386" s="73"/>
      <c r="DV386" s="73"/>
      <c r="DW386" s="73"/>
      <c r="DX386" s="72"/>
      <c r="DY386" s="72"/>
      <c r="DZ386" s="73"/>
      <c r="EA386" s="73"/>
      <c r="EB386" s="73"/>
      <c r="EC386" s="73"/>
      <c r="ED386" s="73"/>
      <c r="EE386" s="73"/>
      <c r="EF386" s="73"/>
      <c r="EG386" s="73"/>
      <c r="EH386" s="73"/>
      <c r="EI386" s="73"/>
      <c r="EJ386" s="73"/>
      <c r="EK386" s="73"/>
      <c r="EL386" s="73"/>
      <c r="EM386" s="73"/>
      <c r="EN386" s="73"/>
      <c r="EO386" s="73"/>
      <c r="EP386" s="69"/>
      <c r="EQ386" s="69"/>
      <c r="ER386" s="69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  <c r="CK387" s="73"/>
      <c r="CL387" s="73"/>
      <c r="CM387" s="73"/>
      <c r="CN387" s="73"/>
      <c r="CO387" s="73"/>
      <c r="CP387" s="73"/>
      <c r="CQ387" s="73"/>
      <c r="CR387" s="73"/>
      <c r="CS387" s="73"/>
      <c r="CT387" s="73"/>
      <c r="CU387" s="73"/>
      <c r="CV387" s="73"/>
      <c r="CW387" s="73"/>
      <c r="CX387" s="73"/>
      <c r="CY387" s="73"/>
      <c r="CZ387" s="73"/>
      <c r="DA387" s="73"/>
      <c r="DB387" s="73"/>
      <c r="DC387" s="73"/>
      <c r="DD387" s="73"/>
      <c r="DE387" s="73"/>
      <c r="DF387" s="73"/>
      <c r="DG387" s="73"/>
      <c r="DH387" s="73"/>
      <c r="DI387" s="73"/>
      <c r="DJ387" s="73"/>
      <c r="DK387" s="73"/>
      <c r="DL387" s="73"/>
      <c r="DM387" s="73"/>
      <c r="DN387" s="73"/>
      <c r="DO387" s="73"/>
      <c r="DP387" s="73"/>
      <c r="DQ387" s="73"/>
      <c r="DR387" s="73"/>
      <c r="DS387" s="73"/>
      <c r="DT387" s="73"/>
      <c r="DU387" s="73"/>
      <c r="DV387" s="73"/>
      <c r="DW387" s="73"/>
      <c r="DX387" s="72"/>
      <c r="DY387" s="72"/>
      <c r="DZ387" s="73"/>
      <c r="EA387" s="73"/>
      <c r="EB387" s="73"/>
      <c r="EC387" s="73"/>
      <c r="ED387" s="73"/>
      <c r="EE387" s="73"/>
      <c r="EF387" s="73"/>
      <c r="EG387" s="73"/>
      <c r="EH387" s="73"/>
      <c r="EI387" s="73"/>
      <c r="EJ387" s="73"/>
      <c r="EK387" s="73"/>
      <c r="EL387" s="73"/>
      <c r="EM387" s="73"/>
      <c r="EN387" s="73"/>
      <c r="EO387" s="73"/>
      <c r="EP387" s="69"/>
      <c r="EQ387" s="69"/>
      <c r="ER387" s="69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  <c r="CI388" s="73"/>
      <c r="CJ388" s="73"/>
      <c r="CK388" s="73"/>
      <c r="CL388" s="73"/>
      <c r="CM388" s="73"/>
      <c r="CN388" s="73"/>
      <c r="CO388" s="73"/>
      <c r="CP388" s="73"/>
      <c r="CQ388" s="73"/>
      <c r="CR388" s="73"/>
      <c r="CS388" s="73"/>
      <c r="CT388" s="73"/>
      <c r="CU388" s="73"/>
      <c r="CV388" s="73"/>
      <c r="CW388" s="73"/>
      <c r="CX388" s="73"/>
      <c r="CY388" s="73"/>
      <c r="CZ388" s="73"/>
      <c r="DA388" s="73"/>
      <c r="DB388" s="73"/>
      <c r="DC388" s="73"/>
      <c r="DD388" s="73"/>
      <c r="DE388" s="73"/>
      <c r="DF388" s="73"/>
      <c r="DG388" s="73"/>
      <c r="DH388" s="73"/>
      <c r="DI388" s="73"/>
      <c r="DJ388" s="73"/>
      <c r="DK388" s="73"/>
      <c r="DL388" s="73"/>
      <c r="DM388" s="73"/>
      <c r="DN388" s="73"/>
      <c r="DO388" s="73"/>
      <c r="DP388" s="73"/>
      <c r="DQ388" s="73"/>
      <c r="DR388" s="73"/>
      <c r="DS388" s="73"/>
      <c r="DT388" s="73"/>
      <c r="DU388" s="73"/>
      <c r="DV388" s="73"/>
      <c r="DW388" s="73"/>
      <c r="DX388" s="72"/>
      <c r="DY388" s="72"/>
      <c r="DZ388" s="73"/>
      <c r="EA388" s="73"/>
      <c r="EB388" s="73"/>
      <c r="EC388" s="73"/>
      <c r="ED388" s="73"/>
      <c r="EE388" s="73"/>
      <c r="EF388" s="73"/>
      <c r="EG388" s="73"/>
      <c r="EH388" s="73"/>
      <c r="EI388" s="73"/>
      <c r="EJ388" s="73"/>
      <c r="EK388" s="73"/>
      <c r="EL388" s="73"/>
      <c r="EM388" s="73"/>
      <c r="EN388" s="73"/>
      <c r="EO388" s="73"/>
      <c r="EP388" s="69"/>
      <c r="EQ388" s="69"/>
      <c r="ER388" s="69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73"/>
      <c r="CT389" s="73"/>
      <c r="CU389" s="73"/>
      <c r="CV389" s="73"/>
      <c r="CW389" s="73"/>
      <c r="CX389" s="73"/>
      <c r="CY389" s="73"/>
      <c r="CZ389" s="73"/>
      <c r="DA389" s="73"/>
      <c r="DB389" s="73"/>
      <c r="DC389" s="73"/>
      <c r="DD389" s="73"/>
      <c r="DE389" s="73"/>
      <c r="DF389" s="73"/>
      <c r="DG389" s="73"/>
      <c r="DH389" s="73"/>
      <c r="DI389" s="73"/>
      <c r="DJ389" s="73"/>
      <c r="DK389" s="73"/>
      <c r="DL389" s="73"/>
      <c r="DM389" s="73"/>
      <c r="DN389" s="73"/>
      <c r="DO389" s="73"/>
      <c r="DP389" s="73"/>
      <c r="DQ389" s="73"/>
      <c r="DR389" s="73"/>
      <c r="DS389" s="73"/>
      <c r="DT389" s="73"/>
      <c r="DU389" s="73"/>
      <c r="DV389" s="73"/>
      <c r="DW389" s="73"/>
      <c r="DX389" s="72"/>
      <c r="DY389" s="72"/>
      <c r="DZ389" s="73"/>
      <c r="EA389" s="73"/>
      <c r="EB389" s="73"/>
      <c r="EC389" s="73"/>
      <c r="ED389" s="73"/>
      <c r="EE389" s="73"/>
      <c r="EF389" s="73"/>
      <c r="EG389" s="73"/>
      <c r="EH389" s="73"/>
      <c r="EI389" s="73"/>
      <c r="EJ389" s="73"/>
      <c r="EK389" s="73"/>
      <c r="EL389" s="73"/>
      <c r="EM389" s="73"/>
      <c r="EN389" s="73"/>
      <c r="EO389" s="73"/>
      <c r="EP389" s="69"/>
      <c r="EQ389" s="69"/>
      <c r="ER389" s="69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  <c r="CK390" s="73"/>
      <c r="CL390" s="73"/>
      <c r="CM390" s="73"/>
      <c r="CN390" s="73"/>
      <c r="CO390" s="73"/>
      <c r="CP390" s="73"/>
      <c r="CQ390" s="73"/>
      <c r="CR390" s="73"/>
      <c r="CS390" s="73"/>
      <c r="CT390" s="73"/>
      <c r="CU390" s="73"/>
      <c r="CV390" s="73"/>
      <c r="CW390" s="73"/>
      <c r="CX390" s="73"/>
      <c r="CY390" s="73"/>
      <c r="CZ390" s="73"/>
      <c r="DA390" s="73"/>
      <c r="DB390" s="73"/>
      <c r="DC390" s="73"/>
      <c r="DD390" s="73"/>
      <c r="DE390" s="73"/>
      <c r="DF390" s="73"/>
      <c r="DG390" s="73"/>
      <c r="DH390" s="73"/>
      <c r="DI390" s="73"/>
      <c r="DJ390" s="73"/>
      <c r="DK390" s="73"/>
      <c r="DL390" s="73"/>
      <c r="DM390" s="73"/>
      <c r="DN390" s="73"/>
      <c r="DO390" s="73"/>
      <c r="DP390" s="73"/>
      <c r="DQ390" s="73"/>
      <c r="DR390" s="73"/>
      <c r="DS390" s="73"/>
      <c r="DT390" s="73"/>
      <c r="DU390" s="73"/>
      <c r="DV390" s="73"/>
      <c r="DW390" s="73"/>
      <c r="DX390" s="72"/>
      <c r="DY390" s="72"/>
      <c r="DZ390" s="73"/>
      <c r="EA390" s="73"/>
      <c r="EB390" s="73"/>
      <c r="EC390" s="73"/>
      <c r="ED390" s="73"/>
      <c r="EE390" s="73"/>
      <c r="EF390" s="73"/>
      <c r="EG390" s="73"/>
      <c r="EH390" s="73"/>
      <c r="EI390" s="73"/>
      <c r="EJ390" s="73"/>
      <c r="EK390" s="73"/>
      <c r="EL390" s="73"/>
      <c r="EM390" s="73"/>
      <c r="EN390" s="73"/>
      <c r="EO390" s="73"/>
      <c r="EP390" s="69"/>
      <c r="EQ390" s="69"/>
      <c r="ER390" s="69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  <c r="CK391" s="73"/>
      <c r="CL391" s="73"/>
      <c r="CM391" s="73"/>
      <c r="CN391" s="73"/>
      <c r="CO391" s="73"/>
      <c r="CP391" s="73"/>
      <c r="CQ391" s="73"/>
      <c r="CR391" s="73"/>
      <c r="CS391" s="73"/>
      <c r="CT391" s="73"/>
      <c r="CU391" s="73"/>
      <c r="CV391" s="73"/>
      <c r="CW391" s="73"/>
      <c r="CX391" s="73"/>
      <c r="CY391" s="73"/>
      <c r="CZ391" s="73"/>
      <c r="DA391" s="73"/>
      <c r="DB391" s="73"/>
      <c r="DC391" s="73"/>
      <c r="DD391" s="73"/>
      <c r="DE391" s="73"/>
      <c r="DF391" s="73"/>
      <c r="DG391" s="73"/>
      <c r="DH391" s="73"/>
      <c r="DI391" s="73"/>
      <c r="DJ391" s="73"/>
      <c r="DK391" s="73"/>
      <c r="DL391" s="73"/>
      <c r="DM391" s="73"/>
      <c r="DN391" s="73"/>
      <c r="DO391" s="73"/>
      <c r="DP391" s="73"/>
      <c r="DQ391" s="73"/>
      <c r="DR391" s="73"/>
      <c r="DS391" s="73"/>
      <c r="DT391" s="73"/>
      <c r="DU391" s="73"/>
      <c r="DV391" s="73"/>
      <c r="DW391" s="73"/>
      <c r="DX391" s="72"/>
      <c r="DY391" s="72"/>
      <c r="DZ391" s="73"/>
      <c r="EA391" s="73"/>
      <c r="EB391" s="73"/>
      <c r="EC391" s="73"/>
      <c r="ED391" s="73"/>
      <c r="EE391" s="73"/>
      <c r="EF391" s="73"/>
      <c r="EG391" s="73"/>
      <c r="EH391" s="73"/>
      <c r="EI391" s="73"/>
      <c r="EJ391" s="73"/>
      <c r="EK391" s="73"/>
      <c r="EL391" s="73"/>
      <c r="EM391" s="73"/>
      <c r="EN391" s="73"/>
      <c r="EO391" s="73"/>
      <c r="EP391" s="69"/>
      <c r="EQ391" s="69"/>
      <c r="ER391" s="69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  <c r="CK392" s="73"/>
      <c r="CL392" s="73"/>
      <c r="CM392" s="73"/>
      <c r="CN392" s="73"/>
      <c r="CO392" s="73"/>
      <c r="CP392" s="73"/>
      <c r="CQ392" s="73"/>
      <c r="CR392" s="73"/>
      <c r="CS392" s="73"/>
      <c r="CT392" s="73"/>
      <c r="CU392" s="73"/>
      <c r="CV392" s="73"/>
      <c r="CW392" s="73"/>
      <c r="CX392" s="73"/>
      <c r="CY392" s="73"/>
      <c r="CZ392" s="73"/>
      <c r="DA392" s="73"/>
      <c r="DB392" s="73"/>
      <c r="DC392" s="73"/>
      <c r="DD392" s="73"/>
      <c r="DE392" s="73"/>
      <c r="DF392" s="73"/>
      <c r="DG392" s="73"/>
      <c r="DH392" s="73"/>
      <c r="DI392" s="73"/>
      <c r="DJ392" s="73"/>
      <c r="DK392" s="73"/>
      <c r="DL392" s="73"/>
      <c r="DM392" s="73"/>
      <c r="DN392" s="73"/>
      <c r="DO392" s="73"/>
      <c r="DP392" s="73"/>
      <c r="DQ392" s="73"/>
      <c r="DR392" s="73"/>
      <c r="DS392" s="73"/>
      <c r="DT392" s="73"/>
      <c r="DU392" s="73"/>
      <c r="DV392" s="73"/>
      <c r="DW392" s="73"/>
      <c r="DX392" s="72"/>
      <c r="DY392" s="72"/>
      <c r="DZ392" s="73"/>
      <c r="EA392" s="73"/>
      <c r="EB392" s="73"/>
      <c r="EC392" s="73"/>
      <c r="ED392" s="73"/>
      <c r="EE392" s="73"/>
      <c r="EF392" s="73"/>
      <c r="EG392" s="73"/>
      <c r="EH392" s="73"/>
      <c r="EI392" s="73"/>
      <c r="EJ392" s="73"/>
      <c r="EK392" s="73"/>
      <c r="EL392" s="73"/>
      <c r="EM392" s="73"/>
      <c r="EN392" s="73"/>
      <c r="EO392" s="73"/>
      <c r="EP392" s="69"/>
      <c r="EQ392" s="69"/>
      <c r="ER392" s="69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  <c r="CK393" s="73"/>
      <c r="CL393" s="73"/>
      <c r="CM393" s="73"/>
      <c r="CN393" s="73"/>
      <c r="CO393" s="73"/>
      <c r="CP393" s="73"/>
      <c r="CQ393" s="73"/>
      <c r="CR393" s="73"/>
      <c r="CS393" s="73"/>
      <c r="CT393" s="73"/>
      <c r="CU393" s="73"/>
      <c r="CV393" s="73"/>
      <c r="CW393" s="73"/>
      <c r="CX393" s="73"/>
      <c r="CY393" s="73"/>
      <c r="CZ393" s="73"/>
      <c r="DA393" s="73"/>
      <c r="DB393" s="73"/>
      <c r="DC393" s="73"/>
      <c r="DD393" s="73"/>
      <c r="DE393" s="73"/>
      <c r="DF393" s="73"/>
      <c r="DG393" s="73"/>
      <c r="DH393" s="73"/>
      <c r="DI393" s="73"/>
      <c r="DJ393" s="73"/>
      <c r="DK393" s="73"/>
      <c r="DL393" s="73"/>
      <c r="DM393" s="73"/>
      <c r="DN393" s="73"/>
      <c r="DO393" s="73"/>
      <c r="DP393" s="73"/>
      <c r="DQ393" s="73"/>
      <c r="DR393" s="73"/>
      <c r="DS393" s="73"/>
      <c r="DT393" s="73"/>
      <c r="DU393" s="73"/>
      <c r="DV393" s="73"/>
      <c r="DW393" s="73"/>
      <c r="DX393" s="73"/>
      <c r="DY393" s="73"/>
      <c r="DZ393" s="73"/>
      <c r="EA393" s="73"/>
      <c r="EB393" s="73"/>
      <c r="EC393" s="73"/>
      <c r="ED393" s="73"/>
      <c r="EE393" s="73"/>
      <c r="EF393" s="73"/>
      <c r="EG393" s="73"/>
      <c r="EH393" s="73"/>
      <c r="EI393" s="73"/>
      <c r="EJ393" s="73"/>
      <c r="EK393" s="73"/>
      <c r="EL393" s="73"/>
      <c r="EM393" s="73"/>
      <c r="EN393" s="73"/>
      <c r="EO393" s="73"/>
      <c r="EP393" s="69"/>
      <c r="EQ393" s="69"/>
      <c r="ER393" s="69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  <c r="CK394" s="73"/>
      <c r="CL394" s="73"/>
      <c r="CM394" s="73"/>
      <c r="CN394" s="73"/>
      <c r="CO394" s="73"/>
      <c r="CP394" s="73"/>
      <c r="CQ394" s="73"/>
      <c r="CR394" s="73"/>
      <c r="CS394" s="73"/>
      <c r="CT394" s="73"/>
      <c r="CU394" s="73"/>
      <c r="CV394" s="73"/>
      <c r="CW394" s="73"/>
      <c r="CX394" s="73"/>
      <c r="CY394" s="73"/>
      <c r="CZ394" s="73"/>
      <c r="DA394" s="73"/>
      <c r="DB394" s="73"/>
      <c r="DC394" s="73"/>
      <c r="DD394" s="73"/>
      <c r="DE394" s="73"/>
      <c r="DF394" s="73"/>
      <c r="DG394" s="73"/>
      <c r="DH394" s="73"/>
      <c r="DI394" s="73"/>
      <c r="DJ394" s="73"/>
      <c r="DK394" s="73"/>
      <c r="DL394" s="73"/>
      <c r="DM394" s="73"/>
      <c r="DN394" s="73"/>
      <c r="DO394" s="73"/>
      <c r="DP394" s="73"/>
      <c r="DQ394" s="73"/>
      <c r="DR394" s="73"/>
      <c r="DS394" s="73"/>
      <c r="DT394" s="73"/>
      <c r="DU394" s="73"/>
      <c r="DV394" s="73"/>
      <c r="DW394" s="73"/>
      <c r="DX394" s="72"/>
      <c r="DY394" s="72"/>
      <c r="DZ394" s="73"/>
      <c r="EA394" s="73"/>
      <c r="EB394" s="73"/>
      <c r="EC394" s="73"/>
      <c r="ED394" s="73"/>
      <c r="EE394" s="73"/>
      <c r="EF394" s="73"/>
      <c r="EG394" s="73"/>
      <c r="EH394" s="73"/>
      <c r="EI394" s="73"/>
      <c r="EJ394" s="73"/>
      <c r="EK394" s="73"/>
      <c r="EL394" s="73"/>
      <c r="EM394" s="73"/>
      <c r="EN394" s="73"/>
      <c r="EO394" s="73"/>
      <c r="EP394" s="69"/>
      <c r="EQ394" s="69"/>
      <c r="ER394" s="69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  <c r="CK395" s="73"/>
      <c r="CL395" s="73"/>
      <c r="CM395" s="72"/>
      <c r="CN395" s="73"/>
      <c r="CO395" s="73"/>
      <c r="CP395" s="73"/>
      <c r="CQ395" s="73"/>
      <c r="CR395" s="73"/>
      <c r="CS395" s="73"/>
      <c r="CT395" s="73"/>
      <c r="CU395" s="73"/>
      <c r="CV395" s="73"/>
      <c r="CW395" s="73"/>
      <c r="CX395" s="73"/>
      <c r="CY395" s="73"/>
      <c r="CZ395" s="73"/>
      <c r="DA395" s="73"/>
      <c r="DB395" s="73"/>
      <c r="DC395" s="73"/>
      <c r="DD395" s="73"/>
      <c r="DE395" s="73"/>
      <c r="DF395" s="73"/>
      <c r="DG395" s="73"/>
      <c r="DH395" s="73"/>
      <c r="DI395" s="73"/>
      <c r="DJ395" s="73"/>
      <c r="DK395" s="73"/>
      <c r="DL395" s="73"/>
      <c r="DM395" s="73"/>
      <c r="DN395" s="73"/>
      <c r="DO395" s="73"/>
      <c r="DP395" s="73"/>
      <c r="DQ395" s="73"/>
      <c r="DR395" s="73"/>
      <c r="DS395" s="73"/>
      <c r="DT395" s="73"/>
      <c r="DU395" s="73"/>
      <c r="DV395" s="73"/>
      <c r="DW395" s="73"/>
      <c r="DX395" s="72"/>
      <c r="DY395" s="72"/>
      <c r="DZ395" s="73"/>
      <c r="EA395" s="73"/>
      <c r="EB395" s="73"/>
      <c r="EC395" s="73"/>
      <c r="ED395" s="73"/>
      <c r="EE395" s="73"/>
      <c r="EF395" s="73"/>
      <c r="EG395" s="73"/>
      <c r="EH395" s="73"/>
      <c r="EI395" s="73"/>
      <c r="EJ395" s="73"/>
      <c r="EK395" s="73"/>
      <c r="EL395" s="73"/>
      <c r="EM395" s="73"/>
      <c r="EN395" s="73"/>
      <c r="EO395" s="73"/>
      <c r="EP395" s="69"/>
      <c r="EQ395" s="69"/>
      <c r="ER395" s="69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  <c r="CK396" s="73"/>
      <c r="CL396" s="73"/>
      <c r="CM396" s="73"/>
      <c r="CN396" s="73"/>
      <c r="CO396" s="73"/>
      <c r="CP396" s="73"/>
      <c r="CQ396" s="73"/>
      <c r="CR396" s="73"/>
      <c r="CS396" s="73"/>
      <c r="CT396" s="73"/>
      <c r="CU396" s="73"/>
      <c r="CV396" s="73"/>
      <c r="CW396" s="73"/>
      <c r="CX396" s="73"/>
      <c r="CY396" s="73"/>
      <c r="CZ396" s="73"/>
      <c r="DA396" s="73"/>
      <c r="DB396" s="73"/>
      <c r="DC396" s="73"/>
      <c r="DD396" s="73"/>
      <c r="DE396" s="73"/>
      <c r="DF396" s="73"/>
      <c r="DG396" s="73"/>
      <c r="DH396" s="73"/>
      <c r="DI396" s="73"/>
      <c r="DJ396" s="73"/>
      <c r="DK396" s="73"/>
      <c r="DL396" s="73"/>
      <c r="DM396" s="73"/>
      <c r="DN396" s="73"/>
      <c r="DO396" s="73"/>
      <c r="DP396" s="73"/>
      <c r="DQ396" s="73"/>
      <c r="DR396" s="73"/>
      <c r="DS396" s="73"/>
      <c r="DT396" s="73"/>
      <c r="DU396" s="73"/>
      <c r="DV396" s="73"/>
      <c r="DW396" s="73"/>
      <c r="DX396" s="72"/>
      <c r="DY396" s="72"/>
      <c r="DZ396" s="73"/>
      <c r="EA396" s="73"/>
      <c r="EB396" s="73"/>
      <c r="EC396" s="73"/>
      <c r="ED396" s="73"/>
      <c r="EE396" s="73"/>
      <c r="EF396" s="73"/>
      <c r="EG396" s="73"/>
      <c r="EH396" s="73"/>
      <c r="EI396" s="73"/>
      <c r="EJ396" s="73"/>
      <c r="EK396" s="73"/>
      <c r="EL396" s="73"/>
      <c r="EM396" s="73"/>
      <c r="EN396" s="73"/>
      <c r="EO396" s="73"/>
      <c r="EP396" s="69"/>
      <c r="EQ396" s="69"/>
      <c r="ER396" s="69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  <c r="CK397" s="73"/>
      <c r="CL397" s="73"/>
      <c r="CM397" s="73"/>
      <c r="CN397" s="73"/>
      <c r="CO397" s="73"/>
      <c r="CP397" s="73"/>
      <c r="CQ397" s="73"/>
      <c r="CR397" s="73"/>
      <c r="CS397" s="73"/>
      <c r="CT397" s="73"/>
      <c r="CU397" s="73"/>
      <c r="CV397" s="73"/>
      <c r="CW397" s="73"/>
      <c r="CX397" s="73"/>
      <c r="CY397" s="73"/>
      <c r="CZ397" s="73"/>
      <c r="DA397" s="73"/>
      <c r="DB397" s="73"/>
      <c r="DC397" s="73"/>
      <c r="DD397" s="73"/>
      <c r="DE397" s="73"/>
      <c r="DF397" s="73"/>
      <c r="DG397" s="73"/>
      <c r="DH397" s="73"/>
      <c r="DI397" s="73"/>
      <c r="DJ397" s="73"/>
      <c r="DK397" s="73"/>
      <c r="DL397" s="73"/>
      <c r="DM397" s="73"/>
      <c r="DN397" s="73"/>
      <c r="DO397" s="73"/>
      <c r="DP397" s="73"/>
      <c r="DQ397" s="73"/>
      <c r="DR397" s="73"/>
      <c r="DS397" s="73"/>
      <c r="DT397" s="73"/>
      <c r="DU397" s="73"/>
      <c r="DV397" s="73"/>
      <c r="DW397" s="73"/>
      <c r="DX397" s="72"/>
      <c r="DY397" s="72"/>
      <c r="DZ397" s="73"/>
      <c r="EA397" s="73"/>
      <c r="EB397" s="73"/>
      <c r="EC397" s="73"/>
      <c r="ED397" s="73"/>
      <c r="EE397" s="73"/>
      <c r="EF397" s="73"/>
      <c r="EG397" s="73"/>
      <c r="EH397" s="73"/>
      <c r="EI397" s="73"/>
      <c r="EJ397" s="73"/>
      <c r="EK397" s="73"/>
      <c r="EL397" s="73"/>
      <c r="EM397" s="73"/>
      <c r="EN397" s="73"/>
      <c r="EO397" s="73"/>
      <c r="EP397" s="69"/>
      <c r="EQ397" s="69"/>
      <c r="ER397" s="69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  <c r="CK398" s="73"/>
      <c r="CL398" s="73"/>
      <c r="CM398" s="73"/>
      <c r="CN398" s="73"/>
      <c r="CO398" s="73"/>
      <c r="CP398" s="73"/>
      <c r="CQ398" s="73"/>
      <c r="CR398" s="73"/>
      <c r="CS398" s="73"/>
      <c r="CT398" s="73"/>
      <c r="CU398" s="73"/>
      <c r="CV398" s="73"/>
      <c r="CW398" s="73"/>
      <c r="CX398" s="73"/>
      <c r="CY398" s="73"/>
      <c r="CZ398" s="73"/>
      <c r="DA398" s="73"/>
      <c r="DB398" s="73"/>
      <c r="DC398" s="73"/>
      <c r="DD398" s="73"/>
      <c r="DE398" s="73"/>
      <c r="DF398" s="73"/>
      <c r="DG398" s="73"/>
      <c r="DH398" s="73"/>
      <c r="DI398" s="73"/>
      <c r="DJ398" s="73"/>
      <c r="DK398" s="73"/>
      <c r="DL398" s="73"/>
      <c r="DM398" s="73"/>
      <c r="DN398" s="73"/>
      <c r="DO398" s="73"/>
      <c r="DP398" s="73"/>
      <c r="DQ398" s="73"/>
      <c r="DR398" s="73"/>
      <c r="DS398" s="73"/>
      <c r="DT398" s="73"/>
      <c r="DU398" s="73"/>
      <c r="DV398" s="73"/>
      <c r="DW398" s="73"/>
      <c r="DX398" s="72"/>
      <c r="DY398" s="72"/>
      <c r="DZ398" s="73"/>
      <c r="EA398" s="73"/>
      <c r="EB398" s="73"/>
      <c r="EC398" s="73"/>
      <c r="ED398" s="73"/>
      <c r="EE398" s="73"/>
      <c r="EF398" s="73"/>
      <c r="EG398" s="73"/>
      <c r="EH398" s="73"/>
      <c r="EI398" s="73"/>
      <c r="EJ398" s="73"/>
      <c r="EK398" s="73"/>
      <c r="EL398" s="73"/>
      <c r="EM398" s="73"/>
      <c r="EN398" s="73"/>
      <c r="EO398" s="73"/>
      <c r="EP398" s="69"/>
      <c r="EQ398" s="69"/>
      <c r="ER398" s="69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73"/>
      <c r="CT399" s="73"/>
      <c r="CU399" s="73"/>
      <c r="CV399" s="73"/>
      <c r="CW399" s="73"/>
      <c r="CX399" s="73"/>
      <c r="CY399" s="73"/>
      <c r="CZ399" s="73"/>
      <c r="DA399" s="73"/>
      <c r="DB399" s="73"/>
      <c r="DC399" s="73"/>
      <c r="DD399" s="73"/>
      <c r="DE399" s="73"/>
      <c r="DF399" s="73"/>
      <c r="DG399" s="73"/>
      <c r="DH399" s="73"/>
      <c r="DI399" s="73"/>
      <c r="DJ399" s="73"/>
      <c r="DK399" s="73"/>
      <c r="DL399" s="73"/>
      <c r="DM399" s="73"/>
      <c r="DN399" s="73"/>
      <c r="DO399" s="73"/>
      <c r="DP399" s="73"/>
      <c r="DQ399" s="73"/>
      <c r="DR399" s="73"/>
      <c r="DS399" s="73"/>
      <c r="DT399" s="73"/>
      <c r="DU399" s="73"/>
      <c r="DV399" s="73"/>
      <c r="DW399" s="73"/>
      <c r="DX399" s="72"/>
      <c r="DY399" s="72"/>
      <c r="DZ399" s="73"/>
      <c r="EA399" s="73"/>
      <c r="EB399" s="73"/>
      <c r="EC399" s="73"/>
      <c r="ED399" s="73"/>
      <c r="EE399" s="73"/>
      <c r="EF399" s="73"/>
      <c r="EG399" s="73"/>
      <c r="EH399" s="73"/>
      <c r="EI399" s="73"/>
      <c r="EJ399" s="73"/>
      <c r="EK399" s="73"/>
      <c r="EL399" s="73"/>
      <c r="EM399" s="73"/>
      <c r="EN399" s="73"/>
      <c r="EO399" s="73"/>
      <c r="EP399" s="69"/>
      <c r="EQ399" s="69"/>
      <c r="ER399" s="69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  <c r="CI400" s="73"/>
      <c r="CJ400" s="73"/>
      <c r="CK400" s="73"/>
      <c r="CL400" s="73"/>
      <c r="CM400" s="73"/>
      <c r="CN400" s="73"/>
      <c r="CO400" s="73"/>
      <c r="CP400" s="73"/>
      <c r="CQ400" s="73"/>
      <c r="CR400" s="73"/>
      <c r="CS400" s="73"/>
      <c r="CT400" s="73"/>
      <c r="CU400" s="73"/>
      <c r="CV400" s="73"/>
      <c r="CW400" s="73"/>
      <c r="CX400" s="73"/>
      <c r="CY400" s="73"/>
      <c r="CZ400" s="73"/>
      <c r="DA400" s="73"/>
      <c r="DB400" s="73"/>
      <c r="DC400" s="73"/>
      <c r="DD400" s="73"/>
      <c r="DE400" s="73"/>
      <c r="DF400" s="73"/>
      <c r="DG400" s="73"/>
      <c r="DH400" s="73"/>
      <c r="DI400" s="73"/>
      <c r="DJ400" s="73"/>
      <c r="DK400" s="73"/>
      <c r="DL400" s="73"/>
      <c r="DM400" s="73"/>
      <c r="DN400" s="73"/>
      <c r="DO400" s="73"/>
      <c r="DP400" s="73"/>
      <c r="DQ400" s="73"/>
      <c r="DR400" s="73"/>
      <c r="DS400" s="73"/>
      <c r="DT400" s="73"/>
      <c r="DU400" s="73"/>
      <c r="DV400" s="73"/>
      <c r="DW400" s="73"/>
      <c r="DX400" s="72"/>
      <c r="DY400" s="72"/>
      <c r="DZ400" s="73"/>
      <c r="EA400" s="73"/>
      <c r="EB400" s="73"/>
      <c r="EC400" s="73"/>
      <c r="ED400" s="73"/>
      <c r="EE400" s="73"/>
      <c r="EF400" s="73"/>
      <c r="EG400" s="73"/>
      <c r="EH400" s="73"/>
      <c r="EI400" s="73"/>
      <c r="EJ400" s="73"/>
      <c r="EK400" s="73"/>
      <c r="EL400" s="73"/>
      <c r="EM400" s="73"/>
      <c r="EN400" s="73"/>
      <c r="EO400" s="73"/>
      <c r="EP400" s="69"/>
      <c r="EQ400" s="69"/>
      <c r="ER400" s="69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  <c r="CK401" s="73"/>
      <c r="CL401" s="73"/>
      <c r="CM401" s="72"/>
      <c r="CN401" s="73"/>
      <c r="CO401" s="73"/>
      <c r="CP401" s="73"/>
      <c r="CQ401" s="73"/>
      <c r="CR401" s="73"/>
      <c r="CS401" s="73"/>
      <c r="CT401" s="73"/>
      <c r="CU401" s="73"/>
      <c r="CV401" s="73"/>
      <c r="CW401" s="73"/>
      <c r="CX401" s="73"/>
      <c r="CY401" s="73"/>
      <c r="CZ401" s="73"/>
      <c r="DA401" s="73"/>
      <c r="DB401" s="73"/>
      <c r="DC401" s="73"/>
      <c r="DD401" s="73"/>
      <c r="DE401" s="73"/>
      <c r="DF401" s="73"/>
      <c r="DG401" s="73"/>
      <c r="DH401" s="73"/>
      <c r="DI401" s="73"/>
      <c r="DJ401" s="73"/>
      <c r="DK401" s="73"/>
      <c r="DL401" s="73"/>
      <c r="DM401" s="73"/>
      <c r="DN401" s="73"/>
      <c r="DO401" s="73"/>
      <c r="DP401" s="73"/>
      <c r="DQ401" s="73"/>
      <c r="DR401" s="73"/>
      <c r="DS401" s="73"/>
      <c r="DT401" s="73"/>
      <c r="DU401" s="73"/>
      <c r="DV401" s="73"/>
      <c r="DW401" s="73"/>
      <c r="DX401" s="72"/>
      <c r="DY401" s="72"/>
      <c r="DZ401" s="73"/>
      <c r="EA401" s="73"/>
      <c r="EB401" s="73"/>
      <c r="EC401" s="73"/>
      <c r="ED401" s="73"/>
      <c r="EE401" s="73"/>
      <c r="EF401" s="73"/>
      <c r="EG401" s="73"/>
      <c r="EH401" s="73"/>
      <c r="EI401" s="73"/>
      <c r="EJ401" s="73"/>
      <c r="EK401" s="73"/>
      <c r="EL401" s="73"/>
      <c r="EM401" s="73"/>
      <c r="EN401" s="73"/>
      <c r="EO401" s="73"/>
      <c r="EP401" s="69"/>
      <c r="EQ401" s="69"/>
      <c r="ER401" s="69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  <c r="CK402" s="73"/>
      <c r="CL402" s="73"/>
      <c r="CM402" s="72"/>
      <c r="CN402" s="73"/>
      <c r="CO402" s="73"/>
      <c r="CP402" s="73"/>
      <c r="CQ402" s="73"/>
      <c r="CR402" s="73"/>
      <c r="CS402" s="73"/>
      <c r="CT402" s="73"/>
      <c r="CU402" s="73"/>
      <c r="CV402" s="73"/>
      <c r="CW402" s="73"/>
      <c r="CX402" s="73"/>
      <c r="CY402" s="73"/>
      <c r="CZ402" s="73"/>
      <c r="DA402" s="73"/>
      <c r="DB402" s="73"/>
      <c r="DC402" s="73"/>
      <c r="DD402" s="73"/>
      <c r="DE402" s="73"/>
      <c r="DF402" s="73"/>
      <c r="DG402" s="73"/>
      <c r="DH402" s="73"/>
      <c r="DI402" s="73"/>
      <c r="DJ402" s="73"/>
      <c r="DK402" s="73"/>
      <c r="DL402" s="73"/>
      <c r="DM402" s="73"/>
      <c r="DN402" s="73"/>
      <c r="DO402" s="73"/>
      <c r="DP402" s="73"/>
      <c r="DQ402" s="73"/>
      <c r="DR402" s="73"/>
      <c r="DS402" s="73"/>
      <c r="DT402" s="73"/>
      <c r="DU402" s="73"/>
      <c r="DV402" s="73"/>
      <c r="DW402" s="73"/>
      <c r="DX402" s="72"/>
      <c r="DY402" s="72"/>
      <c r="DZ402" s="73"/>
      <c r="EA402" s="73"/>
      <c r="EB402" s="73"/>
      <c r="EC402" s="73"/>
      <c r="ED402" s="73"/>
      <c r="EE402" s="73"/>
      <c r="EF402" s="73"/>
      <c r="EG402" s="73"/>
      <c r="EH402" s="73"/>
      <c r="EI402" s="73"/>
      <c r="EJ402" s="73"/>
      <c r="EK402" s="73"/>
      <c r="EL402" s="73"/>
      <c r="EM402" s="73"/>
      <c r="EN402" s="73"/>
      <c r="EO402" s="73"/>
      <c r="EP402" s="69"/>
      <c r="EQ402" s="69"/>
      <c r="ER402" s="69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  <c r="CK403" s="73"/>
      <c r="CL403" s="73"/>
      <c r="CM403" s="73"/>
      <c r="CN403" s="73"/>
      <c r="CO403" s="73"/>
      <c r="CP403" s="73"/>
      <c r="CQ403" s="73"/>
      <c r="CR403" s="73"/>
      <c r="CS403" s="73"/>
      <c r="CT403" s="73"/>
      <c r="CU403" s="73"/>
      <c r="CV403" s="73"/>
      <c r="CW403" s="73"/>
      <c r="CX403" s="73"/>
      <c r="CY403" s="73"/>
      <c r="CZ403" s="73"/>
      <c r="DA403" s="73"/>
      <c r="DB403" s="73"/>
      <c r="DC403" s="73"/>
      <c r="DD403" s="73"/>
      <c r="DE403" s="73"/>
      <c r="DF403" s="73"/>
      <c r="DG403" s="73"/>
      <c r="DH403" s="73"/>
      <c r="DI403" s="73"/>
      <c r="DJ403" s="73"/>
      <c r="DK403" s="73"/>
      <c r="DL403" s="73"/>
      <c r="DM403" s="73"/>
      <c r="DN403" s="73"/>
      <c r="DO403" s="73"/>
      <c r="DP403" s="73"/>
      <c r="DQ403" s="73"/>
      <c r="DR403" s="73"/>
      <c r="DS403" s="73"/>
      <c r="DT403" s="73"/>
      <c r="DU403" s="73"/>
      <c r="DV403" s="73"/>
      <c r="DW403" s="73"/>
      <c r="DX403" s="72"/>
      <c r="DY403" s="72"/>
      <c r="DZ403" s="73"/>
      <c r="EA403" s="73"/>
      <c r="EB403" s="73"/>
      <c r="EC403" s="73"/>
      <c r="ED403" s="73"/>
      <c r="EE403" s="73"/>
      <c r="EF403" s="73"/>
      <c r="EG403" s="73"/>
      <c r="EH403" s="73"/>
      <c r="EI403" s="73"/>
      <c r="EJ403" s="73"/>
      <c r="EK403" s="73"/>
      <c r="EL403" s="73"/>
      <c r="EM403" s="73"/>
      <c r="EN403" s="73"/>
      <c r="EO403" s="73"/>
      <c r="EP403" s="69"/>
      <c r="EQ403" s="69"/>
      <c r="ER403" s="69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73"/>
      <c r="CT404" s="73"/>
      <c r="CU404" s="73"/>
      <c r="CV404" s="73"/>
      <c r="CW404" s="73"/>
      <c r="CX404" s="73"/>
      <c r="CY404" s="73"/>
      <c r="CZ404" s="73"/>
      <c r="DA404" s="73"/>
      <c r="DB404" s="73"/>
      <c r="DC404" s="73"/>
      <c r="DD404" s="73"/>
      <c r="DE404" s="73"/>
      <c r="DF404" s="73"/>
      <c r="DG404" s="73"/>
      <c r="DH404" s="73"/>
      <c r="DI404" s="73"/>
      <c r="DJ404" s="73"/>
      <c r="DK404" s="73"/>
      <c r="DL404" s="73"/>
      <c r="DM404" s="73"/>
      <c r="DN404" s="73"/>
      <c r="DO404" s="73"/>
      <c r="DP404" s="73"/>
      <c r="DQ404" s="73"/>
      <c r="DR404" s="73"/>
      <c r="DS404" s="73"/>
      <c r="DT404" s="73"/>
      <c r="DU404" s="73"/>
      <c r="DV404" s="73"/>
      <c r="DW404" s="73"/>
      <c r="DX404" s="72"/>
      <c r="DY404" s="72"/>
      <c r="DZ404" s="73"/>
      <c r="EA404" s="73"/>
      <c r="EB404" s="73"/>
      <c r="EC404" s="73"/>
      <c r="ED404" s="73"/>
      <c r="EE404" s="73"/>
      <c r="EF404" s="73"/>
      <c r="EG404" s="73"/>
      <c r="EH404" s="73"/>
      <c r="EI404" s="73"/>
      <c r="EJ404" s="73"/>
      <c r="EK404" s="73"/>
      <c r="EL404" s="73"/>
      <c r="EM404" s="73"/>
      <c r="EN404" s="73"/>
      <c r="EO404" s="73"/>
      <c r="EP404" s="69"/>
      <c r="EQ404" s="69"/>
      <c r="ER404" s="69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  <c r="CK405" s="73"/>
      <c r="CL405" s="73"/>
      <c r="CM405" s="73"/>
      <c r="CN405" s="73"/>
      <c r="CO405" s="73"/>
      <c r="CP405" s="73"/>
      <c r="CQ405" s="73"/>
      <c r="CR405" s="73"/>
      <c r="CS405" s="73"/>
      <c r="CT405" s="73"/>
      <c r="CU405" s="73"/>
      <c r="CV405" s="73"/>
      <c r="CW405" s="73"/>
      <c r="CX405" s="73"/>
      <c r="CY405" s="73"/>
      <c r="CZ405" s="73"/>
      <c r="DA405" s="73"/>
      <c r="DB405" s="73"/>
      <c r="DC405" s="73"/>
      <c r="DD405" s="73"/>
      <c r="DE405" s="73"/>
      <c r="DF405" s="73"/>
      <c r="DG405" s="73"/>
      <c r="DH405" s="73"/>
      <c r="DI405" s="73"/>
      <c r="DJ405" s="73"/>
      <c r="DK405" s="73"/>
      <c r="DL405" s="73"/>
      <c r="DM405" s="73"/>
      <c r="DN405" s="73"/>
      <c r="DO405" s="73"/>
      <c r="DP405" s="73"/>
      <c r="DQ405" s="73"/>
      <c r="DR405" s="73"/>
      <c r="DS405" s="73"/>
      <c r="DT405" s="73"/>
      <c r="DU405" s="73"/>
      <c r="DV405" s="73"/>
      <c r="DW405" s="73"/>
      <c r="DX405" s="72"/>
      <c r="DY405" s="72"/>
      <c r="DZ405" s="73"/>
      <c r="EA405" s="73"/>
      <c r="EB405" s="73"/>
      <c r="EC405" s="73"/>
      <c r="ED405" s="73"/>
      <c r="EE405" s="73"/>
      <c r="EF405" s="73"/>
      <c r="EG405" s="73"/>
      <c r="EH405" s="73"/>
      <c r="EI405" s="73"/>
      <c r="EJ405" s="73"/>
      <c r="EK405" s="73"/>
      <c r="EL405" s="73"/>
      <c r="EM405" s="73"/>
      <c r="EN405" s="73"/>
      <c r="EO405" s="73"/>
      <c r="EP405" s="69"/>
      <c r="EQ405" s="69"/>
      <c r="ER405" s="69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  <c r="CI406" s="73"/>
      <c r="CJ406" s="73"/>
      <c r="CK406" s="73"/>
      <c r="CL406" s="73"/>
      <c r="CM406" s="73"/>
      <c r="CN406" s="73"/>
      <c r="CO406" s="73"/>
      <c r="CP406" s="73"/>
      <c r="CQ406" s="73"/>
      <c r="CR406" s="73"/>
      <c r="CS406" s="73"/>
      <c r="CT406" s="73"/>
      <c r="CU406" s="73"/>
      <c r="CV406" s="73"/>
      <c r="CW406" s="73"/>
      <c r="CX406" s="73"/>
      <c r="CY406" s="73"/>
      <c r="CZ406" s="73"/>
      <c r="DA406" s="73"/>
      <c r="DB406" s="73"/>
      <c r="DC406" s="73"/>
      <c r="DD406" s="73"/>
      <c r="DE406" s="73"/>
      <c r="DF406" s="73"/>
      <c r="DG406" s="73"/>
      <c r="DH406" s="73"/>
      <c r="DI406" s="73"/>
      <c r="DJ406" s="73"/>
      <c r="DK406" s="73"/>
      <c r="DL406" s="73"/>
      <c r="DM406" s="73"/>
      <c r="DN406" s="73"/>
      <c r="DO406" s="73"/>
      <c r="DP406" s="73"/>
      <c r="DQ406" s="73"/>
      <c r="DR406" s="73"/>
      <c r="DS406" s="73"/>
      <c r="DT406" s="73"/>
      <c r="DU406" s="73"/>
      <c r="DV406" s="73"/>
      <c r="DW406" s="73"/>
      <c r="DX406" s="73"/>
      <c r="DY406" s="73"/>
      <c r="DZ406" s="73"/>
      <c r="EA406" s="73"/>
      <c r="EB406" s="73"/>
      <c r="EC406" s="73"/>
      <c r="ED406" s="73"/>
      <c r="EE406" s="73"/>
      <c r="EF406" s="73"/>
      <c r="EG406" s="73"/>
      <c r="EH406" s="73"/>
      <c r="EI406" s="73"/>
      <c r="EJ406" s="73"/>
      <c r="EK406" s="73"/>
      <c r="EL406" s="73"/>
      <c r="EM406" s="73"/>
      <c r="EN406" s="73"/>
      <c r="EO406" s="73"/>
      <c r="EP406" s="69"/>
      <c r="EQ406" s="69"/>
      <c r="ER406" s="69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  <c r="CK407" s="73"/>
      <c r="CL407" s="73"/>
      <c r="CM407" s="73"/>
      <c r="CN407" s="73"/>
      <c r="CO407" s="73"/>
      <c r="CP407" s="73"/>
      <c r="CQ407" s="73"/>
      <c r="CR407" s="73"/>
      <c r="CS407" s="73"/>
      <c r="CT407" s="73"/>
      <c r="CU407" s="73"/>
      <c r="CV407" s="73"/>
      <c r="CW407" s="73"/>
      <c r="CX407" s="73"/>
      <c r="CY407" s="73"/>
      <c r="CZ407" s="73"/>
      <c r="DA407" s="73"/>
      <c r="DB407" s="73"/>
      <c r="DC407" s="73"/>
      <c r="DD407" s="73"/>
      <c r="DE407" s="73"/>
      <c r="DF407" s="73"/>
      <c r="DG407" s="73"/>
      <c r="DH407" s="73"/>
      <c r="DI407" s="73"/>
      <c r="DJ407" s="73"/>
      <c r="DK407" s="73"/>
      <c r="DL407" s="73"/>
      <c r="DM407" s="73"/>
      <c r="DN407" s="73"/>
      <c r="DO407" s="73"/>
      <c r="DP407" s="73"/>
      <c r="DQ407" s="73"/>
      <c r="DR407" s="73"/>
      <c r="DS407" s="73"/>
      <c r="DT407" s="73"/>
      <c r="DU407" s="73"/>
      <c r="DV407" s="73"/>
      <c r="DW407" s="73"/>
      <c r="DX407" s="72"/>
      <c r="DY407" s="72"/>
      <c r="DZ407" s="73"/>
      <c r="EA407" s="73"/>
      <c r="EB407" s="73"/>
      <c r="EC407" s="73"/>
      <c r="ED407" s="73"/>
      <c r="EE407" s="73"/>
      <c r="EF407" s="73"/>
      <c r="EG407" s="73"/>
      <c r="EH407" s="73"/>
      <c r="EI407" s="73"/>
      <c r="EJ407" s="73"/>
      <c r="EK407" s="73"/>
      <c r="EL407" s="73"/>
      <c r="EM407" s="73"/>
      <c r="EN407" s="73"/>
      <c r="EO407" s="73"/>
      <c r="EP407" s="69"/>
      <c r="EQ407" s="69"/>
      <c r="ER407" s="69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  <c r="CI408" s="73"/>
      <c r="CJ408" s="73"/>
      <c r="CK408" s="73"/>
      <c r="CL408" s="73"/>
      <c r="CM408" s="73"/>
      <c r="CN408" s="73"/>
      <c r="CO408" s="73"/>
      <c r="CP408" s="73"/>
      <c r="CQ408" s="73"/>
      <c r="CR408" s="73"/>
      <c r="CS408" s="73"/>
      <c r="CT408" s="73"/>
      <c r="CU408" s="73"/>
      <c r="CV408" s="73"/>
      <c r="CW408" s="73"/>
      <c r="CX408" s="73"/>
      <c r="CY408" s="73"/>
      <c r="CZ408" s="73"/>
      <c r="DA408" s="73"/>
      <c r="DB408" s="73"/>
      <c r="DC408" s="73"/>
      <c r="DD408" s="73"/>
      <c r="DE408" s="73"/>
      <c r="DF408" s="73"/>
      <c r="DG408" s="73"/>
      <c r="DH408" s="73"/>
      <c r="DI408" s="73"/>
      <c r="DJ408" s="73"/>
      <c r="DK408" s="73"/>
      <c r="DL408" s="73"/>
      <c r="DM408" s="73"/>
      <c r="DN408" s="73"/>
      <c r="DO408" s="73"/>
      <c r="DP408" s="73"/>
      <c r="DQ408" s="73"/>
      <c r="DR408" s="73"/>
      <c r="DS408" s="73"/>
      <c r="DT408" s="73"/>
      <c r="DU408" s="73"/>
      <c r="DV408" s="73"/>
      <c r="DW408" s="73"/>
      <c r="DX408" s="72"/>
      <c r="DY408" s="72"/>
      <c r="DZ408" s="73"/>
      <c r="EA408" s="73"/>
      <c r="EB408" s="73"/>
      <c r="EC408" s="73"/>
      <c r="ED408" s="73"/>
      <c r="EE408" s="73"/>
      <c r="EF408" s="73"/>
      <c r="EG408" s="73"/>
      <c r="EH408" s="73"/>
      <c r="EI408" s="73"/>
      <c r="EJ408" s="73"/>
      <c r="EK408" s="73"/>
      <c r="EL408" s="73"/>
      <c r="EM408" s="73"/>
      <c r="EN408" s="73"/>
      <c r="EO408" s="73"/>
      <c r="EP408" s="69"/>
      <c r="EQ408" s="69"/>
      <c r="ER408" s="69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73"/>
      <c r="CT409" s="73"/>
      <c r="CU409" s="73"/>
      <c r="CV409" s="73"/>
      <c r="CW409" s="73"/>
      <c r="CX409" s="73"/>
      <c r="CY409" s="73"/>
      <c r="CZ409" s="73"/>
      <c r="DA409" s="73"/>
      <c r="DB409" s="73"/>
      <c r="DC409" s="73"/>
      <c r="DD409" s="73"/>
      <c r="DE409" s="73"/>
      <c r="DF409" s="73"/>
      <c r="DG409" s="73"/>
      <c r="DH409" s="73"/>
      <c r="DI409" s="73"/>
      <c r="DJ409" s="73"/>
      <c r="DK409" s="73"/>
      <c r="DL409" s="73"/>
      <c r="DM409" s="73"/>
      <c r="DN409" s="73"/>
      <c r="DO409" s="73"/>
      <c r="DP409" s="73"/>
      <c r="DQ409" s="73"/>
      <c r="DR409" s="73"/>
      <c r="DS409" s="73"/>
      <c r="DT409" s="73"/>
      <c r="DU409" s="73"/>
      <c r="DV409" s="73"/>
      <c r="DW409" s="73"/>
      <c r="DX409" s="72"/>
      <c r="DY409" s="72"/>
      <c r="DZ409" s="73"/>
      <c r="EA409" s="73"/>
      <c r="EB409" s="73"/>
      <c r="EC409" s="73"/>
      <c r="ED409" s="73"/>
      <c r="EE409" s="73"/>
      <c r="EF409" s="73"/>
      <c r="EG409" s="73"/>
      <c r="EH409" s="73"/>
      <c r="EI409" s="73"/>
      <c r="EJ409" s="73"/>
      <c r="EK409" s="73"/>
      <c r="EL409" s="73"/>
      <c r="EM409" s="73"/>
      <c r="EN409" s="73"/>
      <c r="EO409" s="73"/>
      <c r="EP409" s="69"/>
      <c r="EQ409" s="69"/>
      <c r="ER409" s="69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  <c r="CK410" s="73"/>
      <c r="CL410" s="73"/>
      <c r="CM410" s="73"/>
      <c r="CN410" s="73"/>
      <c r="CO410" s="73"/>
      <c r="CP410" s="73"/>
      <c r="CQ410" s="73"/>
      <c r="CR410" s="73"/>
      <c r="CS410" s="73"/>
      <c r="CT410" s="73"/>
      <c r="CU410" s="73"/>
      <c r="CV410" s="73"/>
      <c r="CW410" s="73"/>
      <c r="CX410" s="73"/>
      <c r="CY410" s="73"/>
      <c r="CZ410" s="73"/>
      <c r="DA410" s="73"/>
      <c r="DB410" s="73"/>
      <c r="DC410" s="73"/>
      <c r="DD410" s="73"/>
      <c r="DE410" s="73"/>
      <c r="DF410" s="73"/>
      <c r="DG410" s="73"/>
      <c r="DH410" s="73"/>
      <c r="DI410" s="73"/>
      <c r="DJ410" s="73"/>
      <c r="DK410" s="73"/>
      <c r="DL410" s="73"/>
      <c r="DM410" s="73"/>
      <c r="DN410" s="73"/>
      <c r="DO410" s="73"/>
      <c r="DP410" s="73"/>
      <c r="DQ410" s="73"/>
      <c r="DR410" s="73"/>
      <c r="DS410" s="73"/>
      <c r="DT410" s="73"/>
      <c r="DU410" s="73"/>
      <c r="DV410" s="73"/>
      <c r="DW410" s="73"/>
      <c r="DX410" s="72"/>
      <c r="DY410" s="72"/>
      <c r="DZ410" s="73"/>
      <c r="EA410" s="73"/>
      <c r="EB410" s="73"/>
      <c r="EC410" s="73"/>
      <c r="ED410" s="73"/>
      <c r="EE410" s="73"/>
      <c r="EF410" s="73"/>
      <c r="EG410" s="73"/>
      <c r="EH410" s="73"/>
      <c r="EI410" s="73"/>
      <c r="EJ410" s="73"/>
      <c r="EK410" s="73"/>
      <c r="EL410" s="73"/>
      <c r="EM410" s="73"/>
      <c r="EN410" s="73"/>
      <c r="EO410" s="73"/>
      <c r="EP410" s="69"/>
      <c r="EQ410" s="69"/>
      <c r="ER410" s="69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  <c r="CI411" s="73"/>
      <c r="CJ411" s="73"/>
      <c r="CK411" s="73"/>
      <c r="CL411" s="73"/>
      <c r="CM411" s="73"/>
      <c r="CN411" s="73"/>
      <c r="CO411" s="73"/>
      <c r="CP411" s="73"/>
      <c r="CQ411" s="73"/>
      <c r="CR411" s="73"/>
      <c r="CS411" s="73"/>
      <c r="CT411" s="73"/>
      <c r="CU411" s="73"/>
      <c r="CV411" s="73"/>
      <c r="CW411" s="73"/>
      <c r="CX411" s="73"/>
      <c r="CY411" s="73"/>
      <c r="CZ411" s="73"/>
      <c r="DA411" s="73"/>
      <c r="DB411" s="73"/>
      <c r="DC411" s="73"/>
      <c r="DD411" s="73"/>
      <c r="DE411" s="73"/>
      <c r="DF411" s="73"/>
      <c r="DG411" s="73"/>
      <c r="DH411" s="73"/>
      <c r="DI411" s="73"/>
      <c r="DJ411" s="73"/>
      <c r="DK411" s="73"/>
      <c r="DL411" s="73"/>
      <c r="DM411" s="73"/>
      <c r="DN411" s="73"/>
      <c r="DO411" s="73"/>
      <c r="DP411" s="73"/>
      <c r="DQ411" s="73"/>
      <c r="DR411" s="73"/>
      <c r="DS411" s="73"/>
      <c r="DT411" s="73"/>
      <c r="DU411" s="73"/>
      <c r="DV411" s="73"/>
      <c r="DW411" s="73"/>
      <c r="DX411" s="72"/>
      <c r="DY411" s="72"/>
      <c r="DZ411" s="73"/>
      <c r="EA411" s="73"/>
      <c r="EB411" s="73"/>
      <c r="EC411" s="73"/>
      <c r="ED411" s="73"/>
      <c r="EE411" s="73"/>
      <c r="EF411" s="73"/>
      <c r="EG411" s="73"/>
      <c r="EH411" s="73"/>
      <c r="EI411" s="73"/>
      <c r="EJ411" s="73"/>
      <c r="EK411" s="73"/>
      <c r="EL411" s="73"/>
      <c r="EM411" s="73"/>
      <c r="EN411" s="73"/>
      <c r="EO411" s="73"/>
      <c r="EP411" s="69"/>
      <c r="EQ411" s="69"/>
      <c r="ER411" s="69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  <c r="CK412" s="73"/>
      <c r="CL412" s="73"/>
      <c r="CM412" s="73"/>
      <c r="CN412" s="73"/>
      <c r="CO412" s="73"/>
      <c r="CP412" s="73"/>
      <c r="CQ412" s="73"/>
      <c r="CR412" s="73"/>
      <c r="CS412" s="73"/>
      <c r="CT412" s="73"/>
      <c r="CU412" s="73"/>
      <c r="CV412" s="73"/>
      <c r="CW412" s="73"/>
      <c r="CX412" s="73"/>
      <c r="CY412" s="73"/>
      <c r="CZ412" s="73"/>
      <c r="DA412" s="73"/>
      <c r="DB412" s="73"/>
      <c r="DC412" s="73"/>
      <c r="DD412" s="73"/>
      <c r="DE412" s="73"/>
      <c r="DF412" s="73"/>
      <c r="DG412" s="73"/>
      <c r="DH412" s="73"/>
      <c r="DI412" s="73"/>
      <c r="DJ412" s="73"/>
      <c r="DK412" s="73"/>
      <c r="DL412" s="73"/>
      <c r="DM412" s="73"/>
      <c r="DN412" s="73"/>
      <c r="DO412" s="73"/>
      <c r="DP412" s="73"/>
      <c r="DQ412" s="73"/>
      <c r="DR412" s="73"/>
      <c r="DS412" s="73"/>
      <c r="DT412" s="73"/>
      <c r="DU412" s="73"/>
      <c r="DV412" s="73"/>
      <c r="DW412" s="73"/>
      <c r="DX412" s="72"/>
      <c r="DY412" s="72"/>
      <c r="DZ412" s="73"/>
      <c r="EA412" s="73"/>
      <c r="EB412" s="73"/>
      <c r="EC412" s="73"/>
      <c r="ED412" s="73"/>
      <c r="EE412" s="73"/>
      <c r="EF412" s="73"/>
      <c r="EG412" s="73"/>
      <c r="EH412" s="73"/>
      <c r="EI412" s="73"/>
      <c r="EJ412" s="73"/>
      <c r="EK412" s="73"/>
      <c r="EL412" s="73"/>
      <c r="EM412" s="73"/>
      <c r="EN412" s="73"/>
      <c r="EO412" s="73"/>
      <c r="EP412" s="69"/>
      <c r="EQ412" s="69"/>
      <c r="ER412" s="69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  <c r="CK413" s="73"/>
      <c r="CL413" s="73"/>
      <c r="CM413" s="73"/>
      <c r="CN413" s="73"/>
      <c r="CO413" s="73"/>
      <c r="CP413" s="73"/>
      <c r="CQ413" s="73"/>
      <c r="CR413" s="73"/>
      <c r="CS413" s="73"/>
      <c r="CT413" s="73"/>
      <c r="CU413" s="73"/>
      <c r="CV413" s="73"/>
      <c r="CW413" s="73"/>
      <c r="CX413" s="73"/>
      <c r="CY413" s="73"/>
      <c r="CZ413" s="73"/>
      <c r="DA413" s="73"/>
      <c r="DB413" s="73"/>
      <c r="DC413" s="73"/>
      <c r="DD413" s="73"/>
      <c r="DE413" s="73"/>
      <c r="DF413" s="73"/>
      <c r="DG413" s="73"/>
      <c r="DH413" s="73"/>
      <c r="DI413" s="73"/>
      <c r="DJ413" s="73"/>
      <c r="DK413" s="73"/>
      <c r="DL413" s="73"/>
      <c r="DM413" s="73"/>
      <c r="DN413" s="73"/>
      <c r="DO413" s="73"/>
      <c r="DP413" s="73"/>
      <c r="DQ413" s="73"/>
      <c r="DR413" s="73"/>
      <c r="DS413" s="73"/>
      <c r="DT413" s="73"/>
      <c r="DU413" s="73"/>
      <c r="DV413" s="73"/>
      <c r="DW413" s="73"/>
      <c r="DX413" s="72"/>
      <c r="DY413" s="72"/>
      <c r="DZ413" s="73"/>
      <c r="EA413" s="73"/>
      <c r="EB413" s="73"/>
      <c r="EC413" s="73"/>
      <c r="ED413" s="73"/>
      <c r="EE413" s="73"/>
      <c r="EF413" s="73"/>
      <c r="EG413" s="73"/>
      <c r="EH413" s="73"/>
      <c r="EI413" s="73"/>
      <c r="EJ413" s="73"/>
      <c r="EK413" s="73"/>
      <c r="EL413" s="73"/>
      <c r="EM413" s="73"/>
      <c r="EN413" s="73"/>
      <c r="EO413" s="73"/>
      <c r="EP413" s="69"/>
      <c r="EQ413" s="69"/>
      <c r="ER413" s="69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73"/>
      <c r="CT414" s="73"/>
      <c r="CU414" s="73"/>
      <c r="CV414" s="73"/>
      <c r="CW414" s="73"/>
      <c r="CX414" s="73"/>
      <c r="CY414" s="73"/>
      <c r="CZ414" s="73"/>
      <c r="DA414" s="73"/>
      <c r="DB414" s="73"/>
      <c r="DC414" s="73"/>
      <c r="DD414" s="73"/>
      <c r="DE414" s="73"/>
      <c r="DF414" s="73"/>
      <c r="DG414" s="73"/>
      <c r="DH414" s="73"/>
      <c r="DI414" s="73"/>
      <c r="DJ414" s="73"/>
      <c r="DK414" s="73"/>
      <c r="DL414" s="73"/>
      <c r="DM414" s="73"/>
      <c r="DN414" s="73"/>
      <c r="DO414" s="73"/>
      <c r="DP414" s="73"/>
      <c r="DQ414" s="73"/>
      <c r="DR414" s="73"/>
      <c r="DS414" s="73"/>
      <c r="DT414" s="73"/>
      <c r="DU414" s="73"/>
      <c r="DV414" s="73"/>
      <c r="DW414" s="73"/>
      <c r="DX414" s="72"/>
      <c r="DY414" s="72"/>
      <c r="DZ414" s="73"/>
      <c r="EA414" s="73"/>
      <c r="EB414" s="73"/>
      <c r="EC414" s="73"/>
      <c r="ED414" s="73"/>
      <c r="EE414" s="73"/>
      <c r="EF414" s="73"/>
      <c r="EG414" s="73"/>
      <c r="EH414" s="73"/>
      <c r="EI414" s="73"/>
      <c r="EJ414" s="73"/>
      <c r="EK414" s="73"/>
      <c r="EL414" s="73"/>
      <c r="EM414" s="73"/>
      <c r="EN414" s="73"/>
      <c r="EO414" s="73"/>
      <c r="EP414" s="69"/>
      <c r="EQ414" s="69"/>
      <c r="ER414" s="69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  <c r="CK415" s="73"/>
      <c r="CL415" s="73"/>
      <c r="CM415" s="73"/>
      <c r="CN415" s="73"/>
      <c r="CO415" s="73"/>
      <c r="CP415" s="73"/>
      <c r="CQ415" s="73"/>
      <c r="CR415" s="73"/>
      <c r="CS415" s="73"/>
      <c r="CT415" s="73"/>
      <c r="CU415" s="73"/>
      <c r="CV415" s="73"/>
      <c r="CW415" s="73"/>
      <c r="CX415" s="73"/>
      <c r="CY415" s="73"/>
      <c r="CZ415" s="73"/>
      <c r="DA415" s="73"/>
      <c r="DB415" s="73"/>
      <c r="DC415" s="73"/>
      <c r="DD415" s="73"/>
      <c r="DE415" s="73"/>
      <c r="DF415" s="73"/>
      <c r="DG415" s="73"/>
      <c r="DH415" s="73"/>
      <c r="DI415" s="73"/>
      <c r="DJ415" s="73"/>
      <c r="DK415" s="73"/>
      <c r="DL415" s="73"/>
      <c r="DM415" s="73"/>
      <c r="DN415" s="73"/>
      <c r="DO415" s="73"/>
      <c r="DP415" s="73"/>
      <c r="DQ415" s="73"/>
      <c r="DR415" s="73"/>
      <c r="DS415" s="73"/>
      <c r="DT415" s="73"/>
      <c r="DU415" s="73"/>
      <c r="DV415" s="73"/>
      <c r="DW415" s="73"/>
      <c r="DX415" s="72"/>
      <c r="DY415" s="72"/>
      <c r="DZ415" s="73"/>
      <c r="EA415" s="73"/>
      <c r="EB415" s="73"/>
      <c r="EC415" s="73"/>
      <c r="ED415" s="73"/>
      <c r="EE415" s="73"/>
      <c r="EF415" s="73"/>
      <c r="EG415" s="73"/>
      <c r="EH415" s="73"/>
      <c r="EI415" s="73"/>
      <c r="EJ415" s="73"/>
      <c r="EK415" s="73"/>
      <c r="EL415" s="73"/>
      <c r="EM415" s="73"/>
      <c r="EN415" s="73"/>
      <c r="EO415" s="73"/>
      <c r="EP415" s="69"/>
      <c r="EQ415" s="69"/>
      <c r="ER415" s="69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  <c r="CK416" s="73"/>
      <c r="CL416" s="73"/>
      <c r="CM416" s="73"/>
      <c r="CN416" s="73"/>
      <c r="CO416" s="73"/>
      <c r="CP416" s="73"/>
      <c r="CQ416" s="73"/>
      <c r="CR416" s="73"/>
      <c r="CS416" s="73"/>
      <c r="CT416" s="73"/>
      <c r="CU416" s="73"/>
      <c r="CV416" s="73"/>
      <c r="CW416" s="73"/>
      <c r="CX416" s="73"/>
      <c r="CY416" s="73"/>
      <c r="CZ416" s="73"/>
      <c r="DA416" s="73"/>
      <c r="DB416" s="73"/>
      <c r="DC416" s="73"/>
      <c r="DD416" s="73"/>
      <c r="DE416" s="73"/>
      <c r="DF416" s="73"/>
      <c r="DG416" s="73"/>
      <c r="DH416" s="73"/>
      <c r="DI416" s="73"/>
      <c r="DJ416" s="73"/>
      <c r="DK416" s="73"/>
      <c r="DL416" s="73"/>
      <c r="DM416" s="73"/>
      <c r="DN416" s="73"/>
      <c r="DO416" s="73"/>
      <c r="DP416" s="73"/>
      <c r="DQ416" s="73"/>
      <c r="DR416" s="73"/>
      <c r="DS416" s="73"/>
      <c r="DT416" s="73"/>
      <c r="DU416" s="73"/>
      <c r="DV416" s="73"/>
      <c r="DW416" s="73"/>
      <c r="DX416" s="72"/>
      <c r="DY416" s="72"/>
      <c r="DZ416" s="73"/>
      <c r="EA416" s="73"/>
      <c r="EB416" s="73"/>
      <c r="EC416" s="73"/>
      <c r="ED416" s="73"/>
      <c r="EE416" s="73"/>
      <c r="EF416" s="73"/>
      <c r="EG416" s="73"/>
      <c r="EH416" s="73"/>
      <c r="EI416" s="73"/>
      <c r="EJ416" s="73"/>
      <c r="EK416" s="73"/>
      <c r="EL416" s="73"/>
      <c r="EM416" s="73"/>
      <c r="EN416" s="73"/>
      <c r="EO416" s="73"/>
      <c r="EP416" s="69"/>
      <c r="EQ416" s="69"/>
      <c r="ER416" s="69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  <c r="CK417" s="73"/>
      <c r="CL417" s="73"/>
      <c r="CM417" s="73"/>
      <c r="CN417" s="73"/>
      <c r="CO417" s="73"/>
      <c r="CP417" s="73"/>
      <c r="CQ417" s="73"/>
      <c r="CR417" s="73"/>
      <c r="CS417" s="73"/>
      <c r="CT417" s="73"/>
      <c r="CU417" s="73"/>
      <c r="CV417" s="73"/>
      <c r="CW417" s="73"/>
      <c r="CX417" s="73"/>
      <c r="CY417" s="73"/>
      <c r="CZ417" s="73"/>
      <c r="DA417" s="73"/>
      <c r="DB417" s="73"/>
      <c r="DC417" s="73"/>
      <c r="DD417" s="73"/>
      <c r="DE417" s="73"/>
      <c r="DF417" s="73"/>
      <c r="DG417" s="73"/>
      <c r="DH417" s="73"/>
      <c r="DI417" s="73"/>
      <c r="DJ417" s="73"/>
      <c r="DK417" s="73"/>
      <c r="DL417" s="73"/>
      <c r="DM417" s="73"/>
      <c r="DN417" s="73"/>
      <c r="DO417" s="73"/>
      <c r="DP417" s="73"/>
      <c r="DQ417" s="73"/>
      <c r="DR417" s="73"/>
      <c r="DS417" s="73"/>
      <c r="DT417" s="73"/>
      <c r="DU417" s="73"/>
      <c r="DV417" s="73"/>
      <c r="DW417" s="73"/>
      <c r="DX417" s="73"/>
      <c r="DY417" s="73"/>
      <c r="DZ417" s="73"/>
      <c r="EA417" s="73"/>
      <c r="EB417" s="73"/>
      <c r="EC417" s="73"/>
      <c r="ED417" s="73"/>
      <c r="EE417" s="73"/>
      <c r="EF417" s="73"/>
      <c r="EG417" s="73"/>
      <c r="EH417" s="73"/>
      <c r="EI417" s="73"/>
      <c r="EJ417" s="73"/>
      <c r="EK417" s="73"/>
      <c r="EL417" s="73"/>
      <c r="EM417" s="73"/>
      <c r="EN417" s="73"/>
      <c r="EO417" s="73"/>
      <c r="EP417" s="69"/>
      <c r="EQ417" s="69"/>
      <c r="ER417" s="69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  <c r="CI418" s="73"/>
      <c r="CJ418" s="73"/>
      <c r="CK418" s="73"/>
      <c r="CL418" s="73"/>
      <c r="CM418" s="73"/>
      <c r="CN418" s="73"/>
      <c r="CO418" s="73"/>
      <c r="CP418" s="73"/>
      <c r="CQ418" s="73"/>
      <c r="CR418" s="73"/>
      <c r="CS418" s="73"/>
      <c r="CT418" s="73"/>
      <c r="CU418" s="73"/>
      <c r="CV418" s="73"/>
      <c r="CW418" s="73"/>
      <c r="CX418" s="73"/>
      <c r="CY418" s="73"/>
      <c r="CZ418" s="73"/>
      <c r="DA418" s="73"/>
      <c r="DB418" s="73"/>
      <c r="DC418" s="73"/>
      <c r="DD418" s="73"/>
      <c r="DE418" s="73"/>
      <c r="DF418" s="73"/>
      <c r="DG418" s="73"/>
      <c r="DH418" s="73"/>
      <c r="DI418" s="73"/>
      <c r="DJ418" s="73"/>
      <c r="DK418" s="73"/>
      <c r="DL418" s="73"/>
      <c r="DM418" s="73"/>
      <c r="DN418" s="73"/>
      <c r="DO418" s="73"/>
      <c r="DP418" s="73"/>
      <c r="DQ418" s="73"/>
      <c r="DR418" s="73"/>
      <c r="DS418" s="73"/>
      <c r="DT418" s="73"/>
      <c r="DU418" s="73"/>
      <c r="DV418" s="73"/>
      <c r="DW418" s="73"/>
      <c r="DX418" s="72"/>
      <c r="DY418" s="72"/>
      <c r="DZ418" s="73"/>
      <c r="EA418" s="73"/>
      <c r="EB418" s="73"/>
      <c r="EC418" s="73"/>
      <c r="ED418" s="73"/>
      <c r="EE418" s="73"/>
      <c r="EF418" s="73"/>
      <c r="EG418" s="73"/>
      <c r="EH418" s="73"/>
      <c r="EI418" s="73"/>
      <c r="EJ418" s="73"/>
      <c r="EK418" s="73"/>
      <c r="EL418" s="73"/>
      <c r="EM418" s="73"/>
      <c r="EN418" s="73"/>
      <c r="EO418" s="73"/>
      <c r="EP418" s="69"/>
      <c r="EQ418" s="69"/>
      <c r="ER418" s="69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  <c r="CK419" s="73"/>
      <c r="CL419" s="73"/>
      <c r="CM419" s="73"/>
      <c r="CN419" s="73"/>
      <c r="CO419" s="73"/>
      <c r="CP419" s="73"/>
      <c r="CQ419" s="73"/>
      <c r="CR419" s="73"/>
      <c r="CS419" s="73"/>
      <c r="CT419" s="73"/>
      <c r="CU419" s="73"/>
      <c r="CV419" s="73"/>
      <c r="CW419" s="73"/>
      <c r="CX419" s="73"/>
      <c r="CY419" s="73"/>
      <c r="CZ419" s="73"/>
      <c r="DA419" s="73"/>
      <c r="DB419" s="73"/>
      <c r="DC419" s="73"/>
      <c r="DD419" s="73"/>
      <c r="DE419" s="73"/>
      <c r="DF419" s="73"/>
      <c r="DG419" s="73"/>
      <c r="DH419" s="73"/>
      <c r="DI419" s="73"/>
      <c r="DJ419" s="73"/>
      <c r="DK419" s="73"/>
      <c r="DL419" s="73"/>
      <c r="DM419" s="73"/>
      <c r="DN419" s="73"/>
      <c r="DO419" s="73"/>
      <c r="DP419" s="73"/>
      <c r="DQ419" s="73"/>
      <c r="DR419" s="73"/>
      <c r="DS419" s="73"/>
      <c r="DT419" s="73"/>
      <c r="DU419" s="73"/>
      <c r="DV419" s="73"/>
      <c r="DW419" s="73"/>
      <c r="DX419" s="72"/>
      <c r="DY419" s="72"/>
      <c r="DZ419" s="73"/>
      <c r="EA419" s="73"/>
      <c r="EB419" s="73"/>
      <c r="EC419" s="73"/>
      <c r="ED419" s="73"/>
      <c r="EE419" s="73"/>
      <c r="EF419" s="73"/>
      <c r="EG419" s="73"/>
      <c r="EH419" s="73"/>
      <c r="EI419" s="73"/>
      <c r="EJ419" s="73"/>
      <c r="EK419" s="73"/>
      <c r="EL419" s="73"/>
      <c r="EM419" s="73"/>
      <c r="EN419" s="73"/>
      <c r="EO419" s="73"/>
      <c r="EP419" s="69"/>
      <c r="EQ419" s="69"/>
      <c r="ER419" s="69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  <c r="CK420" s="73"/>
      <c r="CL420" s="73"/>
      <c r="CM420" s="73"/>
      <c r="CN420" s="73"/>
      <c r="CO420" s="73"/>
      <c r="CP420" s="73"/>
      <c r="CQ420" s="73"/>
      <c r="CR420" s="73"/>
      <c r="CS420" s="73"/>
      <c r="CT420" s="73"/>
      <c r="CU420" s="73"/>
      <c r="CV420" s="73"/>
      <c r="CW420" s="73"/>
      <c r="CX420" s="73"/>
      <c r="CY420" s="73"/>
      <c r="CZ420" s="73"/>
      <c r="DA420" s="73"/>
      <c r="DB420" s="73"/>
      <c r="DC420" s="73"/>
      <c r="DD420" s="73"/>
      <c r="DE420" s="73"/>
      <c r="DF420" s="73"/>
      <c r="DG420" s="73"/>
      <c r="DH420" s="73"/>
      <c r="DI420" s="73"/>
      <c r="DJ420" s="73"/>
      <c r="DK420" s="73"/>
      <c r="DL420" s="73"/>
      <c r="DM420" s="73"/>
      <c r="DN420" s="73"/>
      <c r="DO420" s="73"/>
      <c r="DP420" s="73"/>
      <c r="DQ420" s="73"/>
      <c r="DR420" s="73"/>
      <c r="DS420" s="73"/>
      <c r="DT420" s="73"/>
      <c r="DU420" s="73"/>
      <c r="DV420" s="73"/>
      <c r="DW420" s="73"/>
      <c r="DX420" s="72"/>
      <c r="DY420" s="72"/>
      <c r="DZ420" s="73"/>
      <c r="EA420" s="73"/>
      <c r="EB420" s="73"/>
      <c r="EC420" s="73"/>
      <c r="ED420" s="73"/>
      <c r="EE420" s="73"/>
      <c r="EF420" s="73"/>
      <c r="EG420" s="73"/>
      <c r="EH420" s="73"/>
      <c r="EI420" s="73"/>
      <c r="EJ420" s="73"/>
      <c r="EK420" s="73"/>
      <c r="EL420" s="73"/>
      <c r="EM420" s="73"/>
      <c r="EN420" s="73"/>
      <c r="EO420" s="73"/>
      <c r="EP420" s="69"/>
      <c r="EQ420" s="69"/>
      <c r="ER420" s="69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  <c r="CI421" s="73"/>
      <c r="CJ421" s="73"/>
      <c r="CK421" s="73"/>
      <c r="CL421" s="73"/>
      <c r="CM421" s="73"/>
      <c r="CN421" s="73"/>
      <c r="CO421" s="73"/>
      <c r="CP421" s="73"/>
      <c r="CQ421" s="73"/>
      <c r="CR421" s="73"/>
      <c r="CS421" s="73"/>
      <c r="CT421" s="73"/>
      <c r="CU421" s="73"/>
      <c r="CV421" s="73"/>
      <c r="CW421" s="73"/>
      <c r="CX421" s="73"/>
      <c r="CY421" s="73"/>
      <c r="CZ421" s="73"/>
      <c r="DA421" s="73"/>
      <c r="DB421" s="73"/>
      <c r="DC421" s="73"/>
      <c r="DD421" s="73"/>
      <c r="DE421" s="73"/>
      <c r="DF421" s="73"/>
      <c r="DG421" s="73"/>
      <c r="DH421" s="73"/>
      <c r="DI421" s="73"/>
      <c r="DJ421" s="73"/>
      <c r="DK421" s="73"/>
      <c r="DL421" s="73"/>
      <c r="DM421" s="73"/>
      <c r="DN421" s="73"/>
      <c r="DO421" s="73"/>
      <c r="DP421" s="73"/>
      <c r="DQ421" s="73"/>
      <c r="DR421" s="73"/>
      <c r="DS421" s="73"/>
      <c r="DT421" s="73"/>
      <c r="DU421" s="73"/>
      <c r="DV421" s="73"/>
      <c r="DW421" s="73"/>
      <c r="DX421" s="72"/>
      <c r="DY421" s="72"/>
      <c r="DZ421" s="73"/>
      <c r="EA421" s="73"/>
      <c r="EB421" s="73"/>
      <c r="EC421" s="73"/>
      <c r="ED421" s="73"/>
      <c r="EE421" s="73"/>
      <c r="EF421" s="73"/>
      <c r="EG421" s="73"/>
      <c r="EH421" s="73"/>
      <c r="EI421" s="73"/>
      <c r="EJ421" s="73"/>
      <c r="EK421" s="73"/>
      <c r="EL421" s="73"/>
      <c r="EM421" s="73"/>
      <c r="EN421" s="73"/>
      <c r="EO421" s="73"/>
      <c r="EP421" s="69"/>
      <c r="EQ421" s="69"/>
      <c r="ER421" s="69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  <c r="CK422" s="73"/>
      <c r="CL422" s="73"/>
      <c r="CM422" s="72"/>
      <c r="CN422" s="73"/>
      <c r="CO422" s="73"/>
      <c r="CP422" s="73"/>
      <c r="CQ422" s="73"/>
      <c r="CR422" s="73"/>
      <c r="CS422" s="73"/>
      <c r="CT422" s="73"/>
      <c r="CU422" s="73"/>
      <c r="CV422" s="73"/>
      <c r="CW422" s="73"/>
      <c r="CX422" s="73"/>
      <c r="CY422" s="73"/>
      <c r="CZ422" s="73"/>
      <c r="DA422" s="73"/>
      <c r="DB422" s="73"/>
      <c r="DC422" s="73"/>
      <c r="DD422" s="73"/>
      <c r="DE422" s="73"/>
      <c r="DF422" s="73"/>
      <c r="DG422" s="73"/>
      <c r="DH422" s="73"/>
      <c r="DI422" s="73"/>
      <c r="DJ422" s="73"/>
      <c r="DK422" s="73"/>
      <c r="DL422" s="73"/>
      <c r="DM422" s="73"/>
      <c r="DN422" s="73"/>
      <c r="DO422" s="73"/>
      <c r="DP422" s="73"/>
      <c r="DQ422" s="73"/>
      <c r="DR422" s="73"/>
      <c r="DS422" s="73"/>
      <c r="DT422" s="73"/>
      <c r="DU422" s="73"/>
      <c r="DV422" s="73"/>
      <c r="DW422" s="73"/>
      <c r="DX422" s="72"/>
      <c r="DY422" s="72"/>
      <c r="DZ422" s="73"/>
      <c r="EA422" s="73"/>
      <c r="EB422" s="73"/>
      <c r="EC422" s="73"/>
      <c r="ED422" s="73"/>
      <c r="EE422" s="73"/>
      <c r="EF422" s="73"/>
      <c r="EG422" s="73"/>
      <c r="EH422" s="73"/>
      <c r="EI422" s="73"/>
      <c r="EJ422" s="73"/>
      <c r="EK422" s="73"/>
      <c r="EL422" s="73"/>
      <c r="EM422" s="73"/>
      <c r="EN422" s="73"/>
      <c r="EO422" s="73"/>
      <c r="EP422" s="69"/>
      <c r="EQ422" s="69"/>
      <c r="ER422" s="69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  <c r="CK423" s="73"/>
      <c r="CL423" s="73"/>
      <c r="CM423" s="73"/>
      <c r="CN423" s="73"/>
      <c r="CO423" s="73"/>
      <c r="CP423" s="73"/>
      <c r="CQ423" s="73"/>
      <c r="CR423" s="73"/>
      <c r="CS423" s="73"/>
      <c r="CT423" s="73"/>
      <c r="CU423" s="73"/>
      <c r="CV423" s="73"/>
      <c r="CW423" s="73"/>
      <c r="CX423" s="73"/>
      <c r="CY423" s="73"/>
      <c r="CZ423" s="73"/>
      <c r="DA423" s="73"/>
      <c r="DB423" s="73"/>
      <c r="DC423" s="73"/>
      <c r="DD423" s="73"/>
      <c r="DE423" s="73"/>
      <c r="DF423" s="73"/>
      <c r="DG423" s="73"/>
      <c r="DH423" s="73"/>
      <c r="DI423" s="73"/>
      <c r="DJ423" s="73"/>
      <c r="DK423" s="73"/>
      <c r="DL423" s="73"/>
      <c r="DM423" s="73"/>
      <c r="DN423" s="73"/>
      <c r="DO423" s="73"/>
      <c r="DP423" s="73"/>
      <c r="DQ423" s="73"/>
      <c r="DR423" s="73"/>
      <c r="DS423" s="73"/>
      <c r="DT423" s="73"/>
      <c r="DU423" s="73"/>
      <c r="DV423" s="73"/>
      <c r="DW423" s="73"/>
      <c r="DX423" s="73"/>
      <c r="DY423" s="73"/>
      <c r="DZ423" s="73"/>
      <c r="EA423" s="73"/>
      <c r="EB423" s="73"/>
      <c r="EC423" s="73"/>
      <c r="ED423" s="73"/>
      <c r="EE423" s="73"/>
      <c r="EF423" s="73"/>
      <c r="EG423" s="73"/>
      <c r="EH423" s="73"/>
      <c r="EI423" s="73"/>
      <c r="EJ423" s="73"/>
      <c r="EK423" s="73"/>
      <c r="EL423" s="73"/>
      <c r="EM423" s="73"/>
      <c r="EN423" s="73"/>
      <c r="EO423" s="73"/>
      <c r="EP423" s="69"/>
      <c r="EQ423" s="69"/>
      <c r="ER423" s="69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2"/>
      <c r="CN424" s="73"/>
      <c r="CO424" s="73"/>
      <c r="CP424" s="73"/>
      <c r="CQ424" s="73"/>
      <c r="CR424" s="73"/>
      <c r="CS424" s="73"/>
      <c r="CT424" s="73"/>
      <c r="CU424" s="73"/>
      <c r="CV424" s="73"/>
      <c r="CW424" s="73"/>
      <c r="CX424" s="73"/>
      <c r="CY424" s="73"/>
      <c r="CZ424" s="73"/>
      <c r="DA424" s="73"/>
      <c r="DB424" s="73"/>
      <c r="DC424" s="73"/>
      <c r="DD424" s="73"/>
      <c r="DE424" s="73"/>
      <c r="DF424" s="73"/>
      <c r="DG424" s="73"/>
      <c r="DH424" s="73"/>
      <c r="DI424" s="73"/>
      <c r="DJ424" s="73"/>
      <c r="DK424" s="73"/>
      <c r="DL424" s="73"/>
      <c r="DM424" s="73"/>
      <c r="DN424" s="73"/>
      <c r="DO424" s="73"/>
      <c r="DP424" s="73"/>
      <c r="DQ424" s="73"/>
      <c r="DR424" s="73"/>
      <c r="DS424" s="73"/>
      <c r="DT424" s="73"/>
      <c r="DU424" s="73"/>
      <c r="DV424" s="73"/>
      <c r="DW424" s="73"/>
      <c r="DX424" s="72"/>
      <c r="DY424" s="72"/>
      <c r="DZ424" s="73"/>
      <c r="EA424" s="73"/>
      <c r="EB424" s="73"/>
      <c r="EC424" s="73"/>
      <c r="ED424" s="73"/>
      <c r="EE424" s="73"/>
      <c r="EF424" s="73"/>
      <c r="EG424" s="73"/>
      <c r="EH424" s="73"/>
      <c r="EI424" s="73"/>
      <c r="EJ424" s="73"/>
      <c r="EK424" s="73"/>
      <c r="EL424" s="73"/>
      <c r="EM424" s="73"/>
      <c r="EN424" s="73"/>
      <c r="EO424" s="73"/>
      <c r="EP424" s="69"/>
      <c r="EQ424" s="69"/>
      <c r="ER424" s="69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  <c r="CI425" s="73"/>
      <c r="CJ425" s="73"/>
      <c r="CK425" s="73"/>
      <c r="CL425" s="73"/>
      <c r="CM425" s="72"/>
      <c r="CN425" s="73"/>
      <c r="CO425" s="73"/>
      <c r="CP425" s="73"/>
      <c r="CQ425" s="73"/>
      <c r="CR425" s="73"/>
      <c r="CS425" s="73"/>
      <c r="CT425" s="73"/>
      <c r="CU425" s="73"/>
      <c r="CV425" s="73"/>
      <c r="CW425" s="73"/>
      <c r="CX425" s="73"/>
      <c r="CY425" s="73"/>
      <c r="CZ425" s="73"/>
      <c r="DA425" s="73"/>
      <c r="DB425" s="73"/>
      <c r="DC425" s="73"/>
      <c r="DD425" s="73"/>
      <c r="DE425" s="73"/>
      <c r="DF425" s="73"/>
      <c r="DG425" s="73"/>
      <c r="DH425" s="73"/>
      <c r="DI425" s="73"/>
      <c r="DJ425" s="73"/>
      <c r="DK425" s="73"/>
      <c r="DL425" s="73"/>
      <c r="DM425" s="73"/>
      <c r="DN425" s="73"/>
      <c r="DO425" s="73"/>
      <c r="DP425" s="73"/>
      <c r="DQ425" s="73"/>
      <c r="DR425" s="73"/>
      <c r="DS425" s="73"/>
      <c r="DT425" s="73"/>
      <c r="DU425" s="73"/>
      <c r="DV425" s="73"/>
      <c r="DW425" s="73"/>
      <c r="DX425" s="72"/>
      <c r="DY425" s="72"/>
      <c r="DZ425" s="73"/>
      <c r="EA425" s="73"/>
      <c r="EB425" s="73"/>
      <c r="EC425" s="73"/>
      <c r="ED425" s="73"/>
      <c r="EE425" s="73"/>
      <c r="EF425" s="73"/>
      <c r="EG425" s="73"/>
      <c r="EH425" s="73"/>
      <c r="EI425" s="73"/>
      <c r="EJ425" s="73"/>
      <c r="EK425" s="73"/>
      <c r="EL425" s="73"/>
      <c r="EM425" s="73"/>
      <c r="EN425" s="73"/>
      <c r="EO425" s="73"/>
      <c r="EP425" s="69"/>
      <c r="EQ425" s="69"/>
      <c r="ER425" s="69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  <c r="CI426" s="73"/>
      <c r="CJ426" s="73"/>
      <c r="CK426" s="73"/>
      <c r="CL426" s="73"/>
      <c r="CM426" s="73"/>
      <c r="CN426" s="73"/>
      <c r="CO426" s="73"/>
      <c r="CP426" s="73"/>
      <c r="CQ426" s="73"/>
      <c r="CR426" s="73"/>
      <c r="CS426" s="73"/>
      <c r="CT426" s="73"/>
      <c r="CU426" s="73"/>
      <c r="CV426" s="73"/>
      <c r="CW426" s="73"/>
      <c r="CX426" s="73"/>
      <c r="CY426" s="73"/>
      <c r="CZ426" s="73"/>
      <c r="DA426" s="73"/>
      <c r="DB426" s="73"/>
      <c r="DC426" s="73"/>
      <c r="DD426" s="73"/>
      <c r="DE426" s="73"/>
      <c r="DF426" s="73"/>
      <c r="DG426" s="73"/>
      <c r="DH426" s="73"/>
      <c r="DI426" s="73"/>
      <c r="DJ426" s="73"/>
      <c r="DK426" s="73"/>
      <c r="DL426" s="73"/>
      <c r="DM426" s="73"/>
      <c r="DN426" s="73"/>
      <c r="DO426" s="73"/>
      <c r="DP426" s="73"/>
      <c r="DQ426" s="73"/>
      <c r="DR426" s="73"/>
      <c r="DS426" s="73"/>
      <c r="DT426" s="73"/>
      <c r="DU426" s="73"/>
      <c r="DV426" s="73"/>
      <c r="DW426" s="73"/>
      <c r="DX426" s="72"/>
      <c r="DY426" s="72"/>
      <c r="DZ426" s="73"/>
      <c r="EA426" s="73"/>
      <c r="EB426" s="73"/>
      <c r="EC426" s="73"/>
      <c r="ED426" s="73"/>
      <c r="EE426" s="73"/>
      <c r="EF426" s="73"/>
      <c r="EG426" s="73"/>
      <c r="EH426" s="73"/>
      <c r="EI426" s="73"/>
      <c r="EJ426" s="73"/>
      <c r="EK426" s="73"/>
      <c r="EL426" s="73"/>
      <c r="EM426" s="73"/>
      <c r="EN426" s="73"/>
      <c r="EO426" s="73"/>
      <c r="EP426" s="69"/>
      <c r="EQ426" s="69"/>
      <c r="ER426" s="69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  <c r="CI427" s="73"/>
      <c r="CJ427" s="73"/>
      <c r="CK427" s="73"/>
      <c r="CL427" s="73"/>
      <c r="CM427" s="72"/>
      <c r="CN427" s="73"/>
      <c r="CO427" s="73"/>
      <c r="CP427" s="73"/>
      <c r="CQ427" s="73"/>
      <c r="CR427" s="73"/>
      <c r="CS427" s="73"/>
      <c r="CT427" s="73"/>
      <c r="CU427" s="73"/>
      <c r="CV427" s="73"/>
      <c r="CW427" s="73"/>
      <c r="CX427" s="73"/>
      <c r="CY427" s="73"/>
      <c r="CZ427" s="73"/>
      <c r="DA427" s="73"/>
      <c r="DB427" s="73"/>
      <c r="DC427" s="73"/>
      <c r="DD427" s="73"/>
      <c r="DE427" s="73"/>
      <c r="DF427" s="73"/>
      <c r="DG427" s="73"/>
      <c r="DH427" s="73"/>
      <c r="DI427" s="73"/>
      <c r="DJ427" s="73"/>
      <c r="DK427" s="73"/>
      <c r="DL427" s="73"/>
      <c r="DM427" s="73"/>
      <c r="DN427" s="73"/>
      <c r="DO427" s="73"/>
      <c r="DP427" s="73"/>
      <c r="DQ427" s="73"/>
      <c r="DR427" s="73"/>
      <c r="DS427" s="73"/>
      <c r="DT427" s="73"/>
      <c r="DU427" s="73"/>
      <c r="DV427" s="73"/>
      <c r="DW427" s="73"/>
      <c r="DX427" s="72"/>
      <c r="DY427" s="72"/>
      <c r="DZ427" s="73"/>
      <c r="EA427" s="73"/>
      <c r="EB427" s="73"/>
      <c r="EC427" s="73"/>
      <c r="ED427" s="73"/>
      <c r="EE427" s="73"/>
      <c r="EF427" s="73"/>
      <c r="EG427" s="73"/>
      <c r="EH427" s="73"/>
      <c r="EI427" s="73"/>
      <c r="EJ427" s="73"/>
      <c r="EK427" s="73"/>
      <c r="EL427" s="73"/>
      <c r="EM427" s="73"/>
      <c r="EN427" s="73"/>
      <c r="EO427" s="73"/>
      <c r="EP427" s="69"/>
      <c r="EQ427" s="69"/>
      <c r="ER427" s="69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  <c r="CI428" s="73"/>
      <c r="CJ428" s="73"/>
      <c r="CK428" s="73"/>
      <c r="CL428" s="73"/>
      <c r="CM428" s="72"/>
      <c r="CN428" s="73"/>
      <c r="CO428" s="73"/>
      <c r="CP428" s="73"/>
      <c r="CQ428" s="73"/>
      <c r="CR428" s="73"/>
      <c r="CS428" s="73"/>
      <c r="CT428" s="73"/>
      <c r="CU428" s="73"/>
      <c r="CV428" s="73"/>
      <c r="CW428" s="73"/>
      <c r="CX428" s="73"/>
      <c r="CY428" s="73"/>
      <c r="CZ428" s="73"/>
      <c r="DA428" s="73"/>
      <c r="DB428" s="73"/>
      <c r="DC428" s="73"/>
      <c r="DD428" s="73"/>
      <c r="DE428" s="73"/>
      <c r="DF428" s="73"/>
      <c r="DG428" s="73"/>
      <c r="DH428" s="73"/>
      <c r="DI428" s="73"/>
      <c r="DJ428" s="73"/>
      <c r="DK428" s="73"/>
      <c r="DL428" s="73"/>
      <c r="DM428" s="73"/>
      <c r="DN428" s="73"/>
      <c r="DO428" s="73"/>
      <c r="DP428" s="73"/>
      <c r="DQ428" s="73"/>
      <c r="DR428" s="73"/>
      <c r="DS428" s="73"/>
      <c r="DT428" s="73"/>
      <c r="DU428" s="73"/>
      <c r="DV428" s="73"/>
      <c r="DW428" s="73"/>
      <c r="DX428" s="72"/>
      <c r="DY428" s="72"/>
      <c r="DZ428" s="73"/>
      <c r="EA428" s="73"/>
      <c r="EB428" s="73"/>
      <c r="EC428" s="73"/>
      <c r="ED428" s="73"/>
      <c r="EE428" s="73"/>
      <c r="EF428" s="73"/>
      <c r="EG428" s="73"/>
      <c r="EH428" s="73"/>
      <c r="EI428" s="73"/>
      <c r="EJ428" s="73"/>
      <c r="EK428" s="73"/>
      <c r="EL428" s="73"/>
      <c r="EM428" s="73"/>
      <c r="EN428" s="73"/>
      <c r="EO428" s="73"/>
      <c r="EP428" s="69"/>
      <c r="EQ428" s="69"/>
      <c r="ER428" s="69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  <c r="CK429" s="73"/>
      <c r="CL429" s="73"/>
      <c r="CM429" s="73"/>
      <c r="CN429" s="73"/>
      <c r="CO429" s="73"/>
      <c r="CP429" s="73"/>
      <c r="CQ429" s="73"/>
      <c r="CR429" s="73"/>
      <c r="CS429" s="73"/>
      <c r="CT429" s="73"/>
      <c r="CU429" s="73"/>
      <c r="CV429" s="73"/>
      <c r="CW429" s="73"/>
      <c r="CX429" s="73"/>
      <c r="CY429" s="73"/>
      <c r="CZ429" s="73"/>
      <c r="DA429" s="73"/>
      <c r="DB429" s="73"/>
      <c r="DC429" s="73"/>
      <c r="DD429" s="73"/>
      <c r="DE429" s="73"/>
      <c r="DF429" s="73"/>
      <c r="DG429" s="73"/>
      <c r="DH429" s="73"/>
      <c r="DI429" s="73"/>
      <c r="DJ429" s="73"/>
      <c r="DK429" s="73"/>
      <c r="DL429" s="73"/>
      <c r="DM429" s="73"/>
      <c r="DN429" s="73"/>
      <c r="DO429" s="73"/>
      <c r="DP429" s="73"/>
      <c r="DQ429" s="73"/>
      <c r="DR429" s="73"/>
      <c r="DS429" s="73"/>
      <c r="DT429" s="73"/>
      <c r="DU429" s="73"/>
      <c r="DV429" s="73"/>
      <c r="DW429" s="73"/>
      <c r="DX429" s="72"/>
      <c r="DY429" s="72"/>
      <c r="DZ429" s="73"/>
      <c r="EA429" s="73"/>
      <c r="EB429" s="73"/>
      <c r="EC429" s="73"/>
      <c r="ED429" s="73"/>
      <c r="EE429" s="73"/>
      <c r="EF429" s="73"/>
      <c r="EG429" s="73"/>
      <c r="EH429" s="73"/>
      <c r="EI429" s="73"/>
      <c r="EJ429" s="73"/>
      <c r="EK429" s="73"/>
      <c r="EL429" s="73"/>
      <c r="EM429" s="73"/>
      <c r="EN429" s="73"/>
      <c r="EO429" s="73"/>
      <c r="EP429" s="69"/>
      <c r="EQ429" s="69"/>
      <c r="ER429" s="69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  <c r="CI430" s="73"/>
      <c r="CJ430" s="73"/>
      <c r="CK430" s="73"/>
      <c r="CL430" s="73"/>
      <c r="CM430" s="73"/>
      <c r="CN430" s="73"/>
      <c r="CO430" s="73"/>
      <c r="CP430" s="73"/>
      <c r="CQ430" s="73"/>
      <c r="CR430" s="73"/>
      <c r="CS430" s="73"/>
      <c r="CT430" s="73"/>
      <c r="CU430" s="73"/>
      <c r="CV430" s="73"/>
      <c r="CW430" s="73"/>
      <c r="CX430" s="73"/>
      <c r="CY430" s="73"/>
      <c r="CZ430" s="73"/>
      <c r="DA430" s="73"/>
      <c r="DB430" s="73"/>
      <c r="DC430" s="73"/>
      <c r="DD430" s="73"/>
      <c r="DE430" s="73"/>
      <c r="DF430" s="73"/>
      <c r="DG430" s="73"/>
      <c r="DH430" s="73"/>
      <c r="DI430" s="73"/>
      <c r="DJ430" s="73"/>
      <c r="DK430" s="73"/>
      <c r="DL430" s="73"/>
      <c r="DM430" s="73"/>
      <c r="DN430" s="73"/>
      <c r="DO430" s="73"/>
      <c r="DP430" s="73"/>
      <c r="DQ430" s="73"/>
      <c r="DR430" s="73"/>
      <c r="DS430" s="73"/>
      <c r="DT430" s="73"/>
      <c r="DU430" s="73"/>
      <c r="DV430" s="73"/>
      <c r="DW430" s="73"/>
      <c r="DX430" s="72"/>
      <c r="DY430" s="72"/>
      <c r="DZ430" s="73"/>
      <c r="EA430" s="73"/>
      <c r="EB430" s="73"/>
      <c r="EC430" s="73"/>
      <c r="ED430" s="73"/>
      <c r="EE430" s="73"/>
      <c r="EF430" s="73"/>
      <c r="EG430" s="73"/>
      <c r="EH430" s="73"/>
      <c r="EI430" s="73"/>
      <c r="EJ430" s="73"/>
      <c r="EK430" s="73"/>
      <c r="EL430" s="73"/>
      <c r="EM430" s="73"/>
      <c r="EN430" s="73"/>
      <c r="EO430" s="73"/>
      <c r="EP430" s="69"/>
      <c r="EQ430" s="69"/>
      <c r="ER430" s="69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  <c r="CK431" s="73"/>
      <c r="CL431" s="73"/>
      <c r="CM431" s="72"/>
      <c r="CN431" s="73"/>
      <c r="CO431" s="73"/>
      <c r="CP431" s="73"/>
      <c r="CQ431" s="73"/>
      <c r="CR431" s="73"/>
      <c r="CS431" s="73"/>
      <c r="CT431" s="73"/>
      <c r="CU431" s="73"/>
      <c r="CV431" s="73"/>
      <c r="CW431" s="73"/>
      <c r="CX431" s="73"/>
      <c r="CY431" s="73"/>
      <c r="CZ431" s="73"/>
      <c r="DA431" s="73"/>
      <c r="DB431" s="73"/>
      <c r="DC431" s="73"/>
      <c r="DD431" s="73"/>
      <c r="DE431" s="73"/>
      <c r="DF431" s="73"/>
      <c r="DG431" s="73"/>
      <c r="DH431" s="73"/>
      <c r="DI431" s="73"/>
      <c r="DJ431" s="73"/>
      <c r="DK431" s="73"/>
      <c r="DL431" s="73"/>
      <c r="DM431" s="73"/>
      <c r="DN431" s="73"/>
      <c r="DO431" s="73"/>
      <c r="DP431" s="73"/>
      <c r="DQ431" s="73"/>
      <c r="DR431" s="73"/>
      <c r="DS431" s="73"/>
      <c r="DT431" s="73"/>
      <c r="DU431" s="73"/>
      <c r="DV431" s="73"/>
      <c r="DW431" s="73"/>
      <c r="DX431" s="72"/>
      <c r="DY431" s="72"/>
      <c r="DZ431" s="73"/>
      <c r="EA431" s="73"/>
      <c r="EB431" s="73"/>
      <c r="EC431" s="73"/>
      <c r="ED431" s="73"/>
      <c r="EE431" s="73"/>
      <c r="EF431" s="73"/>
      <c r="EG431" s="73"/>
      <c r="EH431" s="73"/>
      <c r="EI431" s="73"/>
      <c r="EJ431" s="73"/>
      <c r="EK431" s="73"/>
      <c r="EL431" s="73"/>
      <c r="EM431" s="73"/>
      <c r="EN431" s="73"/>
      <c r="EO431" s="73"/>
      <c r="EP431" s="69"/>
      <c r="EQ431" s="69"/>
      <c r="ER431" s="69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  <c r="CI432" s="73"/>
      <c r="CJ432" s="73"/>
      <c r="CK432" s="73"/>
      <c r="CL432" s="73"/>
      <c r="CM432" s="73"/>
      <c r="CN432" s="73"/>
      <c r="CO432" s="73"/>
      <c r="CP432" s="73"/>
      <c r="CQ432" s="73"/>
      <c r="CR432" s="73"/>
      <c r="CS432" s="73"/>
      <c r="CT432" s="73"/>
      <c r="CU432" s="73"/>
      <c r="CV432" s="73"/>
      <c r="CW432" s="73"/>
      <c r="CX432" s="73"/>
      <c r="CY432" s="73"/>
      <c r="CZ432" s="73"/>
      <c r="DA432" s="73"/>
      <c r="DB432" s="73"/>
      <c r="DC432" s="73"/>
      <c r="DD432" s="73"/>
      <c r="DE432" s="73"/>
      <c r="DF432" s="73"/>
      <c r="DG432" s="73"/>
      <c r="DH432" s="73"/>
      <c r="DI432" s="73"/>
      <c r="DJ432" s="73"/>
      <c r="DK432" s="73"/>
      <c r="DL432" s="73"/>
      <c r="DM432" s="73"/>
      <c r="DN432" s="73"/>
      <c r="DO432" s="73"/>
      <c r="DP432" s="73"/>
      <c r="DQ432" s="73"/>
      <c r="DR432" s="73"/>
      <c r="DS432" s="73"/>
      <c r="DT432" s="73"/>
      <c r="DU432" s="73"/>
      <c r="DV432" s="73"/>
      <c r="DW432" s="73"/>
      <c r="DX432" s="72"/>
      <c r="DY432" s="72"/>
      <c r="DZ432" s="73"/>
      <c r="EA432" s="73"/>
      <c r="EB432" s="73"/>
      <c r="EC432" s="73"/>
      <c r="ED432" s="73"/>
      <c r="EE432" s="73"/>
      <c r="EF432" s="73"/>
      <c r="EG432" s="73"/>
      <c r="EH432" s="73"/>
      <c r="EI432" s="73"/>
      <c r="EJ432" s="73"/>
      <c r="EK432" s="73"/>
      <c r="EL432" s="73"/>
      <c r="EM432" s="73"/>
      <c r="EN432" s="73"/>
      <c r="EO432" s="73"/>
      <c r="EP432" s="69"/>
      <c r="EQ432" s="69"/>
      <c r="ER432" s="69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  <c r="CI433" s="73"/>
      <c r="CJ433" s="73"/>
      <c r="CK433" s="73"/>
      <c r="CL433" s="73"/>
      <c r="CM433" s="73"/>
      <c r="CN433" s="73"/>
      <c r="CO433" s="73"/>
      <c r="CP433" s="73"/>
      <c r="CQ433" s="73"/>
      <c r="CR433" s="73"/>
      <c r="CS433" s="73"/>
      <c r="CT433" s="73"/>
      <c r="CU433" s="73"/>
      <c r="CV433" s="73"/>
      <c r="CW433" s="73"/>
      <c r="CX433" s="73"/>
      <c r="CY433" s="73"/>
      <c r="CZ433" s="73"/>
      <c r="DA433" s="73"/>
      <c r="DB433" s="73"/>
      <c r="DC433" s="73"/>
      <c r="DD433" s="73"/>
      <c r="DE433" s="73"/>
      <c r="DF433" s="73"/>
      <c r="DG433" s="73"/>
      <c r="DH433" s="73"/>
      <c r="DI433" s="73"/>
      <c r="DJ433" s="73"/>
      <c r="DK433" s="73"/>
      <c r="DL433" s="73"/>
      <c r="DM433" s="73"/>
      <c r="DN433" s="73"/>
      <c r="DO433" s="73"/>
      <c r="DP433" s="73"/>
      <c r="DQ433" s="73"/>
      <c r="DR433" s="73"/>
      <c r="DS433" s="73"/>
      <c r="DT433" s="73"/>
      <c r="DU433" s="73"/>
      <c r="DV433" s="73"/>
      <c r="DW433" s="73"/>
      <c r="DX433" s="72"/>
      <c r="DY433" s="72"/>
      <c r="DZ433" s="73"/>
      <c r="EA433" s="73"/>
      <c r="EB433" s="73"/>
      <c r="EC433" s="73"/>
      <c r="ED433" s="73"/>
      <c r="EE433" s="73"/>
      <c r="EF433" s="73"/>
      <c r="EG433" s="73"/>
      <c r="EH433" s="73"/>
      <c r="EI433" s="73"/>
      <c r="EJ433" s="73"/>
      <c r="EK433" s="73"/>
      <c r="EL433" s="73"/>
      <c r="EM433" s="73"/>
      <c r="EN433" s="73"/>
      <c r="EO433" s="73"/>
      <c r="EP433" s="69"/>
      <c r="EQ433" s="69"/>
      <c r="ER433" s="69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  <c r="CK434" s="73"/>
      <c r="CL434" s="73"/>
      <c r="CM434" s="73"/>
      <c r="CN434" s="73"/>
      <c r="CO434" s="73"/>
      <c r="CP434" s="73"/>
      <c r="CQ434" s="73"/>
      <c r="CR434" s="73"/>
      <c r="CS434" s="73"/>
      <c r="CT434" s="73"/>
      <c r="CU434" s="73"/>
      <c r="CV434" s="73"/>
      <c r="CW434" s="73"/>
      <c r="CX434" s="73"/>
      <c r="CY434" s="73"/>
      <c r="CZ434" s="73"/>
      <c r="DA434" s="73"/>
      <c r="DB434" s="73"/>
      <c r="DC434" s="73"/>
      <c r="DD434" s="73"/>
      <c r="DE434" s="73"/>
      <c r="DF434" s="73"/>
      <c r="DG434" s="73"/>
      <c r="DH434" s="73"/>
      <c r="DI434" s="73"/>
      <c r="DJ434" s="73"/>
      <c r="DK434" s="73"/>
      <c r="DL434" s="73"/>
      <c r="DM434" s="73"/>
      <c r="DN434" s="73"/>
      <c r="DO434" s="73"/>
      <c r="DP434" s="73"/>
      <c r="DQ434" s="73"/>
      <c r="DR434" s="73"/>
      <c r="DS434" s="73"/>
      <c r="DT434" s="73"/>
      <c r="DU434" s="73"/>
      <c r="DV434" s="73"/>
      <c r="DW434" s="73"/>
      <c r="DX434" s="72"/>
      <c r="DY434" s="72"/>
      <c r="DZ434" s="73"/>
      <c r="EA434" s="73"/>
      <c r="EB434" s="73"/>
      <c r="EC434" s="73"/>
      <c r="ED434" s="73"/>
      <c r="EE434" s="73"/>
      <c r="EF434" s="73"/>
      <c r="EG434" s="73"/>
      <c r="EH434" s="73"/>
      <c r="EI434" s="73"/>
      <c r="EJ434" s="73"/>
      <c r="EK434" s="73"/>
      <c r="EL434" s="73"/>
      <c r="EM434" s="73"/>
      <c r="EN434" s="73"/>
      <c r="EO434" s="73"/>
      <c r="EP434" s="69"/>
      <c r="EQ434" s="69"/>
      <c r="ER434" s="69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  <c r="CI435" s="73"/>
      <c r="CJ435" s="73"/>
      <c r="CK435" s="73"/>
      <c r="CL435" s="73"/>
      <c r="CM435" s="73"/>
      <c r="CN435" s="73"/>
      <c r="CO435" s="73"/>
      <c r="CP435" s="73"/>
      <c r="CQ435" s="73"/>
      <c r="CR435" s="73"/>
      <c r="CS435" s="73"/>
      <c r="CT435" s="73"/>
      <c r="CU435" s="73"/>
      <c r="CV435" s="73"/>
      <c r="CW435" s="73"/>
      <c r="CX435" s="73"/>
      <c r="CY435" s="73"/>
      <c r="CZ435" s="73"/>
      <c r="DA435" s="73"/>
      <c r="DB435" s="73"/>
      <c r="DC435" s="73"/>
      <c r="DD435" s="73"/>
      <c r="DE435" s="73"/>
      <c r="DF435" s="73"/>
      <c r="DG435" s="73"/>
      <c r="DH435" s="73"/>
      <c r="DI435" s="73"/>
      <c r="DJ435" s="73"/>
      <c r="DK435" s="73"/>
      <c r="DL435" s="73"/>
      <c r="DM435" s="73"/>
      <c r="DN435" s="73"/>
      <c r="DO435" s="73"/>
      <c r="DP435" s="73"/>
      <c r="DQ435" s="73"/>
      <c r="DR435" s="73"/>
      <c r="DS435" s="73"/>
      <c r="DT435" s="73"/>
      <c r="DU435" s="73"/>
      <c r="DV435" s="73"/>
      <c r="DW435" s="73"/>
      <c r="DX435" s="73"/>
      <c r="DY435" s="73"/>
      <c r="DZ435" s="73"/>
      <c r="EA435" s="73"/>
      <c r="EB435" s="73"/>
      <c r="EC435" s="73"/>
      <c r="ED435" s="73"/>
      <c r="EE435" s="73"/>
      <c r="EF435" s="73"/>
      <c r="EG435" s="73"/>
      <c r="EH435" s="73"/>
      <c r="EI435" s="73"/>
      <c r="EJ435" s="73"/>
      <c r="EK435" s="73"/>
      <c r="EL435" s="73"/>
      <c r="EM435" s="73"/>
      <c r="EN435" s="73"/>
      <c r="EO435" s="73"/>
      <c r="EP435" s="69"/>
      <c r="EQ435" s="69"/>
      <c r="ER435" s="69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  <c r="CI436" s="73"/>
      <c r="CJ436" s="73"/>
      <c r="CK436" s="73"/>
      <c r="CL436" s="73"/>
      <c r="CM436" s="73"/>
      <c r="CN436" s="73"/>
      <c r="CO436" s="73"/>
      <c r="CP436" s="73"/>
      <c r="CQ436" s="73"/>
      <c r="CR436" s="73"/>
      <c r="CS436" s="73"/>
      <c r="CT436" s="73"/>
      <c r="CU436" s="73"/>
      <c r="CV436" s="73"/>
      <c r="CW436" s="73"/>
      <c r="CX436" s="73"/>
      <c r="CY436" s="73"/>
      <c r="CZ436" s="73"/>
      <c r="DA436" s="73"/>
      <c r="DB436" s="73"/>
      <c r="DC436" s="73"/>
      <c r="DD436" s="73"/>
      <c r="DE436" s="73"/>
      <c r="DF436" s="73"/>
      <c r="DG436" s="73"/>
      <c r="DH436" s="73"/>
      <c r="DI436" s="73"/>
      <c r="DJ436" s="73"/>
      <c r="DK436" s="73"/>
      <c r="DL436" s="73"/>
      <c r="DM436" s="73"/>
      <c r="DN436" s="73"/>
      <c r="DO436" s="73"/>
      <c r="DP436" s="73"/>
      <c r="DQ436" s="73"/>
      <c r="DR436" s="73"/>
      <c r="DS436" s="73"/>
      <c r="DT436" s="73"/>
      <c r="DU436" s="73"/>
      <c r="DV436" s="73"/>
      <c r="DW436" s="73"/>
      <c r="DX436" s="73"/>
      <c r="DY436" s="73"/>
      <c r="DZ436" s="73"/>
      <c r="EA436" s="73"/>
      <c r="EB436" s="73"/>
      <c r="EC436" s="73"/>
      <c r="ED436" s="73"/>
      <c r="EE436" s="73"/>
      <c r="EF436" s="73"/>
      <c r="EG436" s="73"/>
      <c r="EH436" s="73"/>
      <c r="EI436" s="73"/>
      <c r="EJ436" s="73"/>
      <c r="EK436" s="73"/>
      <c r="EL436" s="73"/>
      <c r="EM436" s="73"/>
      <c r="EN436" s="73"/>
      <c r="EO436" s="73"/>
      <c r="EP436" s="69"/>
      <c r="EQ436" s="69"/>
      <c r="ER436" s="69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  <c r="CI437" s="73"/>
      <c r="CJ437" s="73"/>
      <c r="CK437" s="73"/>
      <c r="CL437" s="73"/>
      <c r="CM437" s="73"/>
      <c r="CN437" s="73"/>
      <c r="CO437" s="73"/>
      <c r="CP437" s="73"/>
      <c r="CQ437" s="73"/>
      <c r="CR437" s="73"/>
      <c r="CS437" s="73"/>
      <c r="CT437" s="73"/>
      <c r="CU437" s="73"/>
      <c r="CV437" s="73"/>
      <c r="CW437" s="73"/>
      <c r="CX437" s="73"/>
      <c r="CY437" s="73"/>
      <c r="CZ437" s="73"/>
      <c r="DA437" s="73"/>
      <c r="DB437" s="73"/>
      <c r="DC437" s="73"/>
      <c r="DD437" s="73"/>
      <c r="DE437" s="73"/>
      <c r="DF437" s="73"/>
      <c r="DG437" s="73"/>
      <c r="DH437" s="73"/>
      <c r="DI437" s="73"/>
      <c r="DJ437" s="73"/>
      <c r="DK437" s="73"/>
      <c r="DL437" s="73"/>
      <c r="DM437" s="73"/>
      <c r="DN437" s="73"/>
      <c r="DO437" s="73"/>
      <c r="DP437" s="73"/>
      <c r="DQ437" s="73"/>
      <c r="DR437" s="73"/>
      <c r="DS437" s="73"/>
      <c r="DT437" s="73"/>
      <c r="DU437" s="73"/>
      <c r="DV437" s="73"/>
      <c r="DW437" s="73"/>
      <c r="DX437" s="73"/>
      <c r="DY437" s="73"/>
      <c r="DZ437" s="73"/>
      <c r="EA437" s="73"/>
      <c r="EB437" s="73"/>
      <c r="EC437" s="73"/>
      <c r="ED437" s="73"/>
      <c r="EE437" s="73"/>
      <c r="EF437" s="73"/>
      <c r="EG437" s="73"/>
      <c r="EH437" s="73"/>
      <c r="EI437" s="73"/>
      <c r="EJ437" s="73"/>
      <c r="EK437" s="73"/>
      <c r="EL437" s="73"/>
      <c r="EM437" s="73"/>
      <c r="EN437" s="73"/>
      <c r="EO437" s="73"/>
      <c r="EP437" s="69"/>
      <c r="EQ437" s="69"/>
      <c r="ER437" s="69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  <c r="CI438" s="73"/>
      <c r="CJ438" s="73"/>
      <c r="CK438" s="73"/>
      <c r="CL438" s="73"/>
      <c r="CM438" s="73"/>
      <c r="CN438" s="73"/>
      <c r="CO438" s="73"/>
      <c r="CP438" s="73"/>
      <c r="CQ438" s="73"/>
      <c r="CR438" s="73"/>
      <c r="CS438" s="73"/>
      <c r="CT438" s="73"/>
      <c r="CU438" s="73"/>
      <c r="CV438" s="73"/>
      <c r="CW438" s="73"/>
      <c r="CX438" s="73"/>
      <c r="CY438" s="73"/>
      <c r="CZ438" s="73"/>
      <c r="DA438" s="73"/>
      <c r="DB438" s="73"/>
      <c r="DC438" s="73"/>
      <c r="DD438" s="73"/>
      <c r="DE438" s="73"/>
      <c r="DF438" s="73"/>
      <c r="DG438" s="73"/>
      <c r="DH438" s="73"/>
      <c r="DI438" s="73"/>
      <c r="DJ438" s="73"/>
      <c r="DK438" s="73"/>
      <c r="DL438" s="73"/>
      <c r="DM438" s="73"/>
      <c r="DN438" s="73"/>
      <c r="DO438" s="73"/>
      <c r="DP438" s="73"/>
      <c r="DQ438" s="73"/>
      <c r="DR438" s="73"/>
      <c r="DS438" s="73"/>
      <c r="DT438" s="73"/>
      <c r="DU438" s="73"/>
      <c r="DV438" s="73"/>
      <c r="DW438" s="73"/>
      <c r="DX438" s="72"/>
      <c r="DY438" s="72"/>
      <c r="DZ438" s="73"/>
      <c r="EA438" s="73"/>
      <c r="EB438" s="73"/>
      <c r="EC438" s="73"/>
      <c r="ED438" s="73"/>
      <c r="EE438" s="73"/>
      <c r="EF438" s="73"/>
      <c r="EG438" s="73"/>
      <c r="EH438" s="73"/>
      <c r="EI438" s="73"/>
      <c r="EJ438" s="73"/>
      <c r="EK438" s="73"/>
      <c r="EL438" s="73"/>
      <c r="EM438" s="73"/>
      <c r="EN438" s="73"/>
      <c r="EO438" s="73"/>
      <c r="EP438" s="69"/>
      <c r="EQ438" s="69"/>
      <c r="ER438" s="69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73"/>
      <c r="CT439" s="73"/>
      <c r="CU439" s="73"/>
      <c r="CV439" s="73"/>
      <c r="CW439" s="73"/>
      <c r="CX439" s="73"/>
      <c r="CY439" s="73"/>
      <c r="CZ439" s="73"/>
      <c r="DA439" s="73"/>
      <c r="DB439" s="73"/>
      <c r="DC439" s="73"/>
      <c r="DD439" s="73"/>
      <c r="DE439" s="73"/>
      <c r="DF439" s="73"/>
      <c r="DG439" s="73"/>
      <c r="DH439" s="73"/>
      <c r="DI439" s="73"/>
      <c r="DJ439" s="73"/>
      <c r="DK439" s="73"/>
      <c r="DL439" s="73"/>
      <c r="DM439" s="73"/>
      <c r="DN439" s="73"/>
      <c r="DO439" s="73"/>
      <c r="DP439" s="73"/>
      <c r="DQ439" s="73"/>
      <c r="DR439" s="73"/>
      <c r="DS439" s="73"/>
      <c r="DT439" s="73"/>
      <c r="DU439" s="73"/>
      <c r="DV439" s="73"/>
      <c r="DW439" s="73"/>
      <c r="DX439" s="72"/>
      <c r="DY439" s="72"/>
      <c r="DZ439" s="73"/>
      <c r="EA439" s="73"/>
      <c r="EB439" s="73"/>
      <c r="EC439" s="73"/>
      <c r="ED439" s="73"/>
      <c r="EE439" s="73"/>
      <c r="EF439" s="73"/>
      <c r="EG439" s="73"/>
      <c r="EH439" s="73"/>
      <c r="EI439" s="73"/>
      <c r="EJ439" s="73"/>
      <c r="EK439" s="73"/>
      <c r="EL439" s="73"/>
      <c r="EM439" s="73"/>
      <c r="EN439" s="73"/>
      <c r="EO439" s="73"/>
      <c r="EP439" s="69"/>
      <c r="EQ439" s="69"/>
      <c r="ER439" s="69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  <c r="CI440" s="73"/>
      <c r="CJ440" s="73"/>
      <c r="CK440" s="73"/>
      <c r="CL440" s="73"/>
      <c r="CM440" s="73"/>
      <c r="CN440" s="73"/>
      <c r="CO440" s="73"/>
      <c r="CP440" s="73"/>
      <c r="CQ440" s="73"/>
      <c r="CR440" s="73"/>
      <c r="CS440" s="73"/>
      <c r="CT440" s="73"/>
      <c r="CU440" s="73"/>
      <c r="CV440" s="73"/>
      <c r="CW440" s="73"/>
      <c r="CX440" s="73"/>
      <c r="CY440" s="73"/>
      <c r="CZ440" s="73"/>
      <c r="DA440" s="73"/>
      <c r="DB440" s="73"/>
      <c r="DC440" s="73"/>
      <c r="DD440" s="73"/>
      <c r="DE440" s="73"/>
      <c r="DF440" s="73"/>
      <c r="DG440" s="73"/>
      <c r="DH440" s="73"/>
      <c r="DI440" s="73"/>
      <c r="DJ440" s="73"/>
      <c r="DK440" s="73"/>
      <c r="DL440" s="73"/>
      <c r="DM440" s="73"/>
      <c r="DN440" s="73"/>
      <c r="DO440" s="73"/>
      <c r="DP440" s="73"/>
      <c r="DQ440" s="73"/>
      <c r="DR440" s="73"/>
      <c r="DS440" s="73"/>
      <c r="DT440" s="73"/>
      <c r="DU440" s="73"/>
      <c r="DV440" s="73"/>
      <c r="DW440" s="73"/>
      <c r="DX440" s="73"/>
      <c r="DY440" s="73"/>
      <c r="DZ440" s="73"/>
      <c r="EA440" s="73"/>
      <c r="EB440" s="73"/>
      <c r="EC440" s="73"/>
      <c r="ED440" s="73"/>
      <c r="EE440" s="73"/>
      <c r="EF440" s="73"/>
      <c r="EG440" s="73"/>
      <c r="EH440" s="73"/>
      <c r="EI440" s="73"/>
      <c r="EJ440" s="73"/>
      <c r="EK440" s="73"/>
      <c r="EL440" s="73"/>
      <c r="EM440" s="73"/>
      <c r="EN440" s="73"/>
      <c r="EO440" s="73"/>
      <c r="EP440" s="69"/>
      <c r="EQ440" s="69"/>
      <c r="ER440" s="69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  <c r="CI441" s="73"/>
      <c r="CJ441" s="73"/>
      <c r="CK441" s="73"/>
      <c r="CL441" s="73"/>
      <c r="CM441" s="73"/>
      <c r="CN441" s="73"/>
      <c r="CO441" s="73"/>
      <c r="CP441" s="73"/>
      <c r="CQ441" s="73"/>
      <c r="CR441" s="73"/>
      <c r="CS441" s="73"/>
      <c r="CT441" s="73"/>
      <c r="CU441" s="73"/>
      <c r="CV441" s="73"/>
      <c r="CW441" s="73"/>
      <c r="CX441" s="73"/>
      <c r="CY441" s="73"/>
      <c r="CZ441" s="73"/>
      <c r="DA441" s="73"/>
      <c r="DB441" s="73"/>
      <c r="DC441" s="73"/>
      <c r="DD441" s="73"/>
      <c r="DE441" s="73"/>
      <c r="DF441" s="73"/>
      <c r="DG441" s="73"/>
      <c r="DH441" s="73"/>
      <c r="DI441" s="73"/>
      <c r="DJ441" s="73"/>
      <c r="DK441" s="73"/>
      <c r="DL441" s="73"/>
      <c r="DM441" s="73"/>
      <c r="DN441" s="73"/>
      <c r="DO441" s="73"/>
      <c r="DP441" s="73"/>
      <c r="DQ441" s="73"/>
      <c r="DR441" s="73"/>
      <c r="DS441" s="73"/>
      <c r="DT441" s="73"/>
      <c r="DU441" s="73"/>
      <c r="DV441" s="73"/>
      <c r="DW441" s="73"/>
      <c r="DX441" s="72"/>
      <c r="DY441" s="72"/>
      <c r="DZ441" s="73"/>
      <c r="EA441" s="73"/>
      <c r="EB441" s="73"/>
      <c r="EC441" s="73"/>
      <c r="ED441" s="73"/>
      <c r="EE441" s="73"/>
      <c r="EF441" s="73"/>
      <c r="EG441" s="73"/>
      <c r="EH441" s="73"/>
      <c r="EI441" s="73"/>
      <c r="EJ441" s="73"/>
      <c r="EK441" s="73"/>
      <c r="EL441" s="73"/>
      <c r="EM441" s="73"/>
      <c r="EN441" s="73"/>
      <c r="EO441" s="73"/>
      <c r="EP441" s="69"/>
      <c r="EQ441" s="69"/>
      <c r="ER441" s="69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  <c r="CI442" s="73"/>
      <c r="CJ442" s="73"/>
      <c r="CK442" s="73"/>
      <c r="CL442" s="73"/>
      <c r="CM442" s="73"/>
      <c r="CN442" s="73"/>
      <c r="CO442" s="73"/>
      <c r="CP442" s="73"/>
      <c r="CQ442" s="73"/>
      <c r="CR442" s="73"/>
      <c r="CS442" s="73"/>
      <c r="CT442" s="73"/>
      <c r="CU442" s="73"/>
      <c r="CV442" s="73"/>
      <c r="CW442" s="73"/>
      <c r="CX442" s="73"/>
      <c r="CY442" s="73"/>
      <c r="CZ442" s="73"/>
      <c r="DA442" s="73"/>
      <c r="DB442" s="73"/>
      <c r="DC442" s="73"/>
      <c r="DD442" s="73"/>
      <c r="DE442" s="73"/>
      <c r="DF442" s="73"/>
      <c r="DG442" s="73"/>
      <c r="DH442" s="73"/>
      <c r="DI442" s="73"/>
      <c r="DJ442" s="73"/>
      <c r="DK442" s="73"/>
      <c r="DL442" s="73"/>
      <c r="DM442" s="73"/>
      <c r="DN442" s="73"/>
      <c r="DO442" s="73"/>
      <c r="DP442" s="73"/>
      <c r="DQ442" s="73"/>
      <c r="DR442" s="73"/>
      <c r="DS442" s="73"/>
      <c r="DT442" s="73"/>
      <c r="DU442" s="73"/>
      <c r="DV442" s="73"/>
      <c r="DW442" s="73"/>
      <c r="DX442" s="72"/>
      <c r="DY442" s="72"/>
      <c r="DZ442" s="73"/>
      <c r="EA442" s="73"/>
      <c r="EB442" s="73"/>
      <c r="EC442" s="73"/>
      <c r="ED442" s="73"/>
      <c r="EE442" s="73"/>
      <c r="EF442" s="73"/>
      <c r="EG442" s="73"/>
      <c r="EH442" s="73"/>
      <c r="EI442" s="73"/>
      <c r="EJ442" s="73"/>
      <c r="EK442" s="73"/>
      <c r="EL442" s="73"/>
      <c r="EM442" s="73"/>
      <c r="EN442" s="73"/>
      <c r="EO442" s="73"/>
      <c r="EP442" s="69"/>
      <c r="EQ442" s="69"/>
      <c r="ER442" s="69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  <c r="CI443" s="73"/>
      <c r="CJ443" s="73"/>
      <c r="CK443" s="73"/>
      <c r="CL443" s="73"/>
      <c r="CM443" s="72"/>
      <c r="CN443" s="73"/>
      <c r="CO443" s="73"/>
      <c r="CP443" s="73"/>
      <c r="CQ443" s="73"/>
      <c r="CR443" s="73"/>
      <c r="CS443" s="73"/>
      <c r="CT443" s="73"/>
      <c r="CU443" s="73"/>
      <c r="CV443" s="73"/>
      <c r="CW443" s="73"/>
      <c r="CX443" s="73"/>
      <c r="CY443" s="73"/>
      <c r="CZ443" s="73"/>
      <c r="DA443" s="73"/>
      <c r="DB443" s="73"/>
      <c r="DC443" s="73"/>
      <c r="DD443" s="73"/>
      <c r="DE443" s="73"/>
      <c r="DF443" s="73"/>
      <c r="DG443" s="73"/>
      <c r="DH443" s="73"/>
      <c r="DI443" s="73"/>
      <c r="DJ443" s="73"/>
      <c r="DK443" s="73"/>
      <c r="DL443" s="73"/>
      <c r="DM443" s="73"/>
      <c r="DN443" s="73"/>
      <c r="DO443" s="73"/>
      <c r="DP443" s="73"/>
      <c r="DQ443" s="73"/>
      <c r="DR443" s="73"/>
      <c r="DS443" s="73"/>
      <c r="DT443" s="73"/>
      <c r="DU443" s="73"/>
      <c r="DV443" s="73"/>
      <c r="DW443" s="73"/>
      <c r="DX443" s="72"/>
      <c r="DY443" s="72"/>
      <c r="DZ443" s="73"/>
      <c r="EA443" s="73"/>
      <c r="EB443" s="73"/>
      <c r="EC443" s="73"/>
      <c r="ED443" s="73"/>
      <c r="EE443" s="73"/>
      <c r="EF443" s="73"/>
      <c r="EG443" s="73"/>
      <c r="EH443" s="73"/>
      <c r="EI443" s="73"/>
      <c r="EJ443" s="73"/>
      <c r="EK443" s="73"/>
      <c r="EL443" s="73"/>
      <c r="EM443" s="73"/>
      <c r="EN443" s="73"/>
      <c r="EO443" s="73"/>
      <c r="EP443" s="69"/>
      <c r="EQ443" s="69"/>
      <c r="ER443" s="69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  <c r="CK444" s="73"/>
      <c r="CL444" s="73"/>
      <c r="CM444" s="73"/>
      <c r="CN444" s="73"/>
      <c r="CO444" s="73"/>
      <c r="CP444" s="73"/>
      <c r="CQ444" s="73"/>
      <c r="CR444" s="73"/>
      <c r="CS444" s="73"/>
      <c r="CT444" s="73"/>
      <c r="CU444" s="73"/>
      <c r="CV444" s="73"/>
      <c r="CW444" s="73"/>
      <c r="CX444" s="73"/>
      <c r="CY444" s="73"/>
      <c r="CZ444" s="73"/>
      <c r="DA444" s="73"/>
      <c r="DB444" s="73"/>
      <c r="DC444" s="73"/>
      <c r="DD444" s="73"/>
      <c r="DE444" s="73"/>
      <c r="DF444" s="73"/>
      <c r="DG444" s="73"/>
      <c r="DH444" s="73"/>
      <c r="DI444" s="73"/>
      <c r="DJ444" s="73"/>
      <c r="DK444" s="73"/>
      <c r="DL444" s="73"/>
      <c r="DM444" s="73"/>
      <c r="DN444" s="73"/>
      <c r="DO444" s="73"/>
      <c r="DP444" s="73"/>
      <c r="DQ444" s="73"/>
      <c r="DR444" s="73"/>
      <c r="DS444" s="73"/>
      <c r="DT444" s="73"/>
      <c r="DU444" s="73"/>
      <c r="DV444" s="73"/>
      <c r="DW444" s="73"/>
      <c r="DX444" s="73"/>
      <c r="DY444" s="73"/>
      <c r="DZ444" s="73"/>
      <c r="EA444" s="73"/>
      <c r="EB444" s="73"/>
      <c r="EC444" s="73"/>
      <c r="ED444" s="73"/>
      <c r="EE444" s="73"/>
      <c r="EF444" s="73"/>
      <c r="EG444" s="73"/>
      <c r="EH444" s="73"/>
      <c r="EI444" s="73"/>
      <c r="EJ444" s="73"/>
      <c r="EK444" s="73"/>
      <c r="EL444" s="73"/>
      <c r="EM444" s="73"/>
      <c r="EN444" s="73"/>
      <c r="EO444" s="73"/>
      <c r="EP444" s="69"/>
      <c r="EQ444" s="69"/>
      <c r="ER444" s="69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  <c r="CI445" s="73"/>
      <c r="CJ445" s="73"/>
      <c r="CK445" s="73"/>
      <c r="CL445" s="73"/>
      <c r="CM445" s="73"/>
      <c r="CN445" s="73"/>
      <c r="CO445" s="73"/>
      <c r="CP445" s="73"/>
      <c r="CQ445" s="73"/>
      <c r="CR445" s="73"/>
      <c r="CS445" s="73"/>
      <c r="CT445" s="73"/>
      <c r="CU445" s="73"/>
      <c r="CV445" s="73"/>
      <c r="CW445" s="73"/>
      <c r="CX445" s="73"/>
      <c r="CY445" s="73"/>
      <c r="CZ445" s="73"/>
      <c r="DA445" s="73"/>
      <c r="DB445" s="73"/>
      <c r="DC445" s="73"/>
      <c r="DD445" s="73"/>
      <c r="DE445" s="73"/>
      <c r="DF445" s="73"/>
      <c r="DG445" s="73"/>
      <c r="DH445" s="73"/>
      <c r="DI445" s="73"/>
      <c r="DJ445" s="73"/>
      <c r="DK445" s="73"/>
      <c r="DL445" s="73"/>
      <c r="DM445" s="73"/>
      <c r="DN445" s="73"/>
      <c r="DO445" s="73"/>
      <c r="DP445" s="73"/>
      <c r="DQ445" s="73"/>
      <c r="DR445" s="73"/>
      <c r="DS445" s="73"/>
      <c r="DT445" s="73"/>
      <c r="DU445" s="73"/>
      <c r="DV445" s="73"/>
      <c r="DW445" s="73"/>
      <c r="DX445" s="72"/>
      <c r="DY445" s="72"/>
      <c r="DZ445" s="73"/>
      <c r="EA445" s="73"/>
      <c r="EB445" s="73"/>
      <c r="EC445" s="73"/>
      <c r="ED445" s="73"/>
      <c r="EE445" s="73"/>
      <c r="EF445" s="73"/>
      <c r="EG445" s="73"/>
      <c r="EH445" s="73"/>
      <c r="EI445" s="73"/>
      <c r="EJ445" s="73"/>
      <c r="EK445" s="73"/>
      <c r="EL445" s="73"/>
      <c r="EM445" s="73"/>
      <c r="EN445" s="73"/>
      <c r="EO445" s="73"/>
      <c r="EP445" s="69"/>
      <c r="EQ445" s="69"/>
      <c r="ER445" s="69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  <c r="CI446" s="73"/>
      <c r="CJ446" s="73"/>
      <c r="CK446" s="73"/>
      <c r="CL446" s="73"/>
      <c r="CM446" s="72"/>
      <c r="CN446" s="73"/>
      <c r="CO446" s="73"/>
      <c r="CP446" s="73"/>
      <c r="CQ446" s="73"/>
      <c r="CR446" s="73"/>
      <c r="CS446" s="73"/>
      <c r="CT446" s="73"/>
      <c r="CU446" s="73"/>
      <c r="CV446" s="73"/>
      <c r="CW446" s="73"/>
      <c r="CX446" s="73"/>
      <c r="CY446" s="73"/>
      <c r="CZ446" s="73"/>
      <c r="DA446" s="73"/>
      <c r="DB446" s="73"/>
      <c r="DC446" s="73"/>
      <c r="DD446" s="73"/>
      <c r="DE446" s="73"/>
      <c r="DF446" s="73"/>
      <c r="DG446" s="73"/>
      <c r="DH446" s="73"/>
      <c r="DI446" s="73"/>
      <c r="DJ446" s="73"/>
      <c r="DK446" s="73"/>
      <c r="DL446" s="73"/>
      <c r="DM446" s="73"/>
      <c r="DN446" s="73"/>
      <c r="DO446" s="73"/>
      <c r="DP446" s="73"/>
      <c r="DQ446" s="73"/>
      <c r="DR446" s="73"/>
      <c r="DS446" s="73"/>
      <c r="DT446" s="73"/>
      <c r="DU446" s="73"/>
      <c r="DV446" s="73"/>
      <c r="DW446" s="73"/>
      <c r="DX446" s="72"/>
      <c r="DY446" s="72"/>
      <c r="DZ446" s="73"/>
      <c r="EA446" s="73"/>
      <c r="EB446" s="73"/>
      <c r="EC446" s="73"/>
      <c r="ED446" s="73"/>
      <c r="EE446" s="73"/>
      <c r="EF446" s="73"/>
      <c r="EG446" s="73"/>
      <c r="EH446" s="73"/>
      <c r="EI446" s="73"/>
      <c r="EJ446" s="73"/>
      <c r="EK446" s="73"/>
      <c r="EL446" s="73"/>
      <c r="EM446" s="73"/>
      <c r="EN446" s="73"/>
      <c r="EO446" s="73"/>
      <c r="EP446" s="69"/>
      <c r="EQ446" s="69"/>
      <c r="ER446" s="69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  <c r="CI447" s="73"/>
      <c r="CJ447" s="73"/>
      <c r="CK447" s="73"/>
      <c r="CL447" s="73"/>
      <c r="CM447" s="73"/>
      <c r="CN447" s="73"/>
      <c r="CO447" s="73"/>
      <c r="CP447" s="73"/>
      <c r="CQ447" s="73"/>
      <c r="CR447" s="73"/>
      <c r="CS447" s="73"/>
      <c r="CT447" s="73"/>
      <c r="CU447" s="73"/>
      <c r="CV447" s="73"/>
      <c r="CW447" s="73"/>
      <c r="CX447" s="73"/>
      <c r="CY447" s="73"/>
      <c r="CZ447" s="73"/>
      <c r="DA447" s="73"/>
      <c r="DB447" s="73"/>
      <c r="DC447" s="73"/>
      <c r="DD447" s="73"/>
      <c r="DE447" s="73"/>
      <c r="DF447" s="73"/>
      <c r="DG447" s="73"/>
      <c r="DH447" s="73"/>
      <c r="DI447" s="73"/>
      <c r="DJ447" s="73"/>
      <c r="DK447" s="73"/>
      <c r="DL447" s="73"/>
      <c r="DM447" s="73"/>
      <c r="DN447" s="73"/>
      <c r="DO447" s="73"/>
      <c r="DP447" s="73"/>
      <c r="DQ447" s="73"/>
      <c r="DR447" s="73"/>
      <c r="DS447" s="73"/>
      <c r="DT447" s="73"/>
      <c r="DU447" s="73"/>
      <c r="DV447" s="73"/>
      <c r="DW447" s="73"/>
      <c r="DX447" s="72"/>
      <c r="DY447" s="72"/>
      <c r="DZ447" s="73"/>
      <c r="EA447" s="73"/>
      <c r="EB447" s="73"/>
      <c r="EC447" s="73"/>
      <c r="ED447" s="73"/>
      <c r="EE447" s="73"/>
      <c r="EF447" s="73"/>
      <c r="EG447" s="73"/>
      <c r="EH447" s="73"/>
      <c r="EI447" s="73"/>
      <c r="EJ447" s="73"/>
      <c r="EK447" s="73"/>
      <c r="EL447" s="73"/>
      <c r="EM447" s="73"/>
      <c r="EN447" s="73"/>
      <c r="EO447" s="73"/>
      <c r="EP447" s="69"/>
      <c r="EQ447" s="69"/>
      <c r="ER447" s="69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  <c r="CK448" s="73"/>
      <c r="CL448" s="73"/>
      <c r="CM448" s="73"/>
      <c r="CN448" s="73"/>
      <c r="CO448" s="73"/>
      <c r="CP448" s="73"/>
      <c r="CQ448" s="73"/>
      <c r="CR448" s="73"/>
      <c r="CS448" s="73"/>
      <c r="CT448" s="73"/>
      <c r="CU448" s="73"/>
      <c r="CV448" s="73"/>
      <c r="CW448" s="73"/>
      <c r="CX448" s="73"/>
      <c r="CY448" s="73"/>
      <c r="CZ448" s="73"/>
      <c r="DA448" s="73"/>
      <c r="DB448" s="73"/>
      <c r="DC448" s="73"/>
      <c r="DD448" s="73"/>
      <c r="DE448" s="73"/>
      <c r="DF448" s="73"/>
      <c r="DG448" s="73"/>
      <c r="DH448" s="73"/>
      <c r="DI448" s="73"/>
      <c r="DJ448" s="73"/>
      <c r="DK448" s="73"/>
      <c r="DL448" s="73"/>
      <c r="DM448" s="73"/>
      <c r="DN448" s="73"/>
      <c r="DO448" s="73"/>
      <c r="DP448" s="73"/>
      <c r="DQ448" s="73"/>
      <c r="DR448" s="73"/>
      <c r="DS448" s="73"/>
      <c r="DT448" s="73"/>
      <c r="DU448" s="73"/>
      <c r="DV448" s="73"/>
      <c r="DW448" s="73"/>
      <c r="DX448" s="72"/>
      <c r="DY448" s="72"/>
      <c r="DZ448" s="73"/>
      <c r="EA448" s="73"/>
      <c r="EB448" s="73"/>
      <c r="EC448" s="73"/>
      <c r="ED448" s="73"/>
      <c r="EE448" s="73"/>
      <c r="EF448" s="73"/>
      <c r="EG448" s="73"/>
      <c r="EH448" s="73"/>
      <c r="EI448" s="73"/>
      <c r="EJ448" s="73"/>
      <c r="EK448" s="73"/>
      <c r="EL448" s="73"/>
      <c r="EM448" s="73"/>
      <c r="EN448" s="73"/>
      <c r="EO448" s="73"/>
      <c r="EP448" s="69"/>
      <c r="EQ448" s="69"/>
      <c r="ER448" s="69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73"/>
      <c r="CT449" s="73"/>
      <c r="CU449" s="73"/>
      <c r="CV449" s="73"/>
      <c r="CW449" s="73"/>
      <c r="CX449" s="73"/>
      <c r="CY449" s="73"/>
      <c r="CZ449" s="73"/>
      <c r="DA449" s="73"/>
      <c r="DB449" s="73"/>
      <c r="DC449" s="73"/>
      <c r="DD449" s="73"/>
      <c r="DE449" s="73"/>
      <c r="DF449" s="73"/>
      <c r="DG449" s="73"/>
      <c r="DH449" s="73"/>
      <c r="DI449" s="73"/>
      <c r="DJ449" s="73"/>
      <c r="DK449" s="73"/>
      <c r="DL449" s="73"/>
      <c r="DM449" s="73"/>
      <c r="DN449" s="73"/>
      <c r="DO449" s="73"/>
      <c r="DP449" s="73"/>
      <c r="DQ449" s="73"/>
      <c r="DR449" s="73"/>
      <c r="DS449" s="73"/>
      <c r="DT449" s="73"/>
      <c r="DU449" s="73"/>
      <c r="DV449" s="73"/>
      <c r="DW449" s="73"/>
      <c r="DX449" s="72"/>
      <c r="DY449" s="72"/>
      <c r="DZ449" s="73"/>
      <c r="EA449" s="73"/>
      <c r="EB449" s="73"/>
      <c r="EC449" s="73"/>
      <c r="ED449" s="73"/>
      <c r="EE449" s="73"/>
      <c r="EF449" s="73"/>
      <c r="EG449" s="73"/>
      <c r="EH449" s="73"/>
      <c r="EI449" s="73"/>
      <c r="EJ449" s="73"/>
      <c r="EK449" s="73"/>
      <c r="EL449" s="73"/>
      <c r="EM449" s="73"/>
      <c r="EN449" s="73"/>
      <c r="EO449" s="73"/>
      <c r="EP449" s="69"/>
      <c r="EQ449" s="69"/>
      <c r="ER449" s="69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  <c r="CK450" s="73"/>
      <c r="CL450" s="73"/>
      <c r="CM450" s="73"/>
      <c r="CN450" s="73"/>
      <c r="CO450" s="73"/>
      <c r="CP450" s="73"/>
      <c r="CQ450" s="73"/>
      <c r="CR450" s="73"/>
      <c r="CS450" s="73"/>
      <c r="CT450" s="73"/>
      <c r="CU450" s="73"/>
      <c r="CV450" s="73"/>
      <c r="CW450" s="73"/>
      <c r="CX450" s="73"/>
      <c r="CY450" s="73"/>
      <c r="CZ450" s="73"/>
      <c r="DA450" s="73"/>
      <c r="DB450" s="73"/>
      <c r="DC450" s="73"/>
      <c r="DD450" s="73"/>
      <c r="DE450" s="73"/>
      <c r="DF450" s="73"/>
      <c r="DG450" s="73"/>
      <c r="DH450" s="73"/>
      <c r="DI450" s="73"/>
      <c r="DJ450" s="73"/>
      <c r="DK450" s="73"/>
      <c r="DL450" s="73"/>
      <c r="DM450" s="73"/>
      <c r="DN450" s="73"/>
      <c r="DO450" s="73"/>
      <c r="DP450" s="73"/>
      <c r="DQ450" s="73"/>
      <c r="DR450" s="73"/>
      <c r="DS450" s="73"/>
      <c r="DT450" s="73"/>
      <c r="DU450" s="73"/>
      <c r="DV450" s="73"/>
      <c r="DW450" s="73"/>
      <c r="DX450" s="73"/>
      <c r="DY450" s="73"/>
      <c r="DZ450" s="73"/>
      <c r="EA450" s="73"/>
      <c r="EB450" s="73"/>
      <c r="EC450" s="73"/>
      <c r="ED450" s="73"/>
      <c r="EE450" s="73"/>
      <c r="EF450" s="73"/>
      <c r="EG450" s="73"/>
      <c r="EH450" s="73"/>
      <c r="EI450" s="73"/>
      <c r="EJ450" s="73"/>
      <c r="EK450" s="73"/>
      <c r="EL450" s="73"/>
      <c r="EM450" s="73"/>
      <c r="EN450" s="73"/>
      <c r="EO450" s="73"/>
      <c r="EP450" s="69"/>
      <c r="EQ450" s="69"/>
      <c r="ER450" s="69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  <c r="CI451" s="73"/>
      <c r="CJ451" s="73"/>
      <c r="CK451" s="73"/>
      <c r="CL451" s="73"/>
      <c r="CM451" s="72"/>
      <c r="CN451" s="73"/>
      <c r="CO451" s="73"/>
      <c r="CP451" s="73"/>
      <c r="CQ451" s="73"/>
      <c r="CR451" s="73"/>
      <c r="CS451" s="73"/>
      <c r="CT451" s="73"/>
      <c r="CU451" s="73"/>
      <c r="CV451" s="73"/>
      <c r="CW451" s="73"/>
      <c r="CX451" s="73"/>
      <c r="CY451" s="73"/>
      <c r="CZ451" s="73"/>
      <c r="DA451" s="73"/>
      <c r="DB451" s="73"/>
      <c r="DC451" s="73"/>
      <c r="DD451" s="73"/>
      <c r="DE451" s="73"/>
      <c r="DF451" s="73"/>
      <c r="DG451" s="73"/>
      <c r="DH451" s="73"/>
      <c r="DI451" s="73"/>
      <c r="DJ451" s="73"/>
      <c r="DK451" s="73"/>
      <c r="DL451" s="73"/>
      <c r="DM451" s="73"/>
      <c r="DN451" s="73"/>
      <c r="DO451" s="73"/>
      <c r="DP451" s="73"/>
      <c r="DQ451" s="73"/>
      <c r="DR451" s="73"/>
      <c r="DS451" s="73"/>
      <c r="DT451" s="73"/>
      <c r="DU451" s="73"/>
      <c r="DV451" s="73"/>
      <c r="DW451" s="73"/>
      <c r="DX451" s="72"/>
      <c r="DY451" s="72"/>
      <c r="DZ451" s="73"/>
      <c r="EA451" s="73"/>
      <c r="EB451" s="73"/>
      <c r="EC451" s="73"/>
      <c r="ED451" s="73"/>
      <c r="EE451" s="73"/>
      <c r="EF451" s="73"/>
      <c r="EG451" s="73"/>
      <c r="EH451" s="73"/>
      <c r="EI451" s="73"/>
      <c r="EJ451" s="73"/>
      <c r="EK451" s="73"/>
      <c r="EL451" s="73"/>
      <c r="EM451" s="73"/>
      <c r="EN451" s="73"/>
      <c r="EO451" s="73"/>
      <c r="EP451" s="69"/>
      <c r="EQ451" s="69"/>
      <c r="ER451" s="69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  <c r="CK452" s="73"/>
      <c r="CL452" s="73"/>
      <c r="CM452" s="73"/>
      <c r="CN452" s="73"/>
      <c r="CO452" s="73"/>
      <c r="CP452" s="73"/>
      <c r="CQ452" s="73"/>
      <c r="CR452" s="73"/>
      <c r="CS452" s="73"/>
      <c r="CT452" s="73"/>
      <c r="CU452" s="73"/>
      <c r="CV452" s="73"/>
      <c r="CW452" s="73"/>
      <c r="CX452" s="73"/>
      <c r="CY452" s="73"/>
      <c r="CZ452" s="73"/>
      <c r="DA452" s="73"/>
      <c r="DB452" s="73"/>
      <c r="DC452" s="73"/>
      <c r="DD452" s="73"/>
      <c r="DE452" s="73"/>
      <c r="DF452" s="73"/>
      <c r="DG452" s="73"/>
      <c r="DH452" s="73"/>
      <c r="DI452" s="73"/>
      <c r="DJ452" s="73"/>
      <c r="DK452" s="73"/>
      <c r="DL452" s="73"/>
      <c r="DM452" s="73"/>
      <c r="DN452" s="73"/>
      <c r="DO452" s="73"/>
      <c r="DP452" s="73"/>
      <c r="DQ452" s="73"/>
      <c r="DR452" s="73"/>
      <c r="DS452" s="73"/>
      <c r="DT452" s="73"/>
      <c r="DU452" s="73"/>
      <c r="DV452" s="73"/>
      <c r="DW452" s="73"/>
      <c r="DX452" s="72"/>
      <c r="DY452" s="72"/>
      <c r="DZ452" s="73"/>
      <c r="EA452" s="73"/>
      <c r="EB452" s="73"/>
      <c r="EC452" s="73"/>
      <c r="ED452" s="73"/>
      <c r="EE452" s="73"/>
      <c r="EF452" s="73"/>
      <c r="EG452" s="73"/>
      <c r="EH452" s="73"/>
      <c r="EI452" s="73"/>
      <c r="EJ452" s="73"/>
      <c r="EK452" s="73"/>
      <c r="EL452" s="73"/>
      <c r="EM452" s="73"/>
      <c r="EN452" s="73"/>
      <c r="EO452" s="73"/>
      <c r="EP452" s="69"/>
      <c r="EQ452" s="69"/>
      <c r="ER452" s="69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  <c r="CK453" s="73"/>
      <c r="CL453" s="73"/>
      <c r="CM453" s="72"/>
      <c r="CN453" s="73"/>
      <c r="CO453" s="73"/>
      <c r="CP453" s="73"/>
      <c r="CQ453" s="73"/>
      <c r="CR453" s="73"/>
      <c r="CS453" s="73"/>
      <c r="CT453" s="73"/>
      <c r="CU453" s="73"/>
      <c r="CV453" s="73"/>
      <c r="CW453" s="73"/>
      <c r="CX453" s="73"/>
      <c r="CY453" s="73"/>
      <c r="CZ453" s="73"/>
      <c r="DA453" s="73"/>
      <c r="DB453" s="73"/>
      <c r="DC453" s="73"/>
      <c r="DD453" s="73"/>
      <c r="DE453" s="73"/>
      <c r="DF453" s="73"/>
      <c r="DG453" s="73"/>
      <c r="DH453" s="73"/>
      <c r="DI453" s="73"/>
      <c r="DJ453" s="73"/>
      <c r="DK453" s="73"/>
      <c r="DL453" s="73"/>
      <c r="DM453" s="73"/>
      <c r="DN453" s="73"/>
      <c r="DO453" s="73"/>
      <c r="DP453" s="73"/>
      <c r="DQ453" s="73"/>
      <c r="DR453" s="73"/>
      <c r="DS453" s="73"/>
      <c r="DT453" s="73"/>
      <c r="DU453" s="73"/>
      <c r="DV453" s="73"/>
      <c r="DW453" s="73"/>
      <c r="DX453" s="72"/>
      <c r="DY453" s="72"/>
      <c r="DZ453" s="73"/>
      <c r="EA453" s="73"/>
      <c r="EB453" s="73"/>
      <c r="EC453" s="73"/>
      <c r="ED453" s="73"/>
      <c r="EE453" s="73"/>
      <c r="EF453" s="73"/>
      <c r="EG453" s="73"/>
      <c r="EH453" s="73"/>
      <c r="EI453" s="73"/>
      <c r="EJ453" s="73"/>
      <c r="EK453" s="73"/>
      <c r="EL453" s="73"/>
      <c r="EM453" s="73"/>
      <c r="EN453" s="73"/>
      <c r="EO453" s="73"/>
      <c r="EP453" s="69"/>
      <c r="EQ453" s="69"/>
      <c r="ER453" s="69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  <c r="CK454" s="73"/>
      <c r="CL454" s="73"/>
      <c r="CM454" s="72"/>
      <c r="CN454" s="73"/>
      <c r="CO454" s="73"/>
      <c r="CP454" s="73"/>
      <c r="CQ454" s="73"/>
      <c r="CR454" s="73"/>
      <c r="CS454" s="73"/>
      <c r="CT454" s="73"/>
      <c r="CU454" s="73"/>
      <c r="CV454" s="73"/>
      <c r="CW454" s="73"/>
      <c r="CX454" s="73"/>
      <c r="CY454" s="73"/>
      <c r="CZ454" s="73"/>
      <c r="DA454" s="73"/>
      <c r="DB454" s="73"/>
      <c r="DC454" s="73"/>
      <c r="DD454" s="73"/>
      <c r="DE454" s="73"/>
      <c r="DF454" s="73"/>
      <c r="DG454" s="73"/>
      <c r="DH454" s="73"/>
      <c r="DI454" s="73"/>
      <c r="DJ454" s="73"/>
      <c r="DK454" s="73"/>
      <c r="DL454" s="73"/>
      <c r="DM454" s="73"/>
      <c r="DN454" s="73"/>
      <c r="DO454" s="73"/>
      <c r="DP454" s="73"/>
      <c r="DQ454" s="73"/>
      <c r="DR454" s="73"/>
      <c r="DS454" s="73"/>
      <c r="DT454" s="73"/>
      <c r="DU454" s="73"/>
      <c r="DV454" s="73"/>
      <c r="DW454" s="73"/>
      <c r="DX454" s="72"/>
      <c r="DY454" s="72"/>
      <c r="DZ454" s="73"/>
      <c r="EA454" s="73"/>
      <c r="EB454" s="73"/>
      <c r="EC454" s="73"/>
      <c r="ED454" s="73"/>
      <c r="EE454" s="73"/>
      <c r="EF454" s="73"/>
      <c r="EG454" s="73"/>
      <c r="EH454" s="73"/>
      <c r="EI454" s="73"/>
      <c r="EJ454" s="73"/>
      <c r="EK454" s="73"/>
      <c r="EL454" s="73"/>
      <c r="EM454" s="73"/>
      <c r="EN454" s="73"/>
      <c r="EO454" s="73"/>
      <c r="EP454" s="69"/>
      <c r="EQ454" s="69"/>
      <c r="ER454" s="69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  <c r="CK455" s="73"/>
      <c r="CL455" s="73"/>
      <c r="CM455" s="73"/>
      <c r="CN455" s="73"/>
      <c r="CO455" s="73"/>
      <c r="CP455" s="73"/>
      <c r="CQ455" s="73"/>
      <c r="CR455" s="73"/>
      <c r="CS455" s="73"/>
      <c r="CT455" s="73"/>
      <c r="CU455" s="73"/>
      <c r="CV455" s="73"/>
      <c r="CW455" s="73"/>
      <c r="CX455" s="73"/>
      <c r="CY455" s="73"/>
      <c r="CZ455" s="73"/>
      <c r="DA455" s="73"/>
      <c r="DB455" s="73"/>
      <c r="DC455" s="73"/>
      <c r="DD455" s="73"/>
      <c r="DE455" s="73"/>
      <c r="DF455" s="73"/>
      <c r="DG455" s="73"/>
      <c r="DH455" s="73"/>
      <c r="DI455" s="73"/>
      <c r="DJ455" s="73"/>
      <c r="DK455" s="73"/>
      <c r="DL455" s="73"/>
      <c r="DM455" s="73"/>
      <c r="DN455" s="73"/>
      <c r="DO455" s="73"/>
      <c r="DP455" s="73"/>
      <c r="DQ455" s="73"/>
      <c r="DR455" s="73"/>
      <c r="DS455" s="73"/>
      <c r="DT455" s="73"/>
      <c r="DU455" s="73"/>
      <c r="DV455" s="73"/>
      <c r="DW455" s="73"/>
      <c r="DX455" s="72"/>
      <c r="DY455" s="72"/>
      <c r="DZ455" s="73"/>
      <c r="EA455" s="73"/>
      <c r="EB455" s="73"/>
      <c r="EC455" s="73"/>
      <c r="ED455" s="73"/>
      <c r="EE455" s="73"/>
      <c r="EF455" s="73"/>
      <c r="EG455" s="73"/>
      <c r="EH455" s="73"/>
      <c r="EI455" s="73"/>
      <c r="EJ455" s="73"/>
      <c r="EK455" s="73"/>
      <c r="EL455" s="73"/>
      <c r="EM455" s="73"/>
      <c r="EN455" s="73"/>
      <c r="EO455" s="73"/>
      <c r="EP455" s="69"/>
      <c r="EQ455" s="69"/>
      <c r="ER455" s="69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2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73"/>
      <c r="DD456" s="73"/>
      <c r="DE456" s="73"/>
      <c r="DF456" s="73"/>
      <c r="DG456" s="73"/>
      <c r="DH456" s="73"/>
      <c r="DI456" s="73"/>
      <c r="DJ456" s="73"/>
      <c r="DK456" s="73"/>
      <c r="DL456" s="73"/>
      <c r="DM456" s="73"/>
      <c r="DN456" s="73"/>
      <c r="DO456" s="73"/>
      <c r="DP456" s="73"/>
      <c r="DQ456" s="73"/>
      <c r="DR456" s="73"/>
      <c r="DS456" s="73"/>
      <c r="DT456" s="73"/>
      <c r="DU456" s="73"/>
      <c r="DV456" s="73"/>
      <c r="DW456" s="73"/>
      <c r="DX456" s="72"/>
      <c r="DY456" s="72"/>
      <c r="DZ456" s="73"/>
      <c r="EA456" s="73"/>
      <c r="EB456" s="73"/>
      <c r="EC456" s="73"/>
      <c r="ED456" s="73"/>
      <c r="EE456" s="73"/>
      <c r="EF456" s="73"/>
      <c r="EG456" s="73"/>
      <c r="EH456" s="73"/>
      <c r="EI456" s="73"/>
      <c r="EJ456" s="73"/>
      <c r="EK456" s="73"/>
      <c r="EL456" s="73"/>
      <c r="EM456" s="73"/>
      <c r="EN456" s="73"/>
      <c r="EO456" s="73"/>
      <c r="EP456" s="69"/>
      <c r="EQ456" s="69"/>
      <c r="ER456" s="69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  <c r="CI457" s="73"/>
      <c r="CJ457" s="73"/>
      <c r="CK457" s="73"/>
      <c r="CL457" s="73"/>
      <c r="CM457" s="72"/>
      <c r="CN457" s="73"/>
      <c r="CO457" s="73"/>
      <c r="CP457" s="73"/>
      <c r="CQ457" s="73"/>
      <c r="CR457" s="73"/>
      <c r="CS457" s="73"/>
      <c r="CT457" s="73"/>
      <c r="CU457" s="73"/>
      <c r="CV457" s="73"/>
      <c r="CW457" s="73"/>
      <c r="CX457" s="73"/>
      <c r="CY457" s="73"/>
      <c r="CZ457" s="73"/>
      <c r="DA457" s="73"/>
      <c r="DB457" s="73"/>
      <c r="DC457" s="73"/>
      <c r="DD457" s="73"/>
      <c r="DE457" s="73"/>
      <c r="DF457" s="73"/>
      <c r="DG457" s="73"/>
      <c r="DH457" s="73"/>
      <c r="DI457" s="73"/>
      <c r="DJ457" s="73"/>
      <c r="DK457" s="73"/>
      <c r="DL457" s="73"/>
      <c r="DM457" s="73"/>
      <c r="DN457" s="73"/>
      <c r="DO457" s="73"/>
      <c r="DP457" s="73"/>
      <c r="DQ457" s="73"/>
      <c r="DR457" s="73"/>
      <c r="DS457" s="73"/>
      <c r="DT457" s="73"/>
      <c r="DU457" s="73"/>
      <c r="DV457" s="73"/>
      <c r="DW457" s="73"/>
      <c r="DX457" s="72"/>
      <c r="DY457" s="72"/>
      <c r="DZ457" s="73"/>
      <c r="EA457" s="73"/>
      <c r="EB457" s="73"/>
      <c r="EC457" s="73"/>
      <c r="ED457" s="73"/>
      <c r="EE457" s="73"/>
      <c r="EF457" s="73"/>
      <c r="EG457" s="73"/>
      <c r="EH457" s="73"/>
      <c r="EI457" s="73"/>
      <c r="EJ457" s="73"/>
      <c r="EK457" s="73"/>
      <c r="EL457" s="73"/>
      <c r="EM457" s="73"/>
      <c r="EN457" s="73"/>
      <c r="EO457" s="73"/>
      <c r="EP457" s="69"/>
      <c r="EQ457" s="69"/>
      <c r="ER457" s="69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  <c r="CK458" s="73"/>
      <c r="CL458" s="73"/>
      <c r="CM458" s="73"/>
      <c r="CN458" s="73"/>
      <c r="CO458" s="73"/>
      <c r="CP458" s="73"/>
      <c r="CQ458" s="73"/>
      <c r="CR458" s="73"/>
      <c r="CS458" s="73"/>
      <c r="CT458" s="73"/>
      <c r="CU458" s="73"/>
      <c r="CV458" s="73"/>
      <c r="CW458" s="73"/>
      <c r="CX458" s="73"/>
      <c r="CY458" s="73"/>
      <c r="CZ458" s="73"/>
      <c r="DA458" s="73"/>
      <c r="DB458" s="73"/>
      <c r="DC458" s="73"/>
      <c r="DD458" s="73"/>
      <c r="DE458" s="73"/>
      <c r="DF458" s="73"/>
      <c r="DG458" s="73"/>
      <c r="DH458" s="73"/>
      <c r="DI458" s="73"/>
      <c r="DJ458" s="73"/>
      <c r="DK458" s="73"/>
      <c r="DL458" s="73"/>
      <c r="DM458" s="73"/>
      <c r="DN458" s="73"/>
      <c r="DO458" s="73"/>
      <c r="DP458" s="73"/>
      <c r="DQ458" s="73"/>
      <c r="DR458" s="73"/>
      <c r="DS458" s="73"/>
      <c r="DT458" s="73"/>
      <c r="DU458" s="73"/>
      <c r="DV458" s="73"/>
      <c r="DW458" s="73"/>
      <c r="DX458" s="72"/>
      <c r="DY458" s="72"/>
      <c r="DZ458" s="73"/>
      <c r="EA458" s="73"/>
      <c r="EB458" s="73"/>
      <c r="EC458" s="73"/>
      <c r="ED458" s="73"/>
      <c r="EE458" s="73"/>
      <c r="EF458" s="73"/>
      <c r="EG458" s="73"/>
      <c r="EH458" s="73"/>
      <c r="EI458" s="73"/>
      <c r="EJ458" s="73"/>
      <c r="EK458" s="73"/>
      <c r="EL458" s="73"/>
      <c r="EM458" s="73"/>
      <c r="EN458" s="73"/>
      <c r="EO458" s="73"/>
      <c r="EP458" s="69"/>
      <c r="EQ458" s="69"/>
      <c r="ER458" s="69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2"/>
      <c r="CN459" s="73"/>
      <c r="CO459" s="73"/>
      <c r="CP459" s="73"/>
      <c r="CQ459" s="73"/>
      <c r="CR459" s="73"/>
      <c r="CS459" s="73"/>
      <c r="CT459" s="73"/>
      <c r="CU459" s="73"/>
      <c r="CV459" s="73"/>
      <c r="CW459" s="73"/>
      <c r="CX459" s="73"/>
      <c r="CY459" s="73"/>
      <c r="CZ459" s="73"/>
      <c r="DA459" s="73"/>
      <c r="DB459" s="73"/>
      <c r="DC459" s="73"/>
      <c r="DD459" s="73"/>
      <c r="DE459" s="73"/>
      <c r="DF459" s="73"/>
      <c r="DG459" s="73"/>
      <c r="DH459" s="73"/>
      <c r="DI459" s="73"/>
      <c r="DJ459" s="73"/>
      <c r="DK459" s="73"/>
      <c r="DL459" s="73"/>
      <c r="DM459" s="73"/>
      <c r="DN459" s="73"/>
      <c r="DO459" s="73"/>
      <c r="DP459" s="73"/>
      <c r="DQ459" s="73"/>
      <c r="DR459" s="73"/>
      <c r="DS459" s="73"/>
      <c r="DT459" s="73"/>
      <c r="DU459" s="73"/>
      <c r="DV459" s="73"/>
      <c r="DW459" s="73"/>
      <c r="DX459" s="72"/>
      <c r="DY459" s="72"/>
      <c r="DZ459" s="73"/>
      <c r="EA459" s="73"/>
      <c r="EB459" s="73"/>
      <c r="EC459" s="73"/>
      <c r="ED459" s="73"/>
      <c r="EE459" s="73"/>
      <c r="EF459" s="73"/>
      <c r="EG459" s="73"/>
      <c r="EH459" s="73"/>
      <c r="EI459" s="73"/>
      <c r="EJ459" s="73"/>
      <c r="EK459" s="73"/>
      <c r="EL459" s="73"/>
      <c r="EM459" s="73"/>
      <c r="EN459" s="73"/>
      <c r="EO459" s="73"/>
      <c r="EP459" s="69"/>
      <c r="EQ459" s="69"/>
      <c r="ER459" s="69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  <c r="CI460" s="73"/>
      <c r="CJ460" s="73"/>
      <c r="CK460" s="73"/>
      <c r="CL460" s="73"/>
      <c r="CM460" s="73"/>
      <c r="CN460" s="73"/>
      <c r="CO460" s="73"/>
      <c r="CP460" s="73"/>
      <c r="CQ460" s="73"/>
      <c r="CR460" s="73"/>
      <c r="CS460" s="73"/>
      <c r="CT460" s="73"/>
      <c r="CU460" s="73"/>
      <c r="CV460" s="73"/>
      <c r="CW460" s="73"/>
      <c r="CX460" s="73"/>
      <c r="CY460" s="73"/>
      <c r="CZ460" s="73"/>
      <c r="DA460" s="73"/>
      <c r="DB460" s="73"/>
      <c r="DC460" s="73"/>
      <c r="DD460" s="73"/>
      <c r="DE460" s="73"/>
      <c r="DF460" s="73"/>
      <c r="DG460" s="73"/>
      <c r="DH460" s="73"/>
      <c r="DI460" s="73"/>
      <c r="DJ460" s="73"/>
      <c r="DK460" s="73"/>
      <c r="DL460" s="73"/>
      <c r="DM460" s="73"/>
      <c r="DN460" s="73"/>
      <c r="DO460" s="73"/>
      <c r="DP460" s="73"/>
      <c r="DQ460" s="73"/>
      <c r="DR460" s="73"/>
      <c r="DS460" s="73"/>
      <c r="DT460" s="73"/>
      <c r="DU460" s="73"/>
      <c r="DV460" s="73"/>
      <c r="DW460" s="73"/>
      <c r="DX460" s="72"/>
      <c r="DY460" s="72"/>
      <c r="DZ460" s="73"/>
      <c r="EA460" s="73"/>
      <c r="EB460" s="73"/>
      <c r="EC460" s="73"/>
      <c r="ED460" s="73"/>
      <c r="EE460" s="73"/>
      <c r="EF460" s="73"/>
      <c r="EG460" s="73"/>
      <c r="EH460" s="73"/>
      <c r="EI460" s="73"/>
      <c r="EJ460" s="73"/>
      <c r="EK460" s="73"/>
      <c r="EL460" s="73"/>
      <c r="EM460" s="73"/>
      <c r="EN460" s="73"/>
      <c r="EO460" s="73"/>
      <c r="EP460" s="69"/>
      <c r="EQ460" s="69"/>
      <c r="ER460" s="69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  <c r="CI461" s="73"/>
      <c r="CJ461" s="73"/>
      <c r="CK461" s="73"/>
      <c r="CL461" s="73"/>
      <c r="CM461" s="72"/>
      <c r="CN461" s="73"/>
      <c r="CO461" s="73"/>
      <c r="CP461" s="73"/>
      <c r="CQ461" s="73"/>
      <c r="CR461" s="73"/>
      <c r="CS461" s="73"/>
      <c r="CT461" s="73"/>
      <c r="CU461" s="73"/>
      <c r="CV461" s="73"/>
      <c r="CW461" s="73"/>
      <c r="CX461" s="73"/>
      <c r="CY461" s="73"/>
      <c r="CZ461" s="73"/>
      <c r="DA461" s="73"/>
      <c r="DB461" s="73"/>
      <c r="DC461" s="73"/>
      <c r="DD461" s="73"/>
      <c r="DE461" s="73"/>
      <c r="DF461" s="73"/>
      <c r="DG461" s="73"/>
      <c r="DH461" s="73"/>
      <c r="DI461" s="73"/>
      <c r="DJ461" s="73"/>
      <c r="DK461" s="73"/>
      <c r="DL461" s="73"/>
      <c r="DM461" s="73"/>
      <c r="DN461" s="73"/>
      <c r="DO461" s="73"/>
      <c r="DP461" s="73"/>
      <c r="DQ461" s="73"/>
      <c r="DR461" s="73"/>
      <c r="DS461" s="73"/>
      <c r="DT461" s="73"/>
      <c r="DU461" s="73"/>
      <c r="DV461" s="73"/>
      <c r="DW461" s="73"/>
      <c r="DX461" s="72"/>
      <c r="DY461" s="72"/>
      <c r="DZ461" s="73"/>
      <c r="EA461" s="73"/>
      <c r="EB461" s="73"/>
      <c r="EC461" s="73"/>
      <c r="ED461" s="73"/>
      <c r="EE461" s="73"/>
      <c r="EF461" s="73"/>
      <c r="EG461" s="73"/>
      <c r="EH461" s="73"/>
      <c r="EI461" s="73"/>
      <c r="EJ461" s="73"/>
      <c r="EK461" s="73"/>
      <c r="EL461" s="73"/>
      <c r="EM461" s="73"/>
      <c r="EN461" s="73"/>
      <c r="EO461" s="73"/>
      <c r="EP461" s="69"/>
      <c r="EQ461" s="69"/>
      <c r="ER461" s="69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  <c r="CI462" s="73"/>
      <c r="CJ462" s="73"/>
      <c r="CK462" s="73"/>
      <c r="CL462" s="73"/>
      <c r="CM462" s="73"/>
      <c r="CN462" s="73"/>
      <c r="CO462" s="73"/>
      <c r="CP462" s="73"/>
      <c r="CQ462" s="73"/>
      <c r="CR462" s="73"/>
      <c r="CS462" s="73"/>
      <c r="CT462" s="73"/>
      <c r="CU462" s="73"/>
      <c r="CV462" s="73"/>
      <c r="CW462" s="73"/>
      <c r="CX462" s="73"/>
      <c r="CY462" s="73"/>
      <c r="CZ462" s="73"/>
      <c r="DA462" s="73"/>
      <c r="DB462" s="73"/>
      <c r="DC462" s="73"/>
      <c r="DD462" s="73"/>
      <c r="DE462" s="73"/>
      <c r="DF462" s="73"/>
      <c r="DG462" s="73"/>
      <c r="DH462" s="73"/>
      <c r="DI462" s="73"/>
      <c r="DJ462" s="73"/>
      <c r="DK462" s="73"/>
      <c r="DL462" s="73"/>
      <c r="DM462" s="73"/>
      <c r="DN462" s="73"/>
      <c r="DO462" s="73"/>
      <c r="DP462" s="73"/>
      <c r="DQ462" s="73"/>
      <c r="DR462" s="73"/>
      <c r="DS462" s="73"/>
      <c r="DT462" s="73"/>
      <c r="DU462" s="73"/>
      <c r="DV462" s="73"/>
      <c r="DW462" s="73"/>
      <c r="DX462" s="72"/>
      <c r="DY462" s="72"/>
      <c r="DZ462" s="73"/>
      <c r="EA462" s="73"/>
      <c r="EB462" s="73"/>
      <c r="EC462" s="73"/>
      <c r="ED462" s="73"/>
      <c r="EE462" s="73"/>
      <c r="EF462" s="73"/>
      <c r="EG462" s="73"/>
      <c r="EH462" s="73"/>
      <c r="EI462" s="73"/>
      <c r="EJ462" s="73"/>
      <c r="EK462" s="73"/>
      <c r="EL462" s="73"/>
      <c r="EM462" s="73"/>
      <c r="EN462" s="73"/>
      <c r="EO462" s="73"/>
      <c r="EP462" s="69"/>
      <c r="EQ462" s="69"/>
      <c r="ER462" s="69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  <c r="CI463" s="73"/>
      <c r="CJ463" s="73"/>
      <c r="CK463" s="73"/>
      <c r="CL463" s="73"/>
      <c r="CM463" s="73"/>
      <c r="CN463" s="73"/>
      <c r="CO463" s="73"/>
      <c r="CP463" s="73"/>
      <c r="CQ463" s="73"/>
      <c r="CR463" s="73"/>
      <c r="CS463" s="73"/>
      <c r="CT463" s="73"/>
      <c r="CU463" s="73"/>
      <c r="CV463" s="73"/>
      <c r="CW463" s="73"/>
      <c r="CX463" s="73"/>
      <c r="CY463" s="73"/>
      <c r="CZ463" s="73"/>
      <c r="DA463" s="73"/>
      <c r="DB463" s="73"/>
      <c r="DC463" s="73"/>
      <c r="DD463" s="73"/>
      <c r="DE463" s="73"/>
      <c r="DF463" s="73"/>
      <c r="DG463" s="73"/>
      <c r="DH463" s="73"/>
      <c r="DI463" s="73"/>
      <c r="DJ463" s="73"/>
      <c r="DK463" s="73"/>
      <c r="DL463" s="73"/>
      <c r="DM463" s="73"/>
      <c r="DN463" s="73"/>
      <c r="DO463" s="73"/>
      <c r="DP463" s="73"/>
      <c r="DQ463" s="73"/>
      <c r="DR463" s="73"/>
      <c r="DS463" s="73"/>
      <c r="DT463" s="73"/>
      <c r="DU463" s="73"/>
      <c r="DV463" s="73"/>
      <c r="DW463" s="73"/>
      <c r="DX463" s="73"/>
      <c r="DY463" s="73"/>
      <c r="DZ463" s="73"/>
      <c r="EA463" s="73"/>
      <c r="EB463" s="73"/>
      <c r="EC463" s="73"/>
      <c r="ED463" s="73"/>
      <c r="EE463" s="73"/>
      <c r="EF463" s="73"/>
      <c r="EG463" s="73"/>
      <c r="EH463" s="73"/>
      <c r="EI463" s="73"/>
      <c r="EJ463" s="73"/>
      <c r="EK463" s="73"/>
      <c r="EL463" s="73"/>
      <c r="EM463" s="73"/>
      <c r="EN463" s="73"/>
      <c r="EO463" s="73"/>
      <c r="EP463" s="69"/>
      <c r="EQ463" s="69"/>
      <c r="ER463" s="69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  <c r="CK464" s="73"/>
      <c r="CL464" s="73"/>
      <c r="CM464" s="73"/>
      <c r="CN464" s="73"/>
      <c r="CO464" s="73"/>
      <c r="CP464" s="73"/>
      <c r="CQ464" s="73"/>
      <c r="CR464" s="73"/>
      <c r="CS464" s="73"/>
      <c r="CT464" s="73"/>
      <c r="CU464" s="73"/>
      <c r="CV464" s="73"/>
      <c r="CW464" s="73"/>
      <c r="CX464" s="73"/>
      <c r="CY464" s="73"/>
      <c r="CZ464" s="73"/>
      <c r="DA464" s="73"/>
      <c r="DB464" s="73"/>
      <c r="DC464" s="73"/>
      <c r="DD464" s="73"/>
      <c r="DE464" s="73"/>
      <c r="DF464" s="73"/>
      <c r="DG464" s="73"/>
      <c r="DH464" s="73"/>
      <c r="DI464" s="73"/>
      <c r="DJ464" s="73"/>
      <c r="DK464" s="73"/>
      <c r="DL464" s="73"/>
      <c r="DM464" s="73"/>
      <c r="DN464" s="73"/>
      <c r="DO464" s="73"/>
      <c r="DP464" s="73"/>
      <c r="DQ464" s="73"/>
      <c r="DR464" s="73"/>
      <c r="DS464" s="73"/>
      <c r="DT464" s="73"/>
      <c r="DU464" s="73"/>
      <c r="DV464" s="73"/>
      <c r="DW464" s="73"/>
      <c r="DX464" s="73"/>
      <c r="DY464" s="73"/>
      <c r="DZ464" s="73"/>
      <c r="EA464" s="73"/>
      <c r="EB464" s="73"/>
      <c r="EC464" s="73"/>
      <c r="ED464" s="73"/>
      <c r="EE464" s="73"/>
      <c r="EF464" s="73"/>
      <c r="EG464" s="73"/>
      <c r="EH464" s="73"/>
      <c r="EI464" s="73"/>
      <c r="EJ464" s="73"/>
      <c r="EK464" s="73"/>
      <c r="EL464" s="73"/>
      <c r="EM464" s="73"/>
      <c r="EN464" s="73"/>
      <c r="EO464" s="73"/>
      <c r="EP464" s="69"/>
      <c r="EQ464" s="69"/>
      <c r="ER464" s="69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  <c r="CI465" s="73"/>
      <c r="CJ465" s="73"/>
      <c r="CK465" s="73"/>
      <c r="CL465" s="73"/>
      <c r="CM465" s="72"/>
      <c r="CN465" s="73"/>
      <c r="CO465" s="73"/>
      <c r="CP465" s="73"/>
      <c r="CQ465" s="73"/>
      <c r="CR465" s="73"/>
      <c r="CS465" s="73"/>
      <c r="CT465" s="73"/>
      <c r="CU465" s="73"/>
      <c r="CV465" s="73"/>
      <c r="CW465" s="73"/>
      <c r="CX465" s="73"/>
      <c r="CY465" s="73"/>
      <c r="CZ465" s="73"/>
      <c r="DA465" s="73"/>
      <c r="DB465" s="73"/>
      <c r="DC465" s="73"/>
      <c r="DD465" s="73"/>
      <c r="DE465" s="73"/>
      <c r="DF465" s="73"/>
      <c r="DG465" s="73"/>
      <c r="DH465" s="73"/>
      <c r="DI465" s="73"/>
      <c r="DJ465" s="73"/>
      <c r="DK465" s="73"/>
      <c r="DL465" s="73"/>
      <c r="DM465" s="73"/>
      <c r="DN465" s="73"/>
      <c r="DO465" s="73"/>
      <c r="DP465" s="73"/>
      <c r="DQ465" s="73"/>
      <c r="DR465" s="73"/>
      <c r="DS465" s="73"/>
      <c r="DT465" s="73"/>
      <c r="DU465" s="73"/>
      <c r="DV465" s="73"/>
      <c r="DW465" s="73"/>
      <c r="DX465" s="72"/>
      <c r="DY465" s="72"/>
      <c r="DZ465" s="73"/>
      <c r="EA465" s="73"/>
      <c r="EB465" s="73"/>
      <c r="EC465" s="73"/>
      <c r="ED465" s="73"/>
      <c r="EE465" s="73"/>
      <c r="EF465" s="73"/>
      <c r="EG465" s="73"/>
      <c r="EH465" s="73"/>
      <c r="EI465" s="73"/>
      <c r="EJ465" s="73"/>
      <c r="EK465" s="73"/>
      <c r="EL465" s="73"/>
      <c r="EM465" s="73"/>
      <c r="EN465" s="73"/>
      <c r="EO465" s="73"/>
      <c r="EP465" s="69"/>
      <c r="EQ465" s="69"/>
      <c r="ER465" s="69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  <c r="CI466" s="73"/>
      <c r="CJ466" s="73"/>
      <c r="CK466" s="73"/>
      <c r="CL466" s="73"/>
      <c r="CM466" s="73"/>
      <c r="CN466" s="73"/>
      <c r="CO466" s="73"/>
      <c r="CP466" s="73"/>
      <c r="CQ466" s="73"/>
      <c r="CR466" s="73"/>
      <c r="CS466" s="73"/>
      <c r="CT466" s="73"/>
      <c r="CU466" s="73"/>
      <c r="CV466" s="73"/>
      <c r="CW466" s="73"/>
      <c r="CX466" s="73"/>
      <c r="CY466" s="73"/>
      <c r="CZ466" s="73"/>
      <c r="DA466" s="73"/>
      <c r="DB466" s="73"/>
      <c r="DC466" s="73"/>
      <c r="DD466" s="73"/>
      <c r="DE466" s="73"/>
      <c r="DF466" s="73"/>
      <c r="DG466" s="73"/>
      <c r="DH466" s="73"/>
      <c r="DI466" s="73"/>
      <c r="DJ466" s="73"/>
      <c r="DK466" s="73"/>
      <c r="DL466" s="73"/>
      <c r="DM466" s="73"/>
      <c r="DN466" s="73"/>
      <c r="DO466" s="73"/>
      <c r="DP466" s="73"/>
      <c r="DQ466" s="73"/>
      <c r="DR466" s="73"/>
      <c r="DS466" s="73"/>
      <c r="DT466" s="73"/>
      <c r="DU466" s="73"/>
      <c r="DV466" s="73"/>
      <c r="DW466" s="73"/>
      <c r="DX466" s="72"/>
      <c r="DY466" s="72"/>
      <c r="DZ466" s="73"/>
      <c r="EA466" s="73"/>
      <c r="EB466" s="73"/>
      <c r="EC466" s="73"/>
      <c r="ED466" s="73"/>
      <c r="EE466" s="73"/>
      <c r="EF466" s="73"/>
      <c r="EG466" s="73"/>
      <c r="EH466" s="73"/>
      <c r="EI466" s="73"/>
      <c r="EJ466" s="73"/>
      <c r="EK466" s="73"/>
      <c r="EL466" s="73"/>
      <c r="EM466" s="73"/>
      <c r="EN466" s="73"/>
      <c r="EO466" s="73"/>
      <c r="EP466" s="69"/>
      <c r="EQ466" s="69"/>
      <c r="ER466" s="69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  <c r="CI467" s="73"/>
      <c r="CJ467" s="73"/>
      <c r="CK467" s="73"/>
      <c r="CL467" s="73"/>
      <c r="CM467" s="73"/>
      <c r="CN467" s="73"/>
      <c r="CO467" s="73"/>
      <c r="CP467" s="73"/>
      <c r="CQ467" s="73"/>
      <c r="CR467" s="73"/>
      <c r="CS467" s="73"/>
      <c r="CT467" s="73"/>
      <c r="CU467" s="73"/>
      <c r="CV467" s="73"/>
      <c r="CW467" s="73"/>
      <c r="CX467" s="73"/>
      <c r="CY467" s="73"/>
      <c r="CZ467" s="73"/>
      <c r="DA467" s="73"/>
      <c r="DB467" s="73"/>
      <c r="DC467" s="73"/>
      <c r="DD467" s="73"/>
      <c r="DE467" s="73"/>
      <c r="DF467" s="73"/>
      <c r="DG467" s="73"/>
      <c r="DH467" s="73"/>
      <c r="DI467" s="73"/>
      <c r="DJ467" s="73"/>
      <c r="DK467" s="73"/>
      <c r="DL467" s="73"/>
      <c r="DM467" s="73"/>
      <c r="DN467" s="73"/>
      <c r="DO467" s="73"/>
      <c r="DP467" s="73"/>
      <c r="DQ467" s="73"/>
      <c r="DR467" s="73"/>
      <c r="DS467" s="73"/>
      <c r="DT467" s="73"/>
      <c r="DU467" s="73"/>
      <c r="DV467" s="73"/>
      <c r="DW467" s="73"/>
      <c r="DX467" s="72"/>
      <c r="DY467" s="72"/>
      <c r="DZ467" s="73"/>
      <c r="EA467" s="73"/>
      <c r="EB467" s="73"/>
      <c r="EC467" s="73"/>
      <c r="ED467" s="73"/>
      <c r="EE467" s="73"/>
      <c r="EF467" s="73"/>
      <c r="EG467" s="73"/>
      <c r="EH467" s="73"/>
      <c r="EI467" s="73"/>
      <c r="EJ467" s="73"/>
      <c r="EK467" s="73"/>
      <c r="EL467" s="73"/>
      <c r="EM467" s="73"/>
      <c r="EN467" s="73"/>
      <c r="EO467" s="73"/>
      <c r="EP467" s="69"/>
      <c r="EQ467" s="69"/>
      <c r="ER467" s="69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  <c r="CI468" s="73"/>
      <c r="CJ468" s="73"/>
      <c r="CK468" s="73"/>
      <c r="CL468" s="73"/>
      <c r="CM468" s="72"/>
      <c r="CN468" s="73"/>
      <c r="CO468" s="73"/>
      <c r="CP468" s="73"/>
      <c r="CQ468" s="73"/>
      <c r="CR468" s="73"/>
      <c r="CS468" s="73"/>
      <c r="CT468" s="73"/>
      <c r="CU468" s="73"/>
      <c r="CV468" s="73"/>
      <c r="CW468" s="73"/>
      <c r="CX468" s="73"/>
      <c r="CY468" s="73"/>
      <c r="CZ468" s="73"/>
      <c r="DA468" s="73"/>
      <c r="DB468" s="73"/>
      <c r="DC468" s="73"/>
      <c r="DD468" s="73"/>
      <c r="DE468" s="73"/>
      <c r="DF468" s="73"/>
      <c r="DG468" s="73"/>
      <c r="DH468" s="73"/>
      <c r="DI468" s="73"/>
      <c r="DJ468" s="73"/>
      <c r="DK468" s="73"/>
      <c r="DL468" s="73"/>
      <c r="DM468" s="73"/>
      <c r="DN468" s="73"/>
      <c r="DO468" s="73"/>
      <c r="DP468" s="73"/>
      <c r="DQ468" s="73"/>
      <c r="DR468" s="73"/>
      <c r="DS468" s="73"/>
      <c r="DT468" s="73"/>
      <c r="DU468" s="73"/>
      <c r="DV468" s="73"/>
      <c r="DW468" s="73"/>
      <c r="DX468" s="72"/>
      <c r="DY468" s="72"/>
      <c r="DZ468" s="73"/>
      <c r="EA468" s="73"/>
      <c r="EB468" s="73"/>
      <c r="EC468" s="73"/>
      <c r="ED468" s="73"/>
      <c r="EE468" s="73"/>
      <c r="EF468" s="73"/>
      <c r="EG468" s="73"/>
      <c r="EH468" s="73"/>
      <c r="EI468" s="73"/>
      <c r="EJ468" s="73"/>
      <c r="EK468" s="73"/>
      <c r="EL468" s="73"/>
      <c r="EM468" s="73"/>
      <c r="EN468" s="73"/>
      <c r="EO468" s="73"/>
      <c r="EP468" s="69"/>
      <c r="EQ468" s="69"/>
      <c r="ER468" s="69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  <c r="CK469" s="73"/>
      <c r="CL469" s="73"/>
      <c r="CM469" s="72"/>
      <c r="CN469" s="73"/>
      <c r="CO469" s="73"/>
      <c r="CP469" s="73"/>
      <c r="CQ469" s="73"/>
      <c r="CR469" s="73"/>
      <c r="CS469" s="73"/>
      <c r="CT469" s="73"/>
      <c r="CU469" s="73"/>
      <c r="CV469" s="73"/>
      <c r="CW469" s="73"/>
      <c r="CX469" s="73"/>
      <c r="CY469" s="73"/>
      <c r="CZ469" s="73"/>
      <c r="DA469" s="73"/>
      <c r="DB469" s="73"/>
      <c r="DC469" s="73"/>
      <c r="DD469" s="73"/>
      <c r="DE469" s="73"/>
      <c r="DF469" s="73"/>
      <c r="DG469" s="73"/>
      <c r="DH469" s="73"/>
      <c r="DI469" s="73"/>
      <c r="DJ469" s="73"/>
      <c r="DK469" s="73"/>
      <c r="DL469" s="73"/>
      <c r="DM469" s="73"/>
      <c r="DN469" s="73"/>
      <c r="DO469" s="73"/>
      <c r="DP469" s="73"/>
      <c r="DQ469" s="73"/>
      <c r="DR469" s="73"/>
      <c r="DS469" s="73"/>
      <c r="DT469" s="73"/>
      <c r="DU469" s="73"/>
      <c r="DV469" s="73"/>
      <c r="DW469" s="73"/>
      <c r="DX469" s="72"/>
      <c r="DY469" s="72"/>
      <c r="DZ469" s="73"/>
      <c r="EA469" s="73"/>
      <c r="EB469" s="73"/>
      <c r="EC469" s="73"/>
      <c r="ED469" s="73"/>
      <c r="EE469" s="73"/>
      <c r="EF469" s="73"/>
      <c r="EG469" s="73"/>
      <c r="EH469" s="73"/>
      <c r="EI469" s="73"/>
      <c r="EJ469" s="73"/>
      <c r="EK469" s="73"/>
      <c r="EL469" s="73"/>
      <c r="EM469" s="73"/>
      <c r="EN469" s="73"/>
      <c r="EO469" s="73"/>
      <c r="EP469" s="69"/>
      <c r="EQ469" s="69"/>
      <c r="ER469" s="69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  <c r="CI470" s="73"/>
      <c r="CJ470" s="73"/>
      <c r="CK470" s="73"/>
      <c r="CL470" s="73"/>
      <c r="CM470" s="73"/>
      <c r="CN470" s="73"/>
      <c r="CO470" s="73"/>
      <c r="CP470" s="73"/>
      <c r="CQ470" s="73"/>
      <c r="CR470" s="73"/>
      <c r="CS470" s="73"/>
      <c r="CT470" s="73"/>
      <c r="CU470" s="73"/>
      <c r="CV470" s="73"/>
      <c r="CW470" s="73"/>
      <c r="CX470" s="73"/>
      <c r="CY470" s="73"/>
      <c r="CZ470" s="73"/>
      <c r="DA470" s="73"/>
      <c r="DB470" s="73"/>
      <c r="DC470" s="73"/>
      <c r="DD470" s="73"/>
      <c r="DE470" s="73"/>
      <c r="DF470" s="73"/>
      <c r="DG470" s="73"/>
      <c r="DH470" s="73"/>
      <c r="DI470" s="73"/>
      <c r="DJ470" s="73"/>
      <c r="DK470" s="73"/>
      <c r="DL470" s="73"/>
      <c r="DM470" s="73"/>
      <c r="DN470" s="73"/>
      <c r="DO470" s="73"/>
      <c r="DP470" s="73"/>
      <c r="DQ470" s="73"/>
      <c r="DR470" s="73"/>
      <c r="DS470" s="73"/>
      <c r="DT470" s="73"/>
      <c r="DU470" s="73"/>
      <c r="DV470" s="73"/>
      <c r="DW470" s="73"/>
      <c r="DX470" s="72"/>
      <c r="DY470" s="72"/>
      <c r="DZ470" s="73"/>
      <c r="EA470" s="73"/>
      <c r="EB470" s="73"/>
      <c r="EC470" s="73"/>
      <c r="ED470" s="73"/>
      <c r="EE470" s="73"/>
      <c r="EF470" s="73"/>
      <c r="EG470" s="73"/>
      <c r="EH470" s="73"/>
      <c r="EI470" s="73"/>
      <c r="EJ470" s="73"/>
      <c r="EK470" s="73"/>
      <c r="EL470" s="73"/>
      <c r="EM470" s="73"/>
      <c r="EN470" s="73"/>
      <c r="EO470" s="73"/>
      <c r="EP470" s="69"/>
      <c r="EQ470" s="69"/>
      <c r="ER470" s="69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  <c r="CI471" s="73"/>
      <c r="CJ471" s="73"/>
      <c r="CK471" s="73"/>
      <c r="CL471" s="73"/>
      <c r="CM471" s="73"/>
      <c r="CN471" s="73"/>
      <c r="CO471" s="73"/>
      <c r="CP471" s="73"/>
      <c r="CQ471" s="73"/>
      <c r="CR471" s="73"/>
      <c r="CS471" s="73"/>
      <c r="CT471" s="73"/>
      <c r="CU471" s="73"/>
      <c r="CV471" s="73"/>
      <c r="CW471" s="73"/>
      <c r="CX471" s="73"/>
      <c r="CY471" s="73"/>
      <c r="CZ471" s="73"/>
      <c r="DA471" s="73"/>
      <c r="DB471" s="73"/>
      <c r="DC471" s="73"/>
      <c r="DD471" s="73"/>
      <c r="DE471" s="73"/>
      <c r="DF471" s="73"/>
      <c r="DG471" s="73"/>
      <c r="DH471" s="73"/>
      <c r="DI471" s="73"/>
      <c r="DJ471" s="73"/>
      <c r="DK471" s="73"/>
      <c r="DL471" s="73"/>
      <c r="DM471" s="73"/>
      <c r="DN471" s="73"/>
      <c r="DO471" s="73"/>
      <c r="DP471" s="73"/>
      <c r="DQ471" s="73"/>
      <c r="DR471" s="73"/>
      <c r="DS471" s="73"/>
      <c r="DT471" s="73"/>
      <c r="DU471" s="73"/>
      <c r="DV471" s="73"/>
      <c r="DW471" s="73"/>
      <c r="DX471" s="72"/>
      <c r="DY471" s="72"/>
      <c r="DZ471" s="73"/>
      <c r="EA471" s="73"/>
      <c r="EB471" s="73"/>
      <c r="EC471" s="73"/>
      <c r="ED471" s="73"/>
      <c r="EE471" s="73"/>
      <c r="EF471" s="73"/>
      <c r="EG471" s="73"/>
      <c r="EH471" s="73"/>
      <c r="EI471" s="73"/>
      <c r="EJ471" s="73"/>
      <c r="EK471" s="73"/>
      <c r="EL471" s="73"/>
      <c r="EM471" s="73"/>
      <c r="EN471" s="73"/>
      <c r="EO471" s="73"/>
      <c r="EP471" s="69"/>
      <c r="EQ471" s="69"/>
      <c r="ER471" s="69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  <c r="CI472" s="73"/>
      <c r="CJ472" s="73"/>
      <c r="CK472" s="73"/>
      <c r="CL472" s="73"/>
      <c r="CM472" s="73"/>
      <c r="CN472" s="73"/>
      <c r="CO472" s="73"/>
      <c r="CP472" s="73"/>
      <c r="CQ472" s="73"/>
      <c r="CR472" s="73"/>
      <c r="CS472" s="73"/>
      <c r="CT472" s="73"/>
      <c r="CU472" s="73"/>
      <c r="CV472" s="73"/>
      <c r="CW472" s="73"/>
      <c r="CX472" s="73"/>
      <c r="CY472" s="73"/>
      <c r="CZ472" s="73"/>
      <c r="DA472" s="73"/>
      <c r="DB472" s="73"/>
      <c r="DC472" s="73"/>
      <c r="DD472" s="73"/>
      <c r="DE472" s="73"/>
      <c r="DF472" s="73"/>
      <c r="DG472" s="73"/>
      <c r="DH472" s="73"/>
      <c r="DI472" s="73"/>
      <c r="DJ472" s="73"/>
      <c r="DK472" s="73"/>
      <c r="DL472" s="73"/>
      <c r="DM472" s="73"/>
      <c r="DN472" s="73"/>
      <c r="DO472" s="73"/>
      <c r="DP472" s="73"/>
      <c r="DQ472" s="73"/>
      <c r="DR472" s="73"/>
      <c r="DS472" s="73"/>
      <c r="DT472" s="73"/>
      <c r="DU472" s="73"/>
      <c r="DV472" s="73"/>
      <c r="DW472" s="73"/>
      <c r="DX472" s="72"/>
      <c r="DY472" s="72"/>
      <c r="DZ472" s="73"/>
      <c r="EA472" s="73"/>
      <c r="EB472" s="73"/>
      <c r="EC472" s="73"/>
      <c r="ED472" s="73"/>
      <c r="EE472" s="73"/>
      <c r="EF472" s="73"/>
      <c r="EG472" s="73"/>
      <c r="EH472" s="73"/>
      <c r="EI472" s="73"/>
      <c r="EJ472" s="73"/>
      <c r="EK472" s="73"/>
      <c r="EL472" s="73"/>
      <c r="EM472" s="73"/>
      <c r="EN472" s="73"/>
      <c r="EO472" s="73"/>
      <c r="EP472" s="69"/>
      <c r="EQ472" s="69"/>
      <c r="ER472" s="69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  <c r="CI473" s="73"/>
      <c r="CJ473" s="73"/>
      <c r="CK473" s="73"/>
      <c r="CL473" s="73"/>
      <c r="CM473" s="72"/>
      <c r="CN473" s="73"/>
      <c r="CO473" s="73"/>
      <c r="CP473" s="73"/>
      <c r="CQ473" s="73"/>
      <c r="CR473" s="73"/>
      <c r="CS473" s="73"/>
      <c r="CT473" s="73"/>
      <c r="CU473" s="73"/>
      <c r="CV473" s="73"/>
      <c r="CW473" s="73"/>
      <c r="CX473" s="73"/>
      <c r="CY473" s="73"/>
      <c r="CZ473" s="73"/>
      <c r="DA473" s="73"/>
      <c r="DB473" s="73"/>
      <c r="DC473" s="73"/>
      <c r="DD473" s="73"/>
      <c r="DE473" s="73"/>
      <c r="DF473" s="73"/>
      <c r="DG473" s="73"/>
      <c r="DH473" s="73"/>
      <c r="DI473" s="73"/>
      <c r="DJ473" s="73"/>
      <c r="DK473" s="73"/>
      <c r="DL473" s="73"/>
      <c r="DM473" s="73"/>
      <c r="DN473" s="73"/>
      <c r="DO473" s="73"/>
      <c r="DP473" s="73"/>
      <c r="DQ473" s="73"/>
      <c r="DR473" s="73"/>
      <c r="DS473" s="73"/>
      <c r="DT473" s="73"/>
      <c r="DU473" s="73"/>
      <c r="DV473" s="73"/>
      <c r="DW473" s="73"/>
      <c r="DX473" s="72"/>
      <c r="DY473" s="72"/>
      <c r="DZ473" s="73"/>
      <c r="EA473" s="73"/>
      <c r="EB473" s="73"/>
      <c r="EC473" s="73"/>
      <c r="ED473" s="73"/>
      <c r="EE473" s="73"/>
      <c r="EF473" s="73"/>
      <c r="EG473" s="73"/>
      <c r="EH473" s="73"/>
      <c r="EI473" s="73"/>
      <c r="EJ473" s="73"/>
      <c r="EK473" s="73"/>
      <c r="EL473" s="73"/>
      <c r="EM473" s="73"/>
      <c r="EN473" s="73"/>
      <c r="EO473" s="73"/>
      <c r="EP473" s="69"/>
      <c r="EQ473" s="69"/>
      <c r="ER473" s="69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  <c r="CK474" s="73"/>
      <c r="CL474" s="73"/>
      <c r="CM474" s="72"/>
      <c r="CN474" s="73"/>
      <c r="CO474" s="73"/>
      <c r="CP474" s="73"/>
      <c r="CQ474" s="73"/>
      <c r="CR474" s="73"/>
      <c r="CS474" s="73"/>
      <c r="CT474" s="73"/>
      <c r="CU474" s="73"/>
      <c r="CV474" s="73"/>
      <c r="CW474" s="73"/>
      <c r="CX474" s="73"/>
      <c r="CY474" s="73"/>
      <c r="CZ474" s="73"/>
      <c r="DA474" s="73"/>
      <c r="DB474" s="73"/>
      <c r="DC474" s="73"/>
      <c r="DD474" s="73"/>
      <c r="DE474" s="73"/>
      <c r="DF474" s="73"/>
      <c r="DG474" s="73"/>
      <c r="DH474" s="73"/>
      <c r="DI474" s="73"/>
      <c r="DJ474" s="73"/>
      <c r="DK474" s="73"/>
      <c r="DL474" s="73"/>
      <c r="DM474" s="73"/>
      <c r="DN474" s="73"/>
      <c r="DO474" s="73"/>
      <c r="DP474" s="73"/>
      <c r="DQ474" s="73"/>
      <c r="DR474" s="73"/>
      <c r="DS474" s="73"/>
      <c r="DT474" s="73"/>
      <c r="DU474" s="73"/>
      <c r="DV474" s="73"/>
      <c r="DW474" s="73"/>
      <c r="DX474" s="72"/>
      <c r="DY474" s="72"/>
      <c r="DZ474" s="73"/>
      <c r="EA474" s="73"/>
      <c r="EB474" s="73"/>
      <c r="EC474" s="73"/>
      <c r="ED474" s="73"/>
      <c r="EE474" s="73"/>
      <c r="EF474" s="73"/>
      <c r="EG474" s="73"/>
      <c r="EH474" s="73"/>
      <c r="EI474" s="73"/>
      <c r="EJ474" s="73"/>
      <c r="EK474" s="73"/>
      <c r="EL474" s="73"/>
      <c r="EM474" s="73"/>
      <c r="EN474" s="73"/>
      <c r="EO474" s="73"/>
      <c r="EP474" s="69"/>
      <c r="EQ474" s="69"/>
      <c r="ER474" s="69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  <c r="CI475" s="73"/>
      <c r="CJ475" s="73"/>
      <c r="CK475" s="73"/>
      <c r="CL475" s="73"/>
      <c r="CM475" s="72"/>
      <c r="CN475" s="73"/>
      <c r="CO475" s="73"/>
      <c r="CP475" s="73"/>
      <c r="CQ475" s="73"/>
      <c r="CR475" s="73"/>
      <c r="CS475" s="73"/>
      <c r="CT475" s="73"/>
      <c r="CU475" s="73"/>
      <c r="CV475" s="73"/>
      <c r="CW475" s="73"/>
      <c r="CX475" s="73"/>
      <c r="CY475" s="73"/>
      <c r="CZ475" s="73"/>
      <c r="DA475" s="73"/>
      <c r="DB475" s="73"/>
      <c r="DC475" s="73"/>
      <c r="DD475" s="73"/>
      <c r="DE475" s="73"/>
      <c r="DF475" s="73"/>
      <c r="DG475" s="73"/>
      <c r="DH475" s="73"/>
      <c r="DI475" s="73"/>
      <c r="DJ475" s="73"/>
      <c r="DK475" s="73"/>
      <c r="DL475" s="73"/>
      <c r="DM475" s="73"/>
      <c r="DN475" s="73"/>
      <c r="DO475" s="73"/>
      <c r="DP475" s="73"/>
      <c r="DQ475" s="73"/>
      <c r="DR475" s="73"/>
      <c r="DS475" s="73"/>
      <c r="DT475" s="73"/>
      <c r="DU475" s="73"/>
      <c r="DV475" s="73"/>
      <c r="DW475" s="73"/>
      <c r="DX475" s="72"/>
      <c r="DY475" s="72"/>
      <c r="DZ475" s="73"/>
      <c r="EA475" s="73"/>
      <c r="EB475" s="73"/>
      <c r="EC475" s="73"/>
      <c r="ED475" s="73"/>
      <c r="EE475" s="73"/>
      <c r="EF475" s="73"/>
      <c r="EG475" s="73"/>
      <c r="EH475" s="73"/>
      <c r="EI475" s="73"/>
      <c r="EJ475" s="73"/>
      <c r="EK475" s="73"/>
      <c r="EL475" s="73"/>
      <c r="EM475" s="73"/>
      <c r="EN475" s="73"/>
      <c r="EO475" s="73"/>
      <c r="EP475" s="69"/>
      <c r="EQ475" s="69"/>
      <c r="ER475" s="69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  <c r="CI476" s="73"/>
      <c r="CJ476" s="73"/>
      <c r="CK476" s="73"/>
      <c r="CL476" s="73"/>
      <c r="CM476" s="72"/>
      <c r="CN476" s="73"/>
      <c r="CO476" s="73"/>
      <c r="CP476" s="73"/>
      <c r="CQ476" s="73"/>
      <c r="CR476" s="73"/>
      <c r="CS476" s="73"/>
      <c r="CT476" s="73"/>
      <c r="CU476" s="73"/>
      <c r="CV476" s="73"/>
      <c r="CW476" s="73"/>
      <c r="CX476" s="73"/>
      <c r="CY476" s="73"/>
      <c r="CZ476" s="73"/>
      <c r="DA476" s="73"/>
      <c r="DB476" s="73"/>
      <c r="DC476" s="73"/>
      <c r="DD476" s="73"/>
      <c r="DE476" s="73"/>
      <c r="DF476" s="73"/>
      <c r="DG476" s="73"/>
      <c r="DH476" s="73"/>
      <c r="DI476" s="73"/>
      <c r="DJ476" s="73"/>
      <c r="DK476" s="73"/>
      <c r="DL476" s="73"/>
      <c r="DM476" s="73"/>
      <c r="DN476" s="73"/>
      <c r="DO476" s="73"/>
      <c r="DP476" s="73"/>
      <c r="DQ476" s="73"/>
      <c r="DR476" s="73"/>
      <c r="DS476" s="73"/>
      <c r="DT476" s="73"/>
      <c r="DU476" s="73"/>
      <c r="DV476" s="73"/>
      <c r="DW476" s="73"/>
      <c r="DX476" s="73"/>
      <c r="DY476" s="73"/>
      <c r="DZ476" s="73"/>
      <c r="EA476" s="73"/>
      <c r="EB476" s="73"/>
      <c r="EC476" s="73"/>
      <c r="ED476" s="73"/>
      <c r="EE476" s="73"/>
      <c r="EF476" s="73"/>
      <c r="EG476" s="73"/>
      <c r="EH476" s="73"/>
      <c r="EI476" s="73"/>
      <c r="EJ476" s="73"/>
      <c r="EK476" s="73"/>
      <c r="EL476" s="73"/>
      <c r="EM476" s="73"/>
      <c r="EN476" s="73"/>
      <c r="EO476" s="73"/>
      <c r="EP476" s="69"/>
      <c r="EQ476" s="69"/>
      <c r="ER476" s="69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  <c r="CI477" s="73"/>
      <c r="CJ477" s="73"/>
      <c r="CK477" s="73"/>
      <c r="CL477" s="73"/>
      <c r="CM477" s="72"/>
      <c r="CN477" s="73"/>
      <c r="CO477" s="73"/>
      <c r="CP477" s="73"/>
      <c r="CQ477" s="73"/>
      <c r="CR477" s="73"/>
      <c r="CS477" s="73"/>
      <c r="CT477" s="73"/>
      <c r="CU477" s="73"/>
      <c r="CV477" s="73"/>
      <c r="CW477" s="73"/>
      <c r="CX477" s="73"/>
      <c r="CY477" s="73"/>
      <c r="CZ477" s="73"/>
      <c r="DA477" s="73"/>
      <c r="DB477" s="73"/>
      <c r="DC477" s="73"/>
      <c r="DD477" s="73"/>
      <c r="DE477" s="73"/>
      <c r="DF477" s="73"/>
      <c r="DG477" s="73"/>
      <c r="DH477" s="73"/>
      <c r="DI477" s="73"/>
      <c r="DJ477" s="73"/>
      <c r="DK477" s="73"/>
      <c r="DL477" s="73"/>
      <c r="DM477" s="73"/>
      <c r="DN477" s="73"/>
      <c r="DO477" s="73"/>
      <c r="DP477" s="73"/>
      <c r="DQ477" s="73"/>
      <c r="DR477" s="73"/>
      <c r="DS477" s="73"/>
      <c r="DT477" s="73"/>
      <c r="DU477" s="73"/>
      <c r="DV477" s="73"/>
      <c r="DW477" s="73"/>
      <c r="DX477" s="72"/>
      <c r="DY477" s="72"/>
      <c r="DZ477" s="73"/>
      <c r="EA477" s="73"/>
      <c r="EB477" s="73"/>
      <c r="EC477" s="73"/>
      <c r="ED477" s="73"/>
      <c r="EE477" s="73"/>
      <c r="EF477" s="73"/>
      <c r="EG477" s="73"/>
      <c r="EH477" s="73"/>
      <c r="EI477" s="73"/>
      <c r="EJ477" s="73"/>
      <c r="EK477" s="73"/>
      <c r="EL477" s="73"/>
      <c r="EM477" s="73"/>
      <c r="EN477" s="73"/>
      <c r="EO477" s="73"/>
      <c r="EP477" s="69"/>
      <c r="EQ477" s="69"/>
      <c r="ER477" s="69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  <c r="CI478" s="73"/>
      <c r="CJ478" s="73"/>
      <c r="CK478" s="73"/>
      <c r="CL478" s="73"/>
      <c r="CM478" s="73"/>
      <c r="CN478" s="73"/>
      <c r="CO478" s="73"/>
      <c r="CP478" s="73"/>
      <c r="CQ478" s="73"/>
      <c r="CR478" s="73"/>
      <c r="CS478" s="73"/>
      <c r="CT478" s="73"/>
      <c r="CU478" s="73"/>
      <c r="CV478" s="73"/>
      <c r="CW478" s="73"/>
      <c r="CX478" s="73"/>
      <c r="CY478" s="73"/>
      <c r="CZ478" s="73"/>
      <c r="DA478" s="73"/>
      <c r="DB478" s="73"/>
      <c r="DC478" s="73"/>
      <c r="DD478" s="73"/>
      <c r="DE478" s="73"/>
      <c r="DF478" s="73"/>
      <c r="DG478" s="73"/>
      <c r="DH478" s="73"/>
      <c r="DI478" s="73"/>
      <c r="DJ478" s="73"/>
      <c r="DK478" s="73"/>
      <c r="DL478" s="73"/>
      <c r="DM478" s="73"/>
      <c r="DN478" s="73"/>
      <c r="DO478" s="73"/>
      <c r="DP478" s="73"/>
      <c r="DQ478" s="73"/>
      <c r="DR478" s="73"/>
      <c r="DS478" s="73"/>
      <c r="DT478" s="73"/>
      <c r="DU478" s="73"/>
      <c r="DV478" s="73"/>
      <c r="DW478" s="73"/>
      <c r="DX478" s="73"/>
      <c r="DY478" s="73"/>
      <c r="DZ478" s="73"/>
      <c r="EA478" s="73"/>
      <c r="EB478" s="73"/>
      <c r="EC478" s="73"/>
      <c r="ED478" s="73"/>
      <c r="EE478" s="73"/>
      <c r="EF478" s="73"/>
      <c r="EG478" s="73"/>
      <c r="EH478" s="73"/>
      <c r="EI478" s="73"/>
      <c r="EJ478" s="73"/>
      <c r="EK478" s="73"/>
      <c r="EL478" s="73"/>
      <c r="EM478" s="73"/>
      <c r="EN478" s="73"/>
      <c r="EO478" s="73"/>
      <c r="EP478" s="69"/>
      <c r="EQ478" s="69"/>
      <c r="ER478" s="69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  <c r="CK479" s="73"/>
      <c r="CL479" s="73"/>
      <c r="CM479" s="73"/>
      <c r="CN479" s="73"/>
      <c r="CO479" s="73"/>
      <c r="CP479" s="73"/>
      <c r="CQ479" s="73"/>
      <c r="CR479" s="73"/>
      <c r="CS479" s="73"/>
      <c r="CT479" s="73"/>
      <c r="CU479" s="73"/>
      <c r="CV479" s="73"/>
      <c r="CW479" s="73"/>
      <c r="CX479" s="73"/>
      <c r="CY479" s="73"/>
      <c r="CZ479" s="73"/>
      <c r="DA479" s="73"/>
      <c r="DB479" s="73"/>
      <c r="DC479" s="73"/>
      <c r="DD479" s="73"/>
      <c r="DE479" s="73"/>
      <c r="DF479" s="73"/>
      <c r="DG479" s="73"/>
      <c r="DH479" s="73"/>
      <c r="DI479" s="73"/>
      <c r="DJ479" s="73"/>
      <c r="DK479" s="73"/>
      <c r="DL479" s="73"/>
      <c r="DM479" s="73"/>
      <c r="DN479" s="73"/>
      <c r="DO479" s="73"/>
      <c r="DP479" s="73"/>
      <c r="DQ479" s="73"/>
      <c r="DR479" s="73"/>
      <c r="DS479" s="73"/>
      <c r="DT479" s="73"/>
      <c r="DU479" s="73"/>
      <c r="DV479" s="73"/>
      <c r="DW479" s="73"/>
      <c r="DX479" s="72"/>
      <c r="DY479" s="72"/>
      <c r="DZ479" s="73"/>
      <c r="EA479" s="73"/>
      <c r="EB479" s="73"/>
      <c r="EC479" s="73"/>
      <c r="ED479" s="73"/>
      <c r="EE479" s="73"/>
      <c r="EF479" s="73"/>
      <c r="EG479" s="73"/>
      <c r="EH479" s="73"/>
      <c r="EI479" s="73"/>
      <c r="EJ479" s="73"/>
      <c r="EK479" s="73"/>
      <c r="EL479" s="73"/>
      <c r="EM479" s="73"/>
      <c r="EN479" s="73"/>
      <c r="EO479" s="73"/>
      <c r="EP479" s="69"/>
      <c r="EQ479" s="69"/>
      <c r="ER479" s="69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  <c r="CI480" s="73"/>
      <c r="CJ480" s="73"/>
      <c r="CK480" s="73"/>
      <c r="CL480" s="73"/>
      <c r="CM480" s="73"/>
      <c r="CN480" s="73"/>
      <c r="CO480" s="73"/>
      <c r="CP480" s="73"/>
      <c r="CQ480" s="73"/>
      <c r="CR480" s="73"/>
      <c r="CS480" s="73"/>
      <c r="CT480" s="73"/>
      <c r="CU480" s="73"/>
      <c r="CV480" s="73"/>
      <c r="CW480" s="73"/>
      <c r="CX480" s="73"/>
      <c r="CY480" s="73"/>
      <c r="CZ480" s="73"/>
      <c r="DA480" s="73"/>
      <c r="DB480" s="73"/>
      <c r="DC480" s="73"/>
      <c r="DD480" s="73"/>
      <c r="DE480" s="73"/>
      <c r="DF480" s="73"/>
      <c r="DG480" s="73"/>
      <c r="DH480" s="73"/>
      <c r="DI480" s="73"/>
      <c r="DJ480" s="73"/>
      <c r="DK480" s="73"/>
      <c r="DL480" s="73"/>
      <c r="DM480" s="73"/>
      <c r="DN480" s="73"/>
      <c r="DO480" s="73"/>
      <c r="DP480" s="73"/>
      <c r="DQ480" s="73"/>
      <c r="DR480" s="73"/>
      <c r="DS480" s="73"/>
      <c r="DT480" s="73"/>
      <c r="DU480" s="73"/>
      <c r="DV480" s="73"/>
      <c r="DW480" s="73"/>
      <c r="DX480" s="73"/>
      <c r="DY480" s="73"/>
      <c r="DZ480" s="73"/>
      <c r="EA480" s="73"/>
      <c r="EB480" s="73"/>
      <c r="EC480" s="73"/>
      <c r="ED480" s="73"/>
      <c r="EE480" s="73"/>
      <c r="EF480" s="73"/>
      <c r="EG480" s="73"/>
      <c r="EH480" s="73"/>
      <c r="EI480" s="73"/>
      <c r="EJ480" s="73"/>
      <c r="EK480" s="73"/>
      <c r="EL480" s="73"/>
      <c r="EM480" s="73"/>
      <c r="EN480" s="73"/>
      <c r="EO480" s="73"/>
      <c r="EP480" s="69"/>
      <c r="EQ480" s="69"/>
      <c r="ER480" s="69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  <c r="CI481" s="73"/>
      <c r="CJ481" s="73"/>
      <c r="CK481" s="73"/>
      <c r="CL481" s="73"/>
      <c r="CM481" s="73"/>
      <c r="CN481" s="73"/>
      <c r="CO481" s="73"/>
      <c r="CP481" s="73"/>
      <c r="CQ481" s="73"/>
      <c r="CR481" s="73"/>
      <c r="CS481" s="73"/>
      <c r="CT481" s="73"/>
      <c r="CU481" s="73"/>
      <c r="CV481" s="73"/>
      <c r="CW481" s="73"/>
      <c r="CX481" s="73"/>
      <c r="CY481" s="73"/>
      <c r="CZ481" s="73"/>
      <c r="DA481" s="73"/>
      <c r="DB481" s="73"/>
      <c r="DC481" s="73"/>
      <c r="DD481" s="73"/>
      <c r="DE481" s="73"/>
      <c r="DF481" s="73"/>
      <c r="DG481" s="73"/>
      <c r="DH481" s="73"/>
      <c r="DI481" s="73"/>
      <c r="DJ481" s="73"/>
      <c r="DK481" s="73"/>
      <c r="DL481" s="73"/>
      <c r="DM481" s="73"/>
      <c r="DN481" s="73"/>
      <c r="DO481" s="73"/>
      <c r="DP481" s="73"/>
      <c r="DQ481" s="73"/>
      <c r="DR481" s="73"/>
      <c r="DS481" s="73"/>
      <c r="DT481" s="73"/>
      <c r="DU481" s="73"/>
      <c r="DV481" s="73"/>
      <c r="DW481" s="73"/>
      <c r="DX481" s="72"/>
      <c r="DY481" s="72"/>
      <c r="DZ481" s="73"/>
      <c r="EA481" s="73"/>
      <c r="EB481" s="73"/>
      <c r="EC481" s="73"/>
      <c r="ED481" s="73"/>
      <c r="EE481" s="73"/>
      <c r="EF481" s="73"/>
      <c r="EG481" s="73"/>
      <c r="EH481" s="73"/>
      <c r="EI481" s="73"/>
      <c r="EJ481" s="73"/>
      <c r="EK481" s="73"/>
      <c r="EL481" s="73"/>
      <c r="EM481" s="73"/>
      <c r="EN481" s="73"/>
      <c r="EO481" s="73"/>
      <c r="EP481" s="69"/>
      <c r="EQ481" s="69"/>
      <c r="ER481" s="69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  <c r="CI482" s="73"/>
      <c r="CJ482" s="73"/>
      <c r="CK482" s="73"/>
      <c r="CL482" s="73"/>
      <c r="CM482" s="72"/>
      <c r="CN482" s="73"/>
      <c r="CO482" s="73"/>
      <c r="CP482" s="73"/>
      <c r="CQ482" s="73"/>
      <c r="CR482" s="73"/>
      <c r="CS482" s="73"/>
      <c r="CT482" s="73"/>
      <c r="CU482" s="73"/>
      <c r="CV482" s="73"/>
      <c r="CW482" s="73"/>
      <c r="CX482" s="73"/>
      <c r="CY482" s="73"/>
      <c r="CZ482" s="73"/>
      <c r="DA482" s="73"/>
      <c r="DB482" s="73"/>
      <c r="DC482" s="73"/>
      <c r="DD482" s="73"/>
      <c r="DE482" s="73"/>
      <c r="DF482" s="73"/>
      <c r="DG482" s="73"/>
      <c r="DH482" s="73"/>
      <c r="DI482" s="73"/>
      <c r="DJ482" s="73"/>
      <c r="DK482" s="73"/>
      <c r="DL482" s="73"/>
      <c r="DM482" s="73"/>
      <c r="DN482" s="73"/>
      <c r="DO482" s="73"/>
      <c r="DP482" s="73"/>
      <c r="DQ482" s="73"/>
      <c r="DR482" s="73"/>
      <c r="DS482" s="73"/>
      <c r="DT482" s="73"/>
      <c r="DU482" s="73"/>
      <c r="DV482" s="73"/>
      <c r="DW482" s="73"/>
      <c r="DX482" s="72"/>
      <c r="DY482" s="72"/>
      <c r="DZ482" s="73"/>
      <c r="EA482" s="73"/>
      <c r="EB482" s="73"/>
      <c r="EC482" s="73"/>
      <c r="ED482" s="73"/>
      <c r="EE482" s="73"/>
      <c r="EF482" s="73"/>
      <c r="EG482" s="73"/>
      <c r="EH482" s="73"/>
      <c r="EI482" s="73"/>
      <c r="EJ482" s="73"/>
      <c r="EK482" s="73"/>
      <c r="EL482" s="73"/>
      <c r="EM482" s="73"/>
      <c r="EN482" s="73"/>
      <c r="EO482" s="73"/>
      <c r="EP482" s="69"/>
      <c r="EQ482" s="69"/>
      <c r="ER482" s="69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  <c r="CI483" s="73"/>
      <c r="CJ483" s="73"/>
      <c r="CK483" s="73"/>
      <c r="CL483" s="73"/>
      <c r="CM483" s="73"/>
      <c r="CN483" s="73"/>
      <c r="CO483" s="73"/>
      <c r="CP483" s="73"/>
      <c r="CQ483" s="73"/>
      <c r="CR483" s="73"/>
      <c r="CS483" s="73"/>
      <c r="CT483" s="73"/>
      <c r="CU483" s="73"/>
      <c r="CV483" s="73"/>
      <c r="CW483" s="73"/>
      <c r="CX483" s="73"/>
      <c r="CY483" s="73"/>
      <c r="CZ483" s="73"/>
      <c r="DA483" s="73"/>
      <c r="DB483" s="73"/>
      <c r="DC483" s="73"/>
      <c r="DD483" s="73"/>
      <c r="DE483" s="73"/>
      <c r="DF483" s="73"/>
      <c r="DG483" s="73"/>
      <c r="DH483" s="73"/>
      <c r="DI483" s="73"/>
      <c r="DJ483" s="73"/>
      <c r="DK483" s="73"/>
      <c r="DL483" s="73"/>
      <c r="DM483" s="73"/>
      <c r="DN483" s="73"/>
      <c r="DO483" s="73"/>
      <c r="DP483" s="73"/>
      <c r="DQ483" s="73"/>
      <c r="DR483" s="73"/>
      <c r="DS483" s="73"/>
      <c r="DT483" s="73"/>
      <c r="DU483" s="73"/>
      <c r="DV483" s="73"/>
      <c r="DW483" s="73"/>
      <c r="DX483" s="72"/>
      <c r="DY483" s="72"/>
      <c r="DZ483" s="73"/>
      <c r="EA483" s="73"/>
      <c r="EB483" s="73"/>
      <c r="EC483" s="73"/>
      <c r="ED483" s="73"/>
      <c r="EE483" s="73"/>
      <c r="EF483" s="73"/>
      <c r="EG483" s="73"/>
      <c r="EH483" s="73"/>
      <c r="EI483" s="73"/>
      <c r="EJ483" s="73"/>
      <c r="EK483" s="73"/>
      <c r="EL483" s="73"/>
      <c r="EM483" s="73"/>
      <c r="EN483" s="73"/>
      <c r="EO483" s="73"/>
      <c r="EP483" s="69"/>
      <c r="EQ483" s="69"/>
      <c r="ER483" s="69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  <c r="CK484" s="73"/>
      <c r="CL484" s="73"/>
      <c r="CM484" s="73"/>
      <c r="CN484" s="73"/>
      <c r="CO484" s="73"/>
      <c r="CP484" s="73"/>
      <c r="CQ484" s="73"/>
      <c r="CR484" s="73"/>
      <c r="CS484" s="73"/>
      <c r="CT484" s="73"/>
      <c r="CU484" s="73"/>
      <c r="CV484" s="73"/>
      <c r="CW484" s="73"/>
      <c r="CX484" s="73"/>
      <c r="CY484" s="73"/>
      <c r="CZ484" s="73"/>
      <c r="DA484" s="73"/>
      <c r="DB484" s="73"/>
      <c r="DC484" s="73"/>
      <c r="DD484" s="73"/>
      <c r="DE484" s="73"/>
      <c r="DF484" s="73"/>
      <c r="DG484" s="73"/>
      <c r="DH484" s="73"/>
      <c r="DI484" s="73"/>
      <c r="DJ484" s="73"/>
      <c r="DK484" s="73"/>
      <c r="DL484" s="73"/>
      <c r="DM484" s="73"/>
      <c r="DN484" s="73"/>
      <c r="DO484" s="73"/>
      <c r="DP484" s="73"/>
      <c r="DQ484" s="73"/>
      <c r="DR484" s="73"/>
      <c r="DS484" s="73"/>
      <c r="DT484" s="73"/>
      <c r="DU484" s="73"/>
      <c r="DV484" s="73"/>
      <c r="DW484" s="73"/>
      <c r="DX484" s="73"/>
      <c r="DY484" s="73"/>
      <c r="DZ484" s="73"/>
      <c r="EA484" s="73"/>
      <c r="EB484" s="73"/>
      <c r="EC484" s="73"/>
      <c r="ED484" s="73"/>
      <c r="EE484" s="73"/>
      <c r="EF484" s="73"/>
      <c r="EG484" s="73"/>
      <c r="EH484" s="73"/>
      <c r="EI484" s="73"/>
      <c r="EJ484" s="73"/>
      <c r="EK484" s="73"/>
      <c r="EL484" s="73"/>
      <c r="EM484" s="73"/>
      <c r="EN484" s="73"/>
      <c r="EO484" s="73"/>
      <c r="EP484" s="69"/>
      <c r="EQ484" s="69"/>
      <c r="ER484" s="69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  <c r="CI485" s="73"/>
      <c r="CJ485" s="73"/>
      <c r="CK485" s="73"/>
      <c r="CL485" s="73"/>
      <c r="CM485" s="73"/>
      <c r="CN485" s="73"/>
      <c r="CO485" s="73"/>
      <c r="CP485" s="73"/>
      <c r="CQ485" s="73"/>
      <c r="CR485" s="73"/>
      <c r="CS485" s="73"/>
      <c r="CT485" s="73"/>
      <c r="CU485" s="73"/>
      <c r="CV485" s="73"/>
      <c r="CW485" s="73"/>
      <c r="CX485" s="73"/>
      <c r="CY485" s="73"/>
      <c r="CZ485" s="73"/>
      <c r="DA485" s="73"/>
      <c r="DB485" s="73"/>
      <c r="DC485" s="73"/>
      <c r="DD485" s="73"/>
      <c r="DE485" s="73"/>
      <c r="DF485" s="73"/>
      <c r="DG485" s="73"/>
      <c r="DH485" s="73"/>
      <c r="DI485" s="73"/>
      <c r="DJ485" s="73"/>
      <c r="DK485" s="73"/>
      <c r="DL485" s="73"/>
      <c r="DM485" s="73"/>
      <c r="DN485" s="73"/>
      <c r="DO485" s="73"/>
      <c r="DP485" s="73"/>
      <c r="DQ485" s="73"/>
      <c r="DR485" s="73"/>
      <c r="DS485" s="73"/>
      <c r="DT485" s="73"/>
      <c r="DU485" s="73"/>
      <c r="DV485" s="73"/>
      <c r="DW485" s="73"/>
      <c r="DX485" s="72"/>
      <c r="DY485" s="72"/>
      <c r="DZ485" s="73"/>
      <c r="EA485" s="73"/>
      <c r="EB485" s="73"/>
      <c r="EC485" s="73"/>
      <c r="ED485" s="73"/>
      <c r="EE485" s="73"/>
      <c r="EF485" s="73"/>
      <c r="EG485" s="73"/>
      <c r="EH485" s="73"/>
      <c r="EI485" s="73"/>
      <c r="EJ485" s="73"/>
      <c r="EK485" s="73"/>
      <c r="EL485" s="73"/>
      <c r="EM485" s="73"/>
      <c r="EN485" s="73"/>
      <c r="EO485" s="73"/>
      <c r="EP485" s="69"/>
      <c r="EQ485" s="69"/>
      <c r="ER485" s="69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  <c r="CI486" s="73"/>
      <c r="CJ486" s="73"/>
      <c r="CK486" s="73"/>
      <c r="CL486" s="73"/>
      <c r="CM486" s="72"/>
      <c r="CN486" s="73"/>
      <c r="CO486" s="73"/>
      <c r="CP486" s="73"/>
      <c r="CQ486" s="73"/>
      <c r="CR486" s="73"/>
      <c r="CS486" s="73"/>
      <c r="CT486" s="73"/>
      <c r="CU486" s="73"/>
      <c r="CV486" s="73"/>
      <c r="CW486" s="73"/>
      <c r="CX486" s="73"/>
      <c r="CY486" s="73"/>
      <c r="CZ486" s="73"/>
      <c r="DA486" s="73"/>
      <c r="DB486" s="73"/>
      <c r="DC486" s="73"/>
      <c r="DD486" s="73"/>
      <c r="DE486" s="73"/>
      <c r="DF486" s="73"/>
      <c r="DG486" s="73"/>
      <c r="DH486" s="73"/>
      <c r="DI486" s="73"/>
      <c r="DJ486" s="73"/>
      <c r="DK486" s="73"/>
      <c r="DL486" s="73"/>
      <c r="DM486" s="73"/>
      <c r="DN486" s="73"/>
      <c r="DO486" s="73"/>
      <c r="DP486" s="73"/>
      <c r="DQ486" s="73"/>
      <c r="DR486" s="73"/>
      <c r="DS486" s="73"/>
      <c r="DT486" s="73"/>
      <c r="DU486" s="73"/>
      <c r="DV486" s="73"/>
      <c r="DW486" s="73"/>
      <c r="DX486" s="72"/>
      <c r="DY486" s="72"/>
      <c r="DZ486" s="73"/>
      <c r="EA486" s="73"/>
      <c r="EB486" s="73"/>
      <c r="EC486" s="73"/>
      <c r="ED486" s="73"/>
      <c r="EE486" s="73"/>
      <c r="EF486" s="73"/>
      <c r="EG486" s="73"/>
      <c r="EH486" s="73"/>
      <c r="EI486" s="73"/>
      <c r="EJ486" s="73"/>
      <c r="EK486" s="73"/>
      <c r="EL486" s="73"/>
      <c r="EM486" s="73"/>
      <c r="EN486" s="73"/>
      <c r="EO486" s="73"/>
      <c r="EP486" s="69"/>
      <c r="EQ486" s="69"/>
      <c r="ER486" s="69"/>
    </row>
    <row r="487">
      <c r="A487" s="73"/>
      <c r="B487" s="72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  <c r="CI487" s="73"/>
      <c r="CJ487" s="73"/>
      <c r="CK487" s="73"/>
      <c r="CL487" s="73"/>
      <c r="CM487" s="72"/>
      <c r="CN487" s="73"/>
      <c r="CO487" s="73"/>
      <c r="CP487" s="73"/>
      <c r="CQ487" s="73"/>
      <c r="CR487" s="73"/>
      <c r="CS487" s="73"/>
      <c r="CT487" s="73"/>
      <c r="CU487" s="73"/>
      <c r="CV487" s="73"/>
      <c r="CW487" s="73"/>
      <c r="CX487" s="73"/>
      <c r="CY487" s="73"/>
      <c r="CZ487" s="73"/>
      <c r="DA487" s="73"/>
      <c r="DB487" s="73"/>
      <c r="DC487" s="73"/>
      <c r="DD487" s="73"/>
      <c r="DE487" s="73"/>
      <c r="DF487" s="73"/>
      <c r="DG487" s="73"/>
      <c r="DH487" s="73"/>
      <c r="DI487" s="73"/>
      <c r="DJ487" s="73"/>
      <c r="DK487" s="73"/>
      <c r="DL487" s="73"/>
      <c r="DM487" s="73"/>
      <c r="DN487" s="73"/>
      <c r="DO487" s="73"/>
      <c r="DP487" s="73"/>
      <c r="DQ487" s="73"/>
      <c r="DR487" s="73"/>
      <c r="DS487" s="73"/>
      <c r="DT487" s="73"/>
      <c r="DU487" s="73"/>
      <c r="DV487" s="73"/>
      <c r="DW487" s="73"/>
      <c r="DX487" s="72"/>
      <c r="DY487" s="72"/>
      <c r="DZ487" s="73"/>
      <c r="EA487" s="73"/>
      <c r="EB487" s="73"/>
      <c r="EC487" s="73"/>
      <c r="ED487" s="73"/>
      <c r="EE487" s="73"/>
      <c r="EF487" s="73"/>
      <c r="EG487" s="73"/>
      <c r="EH487" s="73"/>
      <c r="EI487" s="73"/>
      <c r="EJ487" s="73"/>
      <c r="EK487" s="73"/>
      <c r="EL487" s="73"/>
      <c r="EM487" s="73"/>
      <c r="EN487" s="73"/>
      <c r="EO487" s="73"/>
      <c r="EP487" s="69"/>
      <c r="EQ487" s="69"/>
      <c r="ER487" s="69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  <c r="CI488" s="73"/>
      <c r="CJ488" s="73"/>
      <c r="CK488" s="73"/>
      <c r="CL488" s="73"/>
      <c r="CM488" s="72"/>
      <c r="CN488" s="73"/>
      <c r="CO488" s="73"/>
      <c r="CP488" s="73"/>
      <c r="CQ488" s="73"/>
      <c r="CR488" s="73"/>
      <c r="CS488" s="73"/>
      <c r="CT488" s="73"/>
      <c r="CU488" s="73"/>
      <c r="CV488" s="73"/>
      <c r="CW488" s="73"/>
      <c r="CX488" s="73"/>
      <c r="CY488" s="73"/>
      <c r="CZ488" s="73"/>
      <c r="DA488" s="73"/>
      <c r="DB488" s="73"/>
      <c r="DC488" s="73"/>
      <c r="DD488" s="73"/>
      <c r="DE488" s="73"/>
      <c r="DF488" s="73"/>
      <c r="DG488" s="73"/>
      <c r="DH488" s="73"/>
      <c r="DI488" s="73"/>
      <c r="DJ488" s="73"/>
      <c r="DK488" s="73"/>
      <c r="DL488" s="73"/>
      <c r="DM488" s="73"/>
      <c r="DN488" s="73"/>
      <c r="DO488" s="73"/>
      <c r="DP488" s="73"/>
      <c r="DQ488" s="73"/>
      <c r="DR488" s="73"/>
      <c r="DS488" s="73"/>
      <c r="DT488" s="73"/>
      <c r="DU488" s="73"/>
      <c r="DV488" s="73"/>
      <c r="DW488" s="73"/>
      <c r="DX488" s="72"/>
      <c r="DY488" s="72"/>
      <c r="DZ488" s="73"/>
      <c r="EA488" s="73"/>
      <c r="EB488" s="73"/>
      <c r="EC488" s="73"/>
      <c r="ED488" s="73"/>
      <c r="EE488" s="73"/>
      <c r="EF488" s="73"/>
      <c r="EG488" s="73"/>
      <c r="EH488" s="73"/>
      <c r="EI488" s="73"/>
      <c r="EJ488" s="73"/>
      <c r="EK488" s="73"/>
      <c r="EL488" s="73"/>
      <c r="EM488" s="73"/>
      <c r="EN488" s="73"/>
      <c r="EO488" s="73"/>
      <c r="EP488" s="69"/>
      <c r="EQ488" s="69"/>
      <c r="ER488" s="69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73"/>
      <c r="CT489" s="73"/>
      <c r="CU489" s="73"/>
      <c r="CV489" s="73"/>
      <c r="CW489" s="73"/>
      <c r="CX489" s="73"/>
      <c r="CY489" s="73"/>
      <c r="CZ489" s="73"/>
      <c r="DA489" s="73"/>
      <c r="DB489" s="73"/>
      <c r="DC489" s="73"/>
      <c r="DD489" s="73"/>
      <c r="DE489" s="73"/>
      <c r="DF489" s="73"/>
      <c r="DG489" s="73"/>
      <c r="DH489" s="73"/>
      <c r="DI489" s="73"/>
      <c r="DJ489" s="73"/>
      <c r="DK489" s="73"/>
      <c r="DL489" s="73"/>
      <c r="DM489" s="73"/>
      <c r="DN489" s="73"/>
      <c r="DO489" s="73"/>
      <c r="DP489" s="73"/>
      <c r="DQ489" s="73"/>
      <c r="DR489" s="73"/>
      <c r="DS489" s="73"/>
      <c r="DT489" s="73"/>
      <c r="DU489" s="73"/>
      <c r="DV489" s="73"/>
      <c r="DW489" s="73"/>
      <c r="DX489" s="72"/>
      <c r="DY489" s="72"/>
      <c r="DZ489" s="73"/>
      <c r="EA489" s="73"/>
      <c r="EB489" s="73"/>
      <c r="EC489" s="73"/>
      <c r="ED489" s="73"/>
      <c r="EE489" s="73"/>
      <c r="EF489" s="73"/>
      <c r="EG489" s="73"/>
      <c r="EH489" s="73"/>
      <c r="EI489" s="73"/>
      <c r="EJ489" s="73"/>
      <c r="EK489" s="73"/>
      <c r="EL489" s="73"/>
      <c r="EM489" s="73"/>
      <c r="EN489" s="73"/>
      <c r="EO489" s="73"/>
      <c r="EP489" s="69"/>
      <c r="EQ489" s="69"/>
      <c r="ER489" s="69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  <c r="CI490" s="73"/>
      <c r="CJ490" s="73"/>
      <c r="CK490" s="73"/>
      <c r="CL490" s="73"/>
      <c r="CM490" s="73"/>
      <c r="CN490" s="73"/>
      <c r="CO490" s="73"/>
      <c r="CP490" s="73"/>
      <c r="CQ490" s="73"/>
      <c r="CR490" s="73"/>
      <c r="CS490" s="73"/>
      <c r="CT490" s="73"/>
      <c r="CU490" s="73"/>
      <c r="CV490" s="73"/>
      <c r="CW490" s="73"/>
      <c r="CX490" s="73"/>
      <c r="CY490" s="73"/>
      <c r="CZ490" s="73"/>
      <c r="DA490" s="73"/>
      <c r="DB490" s="73"/>
      <c r="DC490" s="73"/>
      <c r="DD490" s="73"/>
      <c r="DE490" s="73"/>
      <c r="DF490" s="73"/>
      <c r="DG490" s="73"/>
      <c r="DH490" s="73"/>
      <c r="DI490" s="73"/>
      <c r="DJ490" s="73"/>
      <c r="DK490" s="73"/>
      <c r="DL490" s="73"/>
      <c r="DM490" s="73"/>
      <c r="DN490" s="73"/>
      <c r="DO490" s="73"/>
      <c r="DP490" s="73"/>
      <c r="DQ490" s="73"/>
      <c r="DR490" s="73"/>
      <c r="DS490" s="73"/>
      <c r="DT490" s="73"/>
      <c r="DU490" s="73"/>
      <c r="DV490" s="73"/>
      <c r="DW490" s="73"/>
      <c r="DX490" s="72"/>
      <c r="DY490" s="72"/>
      <c r="DZ490" s="73"/>
      <c r="EA490" s="73"/>
      <c r="EB490" s="73"/>
      <c r="EC490" s="73"/>
      <c r="ED490" s="73"/>
      <c r="EE490" s="73"/>
      <c r="EF490" s="73"/>
      <c r="EG490" s="73"/>
      <c r="EH490" s="73"/>
      <c r="EI490" s="73"/>
      <c r="EJ490" s="73"/>
      <c r="EK490" s="73"/>
      <c r="EL490" s="73"/>
      <c r="EM490" s="73"/>
      <c r="EN490" s="73"/>
      <c r="EO490" s="73"/>
      <c r="EP490" s="69"/>
      <c r="EQ490" s="69"/>
      <c r="ER490" s="69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  <c r="CI491" s="73"/>
      <c r="CJ491" s="73"/>
      <c r="CK491" s="73"/>
      <c r="CL491" s="73"/>
      <c r="CM491" s="73"/>
      <c r="CN491" s="73"/>
      <c r="CO491" s="73"/>
      <c r="CP491" s="73"/>
      <c r="CQ491" s="73"/>
      <c r="CR491" s="73"/>
      <c r="CS491" s="73"/>
      <c r="CT491" s="73"/>
      <c r="CU491" s="73"/>
      <c r="CV491" s="73"/>
      <c r="CW491" s="73"/>
      <c r="CX491" s="73"/>
      <c r="CY491" s="73"/>
      <c r="CZ491" s="73"/>
      <c r="DA491" s="73"/>
      <c r="DB491" s="73"/>
      <c r="DC491" s="73"/>
      <c r="DD491" s="73"/>
      <c r="DE491" s="73"/>
      <c r="DF491" s="73"/>
      <c r="DG491" s="73"/>
      <c r="DH491" s="73"/>
      <c r="DI491" s="73"/>
      <c r="DJ491" s="73"/>
      <c r="DK491" s="73"/>
      <c r="DL491" s="73"/>
      <c r="DM491" s="73"/>
      <c r="DN491" s="73"/>
      <c r="DO491" s="73"/>
      <c r="DP491" s="73"/>
      <c r="DQ491" s="73"/>
      <c r="DR491" s="73"/>
      <c r="DS491" s="73"/>
      <c r="DT491" s="73"/>
      <c r="DU491" s="73"/>
      <c r="DV491" s="73"/>
      <c r="DW491" s="73"/>
      <c r="DX491" s="72"/>
      <c r="DY491" s="72"/>
      <c r="DZ491" s="73"/>
      <c r="EA491" s="73"/>
      <c r="EB491" s="73"/>
      <c r="EC491" s="73"/>
      <c r="ED491" s="73"/>
      <c r="EE491" s="73"/>
      <c r="EF491" s="73"/>
      <c r="EG491" s="73"/>
      <c r="EH491" s="73"/>
      <c r="EI491" s="73"/>
      <c r="EJ491" s="73"/>
      <c r="EK491" s="73"/>
      <c r="EL491" s="73"/>
      <c r="EM491" s="73"/>
      <c r="EN491" s="73"/>
      <c r="EO491" s="73"/>
      <c r="EP491" s="69"/>
      <c r="EQ491" s="69"/>
      <c r="ER491" s="69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  <c r="CI492" s="73"/>
      <c r="CJ492" s="73"/>
      <c r="CK492" s="73"/>
      <c r="CL492" s="73"/>
      <c r="CM492" s="72"/>
      <c r="CN492" s="73"/>
      <c r="CO492" s="73"/>
      <c r="CP492" s="73"/>
      <c r="CQ492" s="73"/>
      <c r="CR492" s="73"/>
      <c r="CS492" s="73"/>
      <c r="CT492" s="73"/>
      <c r="CU492" s="73"/>
      <c r="CV492" s="73"/>
      <c r="CW492" s="73"/>
      <c r="CX492" s="73"/>
      <c r="CY492" s="73"/>
      <c r="CZ492" s="73"/>
      <c r="DA492" s="73"/>
      <c r="DB492" s="73"/>
      <c r="DC492" s="73"/>
      <c r="DD492" s="73"/>
      <c r="DE492" s="73"/>
      <c r="DF492" s="73"/>
      <c r="DG492" s="73"/>
      <c r="DH492" s="73"/>
      <c r="DI492" s="73"/>
      <c r="DJ492" s="73"/>
      <c r="DK492" s="73"/>
      <c r="DL492" s="73"/>
      <c r="DM492" s="73"/>
      <c r="DN492" s="73"/>
      <c r="DO492" s="73"/>
      <c r="DP492" s="73"/>
      <c r="DQ492" s="73"/>
      <c r="DR492" s="73"/>
      <c r="DS492" s="73"/>
      <c r="DT492" s="73"/>
      <c r="DU492" s="73"/>
      <c r="DV492" s="73"/>
      <c r="DW492" s="73"/>
      <c r="DX492" s="72"/>
      <c r="DY492" s="72"/>
      <c r="DZ492" s="73"/>
      <c r="EA492" s="73"/>
      <c r="EB492" s="73"/>
      <c r="EC492" s="73"/>
      <c r="ED492" s="73"/>
      <c r="EE492" s="73"/>
      <c r="EF492" s="73"/>
      <c r="EG492" s="73"/>
      <c r="EH492" s="73"/>
      <c r="EI492" s="73"/>
      <c r="EJ492" s="73"/>
      <c r="EK492" s="73"/>
      <c r="EL492" s="73"/>
      <c r="EM492" s="73"/>
      <c r="EN492" s="73"/>
      <c r="EO492" s="73"/>
      <c r="EP492" s="69"/>
      <c r="EQ492" s="69"/>
      <c r="ER492" s="69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  <c r="CI493" s="73"/>
      <c r="CJ493" s="73"/>
      <c r="CK493" s="73"/>
      <c r="CL493" s="73"/>
      <c r="CM493" s="73"/>
      <c r="CN493" s="73"/>
      <c r="CO493" s="73"/>
      <c r="CP493" s="73"/>
      <c r="CQ493" s="73"/>
      <c r="CR493" s="73"/>
      <c r="CS493" s="73"/>
      <c r="CT493" s="73"/>
      <c r="CU493" s="73"/>
      <c r="CV493" s="73"/>
      <c r="CW493" s="73"/>
      <c r="CX493" s="73"/>
      <c r="CY493" s="73"/>
      <c r="CZ493" s="73"/>
      <c r="DA493" s="73"/>
      <c r="DB493" s="73"/>
      <c r="DC493" s="73"/>
      <c r="DD493" s="73"/>
      <c r="DE493" s="73"/>
      <c r="DF493" s="73"/>
      <c r="DG493" s="73"/>
      <c r="DH493" s="73"/>
      <c r="DI493" s="73"/>
      <c r="DJ493" s="73"/>
      <c r="DK493" s="73"/>
      <c r="DL493" s="73"/>
      <c r="DM493" s="73"/>
      <c r="DN493" s="73"/>
      <c r="DO493" s="73"/>
      <c r="DP493" s="73"/>
      <c r="DQ493" s="73"/>
      <c r="DR493" s="73"/>
      <c r="DS493" s="73"/>
      <c r="DT493" s="73"/>
      <c r="DU493" s="73"/>
      <c r="DV493" s="73"/>
      <c r="DW493" s="73"/>
      <c r="DX493" s="73"/>
      <c r="DY493" s="73"/>
      <c r="DZ493" s="73"/>
      <c r="EA493" s="73"/>
      <c r="EB493" s="73"/>
      <c r="EC493" s="73"/>
      <c r="ED493" s="73"/>
      <c r="EE493" s="73"/>
      <c r="EF493" s="73"/>
      <c r="EG493" s="73"/>
      <c r="EH493" s="73"/>
      <c r="EI493" s="73"/>
      <c r="EJ493" s="73"/>
      <c r="EK493" s="73"/>
      <c r="EL493" s="73"/>
      <c r="EM493" s="73"/>
      <c r="EN493" s="73"/>
      <c r="EO493" s="73"/>
      <c r="EP493" s="69"/>
      <c r="EQ493" s="69"/>
      <c r="ER493" s="69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  <c r="CP494" s="73"/>
      <c r="CQ494" s="73"/>
      <c r="CR494" s="73"/>
      <c r="CS494" s="73"/>
      <c r="CT494" s="73"/>
      <c r="CU494" s="73"/>
      <c r="CV494" s="73"/>
      <c r="CW494" s="73"/>
      <c r="CX494" s="73"/>
      <c r="CY494" s="73"/>
      <c r="CZ494" s="73"/>
      <c r="DA494" s="73"/>
      <c r="DB494" s="73"/>
      <c r="DC494" s="73"/>
      <c r="DD494" s="73"/>
      <c r="DE494" s="73"/>
      <c r="DF494" s="73"/>
      <c r="DG494" s="73"/>
      <c r="DH494" s="73"/>
      <c r="DI494" s="73"/>
      <c r="DJ494" s="73"/>
      <c r="DK494" s="73"/>
      <c r="DL494" s="73"/>
      <c r="DM494" s="73"/>
      <c r="DN494" s="73"/>
      <c r="DO494" s="73"/>
      <c r="DP494" s="73"/>
      <c r="DQ494" s="73"/>
      <c r="DR494" s="73"/>
      <c r="DS494" s="73"/>
      <c r="DT494" s="73"/>
      <c r="DU494" s="73"/>
      <c r="DV494" s="73"/>
      <c r="DW494" s="73"/>
      <c r="DX494" s="72"/>
      <c r="DY494" s="72"/>
      <c r="DZ494" s="73"/>
      <c r="EA494" s="73"/>
      <c r="EB494" s="73"/>
      <c r="EC494" s="73"/>
      <c r="ED494" s="73"/>
      <c r="EE494" s="73"/>
      <c r="EF494" s="73"/>
      <c r="EG494" s="73"/>
      <c r="EH494" s="73"/>
      <c r="EI494" s="73"/>
      <c r="EJ494" s="73"/>
      <c r="EK494" s="73"/>
      <c r="EL494" s="73"/>
      <c r="EM494" s="73"/>
      <c r="EN494" s="73"/>
      <c r="EO494" s="73"/>
      <c r="EP494" s="69"/>
      <c r="EQ494" s="69"/>
      <c r="ER494" s="69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  <c r="CK495" s="73"/>
      <c r="CL495" s="73"/>
      <c r="CM495" s="73"/>
      <c r="CN495" s="73"/>
      <c r="CO495" s="73"/>
      <c r="CP495" s="73"/>
      <c r="CQ495" s="73"/>
      <c r="CR495" s="73"/>
      <c r="CS495" s="73"/>
      <c r="CT495" s="73"/>
      <c r="CU495" s="73"/>
      <c r="CV495" s="73"/>
      <c r="CW495" s="73"/>
      <c r="CX495" s="73"/>
      <c r="CY495" s="73"/>
      <c r="CZ495" s="73"/>
      <c r="DA495" s="73"/>
      <c r="DB495" s="73"/>
      <c r="DC495" s="73"/>
      <c r="DD495" s="73"/>
      <c r="DE495" s="73"/>
      <c r="DF495" s="73"/>
      <c r="DG495" s="73"/>
      <c r="DH495" s="73"/>
      <c r="DI495" s="73"/>
      <c r="DJ495" s="73"/>
      <c r="DK495" s="73"/>
      <c r="DL495" s="73"/>
      <c r="DM495" s="73"/>
      <c r="DN495" s="73"/>
      <c r="DO495" s="73"/>
      <c r="DP495" s="73"/>
      <c r="DQ495" s="73"/>
      <c r="DR495" s="73"/>
      <c r="DS495" s="73"/>
      <c r="DT495" s="73"/>
      <c r="DU495" s="73"/>
      <c r="DV495" s="73"/>
      <c r="DW495" s="73"/>
      <c r="DX495" s="72"/>
      <c r="DY495" s="72"/>
      <c r="DZ495" s="73"/>
      <c r="EA495" s="73"/>
      <c r="EB495" s="73"/>
      <c r="EC495" s="73"/>
      <c r="ED495" s="73"/>
      <c r="EE495" s="73"/>
      <c r="EF495" s="73"/>
      <c r="EG495" s="73"/>
      <c r="EH495" s="73"/>
      <c r="EI495" s="73"/>
      <c r="EJ495" s="73"/>
      <c r="EK495" s="73"/>
      <c r="EL495" s="73"/>
      <c r="EM495" s="73"/>
      <c r="EN495" s="73"/>
      <c r="EO495" s="73"/>
      <c r="EP495" s="69"/>
      <c r="EQ495" s="69"/>
      <c r="ER495" s="69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  <c r="CI496" s="73"/>
      <c r="CJ496" s="73"/>
      <c r="CK496" s="73"/>
      <c r="CL496" s="73"/>
      <c r="CM496" s="73"/>
      <c r="CN496" s="73"/>
      <c r="CO496" s="73"/>
      <c r="CP496" s="73"/>
      <c r="CQ496" s="73"/>
      <c r="CR496" s="73"/>
      <c r="CS496" s="73"/>
      <c r="CT496" s="73"/>
      <c r="CU496" s="73"/>
      <c r="CV496" s="73"/>
      <c r="CW496" s="73"/>
      <c r="CX496" s="73"/>
      <c r="CY496" s="73"/>
      <c r="CZ496" s="73"/>
      <c r="DA496" s="73"/>
      <c r="DB496" s="73"/>
      <c r="DC496" s="73"/>
      <c r="DD496" s="73"/>
      <c r="DE496" s="73"/>
      <c r="DF496" s="73"/>
      <c r="DG496" s="73"/>
      <c r="DH496" s="73"/>
      <c r="DI496" s="73"/>
      <c r="DJ496" s="73"/>
      <c r="DK496" s="73"/>
      <c r="DL496" s="73"/>
      <c r="DM496" s="73"/>
      <c r="DN496" s="73"/>
      <c r="DO496" s="73"/>
      <c r="DP496" s="73"/>
      <c r="DQ496" s="73"/>
      <c r="DR496" s="73"/>
      <c r="DS496" s="73"/>
      <c r="DT496" s="73"/>
      <c r="DU496" s="73"/>
      <c r="DV496" s="73"/>
      <c r="DW496" s="73"/>
      <c r="DX496" s="72"/>
      <c r="DY496" s="72"/>
      <c r="DZ496" s="73"/>
      <c r="EA496" s="73"/>
      <c r="EB496" s="73"/>
      <c r="EC496" s="73"/>
      <c r="ED496" s="73"/>
      <c r="EE496" s="73"/>
      <c r="EF496" s="73"/>
      <c r="EG496" s="73"/>
      <c r="EH496" s="73"/>
      <c r="EI496" s="73"/>
      <c r="EJ496" s="73"/>
      <c r="EK496" s="73"/>
      <c r="EL496" s="73"/>
      <c r="EM496" s="73"/>
      <c r="EN496" s="73"/>
      <c r="EO496" s="73"/>
      <c r="EP496" s="69"/>
      <c r="EQ496" s="69"/>
      <c r="ER496" s="69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  <c r="CI497" s="73"/>
      <c r="CJ497" s="73"/>
      <c r="CK497" s="73"/>
      <c r="CL497" s="73"/>
      <c r="CM497" s="73"/>
      <c r="CN497" s="73"/>
      <c r="CO497" s="73"/>
      <c r="CP497" s="73"/>
      <c r="CQ497" s="73"/>
      <c r="CR497" s="73"/>
      <c r="CS497" s="73"/>
      <c r="CT497" s="73"/>
      <c r="CU497" s="73"/>
      <c r="CV497" s="73"/>
      <c r="CW497" s="73"/>
      <c r="CX497" s="73"/>
      <c r="CY497" s="73"/>
      <c r="CZ497" s="73"/>
      <c r="DA497" s="73"/>
      <c r="DB497" s="73"/>
      <c r="DC497" s="73"/>
      <c r="DD497" s="73"/>
      <c r="DE497" s="73"/>
      <c r="DF497" s="73"/>
      <c r="DG497" s="73"/>
      <c r="DH497" s="73"/>
      <c r="DI497" s="73"/>
      <c r="DJ497" s="73"/>
      <c r="DK497" s="73"/>
      <c r="DL497" s="73"/>
      <c r="DM497" s="73"/>
      <c r="DN497" s="73"/>
      <c r="DO497" s="73"/>
      <c r="DP497" s="73"/>
      <c r="DQ497" s="73"/>
      <c r="DR497" s="73"/>
      <c r="DS497" s="73"/>
      <c r="DT497" s="73"/>
      <c r="DU497" s="73"/>
      <c r="DV497" s="73"/>
      <c r="DW497" s="73"/>
      <c r="DX497" s="72"/>
      <c r="DY497" s="72"/>
      <c r="DZ497" s="73"/>
      <c r="EA497" s="73"/>
      <c r="EB497" s="73"/>
      <c r="EC497" s="73"/>
      <c r="ED497" s="73"/>
      <c r="EE497" s="73"/>
      <c r="EF497" s="73"/>
      <c r="EG497" s="73"/>
      <c r="EH497" s="73"/>
      <c r="EI497" s="73"/>
      <c r="EJ497" s="73"/>
      <c r="EK497" s="73"/>
      <c r="EL497" s="73"/>
      <c r="EM497" s="73"/>
      <c r="EN497" s="73"/>
      <c r="EO497" s="73"/>
      <c r="EP497" s="69"/>
      <c r="EQ497" s="69"/>
      <c r="ER497" s="69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  <c r="CI498" s="73"/>
      <c r="CJ498" s="73"/>
      <c r="CK498" s="73"/>
      <c r="CL498" s="73"/>
      <c r="CM498" s="73"/>
      <c r="CN498" s="73"/>
      <c r="CO498" s="73"/>
      <c r="CP498" s="73"/>
      <c r="CQ498" s="73"/>
      <c r="CR498" s="73"/>
      <c r="CS498" s="73"/>
      <c r="CT498" s="73"/>
      <c r="CU498" s="73"/>
      <c r="CV498" s="73"/>
      <c r="CW498" s="73"/>
      <c r="CX498" s="73"/>
      <c r="CY498" s="73"/>
      <c r="CZ498" s="73"/>
      <c r="DA498" s="73"/>
      <c r="DB498" s="73"/>
      <c r="DC498" s="73"/>
      <c r="DD498" s="73"/>
      <c r="DE498" s="73"/>
      <c r="DF498" s="73"/>
      <c r="DG498" s="73"/>
      <c r="DH498" s="73"/>
      <c r="DI498" s="73"/>
      <c r="DJ498" s="73"/>
      <c r="DK498" s="73"/>
      <c r="DL498" s="73"/>
      <c r="DM498" s="73"/>
      <c r="DN498" s="73"/>
      <c r="DO498" s="73"/>
      <c r="DP498" s="73"/>
      <c r="DQ498" s="73"/>
      <c r="DR498" s="73"/>
      <c r="DS498" s="73"/>
      <c r="DT498" s="73"/>
      <c r="DU498" s="73"/>
      <c r="DV498" s="73"/>
      <c r="DW498" s="73"/>
      <c r="DX498" s="72"/>
      <c r="DY498" s="72"/>
      <c r="DZ498" s="73"/>
      <c r="EA498" s="73"/>
      <c r="EB498" s="73"/>
      <c r="EC498" s="73"/>
      <c r="ED498" s="73"/>
      <c r="EE498" s="73"/>
      <c r="EF498" s="73"/>
      <c r="EG498" s="73"/>
      <c r="EH498" s="73"/>
      <c r="EI498" s="73"/>
      <c r="EJ498" s="73"/>
      <c r="EK498" s="73"/>
      <c r="EL498" s="73"/>
      <c r="EM498" s="73"/>
      <c r="EN498" s="73"/>
      <c r="EO498" s="73"/>
      <c r="EP498" s="69"/>
      <c r="EQ498" s="69"/>
      <c r="ER498" s="69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  <c r="CK499" s="73"/>
      <c r="CL499" s="73"/>
      <c r="CM499" s="72"/>
      <c r="CN499" s="73"/>
      <c r="CO499" s="73"/>
      <c r="CP499" s="73"/>
      <c r="CQ499" s="73"/>
      <c r="CR499" s="73"/>
      <c r="CS499" s="73"/>
      <c r="CT499" s="73"/>
      <c r="CU499" s="73"/>
      <c r="CV499" s="73"/>
      <c r="CW499" s="73"/>
      <c r="CX499" s="73"/>
      <c r="CY499" s="73"/>
      <c r="CZ499" s="73"/>
      <c r="DA499" s="73"/>
      <c r="DB499" s="73"/>
      <c r="DC499" s="73"/>
      <c r="DD499" s="73"/>
      <c r="DE499" s="73"/>
      <c r="DF499" s="73"/>
      <c r="DG499" s="73"/>
      <c r="DH499" s="73"/>
      <c r="DI499" s="73"/>
      <c r="DJ499" s="73"/>
      <c r="DK499" s="73"/>
      <c r="DL499" s="73"/>
      <c r="DM499" s="73"/>
      <c r="DN499" s="73"/>
      <c r="DO499" s="73"/>
      <c r="DP499" s="73"/>
      <c r="DQ499" s="73"/>
      <c r="DR499" s="73"/>
      <c r="DS499" s="73"/>
      <c r="DT499" s="73"/>
      <c r="DU499" s="73"/>
      <c r="DV499" s="73"/>
      <c r="DW499" s="73"/>
      <c r="DX499" s="72"/>
      <c r="DY499" s="72"/>
      <c r="DZ499" s="73"/>
      <c r="EA499" s="73"/>
      <c r="EB499" s="73"/>
      <c r="EC499" s="73"/>
      <c r="ED499" s="73"/>
      <c r="EE499" s="73"/>
      <c r="EF499" s="73"/>
      <c r="EG499" s="73"/>
      <c r="EH499" s="73"/>
      <c r="EI499" s="73"/>
      <c r="EJ499" s="73"/>
      <c r="EK499" s="73"/>
      <c r="EL499" s="73"/>
      <c r="EM499" s="73"/>
      <c r="EN499" s="73"/>
      <c r="EO499" s="73"/>
      <c r="EP499" s="69"/>
      <c r="EQ499" s="69"/>
      <c r="ER499" s="69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  <c r="CI500" s="73"/>
      <c r="CJ500" s="73"/>
      <c r="CK500" s="73"/>
      <c r="CL500" s="73"/>
      <c r="CM500" s="73"/>
      <c r="CN500" s="73"/>
      <c r="CO500" s="73"/>
      <c r="CP500" s="73"/>
      <c r="CQ500" s="73"/>
      <c r="CR500" s="73"/>
      <c r="CS500" s="73"/>
      <c r="CT500" s="73"/>
      <c r="CU500" s="73"/>
      <c r="CV500" s="73"/>
      <c r="CW500" s="73"/>
      <c r="CX500" s="73"/>
      <c r="CY500" s="73"/>
      <c r="CZ500" s="73"/>
      <c r="DA500" s="73"/>
      <c r="DB500" s="73"/>
      <c r="DC500" s="73"/>
      <c r="DD500" s="73"/>
      <c r="DE500" s="73"/>
      <c r="DF500" s="73"/>
      <c r="DG500" s="73"/>
      <c r="DH500" s="73"/>
      <c r="DI500" s="73"/>
      <c r="DJ500" s="73"/>
      <c r="DK500" s="73"/>
      <c r="DL500" s="73"/>
      <c r="DM500" s="73"/>
      <c r="DN500" s="73"/>
      <c r="DO500" s="73"/>
      <c r="DP500" s="73"/>
      <c r="DQ500" s="73"/>
      <c r="DR500" s="73"/>
      <c r="DS500" s="73"/>
      <c r="DT500" s="73"/>
      <c r="DU500" s="73"/>
      <c r="DV500" s="73"/>
      <c r="DW500" s="73"/>
      <c r="DX500" s="72"/>
      <c r="DY500" s="72"/>
      <c r="DZ500" s="73"/>
      <c r="EA500" s="73"/>
      <c r="EB500" s="73"/>
      <c r="EC500" s="73"/>
      <c r="ED500" s="73"/>
      <c r="EE500" s="73"/>
      <c r="EF500" s="73"/>
      <c r="EG500" s="73"/>
      <c r="EH500" s="73"/>
      <c r="EI500" s="73"/>
      <c r="EJ500" s="73"/>
      <c r="EK500" s="73"/>
      <c r="EL500" s="73"/>
      <c r="EM500" s="73"/>
      <c r="EN500" s="73"/>
      <c r="EO500" s="73"/>
      <c r="EP500" s="69"/>
      <c r="EQ500" s="69"/>
      <c r="ER500" s="69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  <c r="CI501" s="73"/>
      <c r="CJ501" s="73"/>
      <c r="CK501" s="73"/>
      <c r="CL501" s="73"/>
      <c r="CM501" s="72"/>
      <c r="CN501" s="73"/>
      <c r="CO501" s="73"/>
      <c r="CP501" s="73"/>
      <c r="CQ501" s="73"/>
      <c r="CR501" s="73"/>
      <c r="CS501" s="73"/>
      <c r="CT501" s="73"/>
      <c r="CU501" s="73"/>
      <c r="CV501" s="73"/>
      <c r="CW501" s="73"/>
      <c r="CX501" s="73"/>
      <c r="CY501" s="73"/>
      <c r="CZ501" s="73"/>
      <c r="DA501" s="73"/>
      <c r="DB501" s="73"/>
      <c r="DC501" s="73"/>
      <c r="DD501" s="73"/>
      <c r="DE501" s="73"/>
      <c r="DF501" s="73"/>
      <c r="DG501" s="73"/>
      <c r="DH501" s="73"/>
      <c r="DI501" s="73"/>
      <c r="DJ501" s="73"/>
      <c r="DK501" s="73"/>
      <c r="DL501" s="73"/>
      <c r="DM501" s="73"/>
      <c r="DN501" s="73"/>
      <c r="DO501" s="73"/>
      <c r="DP501" s="73"/>
      <c r="DQ501" s="73"/>
      <c r="DR501" s="73"/>
      <c r="DS501" s="73"/>
      <c r="DT501" s="73"/>
      <c r="DU501" s="73"/>
      <c r="DV501" s="73"/>
      <c r="DW501" s="73"/>
      <c r="DX501" s="72"/>
      <c r="DY501" s="72"/>
      <c r="DZ501" s="73"/>
      <c r="EA501" s="73"/>
      <c r="EB501" s="73"/>
      <c r="EC501" s="73"/>
      <c r="ED501" s="73"/>
      <c r="EE501" s="73"/>
      <c r="EF501" s="73"/>
      <c r="EG501" s="73"/>
      <c r="EH501" s="73"/>
      <c r="EI501" s="73"/>
      <c r="EJ501" s="73"/>
      <c r="EK501" s="73"/>
      <c r="EL501" s="73"/>
      <c r="EM501" s="73"/>
      <c r="EN501" s="73"/>
      <c r="EO501" s="73"/>
      <c r="EP501" s="69"/>
      <c r="EQ501" s="69"/>
      <c r="ER501" s="69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  <c r="CI502" s="73"/>
      <c r="CJ502" s="73"/>
      <c r="CK502" s="73"/>
      <c r="CL502" s="73"/>
      <c r="CM502" s="73"/>
      <c r="CN502" s="73"/>
      <c r="CO502" s="73"/>
      <c r="CP502" s="73"/>
      <c r="CQ502" s="73"/>
      <c r="CR502" s="73"/>
      <c r="CS502" s="73"/>
      <c r="CT502" s="73"/>
      <c r="CU502" s="73"/>
      <c r="CV502" s="73"/>
      <c r="CW502" s="73"/>
      <c r="CX502" s="73"/>
      <c r="CY502" s="73"/>
      <c r="CZ502" s="73"/>
      <c r="DA502" s="73"/>
      <c r="DB502" s="73"/>
      <c r="DC502" s="73"/>
      <c r="DD502" s="73"/>
      <c r="DE502" s="73"/>
      <c r="DF502" s="73"/>
      <c r="DG502" s="73"/>
      <c r="DH502" s="73"/>
      <c r="DI502" s="73"/>
      <c r="DJ502" s="73"/>
      <c r="DK502" s="73"/>
      <c r="DL502" s="73"/>
      <c r="DM502" s="73"/>
      <c r="DN502" s="73"/>
      <c r="DO502" s="73"/>
      <c r="DP502" s="73"/>
      <c r="DQ502" s="73"/>
      <c r="DR502" s="73"/>
      <c r="DS502" s="73"/>
      <c r="DT502" s="73"/>
      <c r="DU502" s="73"/>
      <c r="DV502" s="73"/>
      <c r="DW502" s="73"/>
      <c r="DX502" s="73"/>
      <c r="DY502" s="73"/>
      <c r="DZ502" s="73"/>
      <c r="EA502" s="73"/>
      <c r="EB502" s="73"/>
      <c r="EC502" s="73"/>
      <c r="ED502" s="73"/>
      <c r="EE502" s="73"/>
      <c r="EF502" s="73"/>
      <c r="EG502" s="73"/>
      <c r="EH502" s="73"/>
      <c r="EI502" s="73"/>
      <c r="EJ502" s="73"/>
      <c r="EK502" s="73"/>
      <c r="EL502" s="73"/>
      <c r="EM502" s="73"/>
      <c r="EN502" s="73"/>
      <c r="EO502" s="73"/>
      <c r="EP502" s="69"/>
      <c r="EQ502" s="69"/>
      <c r="ER502" s="69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  <c r="CI503" s="73"/>
      <c r="CJ503" s="73"/>
      <c r="CK503" s="73"/>
      <c r="CL503" s="73"/>
      <c r="CM503" s="72"/>
      <c r="CN503" s="73"/>
      <c r="CO503" s="73"/>
      <c r="CP503" s="73"/>
      <c r="CQ503" s="73"/>
      <c r="CR503" s="73"/>
      <c r="CS503" s="73"/>
      <c r="CT503" s="73"/>
      <c r="CU503" s="73"/>
      <c r="CV503" s="73"/>
      <c r="CW503" s="73"/>
      <c r="CX503" s="73"/>
      <c r="CY503" s="73"/>
      <c r="CZ503" s="73"/>
      <c r="DA503" s="73"/>
      <c r="DB503" s="73"/>
      <c r="DC503" s="73"/>
      <c r="DD503" s="73"/>
      <c r="DE503" s="73"/>
      <c r="DF503" s="73"/>
      <c r="DG503" s="73"/>
      <c r="DH503" s="73"/>
      <c r="DI503" s="73"/>
      <c r="DJ503" s="73"/>
      <c r="DK503" s="73"/>
      <c r="DL503" s="73"/>
      <c r="DM503" s="73"/>
      <c r="DN503" s="73"/>
      <c r="DO503" s="73"/>
      <c r="DP503" s="73"/>
      <c r="DQ503" s="73"/>
      <c r="DR503" s="73"/>
      <c r="DS503" s="73"/>
      <c r="DT503" s="73"/>
      <c r="DU503" s="73"/>
      <c r="DV503" s="73"/>
      <c r="DW503" s="73"/>
      <c r="DX503" s="72"/>
      <c r="DY503" s="72"/>
      <c r="DZ503" s="73"/>
      <c r="EA503" s="73"/>
      <c r="EB503" s="73"/>
      <c r="EC503" s="73"/>
      <c r="ED503" s="73"/>
      <c r="EE503" s="73"/>
      <c r="EF503" s="73"/>
      <c r="EG503" s="73"/>
      <c r="EH503" s="73"/>
      <c r="EI503" s="73"/>
      <c r="EJ503" s="73"/>
      <c r="EK503" s="73"/>
      <c r="EL503" s="73"/>
      <c r="EM503" s="73"/>
      <c r="EN503" s="73"/>
      <c r="EO503" s="73"/>
      <c r="EP503" s="69"/>
      <c r="EQ503" s="69"/>
      <c r="ER503" s="69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  <c r="CK504" s="73"/>
      <c r="CL504" s="73"/>
      <c r="CM504" s="72"/>
      <c r="CN504" s="73"/>
      <c r="CO504" s="73"/>
      <c r="CP504" s="73"/>
      <c r="CQ504" s="73"/>
      <c r="CR504" s="73"/>
      <c r="CS504" s="73"/>
      <c r="CT504" s="73"/>
      <c r="CU504" s="73"/>
      <c r="CV504" s="73"/>
      <c r="CW504" s="73"/>
      <c r="CX504" s="73"/>
      <c r="CY504" s="73"/>
      <c r="CZ504" s="73"/>
      <c r="DA504" s="73"/>
      <c r="DB504" s="73"/>
      <c r="DC504" s="73"/>
      <c r="DD504" s="73"/>
      <c r="DE504" s="73"/>
      <c r="DF504" s="73"/>
      <c r="DG504" s="73"/>
      <c r="DH504" s="73"/>
      <c r="DI504" s="73"/>
      <c r="DJ504" s="73"/>
      <c r="DK504" s="73"/>
      <c r="DL504" s="73"/>
      <c r="DM504" s="73"/>
      <c r="DN504" s="73"/>
      <c r="DO504" s="73"/>
      <c r="DP504" s="73"/>
      <c r="DQ504" s="73"/>
      <c r="DR504" s="73"/>
      <c r="DS504" s="73"/>
      <c r="DT504" s="73"/>
      <c r="DU504" s="73"/>
      <c r="DV504" s="73"/>
      <c r="DW504" s="73"/>
      <c r="DX504" s="72"/>
      <c r="DY504" s="72"/>
      <c r="DZ504" s="73"/>
      <c r="EA504" s="73"/>
      <c r="EB504" s="73"/>
      <c r="EC504" s="73"/>
      <c r="ED504" s="73"/>
      <c r="EE504" s="73"/>
      <c r="EF504" s="73"/>
      <c r="EG504" s="73"/>
      <c r="EH504" s="73"/>
      <c r="EI504" s="73"/>
      <c r="EJ504" s="73"/>
      <c r="EK504" s="73"/>
      <c r="EL504" s="73"/>
      <c r="EM504" s="73"/>
      <c r="EN504" s="73"/>
      <c r="EO504" s="73"/>
      <c r="EP504" s="69"/>
      <c r="EQ504" s="69"/>
      <c r="ER504" s="69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  <c r="CI505" s="73"/>
      <c r="CJ505" s="73"/>
      <c r="CK505" s="73"/>
      <c r="CL505" s="73"/>
      <c r="CM505" s="73"/>
      <c r="CN505" s="73"/>
      <c r="CO505" s="73"/>
      <c r="CP505" s="73"/>
      <c r="CQ505" s="73"/>
      <c r="CR505" s="73"/>
      <c r="CS505" s="73"/>
      <c r="CT505" s="73"/>
      <c r="CU505" s="73"/>
      <c r="CV505" s="73"/>
      <c r="CW505" s="73"/>
      <c r="CX505" s="73"/>
      <c r="CY505" s="73"/>
      <c r="CZ505" s="73"/>
      <c r="DA505" s="73"/>
      <c r="DB505" s="73"/>
      <c r="DC505" s="73"/>
      <c r="DD505" s="73"/>
      <c r="DE505" s="73"/>
      <c r="DF505" s="73"/>
      <c r="DG505" s="73"/>
      <c r="DH505" s="73"/>
      <c r="DI505" s="73"/>
      <c r="DJ505" s="73"/>
      <c r="DK505" s="73"/>
      <c r="DL505" s="73"/>
      <c r="DM505" s="73"/>
      <c r="DN505" s="73"/>
      <c r="DO505" s="73"/>
      <c r="DP505" s="73"/>
      <c r="DQ505" s="73"/>
      <c r="DR505" s="73"/>
      <c r="DS505" s="73"/>
      <c r="DT505" s="73"/>
      <c r="DU505" s="73"/>
      <c r="DV505" s="73"/>
      <c r="DW505" s="73"/>
      <c r="DX505" s="73"/>
      <c r="DY505" s="73"/>
      <c r="DZ505" s="73"/>
      <c r="EA505" s="73"/>
      <c r="EB505" s="73"/>
      <c r="EC505" s="73"/>
      <c r="ED505" s="73"/>
      <c r="EE505" s="73"/>
      <c r="EF505" s="73"/>
      <c r="EG505" s="73"/>
      <c r="EH505" s="73"/>
      <c r="EI505" s="73"/>
      <c r="EJ505" s="73"/>
      <c r="EK505" s="73"/>
      <c r="EL505" s="73"/>
      <c r="EM505" s="73"/>
      <c r="EN505" s="73"/>
      <c r="EO505" s="73"/>
      <c r="EP505" s="69"/>
      <c r="EQ505" s="69"/>
      <c r="ER505" s="69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  <c r="CI506" s="73"/>
      <c r="CJ506" s="73"/>
      <c r="CK506" s="73"/>
      <c r="CL506" s="73"/>
      <c r="CM506" s="73"/>
      <c r="CN506" s="73"/>
      <c r="CO506" s="73"/>
      <c r="CP506" s="73"/>
      <c r="CQ506" s="73"/>
      <c r="CR506" s="73"/>
      <c r="CS506" s="73"/>
      <c r="CT506" s="73"/>
      <c r="CU506" s="73"/>
      <c r="CV506" s="73"/>
      <c r="CW506" s="73"/>
      <c r="CX506" s="73"/>
      <c r="CY506" s="73"/>
      <c r="CZ506" s="73"/>
      <c r="DA506" s="73"/>
      <c r="DB506" s="73"/>
      <c r="DC506" s="73"/>
      <c r="DD506" s="73"/>
      <c r="DE506" s="73"/>
      <c r="DF506" s="73"/>
      <c r="DG506" s="73"/>
      <c r="DH506" s="73"/>
      <c r="DI506" s="73"/>
      <c r="DJ506" s="73"/>
      <c r="DK506" s="73"/>
      <c r="DL506" s="73"/>
      <c r="DM506" s="73"/>
      <c r="DN506" s="73"/>
      <c r="DO506" s="73"/>
      <c r="DP506" s="73"/>
      <c r="DQ506" s="73"/>
      <c r="DR506" s="73"/>
      <c r="DS506" s="73"/>
      <c r="DT506" s="73"/>
      <c r="DU506" s="73"/>
      <c r="DV506" s="73"/>
      <c r="DW506" s="73"/>
      <c r="DX506" s="72"/>
      <c r="DY506" s="72"/>
      <c r="DZ506" s="73"/>
      <c r="EA506" s="73"/>
      <c r="EB506" s="73"/>
      <c r="EC506" s="73"/>
      <c r="ED506" s="73"/>
      <c r="EE506" s="73"/>
      <c r="EF506" s="73"/>
      <c r="EG506" s="73"/>
      <c r="EH506" s="73"/>
      <c r="EI506" s="73"/>
      <c r="EJ506" s="73"/>
      <c r="EK506" s="73"/>
      <c r="EL506" s="73"/>
      <c r="EM506" s="73"/>
      <c r="EN506" s="73"/>
      <c r="EO506" s="73"/>
      <c r="EP506" s="69"/>
      <c r="EQ506" s="69"/>
      <c r="ER506" s="69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  <c r="CI507" s="73"/>
      <c r="CJ507" s="73"/>
      <c r="CK507" s="73"/>
      <c r="CL507" s="73"/>
      <c r="CM507" s="72"/>
      <c r="CN507" s="73"/>
      <c r="CO507" s="73"/>
      <c r="CP507" s="73"/>
      <c r="CQ507" s="73"/>
      <c r="CR507" s="73"/>
      <c r="CS507" s="73"/>
      <c r="CT507" s="73"/>
      <c r="CU507" s="73"/>
      <c r="CV507" s="73"/>
      <c r="CW507" s="73"/>
      <c r="CX507" s="73"/>
      <c r="CY507" s="73"/>
      <c r="CZ507" s="73"/>
      <c r="DA507" s="73"/>
      <c r="DB507" s="73"/>
      <c r="DC507" s="73"/>
      <c r="DD507" s="73"/>
      <c r="DE507" s="73"/>
      <c r="DF507" s="73"/>
      <c r="DG507" s="73"/>
      <c r="DH507" s="73"/>
      <c r="DI507" s="73"/>
      <c r="DJ507" s="73"/>
      <c r="DK507" s="73"/>
      <c r="DL507" s="73"/>
      <c r="DM507" s="73"/>
      <c r="DN507" s="73"/>
      <c r="DO507" s="73"/>
      <c r="DP507" s="73"/>
      <c r="DQ507" s="73"/>
      <c r="DR507" s="73"/>
      <c r="DS507" s="73"/>
      <c r="DT507" s="73"/>
      <c r="DU507" s="73"/>
      <c r="DV507" s="73"/>
      <c r="DW507" s="73"/>
      <c r="DX507" s="72"/>
      <c r="DY507" s="72"/>
      <c r="DZ507" s="73"/>
      <c r="EA507" s="73"/>
      <c r="EB507" s="73"/>
      <c r="EC507" s="73"/>
      <c r="ED507" s="73"/>
      <c r="EE507" s="73"/>
      <c r="EF507" s="73"/>
      <c r="EG507" s="73"/>
      <c r="EH507" s="73"/>
      <c r="EI507" s="73"/>
      <c r="EJ507" s="73"/>
      <c r="EK507" s="73"/>
      <c r="EL507" s="73"/>
      <c r="EM507" s="73"/>
      <c r="EN507" s="73"/>
      <c r="EO507" s="73"/>
      <c r="EP507" s="69"/>
      <c r="EQ507" s="69"/>
      <c r="ER507" s="69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  <c r="CI508" s="73"/>
      <c r="CJ508" s="73"/>
      <c r="CK508" s="73"/>
      <c r="CL508" s="73"/>
      <c r="CM508" s="73"/>
      <c r="CN508" s="73"/>
      <c r="CO508" s="73"/>
      <c r="CP508" s="73"/>
      <c r="CQ508" s="73"/>
      <c r="CR508" s="73"/>
      <c r="CS508" s="73"/>
      <c r="CT508" s="73"/>
      <c r="CU508" s="73"/>
      <c r="CV508" s="73"/>
      <c r="CW508" s="73"/>
      <c r="CX508" s="73"/>
      <c r="CY508" s="73"/>
      <c r="CZ508" s="73"/>
      <c r="DA508" s="73"/>
      <c r="DB508" s="73"/>
      <c r="DC508" s="73"/>
      <c r="DD508" s="73"/>
      <c r="DE508" s="73"/>
      <c r="DF508" s="73"/>
      <c r="DG508" s="73"/>
      <c r="DH508" s="73"/>
      <c r="DI508" s="73"/>
      <c r="DJ508" s="73"/>
      <c r="DK508" s="73"/>
      <c r="DL508" s="73"/>
      <c r="DM508" s="73"/>
      <c r="DN508" s="73"/>
      <c r="DO508" s="73"/>
      <c r="DP508" s="73"/>
      <c r="DQ508" s="73"/>
      <c r="DR508" s="73"/>
      <c r="DS508" s="73"/>
      <c r="DT508" s="73"/>
      <c r="DU508" s="73"/>
      <c r="DV508" s="73"/>
      <c r="DW508" s="73"/>
      <c r="DX508" s="72"/>
      <c r="DY508" s="72"/>
      <c r="DZ508" s="73"/>
      <c r="EA508" s="73"/>
      <c r="EB508" s="73"/>
      <c r="EC508" s="73"/>
      <c r="ED508" s="73"/>
      <c r="EE508" s="73"/>
      <c r="EF508" s="73"/>
      <c r="EG508" s="73"/>
      <c r="EH508" s="73"/>
      <c r="EI508" s="73"/>
      <c r="EJ508" s="73"/>
      <c r="EK508" s="73"/>
      <c r="EL508" s="73"/>
      <c r="EM508" s="73"/>
      <c r="EN508" s="73"/>
      <c r="EO508" s="73"/>
      <c r="EP508" s="69"/>
      <c r="EQ508" s="69"/>
      <c r="ER508" s="69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  <c r="CK509" s="73"/>
      <c r="CL509" s="73"/>
      <c r="CM509" s="72"/>
      <c r="CN509" s="73"/>
      <c r="CO509" s="73"/>
      <c r="CP509" s="73"/>
      <c r="CQ509" s="73"/>
      <c r="CR509" s="73"/>
      <c r="CS509" s="73"/>
      <c r="CT509" s="73"/>
      <c r="CU509" s="73"/>
      <c r="CV509" s="73"/>
      <c r="CW509" s="73"/>
      <c r="CX509" s="73"/>
      <c r="CY509" s="73"/>
      <c r="CZ509" s="73"/>
      <c r="DA509" s="73"/>
      <c r="DB509" s="73"/>
      <c r="DC509" s="73"/>
      <c r="DD509" s="73"/>
      <c r="DE509" s="73"/>
      <c r="DF509" s="73"/>
      <c r="DG509" s="73"/>
      <c r="DH509" s="73"/>
      <c r="DI509" s="73"/>
      <c r="DJ509" s="73"/>
      <c r="DK509" s="73"/>
      <c r="DL509" s="73"/>
      <c r="DM509" s="73"/>
      <c r="DN509" s="73"/>
      <c r="DO509" s="73"/>
      <c r="DP509" s="73"/>
      <c r="DQ509" s="73"/>
      <c r="DR509" s="73"/>
      <c r="DS509" s="73"/>
      <c r="DT509" s="73"/>
      <c r="DU509" s="73"/>
      <c r="DV509" s="73"/>
      <c r="DW509" s="73"/>
      <c r="DX509" s="72"/>
      <c r="DY509" s="72"/>
      <c r="DZ509" s="73"/>
      <c r="EA509" s="73"/>
      <c r="EB509" s="73"/>
      <c r="EC509" s="73"/>
      <c r="ED509" s="73"/>
      <c r="EE509" s="73"/>
      <c r="EF509" s="73"/>
      <c r="EG509" s="73"/>
      <c r="EH509" s="73"/>
      <c r="EI509" s="73"/>
      <c r="EJ509" s="73"/>
      <c r="EK509" s="73"/>
      <c r="EL509" s="73"/>
      <c r="EM509" s="73"/>
      <c r="EN509" s="73"/>
      <c r="EO509" s="73"/>
      <c r="EP509" s="69"/>
      <c r="EQ509" s="69"/>
      <c r="ER509" s="69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  <c r="CI510" s="73"/>
      <c r="CJ510" s="73"/>
      <c r="CK510" s="73"/>
      <c r="CL510" s="73"/>
      <c r="CM510" s="73"/>
      <c r="CN510" s="73"/>
      <c r="CO510" s="73"/>
      <c r="CP510" s="73"/>
      <c r="CQ510" s="73"/>
      <c r="CR510" s="73"/>
      <c r="CS510" s="73"/>
      <c r="CT510" s="73"/>
      <c r="CU510" s="73"/>
      <c r="CV510" s="73"/>
      <c r="CW510" s="73"/>
      <c r="CX510" s="73"/>
      <c r="CY510" s="73"/>
      <c r="CZ510" s="73"/>
      <c r="DA510" s="73"/>
      <c r="DB510" s="73"/>
      <c r="DC510" s="73"/>
      <c r="DD510" s="73"/>
      <c r="DE510" s="73"/>
      <c r="DF510" s="73"/>
      <c r="DG510" s="73"/>
      <c r="DH510" s="73"/>
      <c r="DI510" s="73"/>
      <c r="DJ510" s="73"/>
      <c r="DK510" s="73"/>
      <c r="DL510" s="73"/>
      <c r="DM510" s="73"/>
      <c r="DN510" s="73"/>
      <c r="DO510" s="73"/>
      <c r="DP510" s="73"/>
      <c r="DQ510" s="73"/>
      <c r="DR510" s="73"/>
      <c r="DS510" s="73"/>
      <c r="DT510" s="73"/>
      <c r="DU510" s="73"/>
      <c r="DV510" s="73"/>
      <c r="DW510" s="73"/>
      <c r="DX510" s="72"/>
      <c r="DY510" s="72"/>
      <c r="DZ510" s="73"/>
      <c r="EA510" s="73"/>
      <c r="EB510" s="73"/>
      <c r="EC510" s="73"/>
      <c r="ED510" s="73"/>
      <c r="EE510" s="73"/>
      <c r="EF510" s="73"/>
      <c r="EG510" s="73"/>
      <c r="EH510" s="73"/>
      <c r="EI510" s="73"/>
      <c r="EJ510" s="73"/>
      <c r="EK510" s="73"/>
      <c r="EL510" s="73"/>
      <c r="EM510" s="73"/>
      <c r="EN510" s="73"/>
      <c r="EO510" s="73"/>
      <c r="EP510" s="69"/>
      <c r="EQ510" s="69"/>
      <c r="ER510" s="69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  <c r="CI511" s="73"/>
      <c r="CJ511" s="73"/>
      <c r="CK511" s="73"/>
      <c r="CL511" s="73"/>
      <c r="CM511" s="73"/>
      <c r="CN511" s="73"/>
      <c r="CO511" s="73"/>
      <c r="CP511" s="73"/>
      <c r="CQ511" s="73"/>
      <c r="CR511" s="73"/>
      <c r="CS511" s="73"/>
      <c r="CT511" s="73"/>
      <c r="CU511" s="73"/>
      <c r="CV511" s="73"/>
      <c r="CW511" s="73"/>
      <c r="CX511" s="73"/>
      <c r="CY511" s="73"/>
      <c r="CZ511" s="73"/>
      <c r="DA511" s="73"/>
      <c r="DB511" s="73"/>
      <c r="DC511" s="73"/>
      <c r="DD511" s="73"/>
      <c r="DE511" s="73"/>
      <c r="DF511" s="73"/>
      <c r="DG511" s="73"/>
      <c r="DH511" s="73"/>
      <c r="DI511" s="73"/>
      <c r="DJ511" s="73"/>
      <c r="DK511" s="73"/>
      <c r="DL511" s="73"/>
      <c r="DM511" s="73"/>
      <c r="DN511" s="73"/>
      <c r="DO511" s="73"/>
      <c r="DP511" s="73"/>
      <c r="DQ511" s="73"/>
      <c r="DR511" s="73"/>
      <c r="DS511" s="73"/>
      <c r="DT511" s="73"/>
      <c r="DU511" s="73"/>
      <c r="DV511" s="73"/>
      <c r="DW511" s="73"/>
      <c r="DX511" s="73"/>
      <c r="DY511" s="73"/>
      <c r="DZ511" s="73"/>
      <c r="EA511" s="73"/>
      <c r="EB511" s="73"/>
      <c r="EC511" s="73"/>
      <c r="ED511" s="73"/>
      <c r="EE511" s="73"/>
      <c r="EF511" s="73"/>
      <c r="EG511" s="73"/>
      <c r="EH511" s="73"/>
      <c r="EI511" s="73"/>
      <c r="EJ511" s="73"/>
      <c r="EK511" s="73"/>
      <c r="EL511" s="73"/>
      <c r="EM511" s="73"/>
      <c r="EN511" s="73"/>
      <c r="EO511" s="73"/>
      <c r="EP511" s="69"/>
      <c r="EQ511" s="69"/>
      <c r="ER511" s="69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  <c r="CI512" s="73"/>
      <c r="CJ512" s="73"/>
      <c r="CK512" s="73"/>
      <c r="CL512" s="73"/>
      <c r="CM512" s="72"/>
      <c r="CN512" s="73"/>
      <c r="CO512" s="73"/>
      <c r="CP512" s="73"/>
      <c r="CQ512" s="73"/>
      <c r="CR512" s="73"/>
      <c r="CS512" s="73"/>
      <c r="CT512" s="73"/>
      <c r="CU512" s="73"/>
      <c r="CV512" s="73"/>
      <c r="CW512" s="73"/>
      <c r="CX512" s="73"/>
      <c r="CY512" s="73"/>
      <c r="CZ512" s="73"/>
      <c r="DA512" s="73"/>
      <c r="DB512" s="73"/>
      <c r="DC512" s="73"/>
      <c r="DD512" s="73"/>
      <c r="DE512" s="73"/>
      <c r="DF512" s="73"/>
      <c r="DG512" s="73"/>
      <c r="DH512" s="73"/>
      <c r="DI512" s="73"/>
      <c r="DJ512" s="73"/>
      <c r="DK512" s="73"/>
      <c r="DL512" s="73"/>
      <c r="DM512" s="73"/>
      <c r="DN512" s="73"/>
      <c r="DO512" s="73"/>
      <c r="DP512" s="73"/>
      <c r="DQ512" s="73"/>
      <c r="DR512" s="73"/>
      <c r="DS512" s="73"/>
      <c r="DT512" s="73"/>
      <c r="DU512" s="73"/>
      <c r="DV512" s="73"/>
      <c r="DW512" s="73"/>
      <c r="DX512" s="72"/>
      <c r="DY512" s="72"/>
      <c r="DZ512" s="73"/>
      <c r="EA512" s="73"/>
      <c r="EB512" s="73"/>
      <c r="EC512" s="73"/>
      <c r="ED512" s="73"/>
      <c r="EE512" s="73"/>
      <c r="EF512" s="73"/>
      <c r="EG512" s="73"/>
      <c r="EH512" s="73"/>
      <c r="EI512" s="73"/>
      <c r="EJ512" s="73"/>
      <c r="EK512" s="73"/>
      <c r="EL512" s="73"/>
      <c r="EM512" s="73"/>
      <c r="EN512" s="73"/>
      <c r="EO512" s="73"/>
      <c r="EP512" s="69"/>
      <c r="EQ512" s="69"/>
      <c r="ER512" s="69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  <c r="CI513" s="73"/>
      <c r="CJ513" s="73"/>
      <c r="CK513" s="73"/>
      <c r="CL513" s="73"/>
      <c r="CM513" s="73"/>
      <c r="CN513" s="73"/>
      <c r="CO513" s="73"/>
      <c r="CP513" s="73"/>
      <c r="CQ513" s="73"/>
      <c r="CR513" s="73"/>
      <c r="CS513" s="73"/>
      <c r="CT513" s="73"/>
      <c r="CU513" s="73"/>
      <c r="CV513" s="73"/>
      <c r="CW513" s="73"/>
      <c r="CX513" s="73"/>
      <c r="CY513" s="73"/>
      <c r="CZ513" s="73"/>
      <c r="DA513" s="73"/>
      <c r="DB513" s="73"/>
      <c r="DC513" s="73"/>
      <c r="DD513" s="73"/>
      <c r="DE513" s="73"/>
      <c r="DF513" s="73"/>
      <c r="DG513" s="73"/>
      <c r="DH513" s="73"/>
      <c r="DI513" s="73"/>
      <c r="DJ513" s="73"/>
      <c r="DK513" s="73"/>
      <c r="DL513" s="73"/>
      <c r="DM513" s="73"/>
      <c r="DN513" s="73"/>
      <c r="DO513" s="73"/>
      <c r="DP513" s="73"/>
      <c r="DQ513" s="73"/>
      <c r="DR513" s="73"/>
      <c r="DS513" s="73"/>
      <c r="DT513" s="73"/>
      <c r="DU513" s="73"/>
      <c r="DV513" s="73"/>
      <c r="DW513" s="73"/>
      <c r="DX513" s="72"/>
      <c r="DY513" s="72"/>
      <c r="DZ513" s="73"/>
      <c r="EA513" s="73"/>
      <c r="EB513" s="73"/>
      <c r="EC513" s="73"/>
      <c r="ED513" s="73"/>
      <c r="EE513" s="73"/>
      <c r="EF513" s="73"/>
      <c r="EG513" s="73"/>
      <c r="EH513" s="73"/>
      <c r="EI513" s="73"/>
      <c r="EJ513" s="73"/>
      <c r="EK513" s="73"/>
      <c r="EL513" s="73"/>
      <c r="EM513" s="73"/>
      <c r="EN513" s="73"/>
      <c r="EO513" s="73"/>
      <c r="EP513" s="69"/>
      <c r="EQ513" s="69"/>
      <c r="ER513" s="69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  <c r="CK514" s="73"/>
      <c r="CL514" s="73"/>
      <c r="CM514" s="73"/>
      <c r="CN514" s="73"/>
      <c r="CO514" s="73"/>
      <c r="CP514" s="73"/>
      <c r="CQ514" s="73"/>
      <c r="CR514" s="73"/>
      <c r="CS514" s="73"/>
      <c r="CT514" s="73"/>
      <c r="CU514" s="73"/>
      <c r="CV514" s="73"/>
      <c r="CW514" s="73"/>
      <c r="CX514" s="73"/>
      <c r="CY514" s="73"/>
      <c r="CZ514" s="73"/>
      <c r="DA514" s="73"/>
      <c r="DB514" s="73"/>
      <c r="DC514" s="73"/>
      <c r="DD514" s="73"/>
      <c r="DE514" s="73"/>
      <c r="DF514" s="73"/>
      <c r="DG514" s="73"/>
      <c r="DH514" s="73"/>
      <c r="DI514" s="73"/>
      <c r="DJ514" s="73"/>
      <c r="DK514" s="73"/>
      <c r="DL514" s="73"/>
      <c r="DM514" s="73"/>
      <c r="DN514" s="73"/>
      <c r="DO514" s="73"/>
      <c r="DP514" s="73"/>
      <c r="DQ514" s="73"/>
      <c r="DR514" s="73"/>
      <c r="DS514" s="73"/>
      <c r="DT514" s="73"/>
      <c r="DU514" s="73"/>
      <c r="DV514" s="73"/>
      <c r="DW514" s="73"/>
      <c r="DX514" s="72"/>
      <c r="DY514" s="72"/>
      <c r="DZ514" s="73"/>
      <c r="EA514" s="73"/>
      <c r="EB514" s="73"/>
      <c r="EC514" s="73"/>
      <c r="ED514" s="73"/>
      <c r="EE514" s="73"/>
      <c r="EF514" s="73"/>
      <c r="EG514" s="73"/>
      <c r="EH514" s="73"/>
      <c r="EI514" s="73"/>
      <c r="EJ514" s="73"/>
      <c r="EK514" s="73"/>
      <c r="EL514" s="73"/>
      <c r="EM514" s="73"/>
      <c r="EN514" s="73"/>
      <c r="EO514" s="73"/>
      <c r="EP514" s="69"/>
      <c r="EQ514" s="69"/>
      <c r="ER514" s="69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  <c r="CI515" s="73"/>
      <c r="CJ515" s="73"/>
      <c r="CK515" s="73"/>
      <c r="CL515" s="73"/>
      <c r="CM515" s="73"/>
      <c r="CN515" s="73"/>
      <c r="CO515" s="73"/>
      <c r="CP515" s="73"/>
      <c r="CQ515" s="73"/>
      <c r="CR515" s="73"/>
      <c r="CS515" s="73"/>
      <c r="CT515" s="73"/>
      <c r="CU515" s="73"/>
      <c r="CV515" s="73"/>
      <c r="CW515" s="73"/>
      <c r="CX515" s="73"/>
      <c r="CY515" s="73"/>
      <c r="CZ515" s="73"/>
      <c r="DA515" s="73"/>
      <c r="DB515" s="73"/>
      <c r="DC515" s="73"/>
      <c r="DD515" s="73"/>
      <c r="DE515" s="73"/>
      <c r="DF515" s="73"/>
      <c r="DG515" s="73"/>
      <c r="DH515" s="73"/>
      <c r="DI515" s="73"/>
      <c r="DJ515" s="73"/>
      <c r="DK515" s="73"/>
      <c r="DL515" s="73"/>
      <c r="DM515" s="73"/>
      <c r="DN515" s="73"/>
      <c r="DO515" s="73"/>
      <c r="DP515" s="73"/>
      <c r="DQ515" s="73"/>
      <c r="DR515" s="73"/>
      <c r="DS515" s="73"/>
      <c r="DT515" s="73"/>
      <c r="DU515" s="73"/>
      <c r="DV515" s="73"/>
      <c r="DW515" s="73"/>
      <c r="DX515" s="72"/>
      <c r="DY515" s="72"/>
      <c r="DZ515" s="73"/>
      <c r="EA515" s="73"/>
      <c r="EB515" s="73"/>
      <c r="EC515" s="73"/>
      <c r="ED515" s="73"/>
      <c r="EE515" s="73"/>
      <c r="EF515" s="73"/>
      <c r="EG515" s="73"/>
      <c r="EH515" s="73"/>
      <c r="EI515" s="73"/>
      <c r="EJ515" s="73"/>
      <c r="EK515" s="73"/>
      <c r="EL515" s="73"/>
      <c r="EM515" s="73"/>
      <c r="EN515" s="73"/>
      <c r="EO515" s="73"/>
      <c r="EP515" s="69"/>
      <c r="EQ515" s="69"/>
      <c r="ER515" s="69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  <c r="CI516" s="73"/>
      <c r="CJ516" s="73"/>
      <c r="CK516" s="73"/>
      <c r="CL516" s="73"/>
      <c r="CM516" s="73"/>
      <c r="CN516" s="73"/>
      <c r="CO516" s="73"/>
      <c r="CP516" s="73"/>
      <c r="CQ516" s="73"/>
      <c r="CR516" s="73"/>
      <c r="CS516" s="73"/>
      <c r="CT516" s="73"/>
      <c r="CU516" s="73"/>
      <c r="CV516" s="73"/>
      <c r="CW516" s="73"/>
      <c r="CX516" s="73"/>
      <c r="CY516" s="73"/>
      <c r="CZ516" s="73"/>
      <c r="DA516" s="73"/>
      <c r="DB516" s="73"/>
      <c r="DC516" s="73"/>
      <c r="DD516" s="73"/>
      <c r="DE516" s="73"/>
      <c r="DF516" s="73"/>
      <c r="DG516" s="73"/>
      <c r="DH516" s="73"/>
      <c r="DI516" s="73"/>
      <c r="DJ516" s="73"/>
      <c r="DK516" s="73"/>
      <c r="DL516" s="73"/>
      <c r="DM516" s="73"/>
      <c r="DN516" s="73"/>
      <c r="DO516" s="73"/>
      <c r="DP516" s="73"/>
      <c r="DQ516" s="73"/>
      <c r="DR516" s="73"/>
      <c r="DS516" s="73"/>
      <c r="DT516" s="73"/>
      <c r="DU516" s="73"/>
      <c r="DV516" s="73"/>
      <c r="DW516" s="73"/>
      <c r="DX516" s="72"/>
      <c r="DY516" s="72"/>
      <c r="DZ516" s="73"/>
      <c r="EA516" s="73"/>
      <c r="EB516" s="73"/>
      <c r="EC516" s="73"/>
      <c r="ED516" s="73"/>
      <c r="EE516" s="73"/>
      <c r="EF516" s="73"/>
      <c r="EG516" s="73"/>
      <c r="EH516" s="73"/>
      <c r="EI516" s="73"/>
      <c r="EJ516" s="73"/>
      <c r="EK516" s="73"/>
      <c r="EL516" s="73"/>
      <c r="EM516" s="73"/>
      <c r="EN516" s="73"/>
      <c r="EO516" s="73"/>
      <c r="EP516" s="69"/>
      <c r="EQ516" s="69"/>
      <c r="ER516" s="69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  <c r="CI517" s="73"/>
      <c r="CJ517" s="73"/>
      <c r="CK517" s="73"/>
      <c r="CL517" s="73"/>
      <c r="CM517" s="73"/>
      <c r="CN517" s="73"/>
      <c r="CO517" s="73"/>
      <c r="CP517" s="73"/>
      <c r="CQ517" s="73"/>
      <c r="CR517" s="73"/>
      <c r="CS517" s="73"/>
      <c r="CT517" s="73"/>
      <c r="CU517" s="73"/>
      <c r="CV517" s="73"/>
      <c r="CW517" s="73"/>
      <c r="CX517" s="73"/>
      <c r="CY517" s="73"/>
      <c r="CZ517" s="73"/>
      <c r="DA517" s="73"/>
      <c r="DB517" s="73"/>
      <c r="DC517" s="73"/>
      <c r="DD517" s="73"/>
      <c r="DE517" s="73"/>
      <c r="DF517" s="73"/>
      <c r="DG517" s="73"/>
      <c r="DH517" s="73"/>
      <c r="DI517" s="73"/>
      <c r="DJ517" s="73"/>
      <c r="DK517" s="73"/>
      <c r="DL517" s="73"/>
      <c r="DM517" s="73"/>
      <c r="DN517" s="73"/>
      <c r="DO517" s="73"/>
      <c r="DP517" s="73"/>
      <c r="DQ517" s="73"/>
      <c r="DR517" s="73"/>
      <c r="DS517" s="73"/>
      <c r="DT517" s="73"/>
      <c r="DU517" s="73"/>
      <c r="DV517" s="73"/>
      <c r="DW517" s="73"/>
      <c r="DX517" s="73"/>
      <c r="DY517" s="73"/>
      <c r="DZ517" s="73"/>
      <c r="EA517" s="73"/>
      <c r="EB517" s="73"/>
      <c r="EC517" s="73"/>
      <c r="ED517" s="73"/>
      <c r="EE517" s="73"/>
      <c r="EF517" s="73"/>
      <c r="EG517" s="73"/>
      <c r="EH517" s="73"/>
      <c r="EI517" s="73"/>
      <c r="EJ517" s="73"/>
      <c r="EK517" s="73"/>
      <c r="EL517" s="73"/>
      <c r="EM517" s="73"/>
      <c r="EN517" s="73"/>
      <c r="EO517" s="73"/>
      <c r="EP517" s="69"/>
      <c r="EQ517" s="69"/>
      <c r="ER517" s="69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  <c r="CI518" s="73"/>
      <c r="CJ518" s="73"/>
      <c r="CK518" s="73"/>
      <c r="CL518" s="73"/>
      <c r="CM518" s="73"/>
      <c r="CN518" s="73"/>
      <c r="CO518" s="73"/>
      <c r="CP518" s="73"/>
      <c r="CQ518" s="73"/>
      <c r="CR518" s="73"/>
      <c r="CS518" s="73"/>
      <c r="CT518" s="73"/>
      <c r="CU518" s="73"/>
      <c r="CV518" s="73"/>
      <c r="CW518" s="73"/>
      <c r="CX518" s="73"/>
      <c r="CY518" s="73"/>
      <c r="CZ518" s="73"/>
      <c r="DA518" s="73"/>
      <c r="DB518" s="73"/>
      <c r="DC518" s="73"/>
      <c r="DD518" s="73"/>
      <c r="DE518" s="73"/>
      <c r="DF518" s="73"/>
      <c r="DG518" s="73"/>
      <c r="DH518" s="73"/>
      <c r="DI518" s="73"/>
      <c r="DJ518" s="73"/>
      <c r="DK518" s="73"/>
      <c r="DL518" s="73"/>
      <c r="DM518" s="73"/>
      <c r="DN518" s="73"/>
      <c r="DO518" s="73"/>
      <c r="DP518" s="73"/>
      <c r="DQ518" s="73"/>
      <c r="DR518" s="73"/>
      <c r="DS518" s="73"/>
      <c r="DT518" s="73"/>
      <c r="DU518" s="73"/>
      <c r="DV518" s="73"/>
      <c r="DW518" s="73"/>
      <c r="DX518" s="72"/>
      <c r="DY518" s="72"/>
      <c r="DZ518" s="73"/>
      <c r="EA518" s="73"/>
      <c r="EB518" s="73"/>
      <c r="EC518" s="73"/>
      <c r="ED518" s="73"/>
      <c r="EE518" s="73"/>
      <c r="EF518" s="73"/>
      <c r="EG518" s="73"/>
      <c r="EH518" s="73"/>
      <c r="EI518" s="73"/>
      <c r="EJ518" s="73"/>
      <c r="EK518" s="73"/>
      <c r="EL518" s="73"/>
      <c r="EM518" s="73"/>
      <c r="EN518" s="73"/>
      <c r="EO518" s="73"/>
      <c r="EP518" s="69"/>
      <c r="EQ518" s="69"/>
      <c r="ER518" s="69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  <c r="CK519" s="73"/>
      <c r="CL519" s="73"/>
      <c r="CM519" s="73"/>
      <c r="CN519" s="73"/>
      <c r="CO519" s="73"/>
      <c r="CP519" s="73"/>
      <c r="CQ519" s="73"/>
      <c r="CR519" s="73"/>
      <c r="CS519" s="73"/>
      <c r="CT519" s="73"/>
      <c r="CU519" s="73"/>
      <c r="CV519" s="73"/>
      <c r="CW519" s="73"/>
      <c r="CX519" s="73"/>
      <c r="CY519" s="73"/>
      <c r="CZ519" s="73"/>
      <c r="DA519" s="73"/>
      <c r="DB519" s="73"/>
      <c r="DC519" s="73"/>
      <c r="DD519" s="73"/>
      <c r="DE519" s="73"/>
      <c r="DF519" s="73"/>
      <c r="DG519" s="73"/>
      <c r="DH519" s="73"/>
      <c r="DI519" s="73"/>
      <c r="DJ519" s="73"/>
      <c r="DK519" s="73"/>
      <c r="DL519" s="73"/>
      <c r="DM519" s="73"/>
      <c r="DN519" s="73"/>
      <c r="DO519" s="73"/>
      <c r="DP519" s="73"/>
      <c r="DQ519" s="73"/>
      <c r="DR519" s="73"/>
      <c r="DS519" s="73"/>
      <c r="DT519" s="73"/>
      <c r="DU519" s="73"/>
      <c r="DV519" s="73"/>
      <c r="DW519" s="73"/>
      <c r="DX519" s="72"/>
      <c r="DY519" s="72"/>
      <c r="DZ519" s="73"/>
      <c r="EA519" s="73"/>
      <c r="EB519" s="73"/>
      <c r="EC519" s="73"/>
      <c r="ED519" s="73"/>
      <c r="EE519" s="73"/>
      <c r="EF519" s="73"/>
      <c r="EG519" s="73"/>
      <c r="EH519" s="73"/>
      <c r="EI519" s="73"/>
      <c r="EJ519" s="73"/>
      <c r="EK519" s="73"/>
      <c r="EL519" s="73"/>
      <c r="EM519" s="73"/>
      <c r="EN519" s="73"/>
      <c r="EO519" s="73"/>
      <c r="EP519" s="69"/>
      <c r="EQ519" s="69"/>
      <c r="ER519" s="69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  <c r="CI520" s="73"/>
      <c r="CJ520" s="73"/>
      <c r="CK520" s="73"/>
      <c r="CL520" s="73"/>
      <c r="CM520" s="73"/>
      <c r="CN520" s="73"/>
      <c r="CO520" s="73"/>
      <c r="CP520" s="73"/>
      <c r="CQ520" s="73"/>
      <c r="CR520" s="73"/>
      <c r="CS520" s="73"/>
      <c r="CT520" s="73"/>
      <c r="CU520" s="73"/>
      <c r="CV520" s="73"/>
      <c r="CW520" s="73"/>
      <c r="CX520" s="73"/>
      <c r="CY520" s="73"/>
      <c r="CZ520" s="73"/>
      <c r="DA520" s="73"/>
      <c r="DB520" s="73"/>
      <c r="DC520" s="73"/>
      <c r="DD520" s="73"/>
      <c r="DE520" s="73"/>
      <c r="DF520" s="73"/>
      <c r="DG520" s="73"/>
      <c r="DH520" s="73"/>
      <c r="DI520" s="73"/>
      <c r="DJ520" s="73"/>
      <c r="DK520" s="73"/>
      <c r="DL520" s="73"/>
      <c r="DM520" s="73"/>
      <c r="DN520" s="73"/>
      <c r="DO520" s="73"/>
      <c r="DP520" s="73"/>
      <c r="DQ520" s="73"/>
      <c r="DR520" s="73"/>
      <c r="DS520" s="73"/>
      <c r="DT520" s="73"/>
      <c r="DU520" s="73"/>
      <c r="DV520" s="73"/>
      <c r="DW520" s="73"/>
      <c r="DX520" s="72"/>
      <c r="DY520" s="72"/>
      <c r="DZ520" s="73"/>
      <c r="EA520" s="73"/>
      <c r="EB520" s="73"/>
      <c r="EC520" s="73"/>
      <c r="ED520" s="73"/>
      <c r="EE520" s="73"/>
      <c r="EF520" s="73"/>
      <c r="EG520" s="73"/>
      <c r="EH520" s="73"/>
      <c r="EI520" s="73"/>
      <c r="EJ520" s="73"/>
      <c r="EK520" s="73"/>
      <c r="EL520" s="73"/>
      <c r="EM520" s="73"/>
      <c r="EN520" s="73"/>
      <c r="EO520" s="73"/>
      <c r="EP520" s="69"/>
      <c r="EQ520" s="69"/>
      <c r="ER520" s="69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  <c r="CI521" s="73"/>
      <c r="CJ521" s="73"/>
      <c r="CK521" s="73"/>
      <c r="CL521" s="73"/>
      <c r="CM521" s="72"/>
      <c r="CN521" s="73"/>
      <c r="CO521" s="73"/>
      <c r="CP521" s="73"/>
      <c r="CQ521" s="73"/>
      <c r="CR521" s="73"/>
      <c r="CS521" s="73"/>
      <c r="CT521" s="73"/>
      <c r="CU521" s="73"/>
      <c r="CV521" s="73"/>
      <c r="CW521" s="73"/>
      <c r="CX521" s="73"/>
      <c r="CY521" s="73"/>
      <c r="CZ521" s="73"/>
      <c r="DA521" s="73"/>
      <c r="DB521" s="73"/>
      <c r="DC521" s="73"/>
      <c r="DD521" s="73"/>
      <c r="DE521" s="73"/>
      <c r="DF521" s="73"/>
      <c r="DG521" s="73"/>
      <c r="DH521" s="73"/>
      <c r="DI521" s="73"/>
      <c r="DJ521" s="73"/>
      <c r="DK521" s="73"/>
      <c r="DL521" s="73"/>
      <c r="DM521" s="73"/>
      <c r="DN521" s="73"/>
      <c r="DO521" s="73"/>
      <c r="DP521" s="73"/>
      <c r="DQ521" s="73"/>
      <c r="DR521" s="73"/>
      <c r="DS521" s="73"/>
      <c r="DT521" s="73"/>
      <c r="DU521" s="73"/>
      <c r="DV521" s="73"/>
      <c r="DW521" s="73"/>
      <c r="DX521" s="72"/>
      <c r="DY521" s="72"/>
      <c r="DZ521" s="73"/>
      <c r="EA521" s="73"/>
      <c r="EB521" s="73"/>
      <c r="EC521" s="73"/>
      <c r="ED521" s="73"/>
      <c r="EE521" s="73"/>
      <c r="EF521" s="73"/>
      <c r="EG521" s="73"/>
      <c r="EH521" s="73"/>
      <c r="EI521" s="73"/>
      <c r="EJ521" s="73"/>
      <c r="EK521" s="73"/>
      <c r="EL521" s="73"/>
      <c r="EM521" s="73"/>
      <c r="EN521" s="73"/>
      <c r="EO521" s="73"/>
      <c r="EP521" s="69"/>
      <c r="EQ521" s="69"/>
      <c r="ER521" s="69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  <c r="CK522" s="73"/>
      <c r="CL522" s="73"/>
      <c r="CM522" s="72"/>
      <c r="CN522" s="73"/>
      <c r="CO522" s="73"/>
      <c r="CP522" s="73"/>
      <c r="CQ522" s="73"/>
      <c r="CR522" s="73"/>
      <c r="CS522" s="73"/>
      <c r="CT522" s="73"/>
      <c r="CU522" s="73"/>
      <c r="CV522" s="73"/>
      <c r="CW522" s="73"/>
      <c r="CX522" s="73"/>
      <c r="CY522" s="73"/>
      <c r="CZ522" s="73"/>
      <c r="DA522" s="73"/>
      <c r="DB522" s="73"/>
      <c r="DC522" s="73"/>
      <c r="DD522" s="73"/>
      <c r="DE522" s="73"/>
      <c r="DF522" s="73"/>
      <c r="DG522" s="73"/>
      <c r="DH522" s="73"/>
      <c r="DI522" s="73"/>
      <c r="DJ522" s="73"/>
      <c r="DK522" s="73"/>
      <c r="DL522" s="73"/>
      <c r="DM522" s="73"/>
      <c r="DN522" s="73"/>
      <c r="DO522" s="73"/>
      <c r="DP522" s="73"/>
      <c r="DQ522" s="73"/>
      <c r="DR522" s="73"/>
      <c r="DS522" s="73"/>
      <c r="DT522" s="73"/>
      <c r="DU522" s="73"/>
      <c r="DV522" s="73"/>
      <c r="DW522" s="73"/>
      <c r="DX522" s="72"/>
      <c r="DY522" s="72"/>
      <c r="DZ522" s="73"/>
      <c r="EA522" s="73"/>
      <c r="EB522" s="73"/>
      <c r="EC522" s="73"/>
      <c r="ED522" s="73"/>
      <c r="EE522" s="73"/>
      <c r="EF522" s="73"/>
      <c r="EG522" s="73"/>
      <c r="EH522" s="73"/>
      <c r="EI522" s="73"/>
      <c r="EJ522" s="73"/>
      <c r="EK522" s="73"/>
      <c r="EL522" s="73"/>
      <c r="EM522" s="73"/>
      <c r="EN522" s="73"/>
      <c r="EO522" s="73"/>
      <c r="EP522" s="69"/>
      <c r="EQ522" s="69"/>
      <c r="ER522" s="69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  <c r="CI523" s="73"/>
      <c r="CJ523" s="73"/>
      <c r="CK523" s="73"/>
      <c r="CL523" s="73"/>
      <c r="CM523" s="73"/>
      <c r="CN523" s="73"/>
      <c r="CO523" s="73"/>
      <c r="CP523" s="73"/>
      <c r="CQ523" s="73"/>
      <c r="CR523" s="73"/>
      <c r="CS523" s="73"/>
      <c r="CT523" s="73"/>
      <c r="CU523" s="73"/>
      <c r="CV523" s="73"/>
      <c r="CW523" s="73"/>
      <c r="CX523" s="73"/>
      <c r="CY523" s="73"/>
      <c r="CZ523" s="73"/>
      <c r="DA523" s="73"/>
      <c r="DB523" s="73"/>
      <c r="DC523" s="73"/>
      <c r="DD523" s="73"/>
      <c r="DE523" s="73"/>
      <c r="DF523" s="73"/>
      <c r="DG523" s="73"/>
      <c r="DH523" s="73"/>
      <c r="DI523" s="73"/>
      <c r="DJ523" s="73"/>
      <c r="DK523" s="73"/>
      <c r="DL523" s="73"/>
      <c r="DM523" s="73"/>
      <c r="DN523" s="73"/>
      <c r="DO523" s="73"/>
      <c r="DP523" s="73"/>
      <c r="DQ523" s="73"/>
      <c r="DR523" s="73"/>
      <c r="DS523" s="73"/>
      <c r="DT523" s="73"/>
      <c r="DU523" s="73"/>
      <c r="DV523" s="73"/>
      <c r="DW523" s="73"/>
      <c r="DX523" s="72"/>
      <c r="DY523" s="72"/>
      <c r="DZ523" s="73"/>
      <c r="EA523" s="73"/>
      <c r="EB523" s="73"/>
      <c r="EC523" s="73"/>
      <c r="ED523" s="73"/>
      <c r="EE523" s="73"/>
      <c r="EF523" s="73"/>
      <c r="EG523" s="73"/>
      <c r="EH523" s="73"/>
      <c r="EI523" s="73"/>
      <c r="EJ523" s="73"/>
      <c r="EK523" s="73"/>
      <c r="EL523" s="73"/>
      <c r="EM523" s="73"/>
      <c r="EN523" s="73"/>
      <c r="EO523" s="73"/>
      <c r="EP523" s="69"/>
      <c r="EQ523" s="69"/>
      <c r="ER523" s="69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  <c r="CK524" s="73"/>
      <c r="CL524" s="73"/>
      <c r="CM524" s="73"/>
      <c r="CN524" s="73"/>
      <c r="CO524" s="73"/>
      <c r="CP524" s="73"/>
      <c r="CQ524" s="73"/>
      <c r="CR524" s="73"/>
      <c r="CS524" s="73"/>
      <c r="CT524" s="73"/>
      <c r="CU524" s="73"/>
      <c r="CV524" s="73"/>
      <c r="CW524" s="73"/>
      <c r="CX524" s="73"/>
      <c r="CY524" s="73"/>
      <c r="CZ524" s="73"/>
      <c r="DA524" s="73"/>
      <c r="DB524" s="73"/>
      <c r="DC524" s="73"/>
      <c r="DD524" s="73"/>
      <c r="DE524" s="73"/>
      <c r="DF524" s="73"/>
      <c r="DG524" s="73"/>
      <c r="DH524" s="73"/>
      <c r="DI524" s="73"/>
      <c r="DJ524" s="73"/>
      <c r="DK524" s="73"/>
      <c r="DL524" s="73"/>
      <c r="DM524" s="73"/>
      <c r="DN524" s="73"/>
      <c r="DO524" s="73"/>
      <c r="DP524" s="73"/>
      <c r="DQ524" s="73"/>
      <c r="DR524" s="73"/>
      <c r="DS524" s="73"/>
      <c r="DT524" s="73"/>
      <c r="DU524" s="73"/>
      <c r="DV524" s="73"/>
      <c r="DW524" s="73"/>
      <c r="DX524" s="72"/>
      <c r="DY524" s="72"/>
      <c r="DZ524" s="73"/>
      <c r="EA524" s="73"/>
      <c r="EB524" s="73"/>
      <c r="EC524" s="73"/>
      <c r="ED524" s="73"/>
      <c r="EE524" s="73"/>
      <c r="EF524" s="73"/>
      <c r="EG524" s="73"/>
      <c r="EH524" s="73"/>
      <c r="EI524" s="73"/>
      <c r="EJ524" s="73"/>
      <c r="EK524" s="73"/>
      <c r="EL524" s="73"/>
      <c r="EM524" s="73"/>
      <c r="EN524" s="73"/>
      <c r="EO524" s="73"/>
      <c r="EP524" s="69"/>
      <c r="EQ524" s="69"/>
      <c r="ER524" s="69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  <c r="CI525" s="73"/>
      <c r="CJ525" s="73"/>
      <c r="CK525" s="73"/>
      <c r="CL525" s="73"/>
      <c r="CM525" s="73"/>
      <c r="CN525" s="73"/>
      <c r="CO525" s="73"/>
      <c r="CP525" s="73"/>
      <c r="CQ525" s="73"/>
      <c r="CR525" s="73"/>
      <c r="CS525" s="73"/>
      <c r="CT525" s="73"/>
      <c r="CU525" s="73"/>
      <c r="CV525" s="73"/>
      <c r="CW525" s="73"/>
      <c r="CX525" s="73"/>
      <c r="CY525" s="73"/>
      <c r="CZ525" s="73"/>
      <c r="DA525" s="73"/>
      <c r="DB525" s="73"/>
      <c r="DC525" s="73"/>
      <c r="DD525" s="73"/>
      <c r="DE525" s="73"/>
      <c r="DF525" s="73"/>
      <c r="DG525" s="73"/>
      <c r="DH525" s="73"/>
      <c r="DI525" s="73"/>
      <c r="DJ525" s="73"/>
      <c r="DK525" s="73"/>
      <c r="DL525" s="73"/>
      <c r="DM525" s="73"/>
      <c r="DN525" s="73"/>
      <c r="DO525" s="73"/>
      <c r="DP525" s="73"/>
      <c r="DQ525" s="73"/>
      <c r="DR525" s="73"/>
      <c r="DS525" s="73"/>
      <c r="DT525" s="73"/>
      <c r="DU525" s="73"/>
      <c r="DV525" s="73"/>
      <c r="DW525" s="73"/>
      <c r="DX525" s="72"/>
      <c r="DY525" s="72"/>
      <c r="DZ525" s="73"/>
      <c r="EA525" s="73"/>
      <c r="EB525" s="73"/>
      <c r="EC525" s="73"/>
      <c r="ED525" s="73"/>
      <c r="EE525" s="73"/>
      <c r="EF525" s="73"/>
      <c r="EG525" s="73"/>
      <c r="EH525" s="73"/>
      <c r="EI525" s="73"/>
      <c r="EJ525" s="73"/>
      <c r="EK525" s="73"/>
      <c r="EL525" s="73"/>
      <c r="EM525" s="73"/>
      <c r="EN525" s="73"/>
      <c r="EO525" s="73"/>
      <c r="EP525" s="69"/>
      <c r="EQ525" s="69"/>
      <c r="ER525" s="69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  <c r="CI526" s="73"/>
      <c r="CJ526" s="73"/>
      <c r="CK526" s="73"/>
      <c r="CL526" s="73"/>
      <c r="CM526" s="73"/>
      <c r="CN526" s="73"/>
      <c r="CO526" s="73"/>
      <c r="CP526" s="73"/>
      <c r="CQ526" s="73"/>
      <c r="CR526" s="73"/>
      <c r="CS526" s="73"/>
      <c r="CT526" s="73"/>
      <c r="CU526" s="73"/>
      <c r="CV526" s="73"/>
      <c r="CW526" s="73"/>
      <c r="CX526" s="73"/>
      <c r="CY526" s="73"/>
      <c r="CZ526" s="73"/>
      <c r="DA526" s="73"/>
      <c r="DB526" s="73"/>
      <c r="DC526" s="73"/>
      <c r="DD526" s="73"/>
      <c r="DE526" s="73"/>
      <c r="DF526" s="73"/>
      <c r="DG526" s="73"/>
      <c r="DH526" s="73"/>
      <c r="DI526" s="73"/>
      <c r="DJ526" s="73"/>
      <c r="DK526" s="73"/>
      <c r="DL526" s="73"/>
      <c r="DM526" s="73"/>
      <c r="DN526" s="73"/>
      <c r="DO526" s="73"/>
      <c r="DP526" s="73"/>
      <c r="DQ526" s="73"/>
      <c r="DR526" s="73"/>
      <c r="DS526" s="73"/>
      <c r="DT526" s="73"/>
      <c r="DU526" s="73"/>
      <c r="DV526" s="73"/>
      <c r="DW526" s="73"/>
      <c r="DX526" s="72"/>
      <c r="DY526" s="72"/>
      <c r="DZ526" s="73"/>
      <c r="EA526" s="73"/>
      <c r="EB526" s="73"/>
      <c r="EC526" s="73"/>
      <c r="ED526" s="73"/>
      <c r="EE526" s="73"/>
      <c r="EF526" s="73"/>
      <c r="EG526" s="73"/>
      <c r="EH526" s="73"/>
      <c r="EI526" s="73"/>
      <c r="EJ526" s="73"/>
      <c r="EK526" s="73"/>
      <c r="EL526" s="73"/>
      <c r="EM526" s="73"/>
      <c r="EN526" s="73"/>
      <c r="EO526" s="73"/>
      <c r="EP526" s="69"/>
      <c r="EQ526" s="69"/>
      <c r="ER526" s="69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  <c r="CI527" s="73"/>
      <c r="CJ527" s="73"/>
      <c r="CK527" s="73"/>
      <c r="CL527" s="73"/>
      <c r="CM527" s="73"/>
      <c r="CN527" s="73"/>
      <c r="CO527" s="73"/>
      <c r="CP527" s="73"/>
      <c r="CQ527" s="73"/>
      <c r="CR527" s="73"/>
      <c r="CS527" s="73"/>
      <c r="CT527" s="73"/>
      <c r="CU527" s="73"/>
      <c r="CV527" s="73"/>
      <c r="CW527" s="73"/>
      <c r="CX527" s="73"/>
      <c r="CY527" s="73"/>
      <c r="CZ527" s="73"/>
      <c r="DA527" s="73"/>
      <c r="DB527" s="73"/>
      <c r="DC527" s="73"/>
      <c r="DD527" s="73"/>
      <c r="DE527" s="73"/>
      <c r="DF527" s="73"/>
      <c r="DG527" s="73"/>
      <c r="DH527" s="73"/>
      <c r="DI527" s="73"/>
      <c r="DJ527" s="73"/>
      <c r="DK527" s="73"/>
      <c r="DL527" s="73"/>
      <c r="DM527" s="73"/>
      <c r="DN527" s="73"/>
      <c r="DO527" s="73"/>
      <c r="DP527" s="73"/>
      <c r="DQ527" s="73"/>
      <c r="DR527" s="73"/>
      <c r="DS527" s="73"/>
      <c r="DT527" s="73"/>
      <c r="DU527" s="73"/>
      <c r="DV527" s="73"/>
      <c r="DW527" s="73"/>
      <c r="DX527" s="72"/>
      <c r="DY527" s="72"/>
      <c r="DZ527" s="73"/>
      <c r="EA527" s="73"/>
      <c r="EB527" s="73"/>
      <c r="EC527" s="73"/>
      <c r="ED527" s="73"/>
      <c r="EE527" s="73"/>
      <c r="EF527" s="73"/>
      <c r="EG527" s="73"/>
      <c r="EH527" s="73"/>
      <c r="EI527" s="73"/>
      <c r="EJ527" s="73"/>
      <c r="EK527" s="73"/>
      <c r="EL527" s="73"/>
      <c r="EM527" s="73"/>
      <c r="EN527" s="73"/>
      <c r="EO527" s="73"/>
      <c r="EP527" s="69"/>
      <c r="EQ527" s="69"/>
      <c r="ER527" s="69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  <c r="CI528" s="73"/>
      <c r="CJ528" s="73"/>
      <c r="CK528" s="73"/>
      <c r="CL528" s="73"/>
      <c r="CM528" s="72"/>
      <c r="CN528" s="73"/>
      <c r="CO528" s="73"/>
      <c r="CP528" s="73"/>
      <c r="CQ528" s="73"/>
      <c r="CR528" s="73"/>
      <c r="CS528" s="73"/>
      <c r="CT528" s="73"/>
      <c r="CU528" s="73"/>
      <c r="CV528" s="73"/>
      <c r="CW528" s="73"/>
      <c r="CX528" s="73"/>
      <c r="CY528" s="73"/>
      <c r="CZ528" s="73"/>
      <c r="DA528" s="73"/>
      <c r="DB528" s="73"/>
      <c r="DC528" s="73"/>
      <c r="DD528" s="73"/>
      <c r="DE528" s="73"/>
      <c r="DF528" s="73"/>
      <c r="DG528" s="73"/>
      <c r="DH528" s="73"/>
      <c r="DI528" s="73"/>
      <c r="DJ528" s="73"/>
      <c r="DK528" s="73"/>
      <c r="DL528" s="73"/>
      <c r="DM528" s="73"/>
      <c r="DN528" s="73"/>
      <c r="DO528" s="73"/>
      <c r="DP528" s="73"/>
      <c r="DQ528" s="73"/>
      <c r="DR528" s="73"/>
      <c r="DS528" s="73"/>
      <c r="DT528" s="73"/>
      <c r="DU528" s="73"/>
      <c r="DV528" s="73"/>
      <c r="DW528" s="73"/>
      <c r="DX528" s="72"/>
      <c r="DY528" s="72"/>
      <c r="DZ528" s="73"/>
      <c r="EA528" s="73"/>
      <c r="EB528" s="73"/>
      <c r="EC528" s="73"/>
      <c r="ED528" s="73"/>
      <c r="EE528" s="73"/>
      <c r="EF528" s="73"/>
      <c r="EG528" s="73"/>
      <c r="EH528" s="73"/>
      <c r="EI528" s="73"/>
      <c r="EJ528" s="73"/>
      <c r="EK528" s="73"/>
      <c r="EL528" s="73"/>
      <c r="EM528" s="73"/>
      <c r="EN528" s="73"/>
      <c r="EO528" s="73"/>
      <c r="EP528" s="69"/>
      <c r="EQ528" s="69"/>
      <c r="ER528" s="69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  <c r="CK529" s="73"/>
      <c r="CL529" s="73"/>
      <c r="CM529" s="73"/>
      <c r="CN529" s="73"/>
      <c r="CO529" s="73"/>
      <c r="CP529" s="73"/>
      <c r="CQ529" s="73"/>
      <c r="CR529" s="73"/>
      <c r="CS529" s="73"/>
      <c r="CT529" s="73"/>
      <c r="CU529" s="73"/>
      <c r="CV529" s="73"/>
      <c r="CW529" s="73"/>
      <c r="CX529" s="73"/>
      <c r="CY529" s="73"/>
      <c r="CZ529" s="73"/>
      <c r="DA529" s="73"/>
      <c r="DB529" s="73"/>
      <c r="DC529" s="73"/>
      <c r="DD529" s="73"/>
      <c r="DE529" s="73"/>
      <c r="DF529" s="73"/>
      <c r="DG529" s="73"/>
      <c r="DH529" s="73"/>
      <c r="DI529" s="73"/>
      <c r="DJ529" s="73"/>
      <c r="DK529" s="73"/>
      <c r="DL529" s="73"/>
      <c r="DM529" s="73"/>
      <c r="DN529" s="73"/>
      <c r="DO529" s="73"/>
      <c r="DP529" s="73"/>
      <c r="DQ529" s="73"/>
      <c r="DR529" s="73"/>
      <c r="DS529" s="73"/>
      <c r="DT529" s="73"/>
      <c r="DU529" s="73"/>
      <c r="DV529" s="73"/>
      <c r="DW529" s="73"/>
      <c r="DX529" s="72"/>
      <c r="DY529" s="72"/>
      <c r="DZ529" s="73"/>
      <c r="EA529" s="73"/>
      <c r="EB529" s="73"/>
      <c r="EC529" s="73"/>
      <c r="ED529" s="73"/>
      <c r="EE529" s="73"/>
      <c r="EF529" s="73"/>
      <c r="EG529" s="73"/>
      <c r="EH529" s="73"/>
      <c r="EI529" s="73"/>
      <c r="EJ529" s="73"/>
      <c r="EK529" s="73"/>
      <c r="EL529" s="73"/>
      <c r="EM529" s="73"/>
      <c r="EN529" s="73"/>
      <c r="EO529" s="73"/>
      <c r="EP529" s="69"/>
      <c r="EQ529" s="69"/>
      <c r="ER529" s="69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  <c r="CI530" s="73"/>
      <c r="CJ530" s="73"/>
      <c r="CK530" s="73"/>
      <c r="CL530" s="73"/>
      <c r="CM530" s="72"/>
      <c r="CN530" s="73"/>
      <c r="CO530" s="73"/>
      <c r="CP530" s="73"/>
      <c r="CQ530" s="73"/>
      <c r="CR530" s="73"/>
      <c r="CS530" s="73"/>
      <c r="CT530" s="73"/>
      <c r="CU530" s="73"/>
      <c r="CV530" s="73"/>
      <c r="CW530" s="73"/>
      <c r="CX530" s="73"/>
      <c r="CY530" s="73"/>
      <c r="CZ530" s="73"/>
      <c r="DA530" s="73"/>
      <c r="DB530" s="73"/>
      <c r="DC530" s="73"/>
      <c r="DD530" s="73"/>
      <c r="DE530" s="73"/>
      <c r="DF530" s="73"/>
      <c r="DG530" s="73"/>
      <c r="DH530" s="73"/>
      <c r="DI530" s="73"/>
      <c r="DJ530" s="73"/>
      <c r="DK530" s="73"/>
      <c r="DL530" s="73"/>
      <c r="DM530" s="73"/>
      <c r="DN530" s="73"/>
      <c r="DO530" s="73"/>
      <c r="DP530" s="73"/>
      <c r="DQ530" s="73"/>
      <c r="DR530" s="73"/>
      <c r="DS530" s="73"/>
      <c r="DT530" s="73"/>
      <c r="DU530" s="73"/>
      <c r="DV530" s="73"/>
      <c r="DW530" s="73"/>
      <c r="DX530" s="72"/>
      <c r="DY530" s="72"/>
      <c r="DZ530" s="73"/>
      <c r="EA530" s="73"/>
      <c r="EB530" s="73"/>
      <c r="EC530" s="73"/>
      <c r="ED530" s="73"/>
      <c r="EE530" s="73"/>
      <c r="EF530" s="73"/>
      <c r="EG530" s="73"/>
      <c r="EH530" s="73"/>
      <c r="EI530" s="73"/>
      <c r="EJ530" s="73"/>
      <c r="EK530" s="73"/>
      <c r="EL530" s="73"/>
      <c r="EM530" s="73"/>
      <c r="EN530" s="73"/>
      <c r="EO530" s="73"/>
      <c r="EP530" s="69"/>
      <c r="EQ530" s="69"/>
      <c r="ER530" s="69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  <c r="CI531" s="73"/>
      <c r="CJ531" s="73"/>
      <c r="CK531" s="73"/>
      <c r="CL531" s="73"/>
      <c r="CM531" s="73"/>
      <c r="CN531" s="73"/>
      <c r="CO531" s="73"/>
      <c r="CP531" s="73"/>
      <c r="CQ531" s="73"/>
      <c r="CR531" s="73"/>
      <c r="CS531" s="73"/>
      <c r="CT531" s="73"/>
      <c r="CU531" s="73"/>
      <c r="CV531" s="73"/>
      <c r="CW531" s="73"/>
      <c r="CX531" s="73"/>
      <c r="CY531" s="73"/>
      <c r="CZ531" s="73"/>
      <c r="DA531" s="73"/>
      <c r="DB531" s="73"/>
      <c r="DC531" s="73"/>
      <c r="DD531" s="73"/>
      <c r="DE531" s="73"/>
      <c r="DF531" s="73"/>
      <c r="DG531" s="73"/>
      <c r="DH531" s="73"/>
      <c r="DI531" s="73"/>
      <c r="DJ531" s="73"/>
      <c r="DK531" s="73"/>
      <c r="DL531" s="73"/>
      <c r="DM531" s="73"/>
      <c r="DN531" s="73"/>
      <c r="DO531" s="73"/>
      <c r="DP531" s="73"/>
      <c r="DQ531" s="73"/>
      <c r="DR531" s="73"/>
      <c r="DS531" s="73"/>
      <c r="DT531" s="73"/>
      <c r="DU531" s="73"/>
      <c r="DV531" s="73"/>
      <c r="DW531" s="73"/>
      <c r="DX531" s="72"/>
      <c r="DY531" s="72"/>
      <c r="DZ531" s="73"/>
      <c r="EA531" s="73"/>
      <c r="EB531" s="73"/>
      <c r="EC531" s="73"/>
      <c r="ED531" s="73"/>
      <c r="EE531" s="73"/>
      <c r="EF531" s="73"/>
      <c r="EG531" s="73"/>
      <c r="EH531" s="73"/>
      <c r="EI531" s="73"/>
      <c r="EJ531" s="73"/>
      <c r="EK531" s="73"/>
      <c r="EL531" s="73"/>
      <c r="EM531" s="73"/>
      <c r="EN531" s="73"/>
      <c r="EO531" s="73"/>
      <c r="EP531" s="69"/>
      <c r="EQ531" s="69"/>
      <c r="ER531" s="69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  <c r="CI532" s="73"/>
      <c r="CJ532" s="73"/>
      <c r="CK532" s="73"/>
      <c r="CL532" s="73"/>
      <c r="CM532" s="73"/>
      <c r="CN532" s="73"/>
      <c r="CO532" s="73"/>
      <c r="CP532" s="73"/>
      <c r="CQ532" s="73"/>
      <c r="CR532" s="73"/>
      <c r="CS532" s="73"/>
      <c r="CT532" s="73"/>
      <c r="CU532" s="73"/>
      <c r="CV532" s="73"/>
      <c r="CW532" s="73"/>
      <c r="CX532" s="73"/>
      <c r="CY532" s="73"/>
      <c r="CZ532" s="73"/>
      <c r="DA532" s="73"/>
      <c r="DB532" s="73"/>
      <c r="DC532" s="73"/>
      <c r="DD532" s="73"/>
      <c r="DE532" s="73"/>
      <c r="DF532" s="73"/>
      <c r="DG532" s="73"/>
      <c r="DH532" s="73"/>
      <c r="DI532" s="73"/>
      <c r="DJ532" s="73"/>
      <c r="DK532" s="73"/>
      <c r="DL532" s="73"/>
      <c r="DM532" s="73"/>
      <c r="DN532" s="73"/>
      <c r="DO532" s="73"/>
      <c r="DP532" s="73"/>
      <c r="DQ532" s="73"/>
      <c r="DR532" s="73"/>
      <c r="DS532" s="73"/>
      <c r="DT532" s="73"/>
      <c r="DU532" s="73"/>
      <c r="DV532" s="73"/>
      <c r="DW532" s="73"/>
      <c r="DX532" s="72"/>
      <c r="DY532" s="72"/>
      <c r="DZ532" s="73"/>
      <c r="EA532" s="73"/>
      <c r="EB532" s="73"/>
      <c r="EC532" s="73"/>
      <c r="ED532" s="73"/>
      <c r="EE532" s="73"/>
      <c r="EF532" s="73"/>
      <c r="EG532" s="73"/>
      <c r="EH532" s="73"/>
      <c r="EI532" s="73"/>
      <c r="EJ532" s="73"/>
      <c r="EK532" s="73"/>
      <c r="EL532" s="73"/>
      <c r="EM532" s="73"/>
      <c r="EN532" s="73"/>
      <c r="EO532" s="73"/>
      <c r="EP532" s="69"/>
      <c r="EQ532" s="69"/>
      <c r="ER532" s="69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  <c r="CI533" s="73"/>
      <c r="CJ533" s="73"/>
      <c r="CK533" s="73"/>
      <c r="CL533" s="73"/>
      <c r="CM533" s="73"/>
      <c r="CN533" s="73"/>
      <c r="CO533" s="73"/>
      <c r="CP533" s="73"/>
      <c r="CQ533" s="73"/>
      <c r="CR533" s="73"/>
      <c r="CS533" s="73"/>
      <c r="CT533" s="73"/>
      <c r="CU533" s="73"/>
      <c r="CV533" s="73"/>
      <c r="CW533" s="73"/>
      <c r="CX533" s="73"/>
      <c r="CY533" s="73"/>
      <c r="CZ533" s="73"/>
      <c r="DA533" s="73"/>
      <c r="DB533" s="73"/>
      <c r="DC533" s="73"/>
      <c r="DD533" s="73"/>
      <c r="DE533" s="73"/>
      <c r="DF533" s="73"/>
      <c r="DG533" s="73"/>
      <c r="DH533" s="73"/>
      <c r="DI533" s="73"/>
      <c r="DJ533" s="73"/>
      <c r="DK533" s="73"/>
      <c r="DL533" s="73"/>
      <c r="DM533" s="73"/>
      <c r="DN533" s="73"/>
      <c r="DO533" s="73"/>
      <c r="DP533" s="73"/>
      <c r="DQ533" s="73"/>
      <c r="DR533" s="73"/>
      <c r="DS533" s="73"/>
      <c r="DT533" s="73"/>
      <c r="DU533" s="73"/>
      <c r="DV533" s="73"/>
      <c r="DW533" s="73"/>
      <c r="DX533" s="72"/>
      <c r="DY533" s="72"/>
      <c r="DZ533" s="73"/>
      <c r="EA533" s="73"/>
      <c r="EB533" s="73"/>
      <c r="EC533" s="73"/>
      <c r="ED533" s="73"/>
      <c r="EE533" s="73"/>
      <c r="EF533" s="73"/>
      <c r="EG533" s="73"/>
      <c r="EH533" s="73"/>
      <c r="EI533" s="73"/>
      <c r="EJ533" s="73"/>
      <c r="EK533" s="73"/>
      <c r="EL533" s="73"/>
      <c r="EM533" s="73"/>
      <c r="EN533" s="73"/>
      <c r="EO533" s="73"/>
      <c r="EP533" s="69"/>
      <c r="EQ533" s="69"/>
      <c r="ER533" s="69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  <c r="CK534" s="73"/>
      <c r="CL534" s="73"/>
      <c r="CM534" s="72"/>
      <c r="CN534" s="73"/>
      <c r="CO534" s="73"/>
      <c r="CP534" s="73"/>
      <c r="CQ534" s="73"/>
      <c r="CR534" s="73"/>
      <c r="CS534" s="73"/>
      <c r="CT534" s="73"/>
      <c r="CU534" s="73"/>
      <c r="CV534" s="73"/>
      <c r="CW534" s="73"/>
      <c r="CX534" s="73"/>
      <c r="CY534" s="73"/>
      <c r="CZ534" s="73"/>
      <c r="DA534" s="73"/>
      <c r="DB534" s="73"/>
      <c r="DC534" s="73"/>
      <c r="DD534" s="73"/>
      <c r="DE534" s="73"/>
      <c r="DF534" s="73"/>
      <c r="DG534" s="73"/>
      <c r="DH534" s="73"/>
      <c r="DI534" s="73"/>
      <c r="DJ534" s="73"/>
      <c r="DK534" s="73"/>
      <c r="DL534" s="73"/>
      <c r="DM534" s="73"/>
      <c r="DN534" s="73"/>
      <c r="DO534" s="73"/>
      <c r="DP534" s="73"/>
      <c r="DQ534" s="73"/>
      <c r="DR534" s="73"/>
      <c r="DS534" s="73"/>
      <c r="DT534" s="73"/>
      <c r="DU534" s="73"/>
      <c r="DV534" s="73"/>
      <c r="DW534" s="73"/>
      <c r="DX534" s="72"/>
      <c r="DY534" s="72"/>
      <c r="DZ534" s="73"/>
      <c r="EA534" s="73"/>
      <c r="EB534" s="73"/>
      <c r="EC534" s="73"/>
      <c r="ED534" s="73"/>
      <c r="EE534" s="73"/>
      <c r="EF534" s="73"/>
      <c r="EG534" s="73"/>
      <c r="EH534" s="73"/>
      <c r="EI534" s="73"/>
      <c r="EJ534" s="73"/>
      <c r="EK534" s="73"/>
      <c r="EL534" s="73"/>
      <c r="EM534" s="73"/>
      <c r="EN534" s="73"/>
      <c r="EO534" s="73"/>
      <c r="EP534" s="69"/>
      <c r="EQ534" s="69"/>
      <c r="ER534" s="69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  <c r="CI535" s="73"/>
      <c r="CJ535" s="73"/>
      <c r="CK535" s="73"/>
      <c r="CL535" s="73"/>
      <c r="CM535" s="72"/>
      <c r="CN535" s="73"/>
      <c r="CO535" s="73"/>
      <c r="CP535" s="73"/>
      <c r="CQ535" s="73"/>
      <c r="CR535" s="73"/>
      <c r="CS535" s="73"/>
      <c r="CT535" s="73"/>
      <c r="CU535" s="73"/>
      <c r="CV535" s="73"/>
      <c r="CW535" s="73"/>
      <c r="CX535" s="73"/>
      <c r="CY535" s="73"/>
      <c r="CZ535" s="73"/>
      <c r="DA535" s="73"/>
      <c r="DB535" s="73"/>
      <c r="DC535" s="73"/>
      <c r="DD535" s="73"/>
      <c r="DE535" s="73"/>
      <c r="DF535" s="73"/>
      <c r="DG535" s="73"/>
      <c r="DH535" s="73"/>
      <c r="DI535" s="73"/>
      <c r="DJ535" s="73"/>
      <c r="DK535" s="73"/>
      <c r="DL535" s="73"/>
      <c r="DM535" s="73"/>
      <c r="DN535" s="73"/>
      <c r="DO535" s="73"/>
      <c r="DP535" s="73"/>
      <c r="DQ535" s="73"/>
      <c r="DR535" s="73"/>
      <c r="DS535" s="73"/>
      <c r="DT535" s="73"/>
      <c r="DU535" s="73"/>
      <c r="DV535" s="73"/>
      <c r="DW535" s="73"/>
      <c r="DX535" s="72"/>
      <c r="DY535" s="72"/>
      <c r="DZ535" s="73"/>
      <c r="EA535" s="73"/>
      <c r="EB535" s="73"/>
      <c r="EC535" s="73"/>
      <c r="ED535" s="73"/>
      <c r="EE535" s="73"/>
      <c r="EF535" s="73"/>
      <c r="EG535" s="73"/>
      <c r="EH535" s="73"/>
      <c r="EI535" s="73"/>
      <c r="EJ535" s="73"/>
      <c r="EK535" s="73"/>
      <c r="EL535" s="73"/>
      <c r="EM535" s="73"/>
      <c r="EN535" s="73"/>
      <c r="EO535" s="73"/>
      <c r="EP535" s="69"/>
      <c r="EQ535" s="69"/>
      <c r="ER535" s="69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  <c r="CI536" s="73"/>
      <c r="CJ536" s="73"/>
      <c r="CK536" s="73"/>
      <c r="CL536" s="73"/>
      <c r="CM536" s="72"/>
      <c r="CN536" s="73"/>
      <c r="CO536" s="73"/>
      <c r="CP536" s="73"/>
      <c r="CQ536" s="73"/>
      <c r="CR536" s="73"/>
      <c r="CS536" s="73"/>
      <c r="CT536" s="73"/>
      <c r="CU536" s="73"/>
      <c r="CV536" s="73"/>
      <c r="CW536" s="73"/>
      <c r="CX536" s="73"/>
      <c r="CY536" s="73"/>
      <c r="CZ536" s="73"/>
      <c r="DA536" s="73"/>
      <c r="DB536" s="73"/>
      <c r="DC536" s="73"/>
      <c r="DD536" s="73"/>
      <c r="DE536" s="73"/>
      <c r="DF536" s="73"/>
      <c r="DG536" s="73"/>
      <c r="DH536" s="73"/>
      <c r="DI536" s="73"/>
      <c r="DJ536" s="73"/>
      <c r="DK536" s="73"/>
      <c r="DL536" s="73"/>
      <c r="DM536" s="73"/>
      <c r="DN536" s="73"/>
      <c r="DO536" s="73"/>
      <c r="DP536" s="73"/>
      <c r="DQ536" s="73"/>
      <c r="DR536" s="73"/>
      <c r="DS536" s="73"/>
      <c r="DT536" s="73"/>
      <c r="DU536" s="73"/>
      <c r="DV536" s="73"/>
      <c r="DW536" s="73"/>
      <c r="DX536" s="72"/>
      <c r="DY536" s="72"/>
      <c r="DZ536" s="73"/>
      <c r="EA536" s="73"/>
      <c r="EB536" s="73"/>
      <c r="EC536" s="73"/>
      <c r="ED536" s="73"/>
      <c r="EE536" s="73"/>
      <c r="EF536" s="73"/>
      <c r="EG536" s="73"/>
      <c r="EH536" s="73"/>
      <c r="EI536" s="73"/>
      <c r="EJ536" s="73"/>
      <c r="EK536" s="73"/>
      <c r="EL536" s="73"/>
      <c r="EM536" s="73"/>
      <c r="EN536" s="73"/>
      <c r="EO536" s="73"/>
      <c r="EP536" s="69"/>
      <c r="EQ536" s="69"/>
      <c r="ER536" s="69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  <c r="CI537" s="73"/>
      <c r="CJ537" s="73"/>
      <c r="CK537" s="73"/>
      <c r="CL537" s="73"/>
      <c r="CM537" s="73"/>
      <c r="CN537" s="73"/>
      <c r="CO537" s="73"/>
      <c r="CP537" s="73"/>
      <c r="CQ537" s="73"/>
      <c r="CR537" s="73"/>
      <c r="CS537" s="73"/>
      <c r="CT537" s="73"/>
      <c r="CU537" s="73"/>
      <c r="CV537" s="73"/>
      <c r="CW537" s="73"/>
      <c r="CX537" s="73"/>
      <c r="CY537" s="73"/>
      <c r="CZ537" s="73"/>
      <c r="DA537" s="73"/>
      <c r="DB537" s="73"/>
      <c r="DC537" s="73"/>
      <c r="DD537" s="73"/>
      <c r="DE537" s="73"/>
      <c r="DF537" s="73"/>
      <c r="DG537" s="73"/>
      <c r="DH537" s="73"/>
      <c r="DI537" s="73"/>
      <c r="DJ537" s="73"/>
      <c r="DK537" s="73"/>
      <c r="DL537" s="73"/>
      <c r="DM537" s="73"/>
      <c r="DN537" s="73"/>
      <c r="DO537" s="73"/>
      <c r="DP537" s="73"/>
      <c r="DQ537" s="73"/>
      <c r="DR537" s="73"/>
      <c r="DS537" s="73"/>
      <c r="DT537" s="73"/>
      <c r="DU537" s="73"/>
      <c r="DV537" s="73"/>
      <c r="DW537" s="73"/>
      <c r="DX537" s="72"/>
      <c r="DY537" s="72"/>
      <c r="DZ537" s="73"/>
      <c r="EA537" s="73"/>
      <c r="EB537" s="73"/>
      <c r="EC537" s="73"/>
      <c r="ED537" s="73"/>
      <c r="EE537" s="73"/>
      <c r="EF537" s="73"/>
      <c r="EG537" s="73"/>
      <c r="EH537" s="73"/>
      <c r="EI537" s="73"/>
      <c r="EJ537" s="73"/>
      <c r="EK537" s="73"/>
      <c r="EL537" s="73"/>
      <c r="EM537" s="73"/>
      <c r="EN537" s="73"/>
      <c r="EO537" s="73"/>
      <c r="EP537" s="69"/>
      <c r="EQ537" s="69"/>
      <c r="ER537" s="69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  <c r="CI538" s="73"/>
      <c r="CJ538" s="73"/>
      <c r="CK538" s="73"/>
      <c r="CL538" s="73"/>
      <c r="CM538" s="72"/>
      <c r="CN538" s="73"/>
      <c r="CO538" s="73"/>
      <c r="CP538" s="73"/>
      <c r="CQ538" s="73"/>
      <c r="CR538" s="73"/>
      <c r="CS538" s="73"/>
      <c r="CT538" s="73"/>
      <c r="CU538" s="73"/>
      <c r="CV538" s="73"/>
      <c r="CW538" s="73"/>
      <c r="CX538" s="73"/>
      <c r="CY538" s="73"/>
      <c r="CZ538" s="73"/>
      <c r="DA538" s="73"/>
      <c r="DB538" s="73"/>
      <c r="DC538" s="73"/>
      <c r="DD538" s="73"/>
      <c r="DE538" s="73"/>
      <c r="DF538" s="73"/>
      <c r="DG538" s="73"/>
      <c r="DH538" s="73"/>
      <c r="DI538" s="73"/>
      <c r="DJ538" s="73"/>
      <c r="DK538" s="73"/>
      <c r="DL538" s="73"/>
      <c r="DM538" s="73"/>
      <c r="DN538" s="73"/>
      <c r="DO538" s="73"/>
      <c r="DP538" s="73"/>
      <c r="DQ538" s="73"/>
      <c r="DR538" s="73"/>
      <c r="DS538" s="73"/>
      <c r="DT538" s="73"/>
      <c r="DU538" s="73"/>
      <c r="DV538" s="73"/>
      <c r="DW538" s="73"/>
      <c r="DX538" s="73"/>
      <c r="DY538" s="73"/>
      <c r="DZ538" s="73"/>
      <c r="EA538" s="73"/>
      <c r="EB538" s="73"/>
      <c r="EC538" s="73"/>
      <c r="ED538" s="73"/>
      <c r="EE538" s="73"/>
      <c r="EF538" s="73"/>
      <c r="EG538" s="73"/>
      <c r="EH538" s="73"/>
      <c r="EI538" s="73"/>
      <c r="EJ538" s="73"/>
      <c r="EK538" s="73"/>
      <c r="EL538" s="73"/>
      <c r="EM538" s="73"/>
      <c r="EN538" s="73"/>
      <c r="EO538" s="73"/>
      <c r="EP538" s="69"/>
      <c r="EQ538" s="69"/>
      <c r="ER538" s="69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  <c r="CK539" s="73"/>
      <c r="CL539" s="73"/>
      <c r="CM539" s="73"/>
      <c r="CN539" s="73"/>
      <c r="CO539" s="73"/>
      <c r="CP539" s="73"/>
      <c r="CQ539" s="73"/>
      <c r="CR539" s="73"/>
      <c r="CS539" s="73"/>
      <c r="CT539" s="73"/>
      <c r="CU539" s="73"/>
      <c r="CV539" s="73"/>
      <c r="CW539" s="73"/>
      <c r="CX539" s="73"/>
      <c r="CY539" s="73"/>
      <c r="CZ539" s="73"/>
      <c r="DA539" s="73"/>
      <c r="DB539" s="73"/>
      <c r="DC539" s="73"/>
      <c r="DD539" s="73"/>
      <c r="DE539" s="73"/>
      <c r="DF539" s="73"/>
      <c r="DG539" s="73"/>
      <c r="DH539" s="73"/>
      <c r="DI539" s="73"/>
      <c r="DJ539" s="73"/>
      <c r="DK539" s="73"/>
      <c r="DL539" s="73"/>
      <c r="DM539" s="73"/>
      <c r="DN539" s="73"/>
      <c r="DO539" s="73"/>
      <c r="DP539" s="73"/>
      <c r="DQ539" s="73"/>
      <c r="DR539" s="73"/>
      <c r="DS539" s="73"/>
      <c r="DT539" s="73"/>
      <c r="DU539" s="73"/>
      <c r="DV539" s="73"/>
      <c r="DW539" s="73"/>
      <c r="DX539" s="72"/>
      <c r="DY539" s="72"/>
      <c r="DZ539" s="73"/>
      <c r="EA539" s="73"/>
      <c r="EB539" s="73"/>
      <c r="EC539" s="73"/>
      <c r="ED539" s="73"/>
      <c r="EE539" s="73"/>
      <c r="EF539" s="73"/>
      <c r="EG539" s="73"/>
      <c r="EH539" s="73"/>
      <c r="EI539" s="73"/>
      <c r="EJ539" s="73"/>
      <c r="EK539" s="73"/>
      <c r="EL539" s="73"/>
      <c r="EM539" s="73"/>
      <c r="EN539" s="73"/>
      <c r="EO539" s="73"/>
      <c r="EP539" s="69"/>
      <c r="EQ539" s="69"/>
      <c r="ER539" s="69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  <c r="CI540" s="73"/>
      <c r="CJ540" s="73"/>
      <c r="CK540" s="73"/>
      <c r="CL540" s="73"/>
      <c r="CM540" s="73"/>
      <c r="CN540" s="73"/>
      <c r="CO540" s="73"/>
      <c r="CP540" s="73"/>
      <c r="CQ540" s="73"/>
      <c r="CR540" s="73"/>
      <c r="CS540" s="73"/>
      <c r="CT540" s="73"/>
      <c r="CU540" s="73"/>
      <c r="CV540" s="73"/>
      <c r="CW540" s="73"/>
      <c r="CX540" s="73"/>
      <c r="CY540" s="73"/>
      <c r="CZ540" s="73"/>
      <c r="DA540" s="73"/>
      <c r="DB540" s="73"/>
      <c r="DC540" s="73"/>
      <c r="DD540" s="73"/>
      <c r="DE540" s="73"/>
      <c r="DF540" s="73"/>
      <c r="DG540" s="73"/>
      <c r="DH540" s="73"/>
      <c r="DI540" s="73"/>
      <c r="DJ540" s="73"/>
      <c r="DK540" s="73"/>
      <c r="DL540" s="73"/>
      <c r="DM540" s="73"/>
      <c r="DN540" s="73"/>
      <c r="DO540" s="73"/>
      <c r="DP540" s="73"/>
      <c r="DQ540" s="73"/>
      <c r="DR540" s="73"/>
      <c r="DS540" s="73"/>
      <c r="DT540" s="73"/>
      <c r="DU540" s="73"/>
      <c r="DV540" s="73"/>
      <c r="DW540" s="73"/>
      <c r="DX540" s="72"/>
      <c r="DY540" s="72"/>
      <c r="DZ540" s="73"/>
      <c r="EA540" s="73"/>
      <c r="EB540" s="73"/>
      <c r="EC540" s="73"/>
      <c r="ED540" s="73"/>
      <c r="EE540" s="73"/>
      <c r="EF540" s="73"/>
      <c r="EG540" s="73"/>
      <c r="EH540" s="73"/>
      <c r="EI540" s="73"/>
      <c r="EJ540" s="73"/>
      <c r="EK540" s="73"/>
      <c r="EL540" s="73"/>
      <c r="EM540" s="73"/>
      <c r="EN540" s="73"/>
      <c r="EO540" s="73"/>
      <c r="EP540" s="69"/>
      <c r="EQ540" s="69"/>
      <c r="ER540" s="69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  <c r="CI541" s="73"/>
      <c r="CJ541" s="73"/>
      <c r="CK541" s="73"/>
      <c r="CL541" s="73"/>
      <c r="CM541" s="72"/>
      <c r="CN541" s="73"/>
      <c r="CO541" s="73"/>
      <c r="CP541" s="73"/>
      <c r="CQ541" s="73"/>
      <c r="CR541" s="73"/>
      <c r="CS541" s="73"/>
      <c r="CT541" s="73"/>
      <c r="CU541" s="73"/>
      <c r="CV541" s="73"/>
      <c r="CW541" s="73"/>
      <c r="CX541" s="73"/>
      <c r="CY541" s="73"/>
      <c r="CZ541" s="73"/>
      <c r="DA541" s="73"/>
      <c r="DB541" s="73"/>
      <c r="DC541" s="73"/>
      <c r="DD541" s="73"/>
      <c r="DE541" s="73"/>
      <c r="DF541" s="73"/>
      <c r="DG541" s="73"/>
      <c r="DH541" s="73"/>
      <c r="DI541" s="73"/>
      <c r="DJ541" s="73"/>
      <c r="DK541" s="73"/>
      <c r="DL541" s="73"/>
      <c r="DM541" s="73"/>
      <c r="DN541" s="73"/>
      <c r="DO541" s="73"/>
      <c r="DP541" s="73"/>
      <c r="DQ541" s="73"/>
      <c r="DR541" s="73"/>
      <c r="DS541" s="73"/>
      <c r="DT541" s="73"/>
      <c r="DU541" s="73"/>
      <c r="DV541" s="73"/>
      <c r="DW541" s="73"/>
      <c r="DX541" s="72"/>
      <c r="DY541" s="72"/>
      <c r="DZ541" s="73"/>
      <c r="EA541" s="73"/>
      <c r="EB541" s="73"/>
      <c r="EC541" s="73"/>
      <c r="ED541" s="73"/>
      <c r="EE541" s="73"/>
      <c r="EF541" s="73"/>
      <c r="EG541" s="73"/>
      <c r="EH541" s="73"/>
      <c r="EI541" s="73"/>
      <c r="EJ541" s="73"/>
      <c r="EK541" s="73"/>
      <c r="EL541" s="73"/>
      <c r="EM541" s="73"/>
      <c r="EN541" s="73"/>
      <c r="EO541" s="73"/>
      <c r="EP541" s="69"/>
      <c r="EQ541" s="69"/>
      <c r="ER541" s="69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  <c r="CI542" s="73"/>
      <c r="CJ542" s="73"/>
      <c r="CK542" s="73"/>
      <c r="CL542" s="73"/>
      <c r="CM542" s="72"/>
      <c r="CN542" s="73"/>
      <c r="CO542" s="73"/>
      <c r="CP542" s="73"/>
      <c r="CQ542" s="73"/>
      <c r="CR542" s="73"/>
      <c r="CS542" s="73"/>
      <c r="CT542" s="73"/>
      <c r="CU542" s="73"/>
      <c r="CV542" s="73"/>
      <c r="CW542" s="73"/>
      <c r="CX542" s="73"/>
      <c r="CY542" s="73"/>
      <c r="CZ542" s="73"/>
      <c r="DA542" s="73"/>
      <c r="DB542" s="73"/>
      <c r="DC542" s="73"/>
      <c r="DD542" s="73"/>
      <c r="DE542" s="73"/>
      <c r="DF542" s="73"/>
      <c r="DG542" s="73"/>
      <c r="DH542" s="73"/>
      <c r="DI542" s="73"/>
      <c r="DJ542" s="73"/>
      <c r="DK542" s="73"/>
      <c r="DL542" s="73"/>
      <c r="DM542" s="73"/>
      <c r="DN542" s="73"/>
      <c r="DO542" s="73"/>
      <c r="DP542" s="73"/>
      <c r="DQ542" s="73"/>
      <c r="DR542" s="73"/>
      <c r="DS542" s="73"/>
      <c r="DT542" s="73"/>
      <c r="DU542" s="73"/>
      <c r="DV542" s="73"/>
      <c r="DW542" s="73"/>
      <c r="DX542" s="72"/>
      <c r="DY542" s="72"/>
      <c r="DZ542" s="73"/>
      <c r="EA542" s="73"/>
      <c r="EB542" s="73"/>
      <c r="EC542" s="73"/>
      <c r="ED542" s="73"/>
      <c r="EE542" s="73"/>
      <c r="EF542" s="73"/>
      <c r="EG542" s="73"/>
      <c r="EH542" s="73"/>
      <c r="EI542" s="73"/>
      <c r="EJ542" s="73"/>
      <c r="EK542" s="73"/>
      <c r="EL542" s="73"/>
      <c r="EM542" s="73"/>
      <c r="EN542" s="73"/>
      <c r="EO542" s="73"/>
      <c r="EP542" s="69"/>
      <c r="EQ542" s="69"/>
      <c r="ER542" s="69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  <c r="CI543" s="73"/>
      <c r="CJ543" s="73"/>
      <c r="CK543" s="73"/>
      <c r="CL543" s="73"/>
      <c r="CM543" s="72"/>
      <c r="CN543" s="73"/>
      <c r="CO543" s="73"/>
      <c r="CP543" s="73"/>
      <c r="CQ543" s="73"/>
      <c r="CR543" s="73"/>
      <c r="CS543" s="73"/>
      <c r="CT543" s="73"/>
      <c r="CU543" s="73"/>
      <c r="CV543" s="73"/>
      <c r="CW543" s="73"/>
      <c r="CX543" s="73"/>
      <c r="CY543" s="73"/>
      <c r="CZ543" s="73"/>
      <c r="DA543" s="73"/>
      <c r="DB543" s="73"/>
      <c r="DC543" s="73"/>
      <c r="DD543" s="73"/>
      <c r="DE543" s="73"/>
      <c r="DF543" s="73"/>
      <c r="DG543" s="73"/>
      <c r="DH543" s="73"/>
      <c r="DI543" s="73"/>
      <c r="DJ543" s="73"/>
      <c r="DK543" s="73"/>
      <c r="DL543" s="73"/>
      <c r="DM543" s="73"/>
      <c r="DN543" s="73"/>
      <c r="DO543" s="73"/>
      <c r="DP543" s="73"/>
      <c r="DQ543" s="73"/>
      <c r="DR543" s="73"/>
      <c r="DS543" s="73"/>
      <c r="DT543" s="73"/>
      <c r="DU543" s="73"/>
      <c r="DV543" s="73"/>
      <c r="DW543" s="73"/>
      <c r="DX543" s="72"/>
      <c r="DY543" s="72"/>
      <c r="DZ543" s="73"/>
      <c r="EA543" s="73"/>
      <c r="EB543" s="73"/>
      <c r="EC543" s="73"/>
      <c r="ED543" s="73"/>
      <c r="EE543" s="73"/>
      <c r="EF543" s="73"/>
      <c r="EG543" s="73"/>
      <c r="EH543" s="73"/>
      <c r="EI543" s="73"/>
      <c r="EJ543" s="73"/>
      <c r="EK543" s="73"/>
      <c r="EL543" s="73"/>
      <c r="EM543" s="73"/>
      <c r="EN543" s="73"/>
      <c r="EO543" s="73"/>
      <c r="EP543" s="69"/>
      <c r="EQ543" s="69"/>
      <c r="ER543" s="69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  <c r="CK544" s="73"/>
      <c r="CL544" s="73"/>
      <c r="CM544" s="72"/>
      <c r="CN544" s="73"/>
      <c r="CO544" s="73"/>
      <c r="CP544" s="73"/>
      <c r="CQ544" s="73"/>
      <c r="CR544" s="73"/>
      <c r="CS544" s="73"/>
      <c r="CT544" s="73"/>
      <c r="CU544" s="73"/>
      <c r="CV544" s="73"/>
      <c r="CW544" s="73"/>
      <c r="CX544" s="73"/>
      <c r="CY544" s="73"/>
      <c r="CZ544" s="73"/>
      <c r="DA544" s="73"/>
      <c r="DB544" s="73"/>
      <c r="DC544" s="73"/>
      <c r="DD544" s="73"/>
      <c r="DE544" s="73"/>
      <c r="DF544" s="73"/>
      <c r="DG544" s="73"/>
      <c r="DH544" s="73"/>
      <c r="DI544" s="73"/>
      <c r="DJ544" s="73"/>
      <c r="DK544" s="73"/>
      <c r="DL544" s="73"/>
      <c r="DM544" s="73"/>
      <c r="DN544" s="73"/>
      <c r="DO544" s="73"/>
      <c r="DP544" s="73"/>
      <c r="DQ544" s="73"/>
      <c r="DR544" s="73"/>
      <c r="DS544" s="73"/>
      <c r="DT544" s="73"/>
      <c r="DU544" s="73"/>
      <c r="DV544" s="73"/>
      <c r="DW544" s="73"/>
      <c r="DX544" s="72"/>
      <c r="DY544" s="72"/>
      <c r="DZ544" s="73"/>
      <c r="EA544" s="73"/>
      <c r="EB544" s="73"/>
      <c r="EC544" s="73"/>
      <c r="ED544" s="73"/>
      <c r="EE544" s="73"/>
      <c r="EF544" s="73"/>
      <c r="EG544" s="73"/>
      <c r="EH544" s="73"/>
      <c r="EI544" s="73"/>
      <c r="EJ544" s="73"/>
      <c r="EK544" s="73"/>
      <c r="EL544" s="73"/>
      <c r="EM544" s="73"/>
      <c r="EN544" s="73"/>
      <c r="EO544" s="73"/>
      <c r="EP544" s="69"/>
      <c r="EQ544" s="69"/>
      <c r="ER544" s="69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  <c r="CI545" s="73"/>
      <c r="CJ545" s="73"/>
      <c r="CK545" s="73"/>
      <c r="CL545" s="73"/>
      <c r="CM545" s="72"/>
      <c r="CN545" s="73"/>
      <c r="CO545" s="73"/>
      <c r="CP545" s="73"/>
      <c r="CQ545" s="73"/>
      <c r="CR545" s="73"/>
      <c r="CS545" s="73"/>
      <c r="CT545" s="73"/>
      <c r="CU545" s="73"/>
      <c r="CV545" s="73"/>
      <c r="CW545" s="73"/>
      <c r="CX545" s="73"/>
      <c r="CY545" s="73"/>
      <c r="CZ545" s="73"/>
      <c r="DA545" s="73"/>
      <c r="DB545" s="73"/>
      <c r="DC545" s="73"/>
      <c r="DD545" s="73"/>
      <c r="DE545" s="73"/>
      <c r="DF545" s="73"/>
      <c r="DG545" s="73"/>
      <c r="DH545" s="73"/>
      <c r="DI545" s="73"/>
      <c r="DJ545" s="73"/>
      <c r="DK545" s="73"/>
      <c r="DL545" s="73"/>
      <c r="DM545" s="73"/>
      <c r="DN545" s="73"/>
      <c r="DO545" s="73"/>
      <c r="DP545" s="73"/>
      <c r="DQ545" s="73"/>
      <c r="DR545" s="73"/>
      <c r="DS545" s="73"/>
      <c r="DT545" s="73"/>
      <c r="DU545" s="73"/>
      <c r="DV545" s="73"/>
      <c r="DW545" s="73"/>
      <c r="DX545" s="72"/>
      <c r="DY545" s="72"/>
      <c r="DZ545" s="73"/>
      <c r="EA545" s="73"/>
      <c r="EB545" s="73"/>
      <c r="EC545" s="73"/>
      <c r="ED545" s="73"/>
      <c r="EE545" s="73"/>
      <c r="EF545" s="73"/>
      <c r="EG545" s="73"/>
      <c r="EH545" s="73"/>
      <c r="EI545" s="73"/>
      <c r="EJ545" s="73"/>
      <c r="EK545" s="73"/>
      <c r="EL545" s="73"/>
      <c r="EM545" s="73"/>
      <c r="EN545" s="73"/>
      <c r="EO545" s="73"/>
      <c r="EP545" s="69"/>
      <c r="EQ545" s="69"/>
      <c r="ER545" s="69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  <c r="CI546" s="73"/>
      <c r="CJ546" s="73"/>
      <c r="CK546" s="73"/>
      <c r="CL546" s="73"/>
      <c r="CM546" s="73"/>
      <c r="CN546" s="73"/>
      <c r="CO546" s="73"/>
      <c r="CP546" s="73"/>
      <c r="CQ546" s="73"/>
      <c r="CR546" s="73"/>
      <c r="CS546" s="73"/>
      <c r="CT546" s="73"/>
      <c r="CU546" s="73"/>
      <c r="CV546" s="73"/>
      <c r="CW546" s="73"/>
      <c r="CX546" s="73"/>
      <c r="CY546" s="73"/>
      <c r="CZ546" s="73"/>
      <c r="DA546" s="73"/>
      <c r="DB546" s="73"/>
      <c r="DC546" s="73"/>
      <c r="DD546" s="73"/>
      <c r="DE546" s="73"/>
      <c r="DF546" s="73"/>
      <c r="DG546" s="73"/>
      <c r="DH546" s="73"/>
      <c r="DI546" s="73"/>
      <c r="DJ546" s="73"/>
      <c r="DK546" s="73"/>
      <c r="DL546" s="73"/>
      <c r="DM546" s="73"/>
      <c r="DN546" s="73"/>
      <c r="DO546" s="73"/>
      <c r="DP546" s="73"/>
      <c r="DQ546" s="73"/>
      <c r="DR546" s="73"/>
      <c r="DS546" s="73"/>
      <c r="DT546" s="73"/>
      <c r="DU546" s="73"/>
      <c r="DV546" s="73"/>
      <c r="DW546" s="73"/>
      <c r="DX546" s="73"/>
      <c r="DY546" s="73"/>
      <c r="DZ546" s="73"/>
      <c r="EA546" s="73"/>
      <c r="EB546" s="73"/>
      <c r="EC546" s="73"/>
      <c r="ED546" s="73"/>
      <c r="EE546" s="73"/>
      <c r="EF546" s="73"/>
      <c r="EG546" s="73"/>
      <c r="EH546" s="73"/>
      <c r="EI546" s="73"/>
      <c r="EJ546" s="73"/>
      <c r="EK546" s="73"/>
      <c r="EL546" s="73"/>
      <c r="EM546" s="73"/>
      <c r="EN546" s="73"/>
      <c r="EO546" s="73"/>
      <c r="EP546" s="69"/>
      <c r="EQ546" s="69"/>
      <c r="ER546" s="69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  <c r="CI547" s="73"/>
      <c r="CJ547" s="73"/>
      <c r="CK547" s="73"/>
      <c r="CL547" s="73"/>
      <c r="CM547" s="72"/>
      <c r="CN547" s="73"/>
      <c r="CO547" s="73"/>
      <c r="CP547" s="73"/>
      <c r="CQ547" s="73"/>
      <c r="CR547" s="73"/>
      <c r="CS547" s="73"/>
      <c r="CT547" s="73"/>
      <c r="CU547" s="73"/>
      <c r="CV547" s="73"/>
      <c r="CW547" s="73"/>
      <c r="CX547" s="73"/>
      <c r="CY547" s="73"/>
      <c r="CZ547" s="73"/>
      <c r="DA547" s="73"/>
      <c r="DB547" s="73"/>
      <c r="DC547" s="73"/>
      <c r="DD547" s="73"/>
      <c r="DE547" s="73"/>
      <c r="DF547" s="73"/>
      <c r="DG547" s="73"/>
      <c r="DH547" s="73"/>
      <c r="DI547" s="73"/>
      <c r="DJ547" s="73"/>
      <c r="DK547" s="73"/>
      <c r="DL547" s="73"/>
      <c r="DM547" s="73"/>
      <c r="DN547" s="73"/>
      <c r="DO547" s="73"/>
      <c r="DP547" s="73"/>
      <c r="DQ547" s="73"/>
      <c r="DR547" s="73"/>
      <c r="DS547" s="73"/>
      <c r="DT547" s="73"/>
      <c r="DU547" s="73"/>
      <c r="DV547" s="73"/>
      <c r="DW547" s="73"/>
      <c r="DX547" s="72"/>
      <c r="DY547" s="72"/>
      <c r="DZ547" s="73"/>
      <c r="EA547" s="73"/>
      <c r="EB547" s="73"/>
      <c r="EC547" s="73"/>
      <c r="ED547" s="73"/>
      <c r="EE547" s="73"/>
      <c r="EF547" s="73"/>
      <c r="EG547" s="73"/>
      <c r="EH547" s="73"/>
      <c r="EI547" s="73"/>
      <c r="EJ547" s="73"/>
      <c r="EK547" s="73"/>
      <c r="EL547" s="73"/>
      <c r="EM547" s="73"/>
      <c r="EN547" s="73"/>
      <c r="EO547" s="73"/>
      <c r="EP547" s="69"/>
      <c r="EQ547" s="69"/>
      <c r="ER547" s="69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  <c r="CI548" s="73"/>
      <c r="CJ548" s="73"/>
      <c r="CK548" s="73"/>
      <c r="CL548" s="73"/>
      <c r="CM548" s="72"/>
      <c r="CN548" s="73"/>
      <c r="CO548" s="73"/>
      <c r="CP548" s="73"/>
      <c r="CQ548" s="73"/>
      <c r="CR548" s="73"/>
      <c r="CS548" s="73"/>
      <c r="CT548" s="73"/>
      <c r="CU548" s="73"/>
      <c r="CV548" s="73"/>
      <c r="CW548" s="73"/>
      <c r="CX548" s="73"/>
      <c r="CY548" s="73"/>
      <c r="CZ548" s="73"/>
      <c r="DA548" s="73"/>
      <c r="DB548" s="73"/>
      <c r="DC548" s="73"/>
      <c r="DD548" s="73"/>
      <c r="DE548" s="73"/>
      <c r="DF548" s="73"/>
      <c r="DG548" s="73"/>
      <c r="DH548" s="73"/>
      <c r="DI548" s="73"/>
      <c r="DJ548" s="73"/>
      <c r="DK548" s="73"/>
      <c r="DL548" s="73"/>
      <c r="DM548" s="73"/>
      <c r="DN548" s="73"/>
      <c r="DO548" s="73"/>
      <c r="DP548" s="73"/>
      <c r="DQ548" s="73"/>
      <c r="DR548" s="73"/>
      <c r="DS548" s="73"/>
      <c r="DT548" s="73"/>
      <c r="DU548" s="73"/>
      <c r="DV548" s="73"/>
      <c r="DW548" s="73"/>
      <c r="DX548" s="72"/>
      <c r="DY548" s="72"/>
      <c r="DZ548" s="73"/>
      <c r="EA548" s="73"/>
      <c r="EB548" s="73"/>
      <c r="EC548" s="73"/>
      <c r="ED548" s="73"/>
      <c r="EE548" s="73"/>
      <c r="EF548" s="73"/>
      <c r="EG548" s="73"/>
      <c r="EH548" s="73"/>
      <c r="EI548" s="73"/>
      <c r="EJ548" s="73"/>
      <c r="EK548" s="73"/>
      <c r="EL548" s="73"/>
      <c r="EM548" s="73"/>
      <c r="EN548" s="73"/>
      <c r="EO548" s="73"/>
      <c r="EP548" s="69"/>
      <c r="EQ548" s="69"/>
      <c r="ER548" s="69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  <c r="CK549" s="73"/>
      <c r="CL549" s="73"/>
      <c r="CM549" s="73"/>
      <c r="CN549" s="73"/>
      <c r="CO549" s="73"/>
      <c r="CP549" s="73"/>
      <c r="CQ549" s="73"/>
      <c r="CR549" s="73"/>
      <c r="CS549" s="73"/>
      <c r="CT549" s="73"/>
      <c r="CU549" s="73"/>
      <c r="CV549" s="73"/>
      <c r="CW549" s="73"/>
      <c r="CX549" s="73"/>
      <c r="CY549" s="73"/>
      <c r="CZ549" s="73"/>
      <c r="DA549" s="73"/>
      <c r="DB549" s="73"/>
      <c r="DC549" s="73"/>
      <c r="DD549" s="73"/>
      <c r="DE549" s="73"/>
      <c r="DF549" s="73"/>
      <c r="DG549" s="73"/>
      <c r="DH549" s="73"/>
      <c r="DI549" s="73"/>
      <c r="DJ549" s="73"/>
      <c r="DK549" s="73"/>
      <c r="DL549" s="73"/>
      <c r="DM549" s="73"/>
      <c r="DN549" s="73"/>
      <c r="DO549" s="73"/>
      <c r="DP549" s="73"/>
      <c r="DQ549" s="73"/>
      <c r="DR549" s="73"/>
      <c r="DS549" s="73"/>
      <c r="DT549" s="73"/>
      <c r="DU549" s="73"/>
      <c r="DV549" s="73"/>
      <c r="DW549" s="73"/>
      <c r="DX549" s="72"/>
      <c r="DY549" s="72"/>
      <c r="DZ549" s="73"/>
      <c r="EA549" s="73"/>
      <c r="EB549" s="73"/>
      <c r="EC549" s="73"/>
      <c r="ED549" s="73"/>
      <c r="EE549" s="73"/>
      <c r="EF549" s="73"/>
      <c r="EG549" s="73"/>
      <c r="EH549" s="73"/>
      <c r="EI549" s="73"/>
      <c r="EJ549" s="73"/>
      <c r="EK549" s="73"/>
      <c r="EL549" s="73"/>
      <c r="EM549" s="73"/>
      <c r="EN549" s="73"/>
      <c r="EO549" s="73"/>
      <c r="EP549" s="69"/>
      <c r="EQ549" s="69"/>
      <c r="ER549" s="69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  <c r="CI550" s="73"/>
      <c r="CJ550" s="73"/>
      <c r="CK550" s="73"/>
      <c r="CL550" s="73"/>
      <c r="CM550" s="72"/>
      <c r="CN550" s="73"/>
      <c r="CO550" s="73"/>
      <c r="CP550" s="73"/>
      <c r="CQ550" s="73"/>
      <c r="CR550" s="73"/>
      <c r="CS550" s="73"/>
      <c r="CT550" s="73"/>
      <c r="CU550" s="73"/>
      <c r="CV550" s="73"/>
      <c r="CW550" s="73"/>
      <c r="CX550" s="73"/>
      <c r="CY550" s="73"/>
      <c r="CZ550" s="73"/>
      <c r="DA550" s="73"/>
      <c r="DB550" s="73"/>
      <c r="DC550" s="73"/>
      <c r="DD550" s="73"/>
      <c r="DE550" s="73"/>
      <c r="DF550" s="73"/>
      <c r="DG550" s="73"/>
      <c r="DH550" s="73"/>
      <c r="DI550" s="73"/>
      <c r="DJ550" s="73"/>
      <c r="DK550" s="73"/>
      <c r="DL550" s="73"/>
      <c r="DM550" s="73"/>
      <c r="DN550" s="73"/>
      <c r="DO550" s="73"/>
      <c r="DP550" s="73"/>
      <c r="DQ550" s="73"/>
      <c r="DR550" s="73"/>
      <c r="DS550" s="73"/>
      <c r="DT550" s="73"/>
      <c r="DU550" s="73"/>
      <c r="DV550" s="73"/>
      <c r="DW550" s="73"/>
      <c r="DX550" s="72"/>
      <c r="DY550" s="72"/>
      <c r="DZ550" s="73"/>
      <c r="EA550" s="73"/>
      <c r="EB550" s="73"/>
      <c r="EC550" s="73"/>
      <c r="ED550" s="73"/>
      <c r="EE550" s="73"/>
      <c r="EF550" s="73"/>
      <c r="EG550" s="73"/>
      <c r="EH550" s="73"/>
      <c r="EI550" s="73"/>
      <c r="EJ550" s="73"/>
      <c r="EK550" s="73"/>
      <c r="EL550" s="73"/>
      <c r="EM550" s="73"/>
      <c r="EN550" s="73"/>
      <c r="EO550" s="73"/>
      <c r="EP550" s="69"/>
      <c r="EQ550" s="69"/>
      <c r="ER550" s="69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  <c r="CI551" s="73"/>
      <c r="CJ551" s="73"/>
      <c r="CK551" s="73"/>
      <c r="CL551" s="73"/>
      <c r="CM551" s="72"/>
      <c r="CN551" s="73"/>
      <c r="CO551" s="73"/>
      <c r="CP551" s="73"/>
      <c r="CQ551" s="73"/>
      <c r="CR551" s="73"/>
      <c r="CS551" s="73"/>
      <c r="CT551" s="73"/>
      <c r="CU551" s="73"/>
      <c r="CV551" s="73"/>
      <c r="CW551" s="73"/>
      <c r="CX551" s="73"/>
      <c r="CY551" s="73"/>
      <c r="CZ551" s="73"/>
      <c r="DA551" s="73"/>
      <c r="DB551" s="73"/>
      <c r="DC551" s="73"/>
      <c r="DD551" s="73"/>
      <c r="DE551" s="73"/>
      <c r="DF551" s="73"/>
      <c r="DG551" s="73"/>
      <c r="DH551" s="73"/>
      <c r="DI551" s="73"/>
      <c r="DJ551" s="73"/>
      <c r="DK551" s="73"/>
      <c r="DL551" s="73"/>
      <c r="DM551" s="73"/>
      <c r="DN551" s="73"/>
      <c r="DO551" s="73"/>
      <c r="DP551" s="73"/>
      <c r="DQ551" s="73"/>
      <c r="DR551" s="73"/>
      <c r="DS551" s="73"/>
      <c r="DT551" s="73"/>
      <c r="DU551" s="73"/>
      <c r="DV551" s="73"/>
      <c r="DW551" s="73"/>
      <c r="DX551" s="72"/>
      <c r="DY551" s="72"/>
      <c r="DZ551" s="73"/>
      <c r="EA551" s="73"/>
      <c r="EB551" s="73"/>
      <c r="EC551" s="73"/>
      <c r="ED551" s="73"/>
      <c r="EE551" s="73"/>
      <c r="EF551" s="73"/>
      <c r="EG551" s="73"/>
      <c r="EH551" s="73"/>
      <c r="EI551" s="73"/>
      <c r="EJ551" s="73"/>
      <c r="EK551" s="73"/>
      <c r="EL551" s="73"/>
      <c r="EM551" s="73"/>
      <c r="EN551" s="73"/>
      <c r="EO551" s="73"/>
      <c r="EP551" s="69"/>
      <c r="EQ551" s="69"/>
      <c r="ER551" s="69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  <c r="CI552" s="73"/>
      <c r="CJ552" s="73"/>
      <c r="CK552" s="73"/>
      <c r="CL552" s="73"/>
      <c r="CM552" s="72"/>
      <c r="CN552" s="73"/>
      <c r="CO552" s="73"/>
      <c r="CP552" s="73"/>
      <c r="CQ552" s="73"/>
      <c r="CR552" s="73"/>
      <c r="CS552" s="73"/>
      <c r="CT552" s="73"/>
      <c r="CU552" s="73"/>
      <c r="CV552" s="73"/>
      <c r="CW552" s="73"/>
      <c r="CX552" s="73"/>
      <c r="CY552" s="73"/>
      <c r="CZ552" s="73"/>
      <c r="DA552" s="73"/>
      <c r="DB552" s="73"/>
      <c r="DC552" s="73"/>
      <c r="DD552" s="73"/>
      <c r="DE552" s="73"/>
      <c r="DF552" s="73"/>
      <c r="DG552" s="73"/>
      <c r="DH552" s="73"/>
      <c r="DI552" s="73"/>
      <c r="DJ552" s="73"/>
      <c r="DK552" s="73"/>
      <c r="DL552" s="73"/>
      <c r="DM552" s="73"/>
      <c r="DN552" s="73"/>
      <c r="DO552" s="73"/>
      <c r="DP552" s="73"/>
      <c r="DQ552" s="73"/>
      <c r="DR552" s="73"/>
      <c r="DS552" s="73"/>
      <c r="DT552" s="73"/>
      <c r="DU552" s="73"/>
      <c r="DV552" s="73"/>
      <c r="DW552" s="73"/>
      <c r="DX552" s="72"/>
      <c r="DY552" s="72"/>
      <c r="DZ552" s="73"/>
      <c r="EA552" s="73"/>
      <c r="EB552" s="73"/>
      <c r="EC552" s="73"/>
      <c r="ED552" s="73"/>
      <c r="EE552" s="73"/>
      <c r="EF552" s="73"/>
      <c r="EG552" s="73"/>
      <c r="EH552" s="73"/>
      <c r="EI552" s="73"/>
      <c r="EJ552" s="73"/>
      <c r="EK552" s="73"/>
      <c r="EL552" s="73"/>
      <c r="EM552" s="73"/>
      <c r="EN552" s="73"/>
      <c r="EO552" s="73"/>
      <c r="EP552" s="69"/>
      <c r="EQ552" s="69"/>
      <c r="ER552" s="69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  <c r="CI553" s="73"/>
      <c r="CJ553" s="73"/>
      <c r="CK553" s="73"/>
      <c r="CL553" s="73"/>
      <c r="CM553" s="73"/>
      <c r="CN553" s="73"/>
      <c r="CO553" s="73"/>
      <c r="CP553" s="73"/>
      <c r="CQ553" s="73"/>
      <c r="CR553" s="73"/>
      <c r="CS553" s="73"/>
      <c r="CT553" s="73"/>
      <c r="CU553" s="73"/>
      <c r="CV553" s="73"/>
      <c r="CW553" s="73"/>
      <c r="CX553" s="73"/>
      <c r="CY553" s="73"/>
      <c r="CZ553" s="73"/>
      <c r="DA553" s="73"/>
      <c r="DB553" s="73"/>
      <c r="DC553" s="73"/>
      <c r="DD553" s="73"/>
      <c r="DE553" s="73"/>
      <c r="DF553" s="73"/>
      <c r="DG553" s="73"/>
      <c r="DH553" s="73"/>
      <c r="DI553" s="73"/>
      <c r="DJ553" s="73"/>
      <c r="DK553" s="73"/>
      <c r="DL553" s="73"/>
      <c r="DM553" s="73"/>
      <c r="DN553" s="73"/>
      <c r="DO553" s="73"/>
      <c r="DP553" s="73"/>
      <c r="DQ553" s="73"/>
      <c r="DR553" s="73"/>
      <c r="DS553" s="73"/>
      <c r="DT553" s="73"/>
      <c r="DU553" s="73"/>
      <c r="DV553" s="73"/>
      <c r="DW553" s="73"/>
      <c r="DX553" s="73"/>
      <c r="DY553" s="73"/>
      <c r="DZ553" s="73"/>
      <c r="EA553" s="73"/>
      <c r="EB553" s="73"/>
      <c r="EC553" s="73"/>
      <c r="ED553" s="73"/>
      <c r="EE553" s="73"/>
      <c r="EF553" s="73"/>
      <c r="EG553" s="73"/>
      <c r="EH553" s="73"/>
      <c r="EI553" s="73"/>
      <c r="EJ553" s="73"/>
      <c r="EK553" s="73"/>
      <c r="EL553" s="73"/>
      <c r="EM553" s="73"/>
      <c r="EN553" s="73"/>
      <c r="EO553" s="73"/>
      <c r="EP553" s="69"/>
      <c r="EQ553" s="69"/>
      <c r="ER553" s="69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  <c r="CK554" s="73"/>
      <c r="CL554" s="73"/>
      <c r="CM554" s="73"/>
      <c r="CN554" s="73"/>
      <c r="CO554" s="73"/>
      <c r="CP554" s="73"/>
      <c r="CQ554" s="73"/>
      <c r="CR554" s="73"/>
      <c r="CS554" s="73"/>
      <c r="CT554" s="73"/>
      <c r="CU554" s="73"/>
      <c r="CV554" s="73"/>
      <c r="CW554" s="73"/>
      <c r="CX554" s="73"/>
      <c r="CY554" s="73"/>
      <c r="CZ554" s="73"/>
      <c r="DA554" s="73"/>
      <c r="DB554" s="73"/>
      <c r="DC554" s="73"/>
      <c r="DD554" s="73"/>
      <c r="DE554" s="73"/>
      <c r="DF554" s="73"/>
      <c r="DG554" s="73"/>
      <c r="DH554" s="73"/>
      <c r="DI554" s="73"/>
      <c r="DJ554" s="73"/>
      <c r="DK554" s="73"/>
      <c r="DL554" s="73"/>
      <c r="DM554" s="73"/>
      <c r="DN554" s="73"/>
      <c r="DO554" s="73"/>
      <c r="DP554" s="73"/>
      <c r="DQ554" s="73"/>
      <c r="DR554" s="73"/>
      <c r="DS554" s="73"/>
      <c r="DT554" s="73"/>
      <c r="DU554" s="73"/>
      <c r="DV554" s="73"/>
      <c r="DW554" s="73"/>
      <c r="DX554" s="72"/>
      <c r="DY554" s="72"/>
      <c r="DZ554" s="73"/>
      <c r="EA554" s="73"/>
      <c r="EB554" s="73"/>
      <c r="EC554" s="73"/>
      <c r="ED554" s="73"/>
      <c r="EE554" s="73"/>
      <c r="EF554" s="73"/>
      <c r="EG554" s="73"/>
      <c r="EH554" s="73"/>
      <c r="EI554" s="73"/>
      <c r="EJ554" s="73"/>
      <c r="EK554" s="73"/>
      <c r="EL554" s="73"/>
      <c r="EM554" s="73"/>
      <c r="EN554" s="73"/>
      <c r="EO554" s="73"/>
      <c r="EP554" s="69"/>
      <c r="EQ554" s="69"/>
      <c r="ER554" s="69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  <c r="CI555" s="73"/>
      <c r="CJ555" s="73"/>
      <c r="CK555" s="73"/>
      <c r="CL555" s="73"/>
      <c r="CM555" s="73"/>
      <c r="CN555" s="73"/>
      <c r="CO555" s="73"/>
      <c r="CP555" s="73"/>
      <c r="CQ555" s="73"/>
      <c r="CR555" s="73"/>
      <c r="CS555" s="73"/>
      <c r="CT555" s="73"/>
      <c r="CU555" s="73"/>
      <c r="CV555" s="73"/>
      <c r="CW555" s="73"/>
      <c r="CX555" s="73"/>
      <c r="CY555" s="73"/>
      <c r="CZ555" s="73"/>
      <c r="DA555" s="73"/>
      <c r="DB555" s="73"/>
      <c r="DC555" s="73"/>
      <c r="DD555" s="73"/>
      <c r="DE555" s="73"/>
      <c r="DF555" s="73"/>
      <c r="DG555" s="73"/>
      <c r="DH555" s="73"/>
      <c r="DI555" s="73"/>
      <c r="DJ555" s="73"/>
      <c r="DK555" s="73"/>
      <c r="DL555" s="73"/>
      <c r="DM555" s="73"/>
      <c r="DN555" s="73"/>
      <c r="DO555" s="73"/>
      <c r="DP555" s="73"/>
      <c r="DQ555" s="73"/>
      <c r="DR555" s="73"/>
      <c r="DS555" s="73"/>
      <c r="DT555" s="73"/>
      <c r="DU555" s="73"/>
      <c r="DV555" s="73"/>
      <c r="DW555" s="73"/>
      <c r="DX555" s="73"/>
      <c r="DY555" s="73"/>
      <c r="DZ555" s="73"/>
      <c r="EA555" s="73"/>
      <c r="EB555" s="73"/>
      <c r="EC555" s="73"/>
      <c r="ED555" s="73"/>
      <c r="EE555" s="73"/>
      <c r="EF555" s="73"/>
      <c r="EG555" s="73"/>
      <c r="EH555" s="73"/>
      <c r="EI555" s="73"/>
      <c r="EJ555" s="73"/>
      <c r="EK555" s="73"/>
      <c r="EL555" s="73"/>
      <c r="EM555" s="73"/>
      <c r="EN555" s="73"/>
      <c r="EO555" s="73"/>
      <c r="EP555" s="69"/>
      <c r="EQ555" s="69"/>
      <c r="ER555" s="69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  <c r="CI556" s="73"/>
      <c r="CJ556" s="73"/>
      <c r="CK556" s="73"/>
      <c r="CL556" s="73"/>
      <c r="CM556" s="72"/>
      <c r="CN556" s="73"/>
      <c r="CO556" s="73"/>
      <c r="CP556" s="73"/>
      <c r="CQ556" s="73"/>
      <c r="CR556" s="73"/>
      <c r="CS556" s="73"/>
      <c r="CT556" s="73"/>
      <c r="CU556" s="73"/>
      <c r="CV556" s="73"/>
      <c r="CW556" s="73"/>
      <c r="CX556" s="73"/>
      <c r="CY556" s="73"/>
      <c r="CZ556" s="73"/>
      <c r="DA556" s="73"/>
      <c r="DB556" s="73"/>
      <c r="DC556" s="73"/>
      <c r="DD556" s="73"/>
      <c r="DE556" s="73"/>
      <c r="DF556" s="73"/>
      <c r="DG556" s="73"/>
      <c r="DH556" s="73"/>
      <c r="DI556" s="73"/>
      <c r="DJ556" s="73"/>
      <c r="DK556" s="73"/>
      <c r="DL556" s="73"/>
      <c r="DM556" s="73"/>
      <c r="DN556" s="73"/>
      <c r="DO556" s="73"/>
      <c r="DP556" s="73"/>
      <c r="DQ556" s="73"/>
      <c r="DR556" s="73"/>
      <c r="DS556" s="73"/>
      <c r="DT556" s="73"/>
      <c r="DU556" s="73"/>
      <c r="DV556" s="73"/>
      <c r="DW556" s="73"/>
      <c r="DX556" s="72"/>
      <c r="DY556" s="72"/>
      <c r="DZ556" s="73"/>
      <c r="EA556" s="73"/>
      <c r="EB556" s="73"/>
      <c r="EC556" s="73"/>
      <c r="ED556" s="73"/>
      <c r="EE556" s="73"/>
      <c r="EF556" s="73"/>
      <c r="EG556" s="73"/>
      <c r="EH556" s="73"/>
      <c r="EI556" s="73"/>
      <c r="EJ556" s="73"/>
      <c r="EK556" s="73"/>
      <c r="EL556" s="73"/>
      <c r="EM556" s="73"/>
      <c r="EN556" s="73"/>
      <c r="EO556" s="73"/>
      <c r="EP556" s="69"/>
      <c r="EQ556" s="69"/>
      <c r="ER556" s="69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  <c r="CI557" s="73"/>
      <c r="CJ557" s="73"/>
      <c r="CK557" s="73"/>
      <c r="CL557" s="73"/>
      <c r="CM557" s="72"/>
      <c r="CN557" s="73"/>
      <c r="CO557" s="73"/>
      <c r="CP557" s="73"/>
      <c r="CQ557" s="73"/>
      <c r="CR557" s="73"/>
      <c r="CS557" s="73"/>
      <c r="CT557" s="73"/>
      <c r="CU557" s="73"/>
      <c r="CV557" s="73"/>
      <c r="CW557" s="73"/>
      <c r="CX557" s="73"/>
      <c r="CY557" s="73"/>
      <c r="CZ557" s="73"/>
      <c r="DA557" s="73"/>
      <c r="DB557" s="73"/>
      <c r="DC557" s="73"/>
      <c r="DD557" s="73"/>
      <c r="DE557" s="73"/>
      <c r="DF557" s="73"/>
      <c r="DG557" s="73"/>
      <c r="DH557" s="73"/>
      <c r="DI557" s="73"/>
      <c r="DJ557" s="73"/>
      <c r="DK557" s="73"/>
      <c r="DL557" s="73"/>
      <c r="DM557" s="73"/>
      <c r="DN557" s="73"/>
      <c r="DO557" s="73"/>
      <c r="DP557" s="73"/>
      <c r="DQ557" s="73"/>
      <c r="DR557" s="73"/>
      <c r="DS557" s="73"/>
      <c r="DT557" s="73"/>
      <c r="DU557" s="73"/>
      <c r="DV557" s="73"/>
      <c r="DW557" s="73"/>
      <c r="DX557" s="72"/>
      <c r="DY557" s="72"/>
      <c r="DZ557" s="73"/>
      <c r="EA557" s="73"/>
      <c r="EB557" s="73"/>
      <c r="EC557" s="73"/>
      <c r="ED557" s="73"/>
      <c r="EE557" s="73"/>
      <c r="EF557" s="73"/>
      <c r="EG557" s="73"/>
      <c r="EH557" s="73"/>
      <c r="EI557" s="73"/>
      <c r="EJ557" s="73"/>
      <c r="EK557" s="73"/>
      <c r="EL557" s="73"/>
      <c r="EM557" s="73"/>
      <c r="EN557" s="73"/>
      <c r="EO557" s="73"/>
      <c r="EP557" s="69"/>
      <c r="EQ557" s="69"/>
      <c r="ER557" s="69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  <c r="CI558" s="73"/>
      <c r="CJ558" s="73"/>
      <c r="CK558" s="73"/>
      <c r="CL558" s="73"/>
      <c r="CM558" s="73"/>
      <c r="CN558" s="73"/>
      <c r="CO558" s="73"/>
      <c r="CP558" s="73"/>
      <c r="CQ558" s="73"/>
      <c r="CR558" s="73"/>
      <c r="CS558" s="73"/>
      <c r="CT558" s="73"/>
      <c r="CU558" s="73"/>
      <c r="CV558" s="73"/>
      <c r="CW558" s="73"/>
      <c r="CX558" s="73"/>
      <c r="CY558" s="73"/>
      <c r="CZ558" s="73"/>
      <c r="DA558" s="73"/>
      <c r="DB558" s="73"/>
      <c r="DC558" s="73"/>
      <c r="DD558" s="73"/>
      <c r="DE558" s="73"/>
      <c r="DF558" s="73"/>
      <c r="DG558" s="73"/>
      <c r="DH558" s="73"/>
      <c r="DI558" s="73"/>
      <c r="DJ558" s="73"/>
      <c r="DK558" s="73"/>
      <c r="DL558" s="73"/>
      <c r="DM558" s="73"/>
      <c r="DN558" s="73"/>
      <c r="DO558" s="73"/>
      <c r="DP558" s="73"/>
      <c r="DQ558" s="73"/>
      <c r="DR558" s="73"/>
      <c r="DS558" s="73"/>
      <c r="DT558" s="73"/>
      <c r="DU558" s="73"/>
      <c r="DV558" s="73"/>
      <c r="DW558" s="73"/>
      <c r="DX558" s="72"/>
      <c r="DY558" s="72"/>
      <c r="DZ558" s="73"/>
      <c r="EA558" s="73"/>
      <c r="EB558" s="73"/>
      <c r="EC558" s="73"/>
      <c r="ED558" s="73"/>
      <c r="EE558" s="73"/>
      <c r="EF558" s="73"/>
      <c r="EG558" s="73"/>
      <c r="EH558" s="73"/>
      <c r="EI558" s="73"/>
      <c r="EJ558" s="73"/>
      <c r="EK558" s="73"/>
      <c r="EL558" s="73"/>
      <c r="EM558" s="73"/>
      <c r="EN558" s="73"/>
      <c r="EO558" s="73"/>
      <c r="EP558" s="69"/>
      <c r="EQ558" s="69"/>
      <c r="ER558" s="69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  <c r="CK559" s="73"/>
      <c r="CL559" s="73"/>
      <c r="CM559" s="72"/>
      <c r="CN559" s="73"/>
      <c r="CO559" s="73"/>
      <c r="CP559" s="73"/>
      <c r="CQ559" s="73"/>
      <c r="CR559" s="73"/>
      <c r="CS559" s="73"/>
      <c r="CT559" s="73"/>
      <c r="CU559" s="73"/>
      <c r="CV559" s="73"/>
      <c r="CW559" s="73"/>
      <c r="CX559" s="73"/>
      <c r="CY559" s="73"/>
      <c r="CZ559" s="73"/>
      <c r="DA559" s="73"/>
      <c r="DB559" s="73"/>
      <c r="DC559" s="73"/>
      <c r="DD559" s="73"/>
      <c r="DE559" s="73"/>
      <c r="DF559" s="73"/>
      <c r="DG559" s="73"/>
      <c r="DH559" s="73"/>
      <c r="DI559" s="73"/>
      <c r="DJ559" s="73"/>
      <c r="DK559" s="73"/>
      <c r="DL559" s="73"/>
      <c r="DM559" s="73"/>
      <c r="DN559" s="73"/>
      <c r="DO559" s="73"/>
      <c r="DP559" s="73"/>
      <c r="DQ559" s="73"/>
      <c r="DR559" s="73"/>
      <c r="DS559" s="73"/>
      <c r="DT559" s="73"/>
      <c r="DU559" s="73"/>
      <c r="DV559" s="73"/>
      <c r="DW559" s="73"/>
      <c r="DX559" s="72"/>
      <c r="DY559" s="72"/>
      <c r="DZ559" s="73"/>
      <c r="EA559" s="73"/>
      <c r="EB559" s="73"/>
      <c r="EC559" s="73"/>
      <c r="ED559" s="73"/>
      <c r="EE559" s="73"/>
      <c r="EF559" s="73"/>
      <c r="EG559" s="73"/>
      <c r="EH559" s="73"/>
      <c r="EI559" s="73"/>
      <c r="EJ559" s="73"/>
      <c r="EK559" s="73"/>
      <c r="EL559" s="73"/>
      <c r="EM559" s="73"/>
      <c r="EN559" s="73"/>
      <c r="EO559" s="73"/>
      <c r="EP559" s="69"/>
      <c r="EQ559" s="69"/>
      <c r="ER559" s="69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  <c r="CI560" s="73"/>
      <c r="CJ560" s="73"/>
      <c r="CK560" s="73"/>
      <c r="CL560" s="73"/>
      <c r="CM560" s="72"/>
      <c r="CN560" s="73"/>
      <c r="CO560" s="73"/>
      <c r="CP560" s="73"/>
      <c r="CQ560" s="73"/>
      <c r="CR560" s="73"/>
      <c r="CS560" s="73"/>
      <c r="CT560" s="73"/>
      <c r="CU560" s="73"/>
      <c r="CV560" s="73"/>
      <c r="CW560" s="73"/>
      <c r="CX560" s="73"/>
      <c r="CY560" s="73"/>
      <c r="CZ560" s="73"/>
      <c r="DA560" s="73"/>
      <c r="DB560" s="73"/>
      <c r="DC560" s="73"/>
      <c r="DD560" s="73"/>
      <c r="DE560" s="73"/>
      <c r="DF560" s="73"/>
      <c r="DG560" s="73"/>
      <c r="DH560" s="73"/>
      <c r="DI560" s="73"/>
      <c r="DJ560" s="73"/>
      <c r="DK560" s="73"/>
      <c r="DL560" s="73"/>
      <c r="DM560" s="73"/>
      <c r="DN560" s="73"/>
      <c r="DO560" s="73"/>
      <c r="DP560" s="73"/>
      <c r="DQ560" s="73"/>
      <c r="DR560" s="73"/>
      <c r="DS560" s="73"/>
      <c r="DT560" s="73"/>
      <c r="DU560" s="73"/>
      <c r="DV560" s="73"/>
      <c r="DW560" s="73"/>
      <c r="DX560" s="72"/>
      <c r="DY560" s="72"/>
      <c r="DZ560" s="73"/>
      <c r="EA560" s="73"/>
      <c r="EB560" s="73"/>
      <c r="EC560" s="73"/>
      <c r="ED560" s="73"/>
      <c r="EE560" s="73"/>
      <c r="EF560" s="73"/>
      <c r="EG560" s="73"/>
      <c r="EH560" s="73"/>
      <c r="EI560" s="73"/>
      <c r="EJ560" s="73"/>
      <c r="EK560" s="73"/>
      <c r="EL560" s="73"/>
      <c r="EM560" s="73"/>
      <c r="EN560" s="73"/>
      <c r="EO560" s="73"/>
      <c r="EP560" s="69"/>
      <c r="EQ560" s="69"/>
      <c r="ER560" s="69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  <c r="CI561" s="73"/>
      <c r="CJ561" s="73"/>
      <c r="CK561" s="73"/>
      <c r="CL561" s="73"/>
      <c r="CM561" s="72"/>
      <c r="CN561" s="73"/>
      <c r="CO561" s="73"/>
      <c r="CP561" s="73"/>
      <c r="CQ561" s="73"/>
      <c r="CR561" s="73"/>
      <c r="CS561" s="73"/>
      <c r="CT561" s="73"/>
      <c r="CU561" s="73"/>
      <c r="CV561" s="73"/>
      <c r="CW561" s="73"/>
      <c r="CX561" s="73"/>
      <c r="CY561" s="73"/>
      <c r="CZ561" s="73"/>
      <c r="DA561" s="73"/>
      <c r="DB561" s="73"/>
      <c r="DC561" s="73"/>
      <c r="DD561" s="73"/>
      <c r="DE561" s="73"/>
      <c r="DF561" s="73"/>
      <c r="DG561" s="73"/>
      <c r="DH561" s="73"/>
      <c r="DI561" s="73"/>
      <c r="DJ561" s="73"/>
      <c r="DK561" s="73"/>
      <c r="DL561" s="73"/>
      <c r="DM561" s="73"/>
      <c r="DN561" s="73"/>
      <c r="DO561" s="73"/>
      <c r="DP561" s="73"/>
      <c r="DQ561" s="73"/>
      <c r="DR561" s="73"/>
      <c r="DS561" s="73"/>
      <c r="DT561" s="73"/>
      <c r="DU561" s="73"/>
      <c r="DV561" s="73"/>
      <c r="DW561" s="73"/>
      <c r="DX561" s="72"/>
      <c r="DY561" s="72"/>
      <c r="DZ561" s="73"/>
      <c r="EA561" s="73"/>
      <c r="EB561" s="73"/>
      <c r="EC561" s="73"/>
      <c r="ED561" s="73"/>
      <c r="EE561" s="73"/>
      <c r="EF561" s="73"/>
      <c r="EG561" s="73"/>
      <c r="EH561" s="73"/>
      <c r="EI561" s="73"/>
      <c r="EJ561" s="73"/>
      <c r="EK561" s="73"/>
      <c r="EL561" s="73"/>
      <c r="EM561" s="73"/>
      <c r="EN561" s="73"/>
      <c r="EO561" s="73"/>
      <c r="EP561" s="69"/>
      <c r="EQ561" s="69"/>
      <c r="ER561" s="69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  <c r="CI562" s="73"/>
      <c r="CJ562" s="73"/>
      <c r="CK562" s="73"/>
      <c r="CL562" s="73"/>
      <c r="CM562" s="73"/>
      <c r="CN562" s="73"/>
      <c r="CO562" s="73"/>
      <c r="CP562" s="73"/>
      <c r="CQ562" s="73"/>
      <c r="CR562" s="73"/>
      <c r="CS562" s="73"/>
      <c r="CT562" s="73"/>
      <c r="CU562" s="73"/>
      <c r="CV562" s="73"/>
      <c r="CW562" s="73"/>
      <c r="CX562" s="73"/>
      <c r="CY562" s="73"/>
      <c r="CZ562" s="73"/>
      <c r="DA562" s="73"/>
      <c r="DB562" s="73"/>
      <c r="DC562" s="73"/>
      <c r="DD562" s="73"/>
      <c r="DE562" s="73"/>
      <c r="DF562" s="73"/>
      <c r="DG562" s="73"/>
      <c r="DH562" s="73"/>
      <c r="DI562" s="73"/>
      <c r="DJ562" s="73"/>
      <c r="DK562" s="73"/>
      <c r="DL562" s="73"/>
      <c r="DM562" s="73"/>
      <c r="DN562" s="73"/>
      <c r="DO562" s="73"/>
      <c r="DP562" s="73"/>
      <c r="DQ562" s="73"/>
      <c r="DR562" s="73"/>
      <c r="DS562" s="73"/>
      <c r="DT562" s="73"/>
      <c r="DU562" s="73"/>
      <c r="DV562" s="73"/>
      <c r="DW562" s="73"/>
      <c r="DX562" s="72"/>
      <c r="DY562" s="72"/>
      <c r="DZ562" s="73"/>
      <c r="EA562" s="73"/>
      <c r="EB562" s="73"/>
      <c r="EC562" s="73"/>
      <c r="ED562" s="73"/>
      <c r="EE562" s="73"/>
      <c r="EF562" s="73"/>
      <c r="EG562" s="73"/>
      <c r="EH562" s="73"/>
      <c r="EI562" s="73"/>
      <c r="EJ562" s="73"/>
      <c r="EK562" s="73"/>
      <c r="EL562" s="73"/>
      <c r="EM562" s="73"/>
      <c r="EN562" s="73"/>
      <c r="EO562" s="73"/>
      <c r="EP562" s="69"/>
      <c r="EQ562" s="69"/>
      <c r="ER562" s="69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  <c r="CI563" s="73"/>
      <c r="CJ563" s="73"/>
      <c r="CK563" s="73"/>
      <c r="CL563" s="73"/>
      <c r="CM563" s="72"/>
      <c r="CN563" s="73"/>
      <c r="CO563" s="73"/>
      <c r="CP563" s="73"/>
      <c r="CQ563" s="73"/>
      <c r="CR563" s="73"/>
      <c r="CS563" s="73"/>
      <c r="CT563" s="73"/>
      <c r="CU563" s="73"/>
      <c r="CV563" s="73"/>
      <c r="CW563" s="73"/>
      <c r="CX563" s="73"/>
      <c r="CY563" s="73"/>
      <c r="CZ563" s="73"/>
      <c r="DA563" s="73"/>
      <c r="DB563" s="73"/>
      <c r="DC563" s="73"/>
      <c r="DD563" s="73"/>
      <c r="DE563" s="73"/>
      <c r="DF563" s="73"/>
      <c r="DG563" s="73"/>
      <c r="DH563" s="73"/>
      <c r="DI563" s="73"/>
      <c r="DJ563" s="73"/>
      <c r="DK563" s="73"/>
      <c r="DL563" s="73"/>
      <c r="DM563" s="73"/>
      <c r="DN563" s="73"/>
      <c r="DO563" s="73"/>
      <c r="DP563" s="73"/>
      <c r="DQ563" s="73"/>
      <c r="DR563" s="73"/>
      <c r="DS563" s="73"/>
      <c r="DT563" s="73"/>
      <c r="DU563" s="73"/>
      <c r="DV563" s="73"/>
      <c r="DW563" s="73"/>
      <c r="DX563" s="72"/>
      <c r="DY563" s="72"/>
      <c r="DZ563" s="73"/>
      <c r="EA563" s="73"/>
      <c r="EB563" s="73"/>
      <c r="EC563" s="73"/>
      <c r="ED563" s="73"/>
      <c r="EE563" s="73"/>
      <c r="EF563" s="73"/>
      <c r="EG563" s="73"/>
      <c r="EH563" s="73"/>
      <c r="EI563" s="73"/>
      <c r="EJ563" s="73"/>
      <c r="EK563" s="73"/>
      <c r="EL563" s="73"/>
      <c r="EM563" s="73"/>
      <c r="EN563" s="73"/>
      <c r="EO563" s="73"/>
      <c r="EP563" s="69"/>
      <c r="EQ563" s="69"/>
      <c r="ER563" s="69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  <c r="CK564" s="73"/>
      <c r="CL564" s="73"/>
      <c r="CM564" s="72"/>
      <c r="CN564" s="73"/>
      <c r="CO564" s="73"/>
      <c r="CP564" s="73"/>
      <c r="CQ564" s="73"/>
      <c r="CR564" s="73"/>
      <c r="CS564" s="73"/>
      <c r="CT564" s="73"/>
      <c r="CU564" s="73"/>
      <c r="CV564" s="73"/>
      <c r="CW564" s="73"/>
      <c r="CX564" s="73"/>
      <c r="CY564" s="73"/>
      <c r="CZ564" s="73"/>
      <c r="DA564" s="73"/>
      <c r="DB564" s="73"/>
      <c r="DC564" s="73"/>
      <c r="DD564" s="73"/>
      <c r="DE564" s="73"/>
      <c r="DF564" s="73"/>
      <c r="DG564" s="73"/>
      <c r="DH564" s="73"/>
      <c r="DI564" s="73"/>
      <c r="DJ564" s="73"/>
      <c r="DK564" s="73"/>
      <c r="DL564" s="73"/>
      <c r="DM564" s="73"/>
      <c r="DN564" s="73"/>
      <c r="DO564" s="73"/>
      <c r="DP564" s="73"/>
      <c r="DQ564" s="73"/>
      <c r="DR564" s="73"/>
      <c r="DS564" s="73"/>
      <c r="DT564" s="73"/>
      <c r="DU564" s="73"/>
      <c r="DV564" s="73"/>
      <c r="DW564" s="73"/>
      <c r="DX564" s="72"/>
      <c r="DY564" s="72"/>
      <c r="DZ564" s="73"/>
      <c r="EA564" s="73"/>
      <c r="EB564" s="73"/>
      <c r="EC564" s="73"/>
      <c r="ED564" s="73"/>
      <c r="EE564" s="73"/>
      <c r="EF564" s="73"/>
      <c r="EG564" s="73"/>
      <c r="EH564" s="73"/>
      <c r="EI564" s="73"/>
      <c r="EJ564" s="73"/>
      <c r="EK564" s="73"/>
      <c r="EL564" s="73"/>
      <c r="EM564" s="73"/>
      <c r="EN564" s="73"/>
      <c r="EO564" s="73"/>
      <c r="EP564" s="69"/>
      <c r="EQ564" s="69"/>
      <c r="ER564" s="69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  <c r="CI565" s="73"/>
      <c r="CJ565" s="73"/>
      <c r="CK565" s="73"/>
      <c r="CL565" s="73"/>
      <c r="CM565" s="73"/>
      <c r="CN565" s="73"/>
      <c r="CO565" s="73"/>
      <c r="CP565" s="73"/>
      <c r="CQ565" s="73"/>
      <c r="CR565" s="73"/>
      <c r="CS565" s="73"/>
      <c r="CT565" s="73"/>
      <c r="CU565" s="73"/>
      <c r="CV565" s="73"/>
      <c r="CW565" s="73"/>
      <c r="CX565" s="73"/>
      <c r="CY565" s="73"/>
      <c r="CZ565" s="73"/>
      <c r="DA565" s="73"/>
      <c r="DB565" s="73"/>
      <c r="DC565" s="73"/>
      <c r="DD565" s="73"/>
      <c r="DE565" s="73"/>
      <c r="DF565" s="73"/>
      <c r="DG565" s="73"/>
      <c r="DH565" s="73"/>
      <c r="DI565" s="73"/>
      <c r="DJ565" s="73"/>
      <c r="DK565" s="73"/>
      <c r="DL565" s="73"/>
      <c r="DM565" s="73"/>
      <c r="DN565" s="73"/>
      <c r="DO565" s="73"/>
      <c r="DP565" s="73"/>
      <c r="DQ565" s="73"/>
      <c r="DR565" s="73"/>
      <c r="DS565" s="73"/>
      <c r="DT565" s="73"/>
      <c r="DU565" s="73"/>
      <c r="DV565" s="73"/>
      <c r="DW565" s="73"/>
      <c r="DX565" s="72"/>
      <c r="DY565" s="72"/>
      <c r="DZ565" s="73"/>
      <c r="EA565" s="73"/>
      <c r="EB565" s="73"/>
      <c r="EC565" s="73"/>
      <c r="ED565" s="73"/>
      <c r="EE565" s="73"/>
      <c r="EF565" s="73"/>
      <c r="EG565" s="73"/>
      <c r="EH565" s="73"/>
      <c r="EI565" s="73"/>
      <c r="EJ565" s="73"/>
      <c r="EK565" s="73"/>
      <c r="EL565" s="73"/>
      <c r="EM565" s="73"/>
      <c r="EN565" s="73"/>
      <c r="EO565" s="73"/>
      <c r="EP565" s="69"/>
      <c r="EQ565" s="69"/>
      <c r="ER565" s="69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  <c r="CI566" s="73"/>
      <c r="CJ566" s="73"/>
      <c r="CK566" s="73"/>
      <c r="CL566" s="73"/>
      <c r="CM566" s="72"/>
      <c r="CN566" s="73"/>
      <c r="CO566" s="73"/>
      <c r="CP566" s="73"/>
      <c r="CQ566" s="73"/>
      <c r="CR566" s="73"/>
      <c r="CS566" s="73"/>
      <c r="CT566" s="73"/>
      <c r="CU566" s="73"/>
      <c r="CV566" s="73"/>
      <c r="CW566" s="73"/>
      <c r="CX566" s="73"/>
      <c r="CY566" s="73"/>
      <c r="CZ566" s="73"/>
      <c r="DA566" s="73"/>
      <c r="DB566" s="73"/>
      <c r="DC566" s="73"/>
      <c r="DD566" s="73"/>
      <c r="DE566" s="73"/>
      <c r="DF566" s="73"/>
      <c r="DG566" s="73"/>
      <c r="DH566" s="73"/>
      <c r="DI566" s="73"/>
      <c r="DJ566" s="73"/>
      <c r="DK566" s="73"/>
      <c r="DL566" s="73"/>
      <c r="DM566" s="73"/>
      <c r="DN566" s="73"/>
      <c r="DO566" s="73"/>
      <c r="DP566" s="73"/>
      <c r="DQ566" s="73"/>
      <c r="DR566" s="73"/>
      <c r="DS566" s="73"/>
      <c r="DT566" s="73"/>
      <c r="DU566" s="73"/>
      <c r="DV566" s="73"/>
      <c r="DW566" s="73"/>
      <c r="DX566" s="72"/>
      <c r="DY566" s="72"/>
      <c r="DZ566" s="73"/>
      <c r="EA566" s="73"/>
      <c r="EB566" s="73"/>
      <c r="EC566" s="73"/>
      <c r="ED566" s="73"/>
      <c r="EE566" s="73"/>
      <c r="EF566" s="73"/>
      <c r="EG566" s="73"/>
      <c r="EH566" s="73"/>
      <c r="EI566" s="73"/>
      <c r="EJ566" s="73"/>
      <c r="EK566" s="73"/>
      <c r="EL566" s="73"/>
      <c r="EM566" s="73"/>
      <c r="EN566" s="73"/>
      <c r="EO566" s="73"/>
      <c r="EP566" s="69"/>
      <c r="EQ566" s="69"/>
      <c r="ER566" s="69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  <c r="CI567" s="73"/>
      <c r="CJ567" s="73"/>
      <c r="CK567" s="73"/>
      <c r="CL567" s="73"/>
      <c r="CM567" s="72"/>
      <c r="CN567" s="73"/>
      <c r="CO567" s="73"/>
      <c r="CP567" s="73"/>
      <c r="CQ567" s="73"/>
      <c r="CR567" s="73"/>
      <c r="CS567" s="73"/>
      <c r="CT567" s="73"/>
      <c r="CU567" s="73"/>
      <c r="CV567" s="73"/>
      <c r="CW567" s="73"/>
      <c r="CX567" s="73"/>
      <c r="CY567" s="73"/>
      <c r="CZ567" s="73"/>
      <c r="DA567" s="73"/>
      <c r="DB567" s="73"/>
      <c r="DC567" s="73"/>
      <c r="DD567" s="73"/>
      <c r="DE567" s="73"/>
      <c r="DF567" s="73"/>
      <c r="DG567" s="73"/>
      <c r="DH567" s="73"/>
      <c r="DI567" s="73"/>
      <c r="DJ567" s="73"/>
      <c r="DK567" s="73"/>
      <c r="DL567" s="73"/>
      <c r="DM567" s="73"/>
      <c r="DN567" s="73"/>
      <c r="DO567" s="73"/>
      <c r="DP567" s="73"/>
      <c r="DQ567" s="73"/>
      <c r="DR567" s="73"/>
      <c r="DS567" s="73"/>
      <c r="DT567" s="73"/>
      <c r="DU567" s="73"/>
      <c r="DV567" s="73"/>
      <c r="DW567" s="73"/>
      <c r="DX567" s="72"/>
      <c r="DY567" s="72"/>
      <c r="DZ567" s="73"/>
      <c r="EA567" s="73"/>
      <c r="EB567" s="73"/>
      <c r="EC567" s="73"/>
      <c r="ED567" s="73"/>
      <c r="EE567" s="73"/>
      <c r="EF567" s="73"/>
      <c r="EG567" s="73"/>
      <c r="EH567" s="73"/>
      <c r="EI567" s="73"/>
      <c r="EJ567" s="73"/>
      <c r="EK567" s="73"/>
      <c r="EL567" s="73"/>
      <c r="EM567" s="73"/>
      <c r="EN567" s="73"/>
      <c r="EO567" s="73"/>
      <c r="EP567" s="69"/>
      <c r="EQ567" s="69"/>
      <c r="ER567" s="69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  <c r="CI568" s="73"/>
      <c r="CJ568" s="73"/>
      <c r="CK568" s="73"/>
      <c r="CL568" s="73"/>
      <c r="CM568" s="73"/>
      <c r="CN568" s="73"/>
      <c r="CO568" s="73"/>
      <c r="CP568" s="73"/>
      <c r="CQ568" s="73"/>
      <c r="CR568" s="73"/>
      <c r="CS568" s="73"/>
      <c r="CT568" s="73"/>
      <c r="CU568" s="73"/>
      <c r="CV568" s="73"/>
      <c r="CW568" s="73"/>
      <c r="CX568" s="73"/>
      <c r="CY568" s="73"/>
      <c r="CZ568" s="73"/>
      <c r="DA568" s="73"/>
      <c r="DB568" s="73"/>
      <c r="DC568" s="73"/>
      <c r="DD568" s="73"/>
      <c r="DE568" s="73"/>
      <c r="DF568" s="73"/>
      <c r="DG568" s="73"/>
      <c r="DH568" s="73"/>
      <c r="DI568" s="73"/>
      <c r="DJ568" s="73"/>
      <c r="DK568" s="73"/>
      <c r="DL568" s="73"/>
      <c r="DM568" s="73"/>
      <c r="DN568" s="73"/>
      <c r="DO568" s="73"/>
      <c r="DP568" s="73"/>
      <c r="DQ568" s="73"/>
      <c r="DR568" s="73"/>
      <c r="DS568" s="73"/>
      <c r="DT568" s="73"/>
      <c r="DU568" s="73"/>
      <c r="DV568" s="73"/>
      <c r="DW568" s="73"/>
      <c r="DX568" s="73"/>
      <c r="DY568" s="73"/>
      <c r="DZ568" s="73"/>
      <c r="EA568" s="73"/>
      <c r="EB568" s="73"/>
      <c r="EC568" s="73"/>
      <c r="ED568" s="73"/>
      <c r="EE568" s="73"/>
      <c r="EF568" s="73"/>
      <c r="EG568" s="73"/>
      <c r="EH568" s="73"/>
      <c r="EI568" s="73"/>
      <c r="EJ568" s="73"/>
      <c r="EK568" s="73"/>
      <c r="EL568" s="73"/>
      <c r="EM568" s="73"/>
      <c r="EN568" s="73"/>
      <c r="EO568" s="73"/>
      <c r="EP568" s="69"/>
      <c r="EQ568" s="69"/>
      <c r="ER568" s="69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  <c r="CK569" s="73"/>
      <c r="CL569" s="73"/>
      <c r="CM569" s="72"/>
      <c r="CN569" s="73"/>
      <c r="CO569" s="73"/>
      <c r="CP569" s="73"/>
      <c r="CQ569" s="73"/>
      <c r="CR569" s="73"/>
      <c r="CS569" s="73"/>
      <c r="CT569" s="73"/>
      <c r="CU569" s="73"/>
      <c r="CV569" s="73"/>
      <c r="CW569" s="73"/>
      <c r="CX569" s="73"/>
      <c r="CY569" s="73"/>
      <c r="CZ569" s="73"/>
      <c r="DA569" s="73"/>
      <c r="DB569" s="73"/>
      <c r="DC569" s="73"/>
      <c r="DD569" s="73"/>
      <c r="DE569" s="73"/>
      <c r="DF569" s="73"/>
      <c r="DG569" s="73"/>
      <c r="DH569" s="73"/>
      <c r="DI569" s="73"/>
      <c r="DJ569" s="73"/>
      <c r="DK569" s="73"/>
      <c r="DL569" s="73"/>
      <c r="DM569" s="73"/>
      <c r="DN569" s="73"/>
      <c r="DO569" s="73"/>
      <c r="DP569" s="73"/>
      <c r="DQ569" s="73"/>
      <c r="DR569" s="73"/>
      <c r="DS569" s="73"/>
      <c r="DT569" s="73"/>
      <c r="DU569" s="73"/>
      <c r="DV569" s="73"/>
      <c r="DW569" s="73"/>
      <c r="DX569" s="72"/>
      <c r="DY569" s="72"/>
      <c r="DZ569" s="73"/>
      <c r="EA569" s="73"/>
      <c r="EB569" s="73"/>
      <c r="EC569" s="73"/>
      <c r="ED569" s="73"/>
      <c r="EE569" s="73"/>
      <c r="EF569" s="73"/>
      <c r="EG569" s="73"/>
      <c r="EH569" s="73"/>
      <c r="EI569" s="73"/>
      <c r="EJ569" s="73"/>
      <c r="EK569" s="73"/>
      <c r="EL569" s="73"/>
      <c r="EM569" s="73"/>
      <c r="EN569" s="73"/>
      <c r="EO569" s="73"/>
      <c r="EP569" s="69"/>
      <c r="EQ569" s="69"/>
      <c r="ER569" s="69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  <c r="CI570" s="73"/>
      <c r="CJ570" s="73"/>
      <c r="CK570" s="73"/>
      <c r="CL570" s="73"/>
      <c r="CM570" s="73"/>
      <c r="CN570" s="73"/>
      <c r="CO570" s="73"/>
      <c r="CP570" s="73"/>
      <c r="CQ570" s="73"/>
      <c r="CR570" s="73"/>
      <c r="CS570" s="73"/>
      <c r="CT570" s="73"/>
      <c r="CU570" s="73"/>
      <c r="CV570" s="73"/>
      <c r="CW570" s="73"/>
      <c r="CX570" s="73"/>
      <c r="CY570" s="73"/>
      <c r="CZ570" s="73"/>
      <c r="DA570" s="73"/>
      <c r="DB570" s="73"/>
      <c r="DC570" s="73"/>
      <c r="DD570" s="73"/>
      <c r="DE570" s="73"/>
      <c r="DF570" s="73"/>
      <c r="DG570" s="73"/>
      <c r="DH570" s="73"/>
      <c r="DI570" s="73"/>
      <c r="DJ570" s="73"/>
      <c r="DK570" s="73"/>
      <c r="DL570" s="73"/>
      <c r="DM570" s="73"/>
      <c r="DN570" s="73"/>
      <c r="DO570" s="73"/>
      <c r="DP570" s="73"/>
      <c r="DQ570" s="73"/>
      <c r="DR570" s="73"/>
      <c r="DS570" s="73"/>
      <c r="DT570" s="73"/>
      <c r="DU570" s="73"/>
      <c r="DV570" s="73"/>
      <c r="DW570" s="73"/>
      <c r="DX570" s="72"/>
      <c r="DY570" s="72"/>
      <c r="DZ570" s="73"/>
      <c r="EA570" s="73"/>
      <c r="EB570" s="73"/>
      <c r="EC570" s="73"/>
      <c r="ED570" s="73"/>
      <c r="EE570" s="73"/>
      <c r="EF570" s="73"/>
      <c r="EG570" s="73"/>
      <c r="EH570" s="73"/>
      <c r="EI570" s="73"/>
      <c r="EJ570" s="73"/>
      <c r="EK570" s="73"/>
      <c r="EL570" s="73"/>
      <c r="EM570" s="73"/>
      <c r="EN570" s="73"/>
      <c r="EO570" s="73"/>
      <c r="EP570" s="69"/>
      <c r="EQ570" s="69"/>
      <c r="ER570" s="69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  <c r="CI571" s="73"/>
      <c r="CJ571" s="73"/>
      <c r="CK571" s="73"/>
      <c r="CL571" s="73"/>
      <c r="CM571" s="73"/>
      <c r="CN571" s="73"/>
      <c r="CO571" s="73"/>
      <c r="CP571" s="73"/>
      <c r="CQ571" s="73"/>
      <c r="CR571" s="73"/>
      <c r="CS571" s="73"/>
      <c r="CT571" s="73"/>
      <c r="CU571" s="73"/>
      <c r="CV571" s="73"/>
      <c r="CW571" s="73"/>
      <c r="CX571" s="73"/>
      <c r="CY571" s="73"/>
      <c r="CZ571" s="73"/>
      <c r="DA571" s="73"/>
      <c r="DB571" s="73"/>
      <c r="DC571" s="73"/>
      <c r="DD571" s="73"/>
      <c r="DE571" s="73"/>
      <c r="DF571" s="73"/>
      <c r="DG571" s="73"/>
      <c r="DH571" s="73"/>
      <c r="DI571" s="73"/>
      <c r="DJ571" s="73"/>
      <c r="DK571" s="73"/>
      <c r="DL571" s="73"/>
      <c r="DM571" s="73"/>
      <c r="DN571" s="73"/>
      <c r="DO571" s="73"/>
      <c r="DP571" s="73"/>
      <c r="DQ571" s="73"/>
      <c r="DR571" s="73"/>
      <c r="DS571" s="73"/>
      <c r="DT571" s="73"/>
      <c r="DU571" s="73"/>
      <c r="DV571" s="73"/>
      <c r="DW571" s="73"/>
      <c r="DX571" s="72"/>
      <c r="DY571" s="72"/>
      <c r="DZ571" s="73"/>
      <c r="EA571" s="73"/>
      <c r="EB571" s="73"/>
      <c r="EC571" s="73"/>
      <c r="ED571" s="73"/>
      <c r="EE571" s="73"/>
      <c r="EF571" s="73"/>
      <c r="EG571" s="73"/>
      <c r="EH571" s="73"/>
      <c r="EI571" s="73"/>
      <c r="EJ571" s="73"/>
      <c r="EK571" s="73"/>
      <c r="EL571" s="73"/>
      <c r="EM571" s="73"/>
      <c r="EN571" s="73"/>
      <c r="EO571" s="73"/>
      <c r="EP571" s="69"/>
      <c r="EQ571" s="69"/>
      <c r="ER571" s="69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  <c r="CI572" s="73"/>
      <c r="CJ572" s="73"/>
      <c r="CK572" s="73"/>
      <c r="CL572" s="73"/>
      <c r="CM572" s="73"/>
      <c r="CN572" s="73"/>
      <c r="CO572" s="73"/>
      <c r="CP572" s="73"/>
      <c r="CQ572" s="73"/>
      <c r="CR572" s="73"/>
      <c r="CS572" s="73"/>
      <c r="CT572" s="73"/>
      <c r="CU572" s="73"/>
      <c r="CV572" s="73"/>
      <c r="CW572" s="73"/>
      <c r="CX572" s="73"/>
      <c r="CY572" s="73"/>
      <c r="CZ572" s="73"/>
      <c r="DA572" s="73"/>
      <c r="DB572" s="73"/>
      <c r="DC572" s="73"/>
      <c r="DD572" s="73"/>
      <c r="DE572" s="73"/>
      <c r="DF572" s="73"/>
      <c r="DG572" s="73"/>
      <c r="DH572" s="73"/>
      <c r="DI572" s="73"/>
      <c r="DJ572" s="73"/>
      <c r="DK572" s="73"/>
      <c r="DL572" s="73"/>
      <c r="DM572" s="73"/>
      <c r="DN572" s="73"/>
      <c r="DO572" s="73"/>
      <c r="DP572" s="73"/>
      <c r="DQ572" s="73"/>
      <c r="DR572" s="73"/>
      <c r="DS572" s="73"/>
      <c r="DT572" s="73"/>
      <c r="DU572" s="73"/>
      <c r="DV572" s="73"/>
      <c r="DW572" s="73"/>
      <c r="DX572" s="72"/>
      <c r="DY572" s="72"/>
      <c r="DZ572" s="73"/>
      <c r="EA572" s="73"/>
      <c r="EB572" s="73"/>
      <c r="EC572" s="73"/>
      <c r="ED572" s="73"/>
      <c r="EE572" s="73"/>
      <c r="EF572" s="73"/>
      <c r="EG572" s="73"/>
      <c r="EH572" s="73"/>
      <c r="EI572" s="73"/>
      <c r="EJ572" s="73"/>
      <c r="EK572" s="73"/>
      <c r="EL572" s="73"/>
      <c r="EM572" s="73"/>
      <c r="EN572" s="73"/>
      <c r="EO572" s="73"/>
      <c r="EP572" s="69"/>
      <c r="EQ572" s="69"/>
      <c r="ER572" s="69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  <c r="CI573" s="73"/>
      <c r="CJ573" s="73"/>
      <c r="CK573" s="73"/>
      <c r="CL573" s="73"/>
      <c r="CM573" s="73"/>
      <c r="CN573" s="73"/>
      <c r="CO573" s="73"/>
      <c r="CP573" s="73"/>
      <c r="CQ573" s="73"/>
      <c r="CR573" s="73"/>
      <c r="CS573" s="73"/>
      <c r="CT573" s="73"/>
      <c r="CU573" s="73"/>
      <c r="CV573" s="73"/>
      <c r="CW573" s="73"/>
      <c r="CX573" s="73"/>
      <c r="CY573" s="73"/>
      <c r="CZ573" s="73"/>
      <c r="DA573" s="73"/>
      <c r="DB573" s="73"/>
      <c r="DC573" s="73"/>
      <c r="DD573" s="73"/>
      <c r="DE573" s="73"/>
      <c r="DF573" s="73"/>
      <c r="DG573" s="73"/>
      <c r="DH573" s="73"/>
      <c r="DI573" s="73"/>
      <c r="DJ573" s="73"/>
      <c r="DK573" s="73"/>
      <c r="DL573" s="73"/>
      <c r="DM573" s="73"/>
      <c r="DN573" s="73"/>
      <c r="DO573" s="73"/>
      <c r="DP573" s="73"/>
      <c r="DQ573" s="73"/>
      <c r="DR573" s="73"/>
      <c r="DS573" s="73"/>
      <c r="DT573" s="73"/>
      <c r="DU573" s="73"/>
      <c r="DV573" s="73"/>
      <c r="DW573" s="73"/>
      <c r="DX573" s="72"/>
      <c r="DY573" s="72"/>
      <c r="DZ573" s="73"/>
      <c r="EA573" s="73"/>
      <c r="EB573" s="73"/>
      <c r="EC573" s="73"/>
      <c r="ED573" s="73"/>
      <c r="EE573" s="73"/>
      <c r="EF573" s="73"/>
      <c r="EG573" s="73"/>
      <c r="EH573" s="73"/>
      <c r="EI573" s="73"/>
      <c r="EJ573" s="73"/>
      <c r="EK573" s="73"/>
      <c r="EL573" s="73"/>
      <c r="EM573" s="73"/>
      <c r="EN573" s="73"/>
      <c r="EO573" s="73"/>
      <c r="EP573" s="69"/>
      <c r="EQ573" s="69"/>
      <c r="ER573" s="69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  <c r="CK574" s="73"/>
      <c r="CL574" s="73"/>
      <c r="CM574" s="73"/>
      <c r="CN574" s="73"/>
      <c r="CO574" s="73"/>
      <c r="CP574" s="73"/>
      <c r="CQ574" s="73"/>
      <c r="CR574" s="73"/>
      <c r="CS574" s="73"/>
      <c r="CT574" s="73"/>
      <c r="CU574" s="73"/>
      <c r="CV574" s="73"/>
      <c r="CW574" s="73"/>
      <c r="CX574" s="73"/>
      <c r="CY574" s="73"/>
      <c r="CZ574" s="73"/>
      <c r="DA574" s="73"/>
      <c r="DB574" s="73"/>
      <c r="DC574" s="73"/>
      <c r="DD574" s="73"/>
      <c r="DE574" s="73"/>
      <c r="DF574" s="73"/>
      <c r="DG574" s="73"/>
      <c r="DH574" s="73"/>
      <c r="DI574" s="73"/>
      <c r="DJ574" s="73"/>
      <c r="DK574" s="73"/>
      <c r="DL574" s="73"/>
      <c r="DM574" s="73"/>
      <c r="DN574" s="73"/>
      <c r="DO574" s="73"/>
      <c r="DP574" s="73"/>
      <c r="DQ574" s="73"/>
      <c r="DR574" s="73"/>
      <c r="DS574" s="73"/>
      <c r="DT574" s="73"/>
      <c r="DU574" s="73"/>
      <c r="DV574" s="73"/>
      <c r="DW574" s="73"/>
      <c r="DX574" s="72"/>
      <c r="DY574" s="72"/>
      <c r="DZ574" s="73"/>
      <c r="EA574" s="73"/>
      <c r="EB574" s="73"/>
      <c r="EC574" s="73"/>
      <c r="ED574" s="73"/>
      <c r="EE574" s="73"/>
      <c r="EF574" s="73"/>
      <c r="EG574" s="73"/>
      <c r="EH574" s="73"/>
      <c r="EI574" s="73"/>
      <c r="EJ574" s="73"/>
      <c r="EK574" s="73"/>
      <c r="EL574" s="73"/>
      <c r="EM574" s="73"/>
      <c r="EN574" s="73"/>
      <c r="EO574" s="73"/>
      <c r="EP574" s="69"/>
      <c r="EQ574" s="69"/>
      <c r="ER574" s="69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  <c r="CI575" s="73"/>
      <c r="CJ575" s="73"/>
      <c r="CK575" s="73"/>
      <c r="CL575" s="73"/>
      <c r="CM575" s="73"/>
      <c r="CN575" s="73"/>
      <c r="CO575" s="73"/>
      <c r="CP575" s="73"/>
      <c r="CQ575" s="73"/>
      <c r="CR575" s="73"/>
      <c r="CS575" s="73"/>
      <c r="CT575" s="73"/>
      <c r="CU575" s="73"/>
      <c r="CV575" s="73"/>
      <c r="CW575" s="73"/>
      <c r="CX575" s="73"/>
      <c r="CY575" s="73"/>
      <c r="CZ575" s="73"/>
      <c r="DA575" s="73"/>
      <c r="DB575" s="73"/>
      <c r="DC575" s="73"/>
      <c r="DD575" s="73"/>
      <c r="DE575" s="73"/>
      <c r="DF575" s="73"/>
      <c r="DG575" s="73"/>
      <c r="DH575" s="73"/>
      <c r="DI575" s="73"/>
      <c r="DJ575" s="73"/>
      <c r="DK575" s="73"/>
      <c r="DL575" s="73"/>
      <c r="DM575" s="73"/>
      <c r="DN575" s="73"/>
      <c r="DO575" s="73"/>
      <c r="DP575" s="73"/>
      <c r="DQ575" s="73"/>
      <c r="DR575" s="73"/>
      <c r="DS575" s="73"/>
      <c r="DT575" s="73"/>
      <c r="DU575" s="73"/>
      <c r="DV575" s="73"/>
      <c r="DW575" s="73"/>
      <c r="DX575" s="72"/>
      <c r="DY575" s="72"/>
      <c r="DZ575" s="73"/>
      <c r="EA575" s="73"/>
      <c r="EB575" s="73"/>
      <c r="EC575" s="73"/>
      <c r="ED575" s="73"/>
      <c r="EE575" s="73"/>
      <c r="EF575" s="73"/>
      <c r="EG575" s="73"/>
      <c r="EH575" s="73"/>
      <c r="EI575" s="73"/>
      <c r="EJ575" s="73"/>
      <c r="EK575" s="73"/>
      <c r="EL575" s="73"/>
      <c r="EM575" s="73"/>
      <c r="EN575" s="73"/>
      <c r="EO575" s="73"/>
      <c r="EP575" s="69"/>
      <c r="EQ575" s="69"/>
      <c r="ER575" s="69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  <c r="CI576" s="73"/>
      <c r="CJ576" s="73"/>
      <c r="CK576" s="73"/>
      <c r="CL576" s="73"/>
      <c r="CM576" s="73"/>
      <c r="CN576" s="73"/>
      <c r="CO576" s="73"/>
      <c r="CP576" s="73"/>
      <c r="CQ576" s="73"/>
      <c r="CR576" s="73"/>
      <c r="CS576" s="73"/>
      <c r="CT576" s="73"/>
      <c r="CU576" s="73"/>
      <c r="CV576" s="73"/>
      <c r="CW576" s="73"/>
      <c r="CX576" s="73"/>
      <c r="CY576" s="73"/>
      <c r="CZ576" s="73"/>
      <c r="DA576" s="73"/>
      <c r="DB576" s="73"/>
      <c r="DC576" s="73"/>
      <c r="DD576" s="73"/>
      <c r="DE576" s="73"/>
      <c r="DF576" s="73"/>
      <c r="DG576" s="73"/>
      <c r="DH576" s="73"/>
      <c r="DI576" s="73"/>
      <c r="DJ576" s="73"/>
      <c r="DK576" s="73"/>
      <c r="DL576" s="73"/>
      <c r="DM576" s="73"/>
      <c r="DN576" s="73"/>
      <c r="DO576" s="73"/>
      <c r="DP576" s="73"/>
      <c r="DQ576" s="73"/>
      <c r="DR576" s="73"/>
      <c r="DS576" s="73"/>
      <c r="DT576" s="73"/>
      <c r="DU576" s="73"/>
      <c r="DV576" s="73"/>
      <c r="DW576" s="73"/>
      <c r="DX576" s="72"/>
      <c r="DY576" s="72"/>
      <c r="DZ576" s="73"/>
      <c r="EA576" s="73"/>
      <c r="EB576" s="73"/>
      <c r="EC576" s="73"/>
      <c r="ED576" s="73"/>
      <c r="EE576" s="73"/>
      <c r="EF576" s="73"/>
      <c r="EG576" s="73"/>
      <c r="EH576" s="73"/>
      <c r="EI576" s="73"/>
      <c r="EJ576" s="73"/>
      <c r="EK576" s="73"/>
      <c r="EL576" s="73"/>
      <c r="EM576" s="73"/>
      <c r="EN576" s="73"/>
      <c r="EO576" s="73"/>
      <c r="EP576" s="69"/>
      <c r="EQ576" s="69"/>
      <c r="ER576" s="69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  <c r="CI577" s="73"/>
      <c r="CJ577" s="73"/>
      <c r="CK577" s="73"/>
      <c r="CL577" s="73"/>
      <c r="CM577" s="73"/>
      <c r="CN577" s="73"/>
      <c r="CO577" s="73"/>
      <c r="CP577" s="73"/>
      <c r="CQ577" s="73"/>
      <c r="CR577" s="73"/>
      <c r="CS577" s="73"/>
      <c r="CT577" s="73"/>
      <c r="CU577" s="73"/>
      <c r="CV577" s="73"/>
      <c r="CW577" s="73"/>
      <c r="CX577" s="73"/>
      <c r="CY577" s="73"/>
      <c r="CZ577" s="73"/>
      <c r="DA577" s="73"/>
      <c r="DB577" s="73"/>
      <c r="DC577" s="73"/>
      <c r="DD577" s="73"/>
      <c r="DE577" s="73"/>
      <c r="DF577" s="73"/>
      <c r="DG577" s="73"/>
      <c r="DH577" s="73"/>
      <c r="DI577" s="73"/>
      <c r="DJ577" s="73"/>
      <c r="DK577" s="73"/>
      <c r="DL577" s="73"/>
      <c r="DM577" s="73"/>
      <c r="DN577" s="73"/>
      <c r="DO577" s="73"/>
      <c r="DP577" s="73"/>
      <c r="DQ577" s="73"/>
      <c r="DR577" s="73"/>
      <c r="DS577" s="73"/>
      <c r="DT577" s="73"/>
      <c r="DU577" s="73"/>
      <c r="DV577" s="73"/>
      <c r="DW577" s="73"/>
      <c r="DX577" s="72"/>
      <c r="DY577" s="72"/>
      <c r="DZ577" s="73"/>
      <c r="EA577" s="73"/>
      <c r="EB577" s="73"/>
      <c r="EC577" s="73"/>
      <c r="ED577" s="73"/>
      <c r="EE577" s="73"/>
      <c r="EF577" s="73"/>
      <c r="EG577" s="73"/>
      <c r="EH577" s="73"/>
      <c r="EI577" s="73"/>
      <c r="EJ577" s="73"/>
      <c r="EK577" s="73"/>
      <c r="EL577" s="73"/>
      <c r="EM577" s="73"/>
      <c r="EN577" s="73"/>
      <c r="EO577" s="73"/>
      <c r="EP577" s="69"/>
      <c r="EQ577" s="69"/>
      <c r="ER577" s="69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  <c r="CI578" s="73"/>
      <c r="CJ578" s="73"/>
      <c r="CK578" s="73"/>
      <c r="CL578" s="73"/>
      <c r="CM578" s="73"/>
      <c r="CN578" s="73"/>
      <c r="CO578" s="73"/>
      <c r="CP578" s="73"/>
      <c r="CQ578" s="73"/>
      <c r="CR578" s="73"/>
      <c r="CS578" s="73"/>
      <c r="CT578" s="73"/>
      <c r="CU578" s="73"/>
      <c r="CV578" s="73"/>
      <c r="CW578" s="73"/>
      <c r="CX578" s="73"/>
      <c r="CY578" s="73"/>
      <c r="CZ578" s="73"/>
      <c r="DA578" s="73"/>
      <c r="DB578" s="73"/>
      <c r="DC578" s="73"/>
      <c r="DD578" s="73"/>
      <c r="DE578" s="73"/>
      <c r="DF578" s="73"/>
      <c r="DG578" s="73"/>
      <c r="DH578" s="73"/>
      <c r="DI578" s="73"/>
      <c r="DJ578" s="73"/>
      <c r="DK578" s="73"/>
      <c r="DL578" s="73"/>
      <c r="DM578" s="73"/>
      <c r="DN578" s="73"/>
      <c r="DO578" s="73"/>
      <c r="DP578" s="73"/>
      <c r="DQ578" s="73"/>
      <c r="DR578" s="73"/>
      <c r="DS578" s="73"/>
      <c r="DT578" s="73"/>
      <c r="DU578" s="73"/>
      <c r="DV578" s="73"/>
      <c r="DW578" s="73"/>
      <c r="DX578" s="73"/>
      <c r="DY578" s="73"/>
      <c r="DZ578" s="73"/>
      <c r="EA578" s="73"/>
      <c r="EB578" s="73"/>
      <c r="EC578" s="73"/>
      <c r="ED578" s="73"/>
      <c r="EE578" s="73"/>
      <c r="EF578" s="73"/>
      <c r="EG578" s="73"/>
      <c r="EH578" s="73"/>
      <c r="EI578" s="73"/>
      <c r="EJ578" s="73"/>
      <c r="EK578" s="73"/>
      <c r="EL578" s="73"/>
      <c r="EM578" s="73"/>
      <c r="EN578" s="73"/>
      <c r="EO578" s="73"/>
      <c r="EP578" s="69"/>
      <c r="EQ578" s="69"/>
      <c r="ER578" s="69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  <c r="CK579" s="73"/>
      <c r="CL579" s="73"/>
      <c r="CM579" s="72"/>
      <c r="CN579" s="73"/>
      <c r="CO579" s="73"/>
      <c r="CP579" s="73"/>
      <c r="CQ579" s="73"/>
      <c r="CR579" s="73"/>
      <c r="CS579" s="73"/>
      <c r="CT579" s="73"/>
      <c r="CU579" s="73"/>
      <c r="CV579" s="73"/>
      <c r="CW579" s="73"/>
      <c r="CX579" s="73"/>
      <c r="CY579" s="73"/>
      <c r="CZ579" s="73"/>
      <c r="DA579" s="73"/>
      <c r="DB579" s="73"/>
      <c r="DC579" s="73"/>
      <c r="DD579" s="73"/>
      <c r="DE579" s="73"/>
      <c r="DF579" s="73"/>
      <c r="DG579" s="73"/>
      <c r="DH579" s="73"/>
      <c r="DI579" s="73"/>
      <c r="DJ579" s="73"/>
      <c r="DK579" s="73"/>
      <c r="DL579" s="73"/>
      <c r="DM579" s="73"/>
      <c r="DN579" s="73"/>
      <c r="DO579" s="73"/>
      <c r="DP579" s="73"/>
      <c r="DQ579" s="73"/>
      <c r="DR579" s="73"/>
      <c r="DS579" s="73"/>
      <c r="DT579" s="73"/>
      <c r="DU579" s="73"/>
      <c r="DV579" s="73"/>
      <c r="DW579" s="73"/>
      <c r="DX579" s="72"/>
      <c r="DY579" s="72"/>
      <c r="DZ579" s="73"/>
      <c r="EA579" s="73"/>
      <c r="EB579" s="73"/>
      <c r="EC579" s="73"/>
      <c r="ED579" s="73"/>
      <c r="EE579" s="73"/>
      <c r="EF579" s="73"/>
      <c r="EG579" s="73"/>
      <c r="EH579" s="73"/>
      <c r="EI579" s="73"/>
      <c r="EJ579" s="73"/>
      <c r="EK579" s="73"/>
      <c r="EL579" s="73"/>
      <c r="EM579" s="73"/>
      <c r="EN579" s="73"/>
      <c r="EO579" s="73"/>
      <c r="EP579" s="69"/>
      <c r="EQ579" s="69"/>
      <c r="ER579" s="69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  <c r="CI580" s="73"/>
      <c r="CJ580" s="73"/>
      <c r="CK580" s="73"/>
      <c r="CL580" s="73"/>
      <c r="CM580" s="73"/>
      <c r="CN580" s="73"/>
      <c r="CO580" s="73"/>
      <c r="CP580" s="73"/>
      <c r="CQ580" s="73"/>
      <c r="CR580" s="73"/>
      <c r="CS580" s="73"/>
      <c r="CT580" s="73"/>
      <c r="CU580" s="73"/>
      <c r="CV580" s="73"/>
      <c r="CW580" s="73"/>
      <c r="CX580" s="73"/>
      <c r="CY580" s="73"/>
      <c r="CZ580" s="73"/>
      <c r="DA580" s="73"/>
      <c r="DB580" s="73"/>
      <c r="DC580" s="73"/>
      <c r="DD580" s="73"/>
      <c r="DE580" s="73"/>
      <c r="DF580" s="73"/>
      <c r="DG580" s="73"/>
      <c r="DH580" s="73"/>
      <c r="DI580" s="73"/>
      <c r="DJ580" s="73"/>
      <c r="DK580" s="73"/>
      <c r="DL580" s="73"/>
      <c r="DM580" s="73"/>
      <c r="DN580" s="73"/>
      <c r="DO580" s="73"/>
      <c r="DP580" s="73"/>
      <c r="DQ580" s="73"/>
      <c r="DR580" s="73"/>
      <c r="DS580" s="73"/>
      <c r="DT580" s="73"/>
      <c r="DU580" s="73"/>
      <c r="DV580" s="73"/>
      <c r="DW580" s="73"/>
      <c r="DX580" s="72"/>
      <c r="DY580" s="72"/>
      <c r="DZ580" s="73"/>
      <c r="EA580" s="73"/>
      <c r="EB580" s="73"/>
      <c r="EC580" s="73"/>
      <c r="ED580" s="73"/>
      <c r="EE580" s="73"/>
      <c r="EF580" s="73"/>
      <c r="EG580" s="73"/>
      <c r="EH580" s="73"/>
      <c r="EI580" s="73"/>
      <c r="EJ580" s="73"/>
      <c r="EK580" s="73"/>
      <c r="EL580" s="73"/>
      <c r="EM580" s="73"/>
      <c r="EN580" s="73"/>
      <c r="EO580" s="73"/>
      <c r="EP580" s="69"/>
      <c r="EQ580" s="69"/>
      <c r="ER580" s="69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  <c r="CI581" s="73"/>
      <c r="CJ581" s="73"/>
      <c r="CK581" s="73"/>
      <c r="CL581" s="73"/>
      <c r="CM581" s="73"/>
      <c r="CN581" s="73"/>
      <c r="CO581" s="73"/>
      <c r="CP581" s="73"/>
      <c r="CQ581" s="73"/>
      <c r="CR581" s="73"/>
      <c r="CS581" s="73"/>
      <c r="CT581" s="73"/>
      <c r="CU581" s="73"/>
      <c r="CV581" s="73"/>
      <c r="CW581" s="73"/>
      <c r="CX581" s="73"/>
      <c r="CY581" s="73"/>
      <c r="CZ581" s="73"/>
      <c r="DA581" s="73"/>
      <c r="DB581" s="73"/>
      <c r="DC581" s="73"/>
      <c r="DD581" s="73"/>
      <c r="DE581" s="73"/>
      <c r="DF581" s="73"/>
      <c r="DG581" s="73"/>
      <c r="DH581" s="73"/>
      <c r="DI581" s="73"/>
      <c r="DJ581" s="73"/>
      <c r="DK581" s="73"/>
      <c r="DL581" s="73"/>
      <c r="DM581" s="73"/>
      <c r="DN581" s="73"/>
      <c r="DO581" s="73"/>
      <c r="DP581" s="73"/>
      <c r="DQ581" s="73"/>
      <c r="DR581" s="73"/>
      <c r="DS581" s="73"/>
      <c r="DT581" s="73"/>
      <c r="DU581" s="73"/>
      <c r="DV581" s="73"/>
      <c r="DW581" s="73"/>
      <c r="DX581" s="73"/>
      <c r="DY581" s="73"/>
      <c r="DZ581" s="73"/>
      <c r="EA581" s="73"/>
      <c r="EB581" s="73"/>
      <c r="EC581" s="73"/>
      <c r="ED581" s="73"/>
      <c r="EE581" s="73"/>
      <c r="EF581" s="73"/>
      <c r="EG581" s="73"/>
      <c r="EH581" s="73"/>
      <c r="EI581" s="73"/>
      <c r="EJ581" s="73"/>
      <c r="EK581" s="73"/>
      <c r="EL581" s="73"/>
      <c r="EM581" s="73"/>
      <c r="EN581" s="73"/>
      <c r="EO581" s="73"/>
      <c r="EP581" s="69"/>
      <c r="EQ581" s="69"/>
      <c r="ER581" s="69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  <c r="CI582" s="73"/>
      <c r="CJ582" s="73"/>
      <c r="CK582" s="73"/>
      <c r="CL582" s="73"/>
      <c r="CM582" s="73"/>
      <c r="CN582" s="73"/>
      <c r="CO582" s="73"/>
      <c r="CP582" s="73"/>
      <c r="CQ582" s="73"/>
      <c r="CR582" s="73"/>
      <c r="CS582" s="73"/>
      <c r="CT582" s="73"/>
      <c r="CU582" s="73"/>
      <c r="CV582" s="73"/>
      <c r="CW582" s="73"/>
      <c r="CX582" s="73"/>
      <c r="CY582" s="73"/>
      <c r="CZ582" s="73"/>
      <c r="DA582" s="73"/>
      <c r="DB582" s="73"/>
      <c r="DC582" s="73"/>
      <c r="DD582" s="73"/>
      <c r="DE582" s="73"/>
      <c r="DF582" s="73"/>
      <c r="DG582" s="73"/>
      <c r="DH582" s="73"/>
      <c r="DI582" s="73"/>
      <c r="DJ582" s="73"/>
      <c r="DK582" s="73"/>
      <c r="DL582" s="73"/>
      <c r="DM582" s="73"/>
      <c r="DN582" s="73"/>
      <c r="DO582" s="73"/>
      <c r="DP582" s="73"/>
      <c r="DQ582" s="73"/>
      <c r="DR582" s="73"/>
      <c r="DS582" s="73"/>
      <c r="DT582" s="73"/>
      <c r="DU582" s="73"/>
      <c r="DV582" s="73"/>
      <c r="DW582" s="73"/>
      <c r="DX582" s="72"/>
      <c r="DY582" s="72"/>
      <c r="DZ582" s="73"/>
      <c r="EA582" s="73"/>
      <c r="EB582" s="73"/>
      <c r="EC582" s="73"/>
      <c r="ED582" s="73"/>
      <c r="EE582" s="73"/>
      <c r="EF582" s="73"/>
      <c r="EG582" s="73"/>
      <c r="EH582" s="73"/>
      <c r="EI582" s="73"/>
      <c r="EJ582" s="73"/>
      <c r="EK582" s="73"/>
      <c r="EL582" s="73"/>
      <c r="EM582" s="73"/>
      <c r="EN582" s="73"/>
      <c r="EO582" s="73"/>
      <c r="EP582" s="69"/>
      <c r="EQ582" s="69"/>
      <c r="ER582" s="69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  <c r="CI583" s="73"/>
      <c r="CJ583" s="73"/>
      <c r="CK583" s="73"/>
      <c r="CL583" s="73"/>
      <c r="CM583" s="73"/>
      <c r="CN583" s="73"/>
      <c r="CO583" s="73"/>
      <c r="CP583" s="73"/>
      <c r="CQ583" s="73"/>
      <c r="CR583" s="73"/>
      <c r="CS583" s="73"/>
      <c r="CT583" s="73"/>
      <c r="CU583" s="73"/>
      <c r="CV583" s="73"/>
      <c r="CW583" s="73"/>
      <c r="CX583" s="73"/>
      <c r="CY583" s="73"/>
      <c r="CZ583" s="73"/>
      <c r="DA583" s="73"/>
      <c r="DB583" s="73"/>
      <c r="DC583" s="73"/>
      <c r="DD583" s="73"/>
      <c r="DE583" s="73"/>
      <c r="DF583" s="73"/>
      <c r="DG583" s="73"/>
      <c r="DH583" s="73"/>
      <c r="DI583" s="73"/>
      <c r="DJ583" s="73"/>
      <c r="DK583" s="73"/>
      <c r="DL583" s="73"/>
      <c r="DM583" s="73"/>
      <c r="DN583" s="73"/>
      <c r="DO583" s="73"/>
      <c r="DP583" s="73"/>
      <c r="DQ583" s="73"/>
      <c r="DR583" s="73"/>
      <c r="DS583" s="73"/>
      <c r="DT583" s="73"/>
      <c r="DU583" s="73"/>
      <c r="DV583" s="73"/>
      <c r="DW583" s="73"/>
      <c r="DX583" s="72"/>
      <c r="DY583" s="72"/>
      <c r="DZ583" s="73"/>
      <c r="EA583" s="73"/>
      <c r="EB583" s="73"/>
      <c r="EC583" s="73"/>
      <c r="ED583" s="73"/>
      <c r="EE583" s="73"/>
      <c r="EF583" s="73"/>
      <c r="EG583" s="73"/>
      <c r="EH583" s="73"/>
      <c r="EI583" s="73"/>
      <c r="EJ583" s="73"/>
      <c r="EK583" s="73"/>
      <c r="EL583" s="73"/>
      <c r="EM583" s="73"/>
      <c r="EN583" s="73"/>
      <c r="EO583" s="73"/>
      <c r="EP583" s="69"/>
      <c r="EQ583" s="69"/>
      <c r="ER583" s="69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  <c r="CK584" s="73"/>
      <c r="CL584" s="73"/>
      <c r="CM584" s="72"/>
      <c r="CN584" s="73"/>
      <c r="CO584" s="73"/>
      <c r="CP584" s="73"/>
      <c r="CQ584" s="73"/>
      <c r="CR584" s="73"/>
      <c r="CS584" s="73"/>
      <c r="CT584" s="73"/>
      <c r="CU584" s="73"/>
      <c r="CV584" s="73"/>
      <c r="CW584" s="73"/>
      <c r="CX584" s="73"/>
      <c r="CY584" s="73"/>
      <c r="CZ584" s="73"/>
      <c r="DA584" s="73"/>
      <c r="DB584" s="73"/>
      <c r="DC584" s="73"/>
      <c r="DD584" s="73"/>
      <c r="DE584" s="73"/>
      <c r="DF584" s="73"/>
      <c r="DG584" s="73"/>
      <c r="DH584" s="73"/>
      <c r="DI584" s="73"/>
      <c r="DJ584" s="73"/>
      <c r="DK584" s="73"/>
      <c r="DL584" s="73"/>
      <c r="DM584" s="73"/>
      <c r="DN584" s="73"/>
      <c r="DO584" s="73"/>
      <c r="DP584" s="73"/>
      <c r="DQ584" s="73"/>
      <c r="DR584" s="73"/>
      <c r="DS584" s="73"/>
      <c r="DT584" s="73"/>
      <c r="DU584" s="73"/>
      <c r="DV584" s="73"/>
      <c r="DW584" s="73"/>
      <c r="DX584" s="72"/>
      <c r="DY584" s="72"/>
      <c r="DZ584" s="73"/>
      <c r="EA584" s="73"/>
      <c r="EB584" s="73"/>
      <c r="EC584" s="73"/>
      <c r="ED584" s="73"/>
      <c r="EE584" s="73"/>
      <c r="EF584" s="73"/>
      <c r="EG584" s="73"/>
      <c r="EH584" s="73"/>
      <c r="EI584" s="73"/>
      <c r="EJ584" s="73"/>
      <c r="EK584" s="73"/>
      <c r="EL584" s="73"/>
      <c r="EM584" s="73"/>
      <c r="EN584" s="73"/>
      <c r="EO584" s="73"/>
      <c r="EP584" s="69"/>
      <c r="EQ584" s="69"/>
      <c r="ER584" s="69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  <c r="CI585" s="73"/>
      <c r="CJ585" s="73"/>
      <c r="CK585" s="73"/>
      <c r="CL585" s="73"/>
      <c r="CM585" s="72"/>
      <c r="CN585" s="73"/>
      <c r="CO585" s="73"/>
      <c r="CP585" s="73"/>
      <c r="CQ585" s="73"/>
      <c r="CR585" s="73"/>
      <c r="CS585" s="73"/>
      <c r="CT585" s="73"/>
      <c r="CU585" s="73"/>
      <c r="CV585" s="73"/>
      <c r="CW585" s="73"/>
      <c r="CX585" s="73"/>
      <c r="CY585" s="73"/>
      <c r="CZ585" s="73"/>
      <c r="DA585" s="73"/>
      <c r="DB585" s="73"/>
      <c r="DC585" s="73"/>
      <c r="DD585" s="73"/>
      <c r="DE585" s="73"/>
      <c r="DF585" s="73"/>
      <c r="DG585" s="73"/>
      <c r="DH585" s="73"/>
      <c r="DI585" s="73"/>
      <c r="DJ585" s="73"/>
      <c r="DK585" s="73"/>
      <c r="DL585" s="73"/>
      <c r="DM585" s="73"/>
      <c r="DN585" s="73"/>
      <c r="DO585" s="73"/>
      <c r="DP585" s="73"/>
      <c r="DQ585" s="73"/>
      <c r="DR585" s="73"/>
      <c r="DS585" s="73"/>
      <c r="DT585" s="73"/>
      <c r="DU585" s="73"/>
      <c r="DV585" s="73"/>
      <c r="DW585" s="73"/>
      <c r="DX585" s="72"/>
      <c r="DY585" s="72"/>
      <c r="DZ585" s="73"/>
      <c r="EA585" s="73"/>
      <c r="EB585" s="73"/>
      <c r="EC585" s="73"/>
      <c r="ED585" s="73"/>
      <c r="EE585" s="73"/>
      <c r="EF585" s="73"/>
      <c r="EG585" s="73"/>
      <c r="EH585" s="73"/>
      <c r="EI585" s="73"/>
      <c r="EJ585" s="73"/>
      <c r="EK585" s="73"/>
      <c r="EL585" s="73"/>
      <c r="EM585" s="73"/>
      <c r="EN585" s="73"/>
      <c r="EO585" s="73"/>
      <c r="EP585" s="69"/>
      <c r="EQ585" s="69"/>
      <c r="ER585" s="69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  <c r="CI586" s="73"/>
      <c r="CJ586" s="73"/>
      <c r="CK586" s="73"/>
      <c r="CL586" s="73"/>
      <c r="CM586" s="73"/>
      <c r="CN586" s="73"/>
      <c r="CO586" s="73"/>
      <c r="CP586" s="73"/>
      <c r="CQ586" s="73"/>
      <c r="CR586" s="73"/>
      <c r="CS586" s="73"/>
      <c r="CT586" s="73"/>
      <c r="CU586" s="73"/>
      <c r="CV586" s="73"/>
      <c r="CW586" s="73"/>
      <c r="CX586" s="73"/>
      <c r="CY586" s="73"/>
      <c r="CZ586" s="73"/>
      <c r="DA586" s="73"/>
      <c r="DB586" s="73"/>
      <c r="DC586" s="73"/>
      <c r="DD586" s="73"/>
      <c r="DE586" s="73"/>
      <c r="DF586" s="73"/>
      <c r="DG586" s="73"/>
      <c r="DH586" s="73"/>
      <c r="DI586" s="73"/>
      <c r="DJ586" s="73"/>
      <c r="DK586" s="73"/>
      <c r="DL586" s="73"/>
      <c r="DM586" s="73"/>
      <c r="DN586" s="73"/>
      <c r="DO586" s="73"/>
      <c r="DP586" s="73"/>
      <c r="DQ586" s="73"/>
      <c r="DR586" s="73"/>
      <c r="DS586" s="73"/>
      <c r="DT586" s="73"/>
      <c r="DU586" s="73"/>
      <c r="DV586" s="73"/>
      <c r="DW586" s="73"/>
      <c r="DX586" s="72"/>
      <c r="DY586" s="72"/>
      <c r="DZ586" s="73"/>
      <c r="EA586" s="73"/>
      <c r="EB586" s="73"/>
      <c r="EC586" s="73"/>
      <c r="ED586" s="73"/>
      <c r="EE586" s="73"/>
      <c r="EF586" s="73"/>
      <c r="EG586" s="73"/>
      <c r="EH586" s="73"/>
      <c r="EI586" s="73"/>
      <c r="EJ586" s="73"/>
      <c r="EK586" s="73"/>
      <c r="EL586" s="73"/>
      <c r="EM586" s="73"/>
      <c r="EN586" s="73"/>
      <c r="EO586" s="73"/>
      <c r="EP586" s="69"/>
      <c r="EQ586" s="69"/>
      <c r="ER586" s="69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  <c r="CI587" s="73"/>
      <c r="CJ587" s="73"/>
      <c r="CK587" s="73"/>
      <c r="CL587" s="73"/>
      <c r="CM587" s="72"/>
      <c r="CN587" s="73"/>
      <c r="CO587" s="73"/>
      <c r="CP587" s="73"/>
      <c r="CQ587" s="73"/>
      <c r="CR587" s="73"/>
      <c r="CS587" s="73"/>
      <c r="CT587" s="73"/>
      <c r="CU587" s="73"/>
      <c r="CV587" s="73"/>
      <c r="CW587" s="73"/>
      <c r="CX587" s="73"/>
      <c r="CY587" s="73"/>
      <c r="CZ587" s="73"/>
      <c r="DA587" s="73"/>
      <c r="DB587" s="73"/>
      <c r="DC587" s="73"/>
      <c r="DD587" s="73"/>
      <c r="DE587" s="73"/>
      <c r="DF587" s="73"/>
      <c r="DG587" s="73"/>
      <c r="DH587" s="73"/>
      <c r="DI587" s="73"/>
      <c r="DJ587" s="73"/>
      <c r="DK587" s="73"/>
      <c r="DL587" s="73"/>
      <c r="DM587" s="73"/>
      <c r="DN587" s="73"/>
      <c r="DO587" s="73"/>
      <c r="DP587" s="73"/>
      <c r="DQ587" s="73"/>
      <c r="DR587" s="73"/>
      <c r="DS587" s="73"/>
      <c r="DT587" s="73"/>
      <c r="DU587" s="73"/>
      <c r="DV587" s="73"/>
      <c r="DW587" s="73"/>
      <c r="DX587" s="72"/>
      <c r="DY587" s="72"/>
      <c r="DZ587" s="73"/>
      <c r="EA587" s="73"/>
      <c r="EB587" s="73"/>
      <c r="EC587" s="73"/>
      <c r="ED587" s="73"/>
      <c r="EE587" s="73"/>
      <c r="EF587" s="73"/>
      <c r="EG587" s="73"/>
      <c r="EH587" s="73"/>
      <c r="EI587" s="73"/>
      <c r="EJ587" s="73"/>
      <c r="EK587" s="73"/>
      <c r="EL587" s="73"/>
      <c r="EM587" s="73"/>
      <c r="EN587" s="73"/>
      <c r="EO587" s="73"/>
      <c r="EP587" s="69"/>
      <c r="EQ587" s="69"/>
      <c r="ER587" s="69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  <c r="CI588" s="73"/>
      <c r="CJ588" s="73"/>
      <c r="CK588" s="73"/>
      <c r="CL588" s="73"/>
      <c r="CM588" s="72"/>
      <c r="CN588" s="73"/>
      <c r="CO588" s="73"/>
      <c r="CP588" s="73"/>
      <c r="CQ588" s="73"/>
      <c r="CR588" s="73"/>
      <c r="CS588" s="73"/>
      <c r="CT588" s="73"/>
      <c r="CU588" s="73"/>
      <c r="CV588" s="73"/>
      <c r="CW588" s="73"/>
      <c r="CX588" s="73"/>
      <c r="CY588" s="73"/>
      <c r="CZ588" s="73"/>
      <c r="DA588" s="73"/>
      <c r="DB588" s="73"/>
      <c r="DC588" s="73"/>
      <c r="DD588" s="73"/>
      <c r="DE588" s="73"/>
      <c r="DF588" s="73"/>
      <c r="DG588" s="73"/>
      <c r="DH588" s="73"/>
      <c r="DI588" s="73"/>
      <c r="DJ588" s="73"/>
      <c r="DK588" s="73"/>
      <c r="DL588" s="73"/>
      <c r="DM588" s="73"/>
      <c r="DN588" s="73"/>
      <c r="DO588" s="73"/>
      <c r="DP588" s="73"/>
      <c r="DQ588" s="73"/>
      <c r="DR588" s="73"/>
      <c r="DS588" s="73"/>
      <c r="DT588" s="73"/>
      <c r="DU588" s="73"/>
      <c r="DV588" s="73"/>
      <c r="DW588" s="73"/>
      <c r="DX588" s="72"/>
      <c r="DY588" s="72"/>
      <c r="DZ588" s="73"/>
      <c r="EA588" s="73"/>
      <c r="EB588" s="73"/>
      <c r="EC588" s="73"/>
      <c r="ED588" s="73"/>
      <c r="EE588" s="73"/>
      <c r="EF588" s="73"/>
      <c r="EG588" s="73"/>
      <c r="EH588" s="73"/>
      <c r="EI588" s="73"/>
      <c r="EJ588" s="73"/>
      <c r="EK588" s="73"/>
      <c r="EL588" s="73"/>
      <c r="EM588" s="73"/>
      <c r="EN588" s="73"/>
      <c r="EO588" s="73"/>
      <c r="EP588" s="69"/>
      <c r="EQ588" s="69"/>
      <c r="ER588" s="69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  <c r="CK589" s="73"/>
      <c r="CL589" s="73"/>
      <c r="CM589" s="73"/>
      <c r="CN589" s="73"/>
      <c r="CO589" s="73"/>
      <c r="CP589" s="73"/>
      <c r="CQ589" s="73"/>
      <c r="CR589" s="73"/>
      <c r="CS589" s="73"/>
      <c r="CT589" s="73"/>
      <c r="CU589" s="73"/>
      <c r="CV589" s="73"/>
      <c r="CW589" s="73"/>
      <c r="CX589" s="73"/>
      <c r="CY589" s="73"/>
      <c r="CZ589" s="73"/>
      <c r="DA589" s="73"/>
      <c r="DB589" s="73"/>
      <c r="DC589" s="73"/>
      <c r="DD589" s="73"/>
      <c r="DE589" s="73"/>
      <c r="DF589" s="73"/>
      <c r="DG589" s="73"/>
      <c r="DH589" s="73"/>
      <c r="DI589" s="73"/>
      <c r="DJ589" s="73"/>
      <c r="DK589" s="73"/>
      <c r="DL589" s="73"/>
      <c r="DM589" s="73"/>
      <c r="DN589" s="73"/>
      <c r="DO589" s="73"/>
      <c r="DP589" s="73"/>
      <c r="DQ589" s="73"/>
      <c r="DR589" s="73"/>
      <c r="DS589" s="73"/>
      <c r="DT589" s="73"/>
      <c r="DU589" s="73"/>
      <c r="DV589" s="73"/>
      <c r="DW589" s="73"/>
      <c r="DX589" s="73"/>
      <c r="DY589" s="73"/>
      <c r="DZ589" s="73"/>
      <c r="EA589" s="73"/>
      <c r="EB589" s="73"/>
      <c r="EC589" s="73"/>
      <c r="ED589" s="73"/>
      <c r="EE589" s="73"/>
      <c r="EF589" s="73"/>
      <c r="EG589" s="73"/>
      <c r="EH589" s="73"/>
      <c r="EI589" s="73"/>
      <c r="EJ589" s="73"/>
      <c r="EK589" s="73"/>
      <c r="EL589" s="73"/>
      <c r="EM589" s="73"/>
      <c r="EN589" s="73"/>
      <c r="EO589" s="73"/>
      <c r="EP589" s="69"/>
      <c r="EQ589" s="69"/>
      <c r="ER589" s="69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  <c r="CI590" s="73"/>
      <c r="CJ590" s="73"/>
      <c r="CK590" s="73"/>
      <c r="CL590" s="73"/>
      <c r="CM590" s="73"/>
      <c r="CN590" s="73"/>
      <c r="CO590" s="73"/>
      <c r="CP590" s="73"/>
      <c r="CQ590" s="73"/>
      <c r="CR590" s="73"/>
      <c r="CS590" s="73"/>
      <c r="CT590" s="73"/>
      <c r="CU590" s="73"/>
      <c r="CV590" s="73"/>
      <c r="CW590" s="73"/>
      <c r="CX590" s="73"/>
      <c r="CY590" s="73"/>
      <c r="CZ590" s="73"/>
      <c r="DA590" s="73"/>
      <c r="DB590" s="73"/>
      <c r="DC590" s="73"/>
      <c r="DD590" s="73"/>
      <c r="DE590" s="73"/>
      <c r="DF590" s="73"/>
      <c r="DG590" s="73"/>
      <c r="DH590" s="73"/>
      <c r="DI590" s="73"/>
      <c r="DJ590" s="73"/>
      <c r="DK590" s="73"/>
      <c r="DL590" s="73"/>
      <c r="DM590" s="73"/>
      <c r="DN590" s="73"/>
      <c r="DO590" s="73"/>
      <c r="DP590" s="73"/>
      <c r="DQ590" s="73"/>
      <c r="DR590" s="73"/>
      <c r="DS590" s="73"/>
      <c r="DT590" s="73"/>
      <c r="DU590" s="73"/>
      <c r="DV590" s="73"/>
      <c r="DW590" s="73"/>
      <c r="DX590" s="73"/>
      <c r="DY590" s="73"/>
      <c r="DZ590" s="73"/>
      <c r="EA590" s="73"/>
      <c r="EB590" s="73"/>
      <c r="EC590" s="73"/>
      <c r="ED590" s="73"/>
      <c r="EE590" s="73"/>
      <c r="EF590" s="73"/>
      <c r="EG590" s="73"/>
      <c r="EH590" s="73"/>
      <c r="EI590" s="73"/>
      <c r="EJ590" s="73"/>
      <c r="EK590" s="73"/>
      <c r="EL590" s="73"/>
      <c r="EM590" s="73"/>
      <c r="EN590" s="73"/>
      <c r="EO590" s="73"/>
      <c r="EP590" s="69"/>
      <c r="EQ590" s="69"/>
      <c r="ER590" s="69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  <c r="CI591" s="73"/>
      <c r="CJ591" s="73"/>
      <c r="CK591" s="73"/>
      <c r="CL591" s="73"/>
      <c r="CM591" s="73"/>
      <c r="CN591" s="73"/>
      <c r="CO591" s="73"/>
      <c r="CP591" s="73"/>
      <c r="CQ591" s="73"/>
      <c r="CR591" s="73"/>
      <c r="CS591" s="73"/>
      <c r="CT591" s="73"/>
      <c r="CU591" s="73"/>
      <c r="CV591" s="73"/>
      <c r="CW591" s="73"/>
      <c r="CX591" s="73"/>
      <c r="CY591" s="73"/>
      <c r="CZ591" s="73"/>
      <c r="DA591" s="73"/>
      <c r="DB591" s="73"/>
      <c r="DC591" s="73"/>
      <c r="DD591" s="73"/>
      <c r="DE591" s="73"/>
      <c r="DF591" s="73"/>
      <c r="DG591" s="73"/>
      <c r="DH591" s="73"/>
      <c r="DI591" s="73"/>
      <c r="DJ591" s="73"/>
      <c r="DK591" s="73"/>
      <c r="DL591" s="73"/>
      <c r="DM591" s="73"/>
      <c r="DN591" s="73"/>
      <c r="DO591" s="73"/>
      <c r="DP591" s="73"/>
      <c r="DQ591" s="73"/>
      <c r="DR591" s="73"/>
      <c r="DS591" s="73"/>
      <c r="DT591" s="73"/>
      <c r="DU591" s="73"/>
      <c r="DV591" s="73"/>
      <c r="DW591" s="73"/>
      <c r="DX591" s="72"/>
      <c r="DY591" s="72"/>
      <c r="DZ591" s="73"/>
      <c r="EA591" s="73"/>
      <c r="EB591" s="73"/>
      <c r="EC591" s="73"/>
      <c r="ED591" s="73"/>
      <c r="EE591" s="73"/>
      <c r="EF591" s="73"/>
      <c r="EG591" s="73"/>
      <c r="EH591" s="73"/>
      <c r="EI591" s="73"/>
      <c r="EJ591" s="73"/>
      <c r="EK591" s="73"/>
      <c r="EL591" s="73"/>
      <c r="EM591" s="73"/>
      <c r="EN591" s="73"/>
      <c r="EO591" s="73"/>
      <c r="EP591" s="69"/>
      <c r="EQ591" s="69"/>
      <c r="ER591" s="69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  <c r="CI592" s="73"/>
      <c r="CJ592" s="73"/>
      <c r="CK592" s="73"/>
      <c r="CL592" s="73"/>
      <c r="CM592" s="73"/>
      <c r="CN592" s="73"/>
      <c r="CO592" s="73"/>
      <c r="CP592" s="73"/>
      <c r="CQ592" s="73"/>
      <c r="CR592" s="73"/>
      <c r="CS592" s="73"/>
      <c r="CT592" s="73"/>
      <c r="CU592" s="73"/>
      <c r="CV592" s="73"/>
      <c r="CW592" s="73"/>
      <c r="CX592" s="73"/>
      <c r="CY592" s="73"/>
      <c r="CZ592" s="73"/>
      <c r="DA592" s="73"/>
      <c r="DB592" s="73"/>
      <c r="DC592" s="73"/>
      <c r="DD592" s="73"/>
      <c r="DE592" s="73"/>
      <c r="DF592" s="73"/>
      <c r="DG592" s="73"/>
      <c r="DH592" s="73"/>
      <c r="DI592" s="73"/>
      <c r="DJ592" s="73"/>
      <c r="DK592" s="73"/>
      <c r="DL592" s="73"/>
      <c r="DM592" s="73"/>
      <c r="DN592" s="73"/>
      <c r="DO592" s="73"/>
      <c r="DP592" s="73"/>
      <c r="DQ592" s="73"/>
      <c r="DR592" s="73"/>
      <c r="DS592" s="73"/>
      <c r="DT592" s="73"/>
      <c r="DU592" s="73"/>
      <c r="DV592" s="73"/>
      <c r="DW592" s="73"/>
      <c r="DX592" s="72"/>
      <c r="DY592" s="72"/>
      <c r="DZ592" s="73"/>
      <c r="EA592" s="73"/>
      <c r="EB592" s="73"/>
      <c r="EC592" s="73"/>
      <c r="ED592" s="73"/>
      <c r="EE592" s="73"/>
      <c r="EF592" s="73"/>
      <c r="EG592" s="73"/>
      <c r="EH592" s="73"/>
      <c r="EI592" s="73"/>
      <c r="EJ592" s="73"/>
      <c r="EK592" s="73"/>
      <c r="EL592" s="73"/>
      <c r="EM592" s="73"/>
      <c r="EN592" s="73"/>
      <c r="EO592" s="73"/>
      <c r="EP592" s="69"/>
      <c r="EQ592" s="69"/>
      <c r="ER592" s="69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  <c r="CI593" s="73"/>
      <c r="CJ593" s="73"/>
      <c r="CK593" s="73"/>
      <c r="CL593" s="73"/>
      <c r="CM593" s="73"/>
      <c r="CN593" s="73"/>
      <c r="CO593" s="73"/>
      <c r="CP593" s="73"/>
      <c r="CQ593" s="73"/>
      <c r="CR593" s="73"/>
      <c r="CS593" s="73"/>
      <c r="CT593" s="73"/>
      <c r="CU593" s="73"/>
      <c r="CV593" s="73"/>
      <c r="CW593" s="73"/>
      <c r="CX593" s="73"/>
      <c r="CY593" s="73"/>
      <c r="CZ593" s="73"/>
      <c r="DA593" s="73"/>
      <c r="DB593" s="73"/>
      <c r="DC593" s="73"/>
      <c r="DD593" s="73"/>
      <c r="DE593" s="73"/>
      <c r="DF593" s="73"/>
      <c r="DG593" s="73"/>
      <c r="DH593" s="73"/>
      <c r="DI593" s="73"/>
      <c r="DJ593" s="73"/>
      <c r="DK593" s="73"/>
      <c r="DL593" s="73"/>
      <c r="DM593" s="73"/>
      <c r="DN593" s="73"/>
      <c r="DO593" s="73"/>
      <c r="DP593" s="73"/>
      <c r="DQ593" s="73"/>
      <c r="DR593" s="73"/>
      <c r="DS593" s="73"/>
      <c r="DT593" s="73"/>
      <c r="DU593" s="73"/>
      <c r="DV593" s="73"/>
      <c r="DW593" s="73"/>
      <c r="DX593" s="72"/>
      <c r="DY593" s="72"/>
      <c r="DZ593" s="73"/>
      <c r="EA593" s="73"/>
      <c r="EB593" s="73"/>
      <c r="EC593" s="73"/>
      <c r="ED593" s="73"/>
      <c r="EE593" s="73"/>
      <c r="EF593" s="73"/>
      <c r="EG593" s="73"/>
      <c r="EH593" s="73"/>
      <c r="EI593" s="73"/>
      <c r="EJ593" s="73"/>
      <c r="EK593" s="73"/>
      <c r="EL593" s="73"/>
      <c r="EM593" s="73"/>
      <c r="EN593" s="73"/>
      <c r="EO593" s="73"/>
      <c r="EP593" s="69"/>
      <c r="EQ593" s="69"/>
      <c r="ER593" s="69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  <c r="CK594" s="73"/>
      <c r="CL594" s="73"/>
      <c r="CM594" s="73"/>
      <c r="CN594" s="73"/>
      <c r="CO594" s="73"/>
      <c r="CP594" s="73"/>
      <c r="CQ594" s="73"/>
      <c r="CR594" s="73"/>
      <c r="CS594" s="73"/>
      <c r="CT594" s="73"/>
      <c r="CU594" s="73"/>
      <c r="CV594" s="73"/>
      <c r="CW594" s="73"/>
      <c r="CX594" s="73"/>
      <c r="CY594" s="73"/>
      <c r="CZ594" s="73"/>
      <c r="DA594" s="73"/>
      <c r="DB594" s="73"/>
      <c r="DC594" s="73"/>
      <c r="DD594" s="73"/>
      <c r="DE594" s="73"/>
      <c r="DF594" s="73"/>
      <c r="DG594" s="73"/>
      <c r="DH594" s="73"/>
      <c r="DI594" s="73"/>
      <c r="DJ594" s="73"/>
      <c r="DK594" s="73"/>
      <c r="DL594" s="73"/>
      <c r="DM594" s="73"/>
      <c r="DN594" s="73"/>
      <c r="DO594" s="73"/>
      <c r="DP594" s="73"/>
      <c r="DQ594" s="73"/>
      <c r="DR594" s="73"/>
      <c r="DS594" s="73"/>
      <c r="DT594" s="73"/>
      <c r="DU594" s="73"/>
      <c r="DV594" s="73"/>
      <c r="DW594" s="73"/>
      <c r="DX594" s="73"/>
      <c r="DY594" s="73"/>
      <c r="DZ594" s="73"/>
      <c r="EA594" s="73"/>
      <c r="EB594" s="73"/>
      <c r="EC594" s="73"/>
      <c r="ED594" s="73"/>
      <c r="EE594" s="73"/>
      <c r="EF594" s="73"/>
      <c r="EG594" s="73"/>
      <c r="EH594" s="73"/>
      <c r="EI594" s="73"/>
      <c r="EJ594" s="73"/>
      <c r="EK594" s="73"/>
      <c r="EL594" s="73"/>
      <c r="EM594" s="73"/>
      <c r="EN594" s="73"/>
      <c r="EO594" s="73"/>
      <c r="EP594" s="69"/>
      <c r="EQ594" s="69"/>
      <c r="ER594" s="69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  <c r="CI595" s="73"/>
      <c r="CJ595" s="73"/>
      <c r="CK595" s="73"/>
      <c r="CL595" s="73"/>
      <c r="CM595" s="73"/>
      <c r="CN595" s="73"/>
      <c r="CO595" s="73"/>
      <c r="CP595" s="73"/>
      <c r="CQ595" s="73"/>
      <c r="CR595" s="73"/>
      <c r="CS595" s="73"/>
      <c r="CT595" s="73"/>
      <c r="CU595" s="73"/>
      <c r="CV595" s="73"/>
      <c r="CW595" s="73"/>
      <c r="CX595" s="73"/>
      <c r="CY595" s="73"/>
      <c r="CZ595" s="73"/>
      <c r="DA595" s="73"/>
      <c r="DB595" s="73"/>
      <c r="DC595" s="73"/>
      <c r="DD595" s="73"/>
      <c r="DE595" s="73"/>
      <c r="DF595" s="73"/>
      <c r="DG595" s="73"/>
      <c r="DH595" s="73"/>
      <c r="DI595" s="73"/>
      <c r="DJ595" s="73"/>
      <c r="DK595" s="73"/>
      <c r="DL595" s="73"/>
      <c r="DM595" s="73"/>
      <c r="DN595" s="73"/>
      <c r="DO595" s="73"/>
      <c r="DP595" s="73"/>
      <c r="DQ595" s="73"/>
      <c r="DR595" s="73"/>
      <c r="DS595" s="73"/>
      <c r="DT595" s="73"/>
      <c r="DU595" s="73"/>
      <c r="DV595" s="73"/>
      <c r="DW595" s="73"/>
      <c r="DX595" s="72"/>
      <c r="DY595" s="72"/>
      <c r="DZ595" s="73"/>
      <c r="EA595" s="73"/>
      <c r="EB595" s="73"/>
      <c r="EC595" s="73"/>
      <c r="ED595" s="73"/>
      <c r="EE595" s="73"/>
      <c r="EF595" s="73"/>
      <c r="EG595" s="73"/>
      <c r="EH595" s="73"/>
      <c r="EI595" s="73"/>
      <c r="EJ595" s="73"/>
      <c r="EK595" s="73"/>
      <c r="EL595" s="73"/>
      <c r="EM595" s="73"/>
      <c r="EN595" s="73"/>
      <c r="EO595" s="73"/>
      <c r="EP595" s="69"/>
      <c r="EQ595" s="69"/>
      <c r="ER595" s="69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  <c r="CI596" s="73"/>
      <c r="CJ596" s="73"/>
      <c r="CK596" s="73"/>
      <c r="CL596" s="73"/>
      <c r="CM596" s="72"/>
      <c r="CN596" s="73"/>
      <c r="CO596" s="73"/>
      <c r="CP596" s="73"/>
      <c r="CQ596" s="73"/>
      <c r="CR596" s="73"/>
      <c r="CS596" s="73"/>
      <c r="CT596" s="73"/>
      <c r="CU596" s="73"/>
      <c r="CV596" s="73"/>
      <c r="CW596" s="73"/>
      <c r="CX596" s="73"/>
      <c r="CY596" s="73"/>
      <c r="CZ596" s="73"/>
      <c r="DA596" s="73"/>
      <c r="DB596" s="73"/>
      <c r="DC596" s="73"/>
      <c r="DD596" s="73"/>
      <c r="DE596" s="73"/>
      <c r="DF596" s="73"/>
      <c r="DG596" s="73"/>
      <c r="DH596" s="73"/>
      <c r="DI596" s="73"/>
      <c r="DJ596" s="73"/>
      <c r="DK596" s="73"/>
      <c r="DL596" s="73"/>
      <c r="DM596" s="73"/>
      <c r="DN596" s="73"/>
      <c r="DO596" s="73"/>
      <c r="DP596" s="73"/>
      <c r="DQ596" s="73"/>
      <c r="DR596" s="73"/>
      <c r="DS596" s="73"/>
      <c r="DT596" s="73"/>
      <c r="DU596" s="73"/>
      <c r="DV596" s="73"/>
      <c r="DW596" s="73"/>
      <c r="DX596" s="72"/>
      <c r="DY596" s="72"/>
      <c r="DZ596" s="73"/>
      <c r="EA596" s="73"/>
      <c r="EB596" s="73"/>
      <c r="EC596" s="73"/>
      <c r="ED596" s="73"/>
      <c r="EE596" s="73"/>
      <c r="EF596" s="73"/>
      <c r="EG596" s="73"/>
      <c r="EH596" s="73"/>
      <c r="EI596" s="73"/>
      <c r="EJ596" s="73"/>
      <c r="EK596" s="73"/>
      <c r="EL596" s="73"/>
      <c r="EM596" s="73"/>
      <c r="EN596" s="73"/>
      <c r="EO596" s="73"/>
      <c r="EP596" s="69"/>
      <c r="EQ596" s="69"/>
      <c r="ER596" s="69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  <c r="CI597" s="73"/>
      <c r="CJ597" s="73"/>
      <c r="CK597" s="73"/>
      <c r="CL597" s="73"/>
      <c r="CM597" s="73"/>
      <c r="CN597" s="73"/>
      <c r="CO597" s="73"/>
      <c r="CP597" s="73"/>
      <c r="CQ597" s="73"/>
      <c r="CR597" s="73"/>
      <c r="CS597" s="73"/>
      <c r="CT597" s="73"/>
      <c r="CU597" s="73"/>
      <c r="CV597" s="73"/>
      <c r="CW597" s="73"/>
      <c r="CX597" s="73"/>
      <c r="CY597" s="73"/>
      <c r="CZ597" s="73"/>
      <c r="DA597" s="73"/>
      <c r="DB597" s="73"/>
      <c r="DC597" s="73"/>
      <c r="DD597" s="73"/>
      <c r="DE597" s="73"/>
      <c r="DF597" s="73"/>
      <c r="DG597" s="73"/>
      <c r="DH597" s="73"/>
      <c r="DI597" s="73"/>
      <c r="DJ597" s="73"/>
      <c r="DK597" s="73"/>
      <c r="DL597" s="73"/>
      <c r="DM597" s="73"/>
      <c r="DN597" s="73"/>
      <c r="DO597" s="73"/>
      <c r="DP597" s="73"/>
      <c r="DQ597" s="73"/>
      <c r="DR597" s="73"/>
      <c r="DS597" s="73"/>
      <c r="DT597" s="73"/>
      <c r="DU597" s="73"/>
      <c r="DV597" s="73"/>
      <c r="DW597" s="73"/>
      <c r="DX597" s="72"/>
      <c r="DY597" s="72"/>
      <c r="DZ597" s="73"/>
      <c r="EA597" s="73"/>
      <c r="EB597" s="73"/>
      <c r="EC597" s="73"/>
      <c r="ED597" s="73"/>
      <c r="EE597" s="73"/>
      <c r="EF597" s="73"/>
      <c r="EG597" s="73"/>
      <c r="EH597" s="73"/>
      <c r="EI597" s="73"/>
      <c r="EJ597" s="73"/>
      <c r="EK597" s="73"/>
      <c r="EL597" s="73"/>
      <c r="EM597" s="73"/>
      <c r="EN597" s="73"/>
      <c r="EO597" s="73"/>
      <c r="EP597" s="69"/>
      <c r="EQ597" s="69"/>
      <c r="ER597" s="69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  <c r="CI598" s="73"/>
      <c r="CJ598" s="73"/>
      <c r="CK598" s="73"/>
      <c r="CL598" s="73"/>
      <c r="CM598" s="73"/>
      <c r="CN598" s="73"/>
      <c r="CO598" s="73"/>
      <c r="CP598" s="73"/>
      <c r="CQ598" s="73"/>
      <c r="CR598" s="73"/>
      <c r="CS598" s="73"/>
      <c r="CT598" s="73"/>
      <c r="CU598" s="73"/>
      <c r="CV598" s="73"/>
      <c r="CW598" s="73"/>
      <c r="CX598" s="73"/>
      <c r="CY598" s="73"/>
      <c r="CZ598" s="73"/>
      <c r="DA598" s="73"/>
      <c r="DB598" s="73"/>
      <c r="DC598" s="73"/>
      <c r="DD598" s="73"/>
      <c r="DE598" s="73"/>
      <c r="DF598" s="73"/>
      <c r="DG598" s="73"/>
      <c r="DH598" s="73"/>
      <c r="DI598" s="73"/>
      <c r="DJ598" s="73"/>
      <c r="DK598" s="73"/>
      <c r="DL598" s="73"/>
      <c r="DM598" s="73"/>
      <c r="DN598" s="73"/>
      <c r="DO598" s="73"/>
      <c r="DP598" s="73"/>
      <c r="DQ598" s="73"/>
      <c r="DR598" s="73"/>
      <c r="DS598" s="73"/>
      <c r="DT598" s="73"/>
      <c r="DU598" s="73"/>
      <c r="DV598" s="73"/>
      <c r="DW598" s="73"/>
      <c r="DX598" s="72"/>
      <c r="DY598" s="72"/>
      <c r="DZ598" s="73"/>
      <c r="EA598" s="73"/>
      <c r="EB598" s="73"/>
      <c r="EC598" s="73"/>
      <c r="ED598" s="73"/>
      <c r="EE598" s="73"/>
      <c r="EF598" s="73"/>
      <c r="EG598" s="73"/>
      <c r="EH598" s="73"/>
      <c r="EI598" s="73"/>
      <c r="EJ598" s="73"/>
      <c r="EK598" s="73"/>
      <c r="EL598" s="73"/>
      <c r="EM598" s="73"/>
      <c r="EN598" s="73"/>
      <c r="EO598" s="73"/>
      <c r="EP598" s="69"/>
      <c r="EQ598" s="69"/>
      <c r="ER598" s="69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  <c r="CK599" s="73"/>
      <c r="CL599" s="73"/>
      <c r="CM599" s="73"/>
      <c r="CN599" s="73"/>
      <c r="CO599" s="73"/>
      <c r="CP599" s="73"/>
      <c r="CQ599" s="73"/>
      <c r="CR599" s="73"/>
      <c r="CS599" s="73"/>
      <c r="CT599" s="73"/>
      <c r="CU599" s="73"/>
      <c r="CV599" s="73"/>
      <c r="CW599" s="73"/>
      <c r="CX599" s="73"/>
      <c r="CY599" s="73"/>
      <c r="CZ599" s="73"/>
      <c r="DA599" s="73"/>
      <c r="DB599" s="73"/>
      <c r="DC599" s="73"/>
      <c r="DD599" s="73"/>
      <c r="DE599" s="73"/>
      <c r="DF599" s="73"/>
      <c r="DG599" s="73"/>
      <c r="DH599" s="73"/>
      <c r="DI599" s="73"/>
      <c r="DJ599" s="73"/>
      <c r="DK599" s="73"/>
      <c r="DL599" s="73"/>
      <c r="DM599" s="73"/>
      <c r="DN599" s="73"/>
      <c r="DO599" s="73"/>
      <c r="DP599" s="73"/>
      <c r="DQ599" s="73"/>
      <c r="DR599" s="73"/>
      <c r="DS599" s="73"/>
      <c r="DT599" s="73"/>
      <c r="DU599" s="73"/>
      <c r="DV599" s="73"/>
      <c r="DW599" s="73"/>
      <c r="DX599" s="72"/>
      <c r="DY599" s="72"/>
      <c r="DZ599" s="73"/>
      <c r="EA599" s="73"/>
      <c r="EB599" s="73"/>
      <c r="EC599" s="73"/>
      <c r="ED599" s="73"/>
      <c r="EE599" s="73"/>
      <c r="EF599" s="73"/>
      <c r="EG599" s="73"/>
      <c r="EH599" s="73"/>
      <c r="EI599" s="73"/>
      <c r="EJ599" s="73"/>
      <c r="EK599" s="73"/>
      <c r="EL599" s="73"/>
      <c r="EM599" s="73"/>
      <c r="EN599" s="73"/>
      <c r="EO599" s="73"/>
      <c r="EP599" s="69"/>
      <c r="EQ599" s="69"/>
      <c r="ER599" s="69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  <c r="CI600" s="73"/>
      <c r="CJ600" s="73"/>
      <c r="CK600" s="73"/>
      <c r="CL600" s="73"/>
      <c r="CM600" s="73"/>
      <c r="CN600" s="73"/>
      <c r="CO600" s="73"/>
      <c r="CP600" s="73"/>
      <c r="CQ600" s="73"/>
      <c r="CR600" s="73"/>
      <c r="CS600" s="73"/>
      <c r="CT600" s="73"/>
      <c r="CU600" s="73"/>
      <c r="CV600" s="73"/>
      <c r="CW600" s="73"/>
      <c r="CX600" s="73"/>
      <c r="CY600" s="73"/>
      <c r="CZ600" s="73"/>
      <c r="DA600" s="73"/>
      <c r="DB600" s="73"/>
      <c r="DC600" s="73"/>
      <c r="DD600" s="73"/>
      <c r="DE600" s="73"/>
      <c r="DF600" s="73"/>
      <c r="DG600" s="73"/>
      <c r="DH600" s="73"/>
      <c r="DI600" s="73"/>
      <c r="DJ600" s="73"/>
      <c r="DK600" s="73"/>
      <c r="DL600" s="73"/>
      <c r="DM600" s="73"/>
      <c r="DN600" s="73"/>
      <c r="DO600" s="73"/>
      <c r="DP600" s="73"/>
      <c r="DQ600" s="73"/>
      <c r="DR600" s="73"/>
      <c r="DS600" s="73"/>
      <c r="DT600" s="73"/>
      <c r="DU600" s="73"/>
      <c r="DV600" s="73"/>
      <c r="DW600" s="73"/>
      <c r="DX600" s="72"/>
      <c r="DY600" s="72"/>
      <c r="DZ600" s="73"/>
      <c r="EA600" s="73"/>
      <c r="EB600" s="73"/>
      <c r="EC600" s="73"/>
      <c r="ED600" s="73"/>
      <c r="EE600" s="73"/>
      <c r="EF600" s="73"/>
      <c r="EG600" s="73"/>
      <c r="EH600" s="73"/>
      <c r="EI600" s="73"/>
      <c r="EJ600" s="73"/>
      <c r="EK600" s="73"/>
      <c r="EL600" s="73"/>
      <c r="EM600" s="73"/>
      <c r="EN600" s="73"/>
      <c r="EO600" s="73"/>
      <c r="EP600" s="69"/>
      <c r="EQ600" s="69"/>
      <c r="ER600" s="69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  <c r="CI601" s="73"/>
      <c r="CJ601" s="73"/>
      <c r="CK601" s="73"/>
      <c r="CL601" s="73"/>
      <c r="CM601" s="73"/>
      <c r="CN601" s="73"/>
      <c r="CO601" s="73"/>
      <c r="CP601" s="73"/>
      <c r="CQ601" s="73"/>
      <c r="CR601" s="73"/>
      <c r="CS601" s="73"/>
      <c r="CT601" s="73"/>
      <c r="CU601" s="73"/>
      <c r="CV601" s="73"/>
      <c r="CW601" s="73"/>
      <c r="CX601" s="73"/>
      <c r="CY601" s="73"/>
      <c r="CZ601" s="73"/>
      <c r="DA601" s="73"/>
      <c r="DB601" s="73"/>
      <c r="DC601" s="73"/>
      <c r="DD601" s="73"/>
      <c r="DE601" s="73"/>
      <c r="DF601" s="73"/>
      <c r="DG601" s="73"/>
      <c r="DH601" s="73"/>
      <c r="DI601" s="73"/>
      <c r="DJ601" s="73"/>
      <c r="DK601" s="73"/>
      <c r="DL601" s="73"/>
      <c r="DM601" s="73"/>
      <c r="DN601" s="73"/>
      <c r="DO601" s="73"/>
      <c r="DP601" s="73"/>
      <c r="DQ601" s="73"/>
      <c r="DR601" s="73"/>
      <c r="DS601" s="73"/>
      <c r="DT601" s="73"/>
      <c r="DU601" s="73"/>
      <c r="DV601" s="73"/>
      <c r="DW601" s="73"/>
      <c r="DX601" s="72"/>
      <c r="DY601" s="72"/>
      <c r="DZ601" s="73"/>
      <c r="EA601" s="73"/>
      <c r="EB601" s="73"/>
      <c r="EC601" s="73"/>
      <c r="ED601" s="73"/>
      <c r="EE601" s="73"/>
      <c r="EF601" s="73"/>
      <c r="EG601" s="73"/>
      <c r="EH601" s="73"/>
      <c r="EI601" s="73"/>
      <c r="EJ601" s="73"/>
      <c r="EK601" s="73"/>
      <c r="EL601" s="73"/>
      <c r="EM601" s="73"/>
      <c r="EN601" s="73"/>
      <c r="EO601" s="73"/>
      <c r="EP601" s="69"/>
      <c r="EQ601" s="69"/>
      <c r="ER601" s="69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  <c r="CI602" s="73"/>
      <c r="CJ602" s="73"/>
      <c r="CK602" s="73"/>
      <c r="CL602" s="73"/>
      <c r="CM602" s="73"/>
      <c r="CN602" s="73"/>
      <c r="CO602" s="73"/>
      <c r="CP602" s="73"/>
      <c r="CQ602" s="73"/>
      <c r="CR602" s="73"/>
      <c r="CS602" s="73"/>
      <c r="CT602" s="73"/>
      <c r="CU602" s="73"/>
      <c r="CV602" s="73"/>
      <c r="CW602" s="73"/>
      <c r="CX602" s="73"/>
      <c r="CY602" s="73"/>
      <c r="CZ602" s="73"/>
      <c r="DA602" s="73"/>
      <c r="DB602" s="73"/>
      <c r="DC602" s="73"/>
      <c r="DD602" s="73"/>
      <c r="DE602" s="73"/>
      <c r="DF602" s="73"/>
      <c r="DG602" s="73"/>
      <c r="DH602" s="73"/>
      <c r="DI602" s="73"/>
      <c r="DJ602" s="73"/>
      <c r="DK602" s="73"/>
      <c r="DL602" s="73"/>
      <c r="DM602" s="73"/>
      <c r="DN602" s="73"/>
      <c r="DO602" s="73"/>
      <c r="DP602" s="73"/>
      <c r="DQ602" s="73"/>
      <c r="DR602" s="73"/>
      <c r="DS602" s="73"/>
      <c r="DT602" s="73"/>
      <c r="DU602" s="73"/>
      <c r="DV602" s="73"/>
      <c r="DW602" s="73"/>
      <c r="DX602" s="72"/>
      <c r="DY602" s="72"/>
      <c r="DZ602" s="73"/>
      <c r="EA602" s="73"/>
      <c r="EB602" s="73"/>
      <c r="EC602" s="73"/>
      <c r="ED602" s="73"/>
      <c r="EE602" s="73"/>
      <c r="EF602" s="73"/>
      <c r="EG602" s="73"/>
      <c r="EH602" s="73"/>
      <c r="EI602" s="73"/>
      <c r="EJ602" s="73"/>
      <c r="EK602" s="73"/>
      <c r="EL602" s="73"/>
      <c r="EM602" s="73"/>
      <c r="EN602" s="73"/>
      <c r="EO602" s="73"/>
      <c r="EP602" s="69"/>
      <c r="EQ602" s="69"/>
      <c r="ER602" s="69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  <c r="CI603" s="73"/>
      <c r="CJ603" s="73"/>
      <c r="CK603" s="73"/>
      <c r="CL603" s="73"/>
      <c r="CM603" s="73"/>
      <c r="CN603" s="73"/>
      <c r="CO603" s="73"/>
      <c r="CP603" s="73"/>
      <c r="CQ603" s="73"/>
      <c r="CR603" s="73"/>
      <c r="CS603" s="73"/>
      <c r="CT603" s="73"/>
      <c r="CU603" s="73"/>
      <c r="CV603" s="73"/>
      <c r="CW603" s="73"/>
      <c r="CX603" s="73"/>
      <c r="CY603" s="73"/>
      <c r="CZ603" s="73"/>
      <c r="DA603" s="73"/>
      <c r="DB603" s="73"/>
      <c r="DC603" s="73"/>
      <c r="DD603" s="73"/>
      <c r="DE603" s="73"/>
      <c r="DF603" s="73"/>
      <c r="DG603" s="73"/>
      <c r="DH603" s="73"/>
      <c r="DI603" s="73"/>
      <c r="DJ603" s="73"/>
      <c r="DK603" s="73"/>
      <c r="DL603" s="73"/>
      <c r="DM603" s="73"/>
      <c r="DN603" s="73"/>
      <c r="DO603" s="73"/>
      <c r="DP603" s="73"/>
      <c r="DQ603" s="73"/>
      <c r="DR603" s="73"/>
      <c r="DS603" s="73"/>
      <c r="DT603" s="73"/>
      <c r="DU603" s="73"/>
      <c r="DV603" s="73"/>
      <c r="DW603" s="73"/>
      <c r="DX603" s="73"/>
      <c r="DY603" s="73"/>
      <c r="DZ603" s="73"/>
      <c r="EA603" s="73"/>
      <c r="EB603" s="73"/>
      <c r="EC603" s="73"/>
      <c r="ED603" s="73"/>
      <c r="EE603" s="73"/>
      <c r="EF603" s="73"/>
      <c r="EG603" s="73"/>
      <c r="EH603" s="73"/>
      <c r="EI603" s="73"/>
      <c r="EJ603" s="73"/>
      <c r="EK603" s="73"/>
      <c r="EL603" s="73"/>
      <c r="EM603" s="73"/>
      <c r="EN603" s="73"/>
      <c r="EO603" s="73"/>
      <c r="EP603" s="69"/>
      <c r="EQ603" s="69"/>
      <c r="ER603" s="69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  <c r="CK604" s="73"/>
      <c r="CL604" s="73"/>
      <c r="CM604" s="73"/>
      <c r="CN604" s="73"/>
      <c r="CO604" s="73"/>
      <c r="CP604" s="73"/>
      <c r="CQ604" s="73"/>
      <c r="CR604" s="73"/>
      <c r="CS604" s="73"/>
      <c r="CT604" s="73"/>
      <c r="CU604" s="73"/>
      <c r="CV604" s="73"/>
      <c r="CW604" s="73"/>
      <c r="CX604" s="73"/>
      <c r="CY604" s="73"/>
      <c r="CZ604" s="73"/>
      <c r="DA604" s="73"/>
      <c r="DB604" s="73"/>
      <c r="DC604" s="73"/>
      <c r="DD604" s="73"/>
      <c r="DE604" s="73"/>
      <c r="DF604" s="73"/>
      <c r="DG604" s="73"/>
      <c r="DH604" s="73"/>
      <c r="DI604" s="73"/>
      <c r="DJ604" s="73"/>
      <c r="DK604" s="73"/>
      <c r="DL604" s="73"/>
      <c r="DM604" s="73"/>
      <c r="DN604" s="73"/>
      <c r="DO604" s="73"/>
      <c r="DP604" s="73"/>
      <c r="DQ604" s="73"/>
      <c r="DR604" s="73"/>
      <c r="DS604" s="73"/>
      <c r="DT604" s="73"/>
      <c r="DU604" s="73"/>
      <c r="DV604" s="73"/>
      <c r="DW604" s="73"/>
      <c r="DX604" s="72"/>
      <c r="DY604" s="72"/>
      <c r="DZ604" s="73"/>
      <c r="EA604" s="73"/>
      <c r="EB604" s="73"/>
      <c r="EC604" s="73"/>
      <c r="ED604" s="73"/>
      <c r="EE604" s="73"/>
      <c r="EF604" s="73"/>
      <c r="EG604" s="73"/>
      <c r="EH604" s="73"/>
      <c r="EI604" s="73"/>
      <c r="EJ604" s="73"/>
      <c r="EK604" s="73"/>
      <c r="EL604" s="73"/>
      <c r="EM604" s="73"/>
      <c r="EN604" s="73"/>
      <c r="EO604" s="73"/>
      <c r="EP604" s="69"/>
      <c r="EQ604" s="69"/>
      <c r="ER604" s="69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  <c r="CI605" s="73"/>
      <c r="CJ605" s="73"/>
      <c r="CK605" s="73"/>
      <c r="CL605" s="73"/>
      <c r="CM605" s="72"/>
      <c r="CN605" s="73"/>
      <c r="CO605" s="73"/>
      <c r="CP605" s="73"/>
      <c r="CQ605" s="73"/>
      <c r="CR605" s="73"/>
      <c r="CS605" s="73"/>
      <c r="CT605" s="73"/>
      <c r="CU605" s="73"/>
      <c r="CV605" s="73"/>
      <c r="CW605" s="73"/>
      <c r="CX605" s="73"/>
      <c r="CY605" s="73"/>
      <c r="CZ605" s="73"/>
      <c r="DA605" s="73"/>
      <c r="DB605" s="73"/>
      <c r="DC605" s="73"/>
      <c r="DD605" s="73"/>
      <c r="DE605" s="73"/>
      <c r="DF605" s="73"/>
      <c r="DG605" s="73"/>
      <c r="DH605" s="73"/>
      <c r="DI605" s="73"/>
      <c r="DJ605" s="73"/>
      <c r="DK605" s="73"/>
      <c r="DL605" s="73"/>
      <c r="DM605" s="73"/>
      <c r="DN605" s="73"/>
      <c r="DO605" s="73"/>
      <c r="DP605" s="73"/>
      <c r="DQ605" s="73"/>
      <c r="DR605" s="73"/>
      <c r="DS605" s="73"/>
      <c r="DT605" s="73"/>
      <c r="DU605" s="73"/>
      <c r="DV605" s="73"/>
      <c r="DW605" s="73"/>
      <c r="DX605" s="72"/>
      <c r="DY605" s="72"/>
      <c r="DZ605" s="73"/>
      <c r="EA605" s="73"/>
      <c r="EB605" s="73"/>
      <c r="EC605" s="73"/>
      <c r="ED605" s="73"/>
      <c r="EE605" s="73"/>
      <c r="EF605" s="73"/>
      <c r="EG605" s="73"/>
      <c r="EH605" s="73"/>
      <c r="EI605" s="73"/>
      <c r="EJ605" s="73"/>
      <c r="EK605" s="73"/>
      <c r="EL605" s="73"/>
      <c r="EM605" s="73"/>
      <c r="EN605" s="73"/>
      <c r="EO605" s="73"/>
      <c r="EP605" s="69"/>
      <c r="EQ605" s="69"/>
      <c r="ER605" s="69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  <c r="CI606" s="73"/>
      <c r="CJ606" s="73"/>
      <c r="CK606" s="73"/>
      <c r="CL606" s="73"/>
      <c r="CM606" s="73"/>
      <c r="CN606" s="73"/>
      <c r="CO606" s="73"/>
      <c r="CP606" s="73"/>
      <c r="CQ606" s="73"/>
      <c r="CR606" s="73"/>
      <c r="CS606" s="73"/>
      <c r="CT606" s="73"/>
      <c r="CU606" s="73"/>
      <c r="CV606" s="73"/>
      <c r="CW606" s="73"/>
      <c r="CX606" s="73"/>
      <c r="CY606" s="73"/>
      <c r="CZ606" s="73"/>
      <c r="DA606" s="73"/>
      <c r="DB606" s="73"/>
      <c r="DC606" s="73"/>
      <c r="DD606" s="73"/>
      <c r="DE606" s="73"/>
      <c r="DF606" s="73"/>
      <c r="DG606" s="73"/>
      <c r="DH606" s="73"/>
      <c r="DI606" s="73"/>
      <c r="DJ606" s="73"/>
      <c r="DK606" s="73"/>
      <c r="DL606" s="73"/>
      <c r="DM606" s="73"/>
      <c r="DN606" s="73"/>
      <c r="DO606" s="73"/>
      <c r="DP606" s="73"/>
      <c r="DQ606" s="73"/>
      <c r="DR606" s="73"/>
      <c r="DS606" s="73"/>
      <c r="DT606" s="73"/>
      <c r="DU606" s="73"/>
      <c r="DV606" s="73"/>
      <c r="DW606" s="73"/>
      <c r="DX606" s="73"/>
      <c r="DY606" s="73"/>
      <c r="DZ606" s="73"/>
      <c r="EA606" s="73"/>
      <c r="EB606" s="73"/>
      <c r="EC606" s="73"/>
      <c r="ED606" s="73"/>
      <c r="EE606" s="73"/>
      <c r="EF606" s="73"/>
      <c r="EG606" s="73"/>
      <c r="EH606" s="73"/>
      <c r="EI606" s="73"/>
      <c r="EJ606" s="73"/>
      <c r="EK606" s="73"/>
      <c r="EL606" s="73"/>
      <c r="EM606" s="73"/>
      <c r="EN606" s="73"/>
      <c r="EO606" s="73"/>
      <c r="EP606" s="69"/>
      <c r="EQ606" s="69"/>
      <c r="ER606" s="69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  <c r="CI607" s="73"/>
      <c r="CJ607" s="73"/>
      <c r="CK607" s="73"/>
      <c r="CL607" s="73"/>
      <c r="CM607" s="72"/>
      <c r="CN607" s="73"/>
      <c r="CO607" s="73"/>
      <c r="CP607" s="73"/>
      <c r="CQ607" s="73"/>
      <c r="CR607" s="73"/>
      <c r="CS607" s="73"/>
      <c r="CT607" s="73"/>
      <c r="CU607" s="73"/>
      <c r="CV607" s="73"/>
      <c r="CW607" s="73"/>
      <c r="CX607" s="73"/>
      <c r="CY607" s="73"/>
      <c r="CZ607" s="73"/>
      <c r="DA607" s="73"/>
      <c r="DB607" s="73"/>
      <c r="DC607" s="73"/>
      <c r="DD607" s="73"/>
      <c r="DE607" s="73"/>
      <c r="DF607" s="73"/>
      <c r="DG607" s="73"/>
      <c r="DH607" s="73"/>
      <c r="DI607" s="73"/>
      <c r="DJ607" s="73"/>
      <c r="DK607" s="73"/>
      <c r="DL607" s="73"/>
      <c r="DM607" s="73"/>
      <c r="DN607" s="73"/>
      <c r="DO607" s="73"/>
      <c r="DP607" s="73"/>
      <c r="DQ607" s="73"/>
      <c r="DR607" s="73"/>
      <c r="DS607" s="73"/>
      <c r="DT607" s="73"/>
      <c r="DU607" s="73"/>
      <c r="DV607" s="73"/>
      <c r="DW607" s="73"/>
      <c r="DX607" s="73"/>
      <c r="DY607" s="73"/>
      <c r="DZ607" s="73"/>
      <c r="EA607" s="73"/>
      <c r="EB607" s="73"/>
      <c r="EC607" s="73"/>
      <c r="ED607" s="73"/>
      <c r="EE607" s="73"/>
      <c r="EF607" s="73"/>
      <c r="EG607" s="73"/>
      <c r="EH607" s="73"/>
      <c r="EI607" s="73"/>
      <c r="EJ607" s="73"/>
      <c r="EK607" s="73"/>
      <c r="EL607" s="73"/>
      <c r="EM607" s="73"/>
      <c r="EN607" s="73"/>
      <c r="EO607" s="73"/>
      <c r="EP607" s="69"/>
      <c r="EQ607" s="69"/>
      <c r="ER607" s="69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  <c r="CI608" s="73"/>
      <c r="CJ608" s="73"/>
      <c r="CK608" s="73"/>
      <c r="CL608" s="73"/>
      <c r="CM608" s="73"/>
      <c r="CN608" s="73"/>
      <c r="CO608" s="73"/>
      <c r="CP608" s="73"/>
      <c r="CQ608" s="73"/>
      <c r="CR608" s="73"/>
      <c r="CS608" s="73"/>
      <c r="CT608" s="73"/>
      <c r="CU608" s="73"/>
      <c r="CV608" s="73"/>
      <c r="CW608" s="73"/>
      <c r="CX608" s="73"/>
      <c r="CY608" s="73"/>
      <c r="CZ608" s="73"/>
      <c r="DA608" s="73"/>
      <c r="DB608" s="73"/>
      <c r="DC608" s="73"/>
      <c r="DD608" s="73"/>
      <c r="DE608" s="73"/>
      <c r="DF608" s="73"/>
      <c r="DG608" s="73"/>
      <c r="DH608" s="73"/>
      <c r="DI608" s="73"/>
      <c r="DJ608" s="73"/>
      <c r="DK608" s="73"/>
      <c r="DL608" s="73"/>
      <c r="DM608" s="73"/>
      <c r="DN608" s="73"/>
      <c r="DO608" s="73"/>
      <c r="DP608" s="73"/>
      <c r="DQ608" s="73"/>
      <c r="DR608" s="73"/>
      <c r="DS608" s="73"/>
      <c r="DT608" s="73"/>
      <c r="DU608" s="73"/>
      <c r="DV608" s="73"/>
      <c r="DW608" s="73"/>
      <c r="DX608" s="73"/>
      <c r="DY608" s="73"/>
      <c r="DZ608" s="73"/>
      <c r="EA608" s="73"/>
      <c r="EB608" s="73"/>
      <c r="EC608" s="73"/>
      <c r="ED608" s="73"/>
      <c r="EE608" s="73"/>
      <c r="EF608" s="73"/>
      <c r="EG608" s="73"/>
      <c r="EH608" s="73"/>
      <c r="EI608" s="73"/>
      <c r="EJ608" s="73"/>
      <c r="EK608" s="73"/>
      <c r="EL608" s="73"/>
      <c r="EM608" s="73"/>
      <c r="EN608" s="73"/>
      <c r="EO608" s="73"/>
      <c r="EP608" s="69"/>
      <c r="EQ608" s="69"/>
      <c r="ER608" s="69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  <c r="CK609" s="73"/>
      <c r="CL609" s="73"/>
      <c r="CM609" s="73"/>
      <c r="CN609" s="73"/>
      <c r="CO609" s="73"/>
      <c r="CP609" s="73"/>
      <c r="CQ609" s="73"/>
      <c r="CR609" s="73"/>
      <c r="CS609" s="73"/>
      <c r="CT609" s="73"/>
      <c r="CU609" s="73"/>
      <c r="CV609" s="73"/>
      <c r="CW609" s="73"/>
      <c r="CX609" s="73"/>
      <c r="CY609" s="73"/>
      <c r="CZ609" s="73"/>
      <c r="DA609" s="73"/>
      <c r="DB609" s="73"/>
      <c r="DC609" s="73"/>
      <c r="DD609" s="73"/>
      <c r="DE609" s="73"/>
      <c r="DF609" s="73"/>
      <c r="DG609" s="73"/>
      <c r="DH609" s="73"/>
      <c r="DI609" s="73"/>
      <c r="DJ609" s="73"/>
      <c r="DK609" s="73"/>
      <c r="DL609" s="73"/>
      <c r="DM609" s="73"/>
      <c r="DN609" s="73"/>
      <c r="DO609" s="73"/>
      <c r="DP609" s="73"/>
      <c r="DQ609" s="73"/>
      <c r="DR609" s="73"/>
      <c r="DS609" s="73"/>
      <c r="DT609" s="73"/>
      <c r="DU609" s="73"/>
      <c r="DV609" s="73"/>
      <c r="DW609" s="73"/>
      <c r="DX609" s="72"/>
      <c r="DY609" s="72"/>
      <c r="DZ609" s="73"/>
      <c r="EA609" s="73"/>
      <c r="EB609" s="73"/>
      <c r="EC609" s="73"/>
      <c r="ED609" s="73"/>
      <c r="EE609" s="73"/>
      <c r="EF609" s="73"/>
      <c r="EG609" s="73"/>
      <c r="EH609" s="73"/>
      <c r="EI609" s="73"/>
      <c r="EJ609" s="73"/>
      <c r="EK609" s="73"/>
      <c r="EL609" s="73"/>
      <c r="EM609" s="73"/>
      <c r="EN609" s="73"/>
      <c r="EO609" s="73"/>
      <c r="EP609" s="69"/>
      <c r="EQ609" s="69"/>
      <c r="ER609" s="69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  <c r="CI610" s="73"/>
      <c r="CJ610" s="73"/>
      <c r="CK610" s="73"/>
      <c r="CL610" s="73"/>
      <c r="CM610" s="73"/>
      <c r="CN610" s="73"/>
      <c r="CO610" s="73"/>
      <c r="CP610" s="73"/>
      <c r="CQ610" s="73"/>
      <c r="CR610" s="73"/>
      <c r="CS610" s="73"/>
      <c r="CT610" s="73"/>
      <c r="CU610" s="73"/>
      <c r="CV610" s="73"/>
      <c r="CW610" s="73"/>
      <c r="CX610" s="73"/>
      <c r="CY610" s="73"/>
      <c r="CZ610" s="73"/>
      <c r="DA610" s="73"/>
      <c r="DB610" s="73"/>
      <c r="DC610" s="73"/>
      <c r="DD610" s="73"/>
      <c r="DE610" s="73"/>
      <c r="DF610" s="73"/>
      <c r="DG610" s="73"/>
      <c r="DH610" s="73"/>
      <c r="DI610" s="73"/>
      <c r="DJ610" s="73"/>
      <c r="DK610" s="73"/>
      <c r="DL610" s="73"/>
      <c r="DM610" s="73"/>
      <c r="DN610" s="73"/>
      <c r="DO610" s="73"/>
      <c r="DP610" s="73"/>
      <c r="DQ610" s="73"/>
      <c r="DR610" s="73"/>
      <c r="DS610" s="73"/>
      <c r="DT610" s="73"/>
      <c r="DU610" s="73"/>
      <c r="DV610" s="73"/>
      <c r="DW610" s="73"/>
      <c r="DX610" s="73"/>
      <c r="DY610" s="73"/>
      <c r="DZ610" s="73"/>
      <c r="EA610" s="73"/>
      <c r="EB610" s="73"/>
      <c r="EC610" s="73"/>
      <c r="ED610" s="73"/>
      <c r="EE610" s="73"/>
      <c r="EF610" s="73"/>
      <c r="EG610" s="73"/>
      <c r="EH610" s="73"/>
      <c r="EI610" s="73"/>
      <c r="EJ610" s="73"/>
      <c r="EK610" s="73"/>
      <c r="EL610" s="73"/>
      <c r="EM610" s="73"/>
      <c r="EN610" s="73"/>
      <c r="EO610" s="73"/>
      <c r="EP610" s="69"/>
      <c r="EQ610" s="69"/>
      <c r="ER610" s="69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73"/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73"/>
      <c r="DC611" s="73"/>
      <c r="DD611" s="73"/>
      <c r="DE611" s="73"/>
      <c r="DF611" s="73"/>
      <c r="DG611" s="73"/>
      <c r="DH611" s="73"/>
      <c r="DI611" s="73"/>
      <c r="DJ611" s="73"/>
      <c r="DK611" s="73"/>
      <c r="DL611" s="73"/>
      <c r="DM611" s="73"/>
      <c r="DN611" s="73"/>
      <c r="DO611" s="73"/>
      <c r="DP611" s="73"/>
      <c r="DQ611" s="73"/>
      <c r="DR611" s="73"/>
      <c r="DS611" s="73"/>
      <c r="DT611" s="73"/>
      <c r="DU611" s="73"/>
      <c r="DV611" s="73"/>
      <c r="DW611" s="73"/>
      <c r="DX611" s="72"/>
      <c r="DY611" s="72"/>
      <c r="DZ611" s="73"/>
      <c r="EA611" s="73"/>
      <c r="EB611" s="73"/>
      <c r="EC611" s="73"/>
      <c r="ED611" s="73"/>
      <c r="EE611" s="73"/>
      <c r="EF611" s="73"/>
      <c r="EG611" s="73"/>
      <c r="EH611" s="73"/>
      <c r="EI611" s="73"/>
      <c r="EJ611" s="73"/>
      <c r="EK611" s="73"/>
      <c r="EL611" s="73"/>
      <c r="EM611" s="73"/>
      <c r="EN611" s="73"/>
      <c r="EO611" s="73"/>
      <c r="EP611" s="69"/>
      <c r="EQ611" s="69"/>
      <c r="ER611" s="69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  <c r="CI612" s="73"/>
      <c r="CJ612" s="73"/>
      <c r="CK612" s="73"/>
      <c r="CL612" s="73"/>
      <c r="CM612" s="73"/>
      <c r="CN612" s="73"/>
      <c r="CO612" s="73"/>
      <c r="CP612" s="73"/>
      <c r="CQ612" s="73"/>
      <c r="CR612" s="73"/>
      <c r="CS612" s="73"/>
      <c r="CT612" s="73"/>
      <c r="CU612" s="73"/>
      <c r="CV612" s="73"/>
      <c r="CW612" s="73"/>
      <c r="CX612" s="73"/>
      <c r="CY612" s="73"/>
      <c r="CZ612" s="73"/>
      <c r="DA612" s="73"/>
      <c r="DB612" s="73"/>
      <c r="DC612" s="73"/>
      <c r="DD612" s="73"/>
      <c r="DE612" s="73"/>
      <c r="DF612" s="73"/>
      <c r="DG612" s="73"/>
      <c r="DH612" s="73"/>
      <c r="DI612" s="73"/>
      <c r="DJ612" s="73"/>
      <c r="DK612" s="73"/>
      <c r="DL612" s="73"/>
      <c r="DM612" s="73"/>
      <c r="DN612" s="73"/>
      <c r="DO612" s="73"/>
      <c r="DP612" s="73"/>
      <c r="DQ612" s="73"/>
      <c r="DR612" s="73"/>
      <c r="DS612" s="73"/>
      <c r="DT612" s="73"/>
      <c r="DU612" s="73"/>
      <c r="DV612" s="73"/>
      <c r="DW612" s="73"/>
      <c r="DX612" s="72"/>
      <c r="DY612" s="72"/>
      <c r="DZ612" s="73"/>
      <c r="EA612" s="73"/>
      <c r="EB612" s="73"/>
      <c r="EC612" s="73"/>
      <c r="ED612" s="73"/>
      <c r="EE612" s="73"/>
      <c r="EF612" s="73"/>
      <c r="EG612" s="73"/>
      <c r="EH612" s="73"/>
      <c r="EI612" s="73"/>
      <c r="EJ612" s="73"/>
      <c r="EK612" s="73"/>
      <c r="EL612" s="73"/>
      <c r="EM612" s="73"/>
      <c r="EN612" s="73"/>
      <c r="EO612" s="73"/>
      <c r="EP612" s="69"/>
      <c r="EQ612" s="69"/>
      <c r="ER612" s="69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73"/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73"/>
      <c r="DC613" s="73"/>
      <c r="DD613" s="73"/>
      <c r="DE613" s="73"/>
      <c r="DF613" s="73"/>
      <c r="DG613" s="73"/>
      <c r="DH613" s="73"/>
      <c r="DI613" s="73"/>
      <c r="DJ613" s="73"/>
      <c r="DK613" s="73"/>
      <c r="DL613" s="73"/>
      <c r="DM613" s="73"/>
      <c r="DN613" s="73"/>
      <c r="DO613" s="73"/>
      <c r="DP613" s="73"/>
      <c r="DQ613" s="73"/>
      <c r="DR613" s="73"/>
      <c r="DS613" s="73"/>
      <c r="DT613" s="73"/>
      <c r="DU613" s="73"/>
      <c r="DV613" s="73"/>
      <c r="DW613" s="73"/>
      <c r="DX613" s="73"/>
      <c r="DY613" s="73"/>
      <c r="DZ613" s="73"/>
      <c r="EA613" s="73"/>
      <c r="EB613" s="73"/>
      <c r="EC613" s="73"/>
      <c r="ED613" s="73"/>
      <c r="EE613" s="73"/>
      <c r="EF613" s="73"/>
      <c r="EG613" s="73"/>
      <c r="EH613" s="73"/>
      <c r="EI613" s="73"/>
      <c r="EJ613" s="73"/>
      <c r="EK613" s="73"/>
      <c r="EL613" s="73"/>
      <c r="EM613" s="73"/>
      <c r="EN613" s="73"/>
      <c r="EO613" s="73"/>
      <c r="EP613" s="69"/>
      <c r="EQ613" s="69"/>
      <c r="ER613" s="69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  <c r="CK614" s="73"/>
      <c r="CL614" s="73"/>
      <c r="CM614" s="73"/>
      <c r="CN614" s="73"/>
      <c r="CO614" s="73"/>
      <c r="CP614" s="73"/>
      <c r="CQ614" s="73"/>
      <c r="CR614" s="73"/>
      <c r="CS614" s="73"/>
      <c r="CT614" s="73"/>
      <c r="CU614" s="73"/>
      <c r="CV614" s="73"/>
      <c r="CW614" s="73"/>
      <c r="CX614" s="73"/>
      <c r="CY614" s="73"/>
      <c r="CZ614" s="73"/>
      <c r="DA614" s="73"/>
      <c r="DB614" s="73"/>
      <c r="DC614" s="73"/>
      <c r="DD614" s="73"/>
      <c r="DE614" s="73"/>
      <c r="DF614" s="73"/>
      <c r="DG614" s="73"/>
      <c r="DH614" s="73"/>
      <c r="DI614" s="73"/>
      <c r="DJ614" s="73"/>
      <c r="DK614" s="73"/>
      <c r="DL614" s="73"/>
      <c r="DM614" s="73"/>
      <c r="DN614" s="73"/>
      <c r="DO614" s="73"/>
      <c r="DP614" s="73"/>
      <c r="DQ614" s="73"/>
      <c r="DR614" s="73"/>
      <c r="DS614" s="73"/>
      <c r="DT614" s="73"/>
      <c r="DU614" s="73"/>
      <c r="DV614" s="73"/>
      <c r="DW614" s="73"/>
      <c r="DX614" s="73"/>
      <c r="DY614" s="73"/>
      <c r="DZ614" s="73"/>
      <c r="EA614" s="73"/>
      <c r="EB614" s="73"/>
      <c r="EC614" s="73"/>
      <c r="ED614" s="73"/>
      <c r="EE614" s="73"/>
      <c r="EF614" s="73"/>
      <c r="EG614" s="73"/>
      <c r="EH614" s="73"/>
      <c r="EI614" s="73"/>
      <c r="EJ614" s="73"/>
      <c r="EK614" s="73"/>
      <c r="EL614" s="73"/>
      <c r="EM614" s="73"/>
      <c r="EN614" s="73"/>
      <c r="EO614" s="73"/>
      <c r="EP614" s="69"/>
      <c r="EQ614" s="69"/>
      <c r="ER614" s="69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  <c r="CI615" s="73"/>
      <c r="CJ615" s="73"/>
      <c r="CK615" s="73"/>
      <c r="CL615" s="73"/>
      <c r="CM615" s="72"/>
      <c r="CN615" s="73"/>
      <c r="CO615" s="73"/>
      <c r="CP615" s="73"/>
      <c r="CQ615" s="73"/>
      <c r="CR615" s="73"/>
      <c r="CS615" s="73"/>
      <c r="CT615" s="73"/>
      <c r="CU615" s="73"/>
      <c r="CV615" s="73"/>
      <c r="CW615" s="73"/>
      <c r="CX615" s="73"/>
      <c r="CY615" s="73"/>
      <c r="CZ615" s="73"/>
      <c r="DA615" s="73"/>
      <c r="DB615" s="73"/>
      <c r="DC615" s="73"/>
      <c r="DD615" s="73"/>
      <c r="DE615" s="73"/>
      <c r="DF615" s="73"/>
      <c r="DG615" s="73"/>
      <c r="DH615" s="73"/>
      <c r="DI615" s="73"/>
      <c r="DJ615" s="73"/>
      <c r="DK615" s="73"/>
      <c r="DL615" s="73"/>
      <c r="DM615" s="73"/>
      <c r="DN615" s="73"/>
      <c r="DO615" s="73"/>
      <c r="DP615" s="73"/>
      <c r="DQ615" s="73"/>
      <c r="DR615" s="73"/>
      <c r="DS615" s="73"/>
      <c r="DT615" s="73"/>
      <c r="DU615" s="73"/>
      <c r="DV615" s="73"/>
      <c r="DW615" s="73"/>
      <c r="DX615" s="72"/>
      <c r="DY615" s="72"/>
      <c r="DZ615" s="73"/>
      <c r="EA615" s="73"/>
      <c r="EB615" s="73"/>
      <c r="EC615" s="73"/>
      <c r="ED615" s="73"/>
      <c r="EE615" s="73"/>
      <c r="EF615" s="73"/>
      <c r="EG615" s="73"/>
      <c r="EH615" s="73"/>
      <c r="EI615" s="73"/>
      <c r="EJ615" s="73"/>
      <c r="EK615" s="73"/>
      <c r="EL615" s="73"/>
      <c r="EM615" s="73"/>
      <c r="EN615" s="73"/>
      <c r="EO615" s="73"/>
      <c r="EP615" s="69"/>
      <c r="EQ615" s="69"/>
      <c r="ER615" s="69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  <c r="CI616" s="73"/>
      <c r="CJ616" s="73"/>
      <c r="CK616" s="73"/>
      <c r="CL616" s="73"/>
      <c r="CM616" s="73"/>
      <c r="CN616" s="73"/>
      <c r="CO616" s="73"/>
      <c r="CP616" s="73"/>
      <c r="CQ616" s="73"/>
      <c r="CR616" s="73"/>
      <c r="CS616" s="73"/>
      <c r="CT616" s="73"/>
      <c r="CU616" s="73"/>
      <c r="CV616" s="73"/>
      <c r="CW616" s="73"/>
      <c r="CX616" s="73"/>
      <c r="CY616" s="73"/>
      <c r="CZ616" s="73"/>
      <c r="DA616" s="73"/>
      <c r="DB616" s="73"/>
      <c r="DC616" s="73"/>
      <c r="DD616" s="73"/>
      <c r="DE616" s="73"/>
      <c r="DF616" s="73"/>
      <c r="DG616" s="73"/>
      <c r="DH616" s="73"/>
      <c r="DI616" s="73"/>
      <c r="DJ616" s="73"/>
      <c r="DK616" s="73"/>
      <c r="DL616" s="73"/>
      <c r="DM616" s="73"/>
      <c r="DN616" s="73"/>
      <c r="DO616" s="73"/>
      <c r="DP616" s="73"/>
      <c r="DQ616" s="73"/>
      <c r="DR616" s="73"/>
      <c r="DS616" s="73"/>
      <c r="DT616" s="73"/>
      <c r="DU616" s="73"/>
      <c r="DV616" s="73"/>
      <c r="DW616" s="73"/>
      <c r="DX616" s="72"/>
      <c r="DY616" s="72"/>
      <c r="DZ616" s="73"/>
      <c r="EA616" s="73"/>
      <c r="EB616" s="73"/>
      <c r="EC616" s="73"/>
      <c r="ED616" s="73"/>
      <c r="EE616" s="73"/>
      <c r="EF616" s="73"/>
      <c r="EG616" s="73"/>
      <c r="EH616" s="73"/>
      <c r="EI616" s="73"/>
      <c r="EJ616" s="73"/>
      <c r="EK616" s="73"/>
      <c r="EL616" s="73"/>
      <c r="EM616" s="73"/>
      <c r="EN616" s="73"/>
      <c r="EO616" s="73"/>
      <c r="EP616" s="69"/>
      <c r="EQ616" s="69"/>
      <c r="ER616" s="69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  <c r="CI617" s="73"/>
      <c r="CJ617" s="73"/>
      <c r="CK617" s="73"/>
      <c r="CL617" s="73"/>
      <c r="CM617" s="73"/>
      <c r="CN617" s="73"/>
      <c r="CO617" s="73"/>
      <c r="CP617" s="73"/>
      <c r="CQ617" s="73"/>
      <c r="CR617" s="73"/>
      <c r="CS617" s="73"/>
      <c r="CT617" s="73"/>
      <c r="CU617" s="73"/>
      <c r="CV617" s="73"/>
      <c r="CW617" s="73"/>
      <c r="CX617" s="73"/>
      <c r="CY617" s="73"/>
      <c r="CZ617" s="73"/>
      <c r="DA617" s="73"/>
      <c r="DB617" s="73"/>
      <c r="DC617" s="73"/>
      <c r="DD617" s="73"/>
      <c r="DE617" s="73"/>
      <c r="DF617" s="73"/>
      <c r="DG617" s="73"/>
      <c r="DH617" s="73"/>
      <c r="DI617" s="73"/>
      <c r="DJ617" s="73"/>
      <c r="DK617" s="73"/>
      <c r="DL617" s="73"/>
      <c r="DM617" s="73"/>
      <c r="DN617" s="73"/>
      <c r="DO617" s="73"/>
      <c r="DP617" s="73"/>
      <c r="DQ617" s="73"/>
      <c r="DR617" s="73"/>
      <c r="DS617" s="73"/>
      <c r="DT617" s="73"/>
      <c r="DU617" s="73"/>
      <c r="DV617" s="73"/>
      <c r="DW617" s="73"/>
      <c r="DX617" s="72"/>
      <c r="DY617" s="72"/>
      <c r="DZ617" s="73"/>
      <c r="EA617" s="73"/>
      <c r="EB617" s="73"/>
      <c r="EC617" s="73"/>
      <c r="ED617" s="73"/>
      <c r="EE617" s="73"/>
      <c r="EF617" s="73"/>
      <c r="EG617" s="73"/>
      <c r="EH617" s="73"/>
      <c r="EI617" s="73"/>
      <c r="EJ617" s="73"/>
      <c r="EK617" s="73"/>
      <c r="EL617" s="73"/>
      <c r="EM617" s="73"/>
      <c r="EN617" s="73"/>
      <c r="EO617" s="73"/>
      <c r="EP617" s="69"/>
      <c r="EQ617" s="69"/>
      <c r="ER617" s="69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  <c r="CI618" s="73"/>
      <c r="CJ618" s="73"/>
      <c r="CK618" s="73"/>
      <c r="CL618" s="73"/>
      <c r="CM618" s="73"/>
      <c r="CN618" s="73"/>
      <c r="CO618" s="73"/>
      <c r="CP618" s="73"/>
      <c r="CQ618" s="73"/>
      <c r="CR618" s="73"/>
      <c r="CS618" s="73"/>
      <c r="CT618" s="73"/>
      <c r="CU618" s="73"/>
      <c r="CV618" s="73"/>
      <c r="CW618" s="73"/>
      <c r="CX618" s="73"/>
      <c r="CY618" s="73"/>
      <c r="CZ618" s="73"/>
      <c r="DA618" s="73"/>
      <c r="DB618" s="73"/>
      <c r="DC618" s="73"/>
      <c r="DD618" s="73"/>
      <c r="DE618" s="73"/>
      <c r="DF618" s="73"/>
      <c r="DG618" s="73"/>
      <c r="DH618" s="73"/>
      <c r="DI618" s="73"/>
      <c r="DJ618" s="73"/>
      <c r="DK618" s="73"/>
      <c r="DL618" s="73"/>
      <c r="DM618" s="73"/>
      <c r="DN618" s="73"/>
      <c r="DO618" s="73"/>
      <c r="DP618" s="73"/>
      <c r="DQ618" s="73"/>
      <c r="DR618" s="73"/>
      <c r="DS618" s="73"/>
      <c r="DT618" s="73"/>
      <c r="DU618" s="73"/>
      <c r="DV618" s="73"/>
      <c r="DW618" s="73"/>
      <c r="DX618" s="72"/>
      <c r="DY618" s="72"/>
      <c r="DZ618" s="73"/>
      <c r="EA618" s="73"/>
      <c r="EB618" s="73"/>
      <c r="EC618" s="73"/>
      <c r="ED618" s="73"/>
      <c r="EE618" s="73"/>
      <c r="EF618" s="73"/>
      <c r="EG618" s="73"/>
      <c r="EH618" s="73"/>
      <c r="EI618" s="73"/>
      <c r="EJ618" s="73"/>
      <c r="EK618" s="73"/>
      <c r="EL618" s="73"/>
      <c r="EM618" s="73"/>
      <c r="EN618" s="73"/>
      <c r="EO618" s="73"/>
      <c r="EP618" s="69"/>
      <c r="EQ618" s="69"/>
      <c r="ER618" s="69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  <c r="CK619" s="73"/>
      <c r="CL619" s="73"/>
      <c r="CM619" s="72"/>
      <c r="CN619" s="73"/>
      <c r="CO619" s="73"/>
      <c r="CP619" s="73"/>
      <c r="CQ619" s="73"/>
      <c r="CR619" s="73"/>
      <c r="CS619" s="73"/>
      <c r="CT619" s="73"/>
      <c r="CU619" s="73"/>
      <c r="CV619" s="73"/>
      <c r="CW619" s="73"/>
      <c r="CX619" s="73"/>
      <c r="CY619" s="73"/>
      <c r="CZ619" s="73"/>
      <c r="DA619" s="73"/>
      <c r="DB619" s="73"/>
      <c r="DC619" s="73"/>
      <c r="DD619" s="73"/>
      <c r="DE619" s="73"/>
      <c r="DF619" s="73"/>
      <c r="DG619" s="73"/>
      <c r="DH619" s="73"/>
      <c r="DI619" s="73"/>
      <c r="DJ619" s="73"/>
      <c r="DK619" s="73"/>
      <c r="DL619" s="73"/>
      <c r="DM619" s="73"/>
      <c r="DN619" s="73"/>
      <c r="DO619" s="73"/>
      <c r="DP619" s="73"/>
      <c r="DQ619" s="73"/>
      <c r="DR619" s="73"/>
      <c r="DS619" s="73"/>
      <c r="DT619" s="73"/>
      <c r="DU619" s="73"/>
      <c r="DV619" s="73"/>
      <c r="DW619" s="73"/>
      <c r="DX619" s="73"/>
      <c r="DY619" s="73"/>
      <c r="DZ619" s="73"/>
      <c r="EA619" s="73"/>
      <c r="EB619" s="73"/>
      <c r="EC619" s="73"/>
      <c r="ED619" s="73"/>
      <c r="EE619" s="73"/>
      <c r="EF619" s="73"/>
      <c r="EG619" s="73"/>
      <c r="EH619" s="73"/>
      <c r="EI619" s="73"/>
      <c r="EJ619" s="73"/>
      <c r="EK619" s="73"/>
      <c r="EL619" s="73"/>
      <c r="EM619" s="73"/>
      <c r="EN619" s="73"/>
      <c r="EO619" s="73"/>
      <c r="EP619" s="69"/>
      <c r="EQ619" s="69"/>
      <c r="ER619" s="69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  <c r="CI620" s="73"/>
      <c r="CJ620" s="73"/>
      <c r="CK620" s="73"/>
      <c r="CL620" s="73"/>
      <c r="CM620" s="73"/>
      <c r="CN620" s="73"/>
      <c r="CO620" s="73"/>
      <c r="CP620" s="73"/>
      <c r="CQ620" s="73"/>
      <c r="CR620" s="73"/>
      <c r="CS620" s="73"/>
      <c r="CT620" s="73"/>
      <c r="CU620" s="73"/>
      <c r="CV620" s="73"/>
      <c r="CW620" s="73"/>
      <c r="CX620" s="73"/>
      <c r="CY620" s="73"/>
      <c r="CZ620" s="73"/>
      <c r="DA620" s="73"/>
      <c r="DB620" s="73"/>
      <c r="DC620" s="73"/>
      <c r="DD620" s="73"/>
      <c r="DE620" s="73"/>
      <c r="DF620" s="73"/>
      <c r="DG620" s="73"/>
      <c r="DH620" s="73"/>
      <c r="DI620" s="73"/>
      <c r="DJ620" s="73"/>
      <c r="DK620" s="73"/>
      <c r="DL620" s="73"/>
      <c r="DM620" s="73"/>
      <c r="DN620" s="73"/>
      <c r="DO620" s="73"/>
      <c r="DP620" s="73"/>
      <c r="DQ620" s="73"/>
      <c r="DR620" s="73"/>
      <c r="DS620" s="73"/>
      <c r="DT620" s="73"/>
      <c r="DU620" s="73"/>
      <c r="DV620" s="73"/>
      <c r="DW620" s="73"/>
      <c r="DX620" s="73"/>
      <c r="DY620" s="73"/>
      <c r="DZ620" s="73"/>
      <c r="EA620" s="73"/>
      <c r="EB620" s="73"/>
      <c r="EC620" s="73"/>
      <c r="ED620" s="73"/>
      <c r="EE620" s="73"/>
      <c r="EF620" s="73"/>
      <c r="EG620" s="73"/>
      <c r="EH620" s="73"/>
      <c r="EI620" s="73"/>
      <c r="EJ620" s="73"/>
      <c r="EK620" s="73"/>
      <c r="EL620" s="73"/>
      <c r="EM620" s="73"/>
      <c r="EN620" s="73"/>
      <c r="EO620" s="73"/>
      <c r="EP620" s="69"/>
      <c r="EQ620" s="69"/>
      <c r="ER620" s="69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  <c r="CI621" s="73"/>
      <c r="CJ621" s="73"/>
      <c r="CK621" s="73"/>
      <c r="CL621" s="73"/>
      <c r="CM621" s="72"/>
      <c r="CN621" s="73"/>
      <c r="CO621" s="73"/>
      <c r="CP621" s="73"/>
      <c r="CQ621" s="73"/>
      <c r="CR621" s="73"/>
      <c r="CS621" s="73"/>
      <c r="CT621" s="73"/>
      <c r="CU621" s="73"/>
      <c r="CV621" s="73"/>
      <c r="CW621" s="73"/>
      <c r="CX621" s="73"/>
      <c r="CY621" s="73"/>
      <c r="CZ621" s="73"/>
      <c r="DA621" s="73"/>
      <c r="DB621" s="73"/>
      <c r="DC621" s="73"/>
      <c r="DD621" s="73"/>
      <c r="DE621" s="73"/>
      <c r="DF621" s="73"/>
      <c r="DG621" s="73"/>
      <c r="DH621" s="73"/>
      <c r="DI621" s="73"/>
      <c r="DJ621" s="73"/>
      <c r="DK621" s="73"/>
      <c r="DL621" s="73"/>
      <c r="DM621" s="73"/>
      <c r="DN621" s="73"/>
      <c r="DO621" s="73"/>
      <c r="DP621" s="73"/>
      <c r="DQ621" s="73"/>
      <c r="DR621" s="73"/>
      <c r="DS621" s="73"/>
      <c r="DT621" s="73"/>
      <c r="DU621" s="73"/>
      <c r="DV621" s="73"/>
      <c r="DW621" s="73"/>
      <c r="DX621" s="72"/>
      <c r="DY621" s="72"/>
      <c r="DZ621" s="73"/>
      <c r="EA621" s="73"/>
      <c r="EB621" s="73"/>
      <c r="EC621" s="73"/>
      <c r="ED621" s="73"/>
      <c r="EE621" s="73"/>
      <c r="EF621" s="73"/>
      <c r="EG621" s="73"/>
      <c r="EH621" s="73"/>
      <c r="EI621" s="73"/>
      <c r="EJ621" s="73"/>
      <c r="EK621" s="73"/>
      <c r="EL621" s="73"/>
      <c r="EM621" s="73"/>
      <c r="EN621" s="73"/>
      <c r="EO621" s="73"/>
      <c r="EP621" s="69"/>
      <c r="EQ621" s="69"/>
      <c r="ER621" s="69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  <c r="CI622" s="73"/>
      <c r="CJ622" s="73"/>
      <c r="CK622" s="73"/>
      <c r="CL622" s="73"/>
      <c r="CM622" s="73"/>
      <c r="CN622" s="73"/>
      <c r="CO622" s="73"/>
      <c r="CP622" s="73"/>
      <c r="CQ622" s="73"/>
      <c r="CR622" s="73"/>
      <c r="CS622" s="73"/>
      <c r="CT622" s="73"/>
      <c r="CU622" s="73"/>
      <c r="CV622" s="73"/>
      <c r="CW622" s="73"/>
      <c r="CX622" s="73"/>
      <c r="CY622" s="73"/>
      <c r="CZ622" s="73"/>
      <c r="DA622" s="73"/>
      <c r="DB622" s="73"/>
      <c r="DC622" s="73"/>
      <c r="DD622" s="73"/>
      <c r="DE622" s="73"/>
      <c r="DF622" s="73"/>
      <c r="DG622" s="73"/>
      <c r="DH622" s="73"/>
      <c r="DI622" s="73"/>
      <c r="DJ622" s="73"/>
      <c r="DK622" s="73"/>
      <c r="DL622" s="73"/>
      <c r="DM622" s="73"/>
      <c r="DN622" s="73"/>
      <c r="DO622" s="73"/>
      <c r="DP622" s="73"/>
      <c r="DQ622" s="73"/>
      <c r="DR622" s="73"/>
      <c r="DS622" s="73"/>
      <c r="DT622" s="73"/>
      <c r="DU622" s="73"/>
      <c r="DV622" s="73"/>
      <c r="DW622" s="73"/>
      <c r="DX622" s="72"/>
      <c r="DY622" s="72"/>
      <c r="DZ622" s="73"/>
      <c r="EA622" s="73"/>
      <c r="EB622" s="73"/>
      <c r="EC622" s="73"/>
      <c r="ED622" s="73"/>
      <c r="EE622" s="73"/>
      <c r="EF622" s="73"/>
      <c r="EG622" s="73"/>
      <c r="EH622" s="73"/>
      <c r="EI622" s="73"/>
      <c r="EJ622" s="73"/>
      <c r="EK622" s="73"/>
      <c r="EL622" s="73"/>
      <c r="EM622" s="73"/>
      <c r="EN622" s="73"/>
      <c r="EO622" s="73"/>
      <c r="EP622" s="69"/>
      <c r="EQ622" s="69"/>
      <c r="ER622" s="69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  <c r="CI623" s="73"/>
      <c r="CJ623" s="73"/>
      <c r="CK623" s="73"/>
      <c r="CL623" s="73"/>
      <c r="CM623" s="73"/>
      <c r="CN623" s="73"/>
      <c r="CO623" s="73"/>
      <c r="CP623" s="73"/>
      <c r="CQ623" s="73"/>
      <c r="CR623" s="73"/>
      <c r="CS623" s="73"/>
      <c r="CT623" s="73"/>
      <c r="CU623" s="73"/>
      <c r="CV623" s="73"/>
      <c r="CW623" s="73"/>
      <c r="CX623" s="73"/>
      <c r="CY623" s="73"/>
      <c r="CZ623" s="73"/>
      <c r="DA623" s="73"/>
      <c r="DB623" s="73"/>
      <c r="DC623" s="73"/>
      <c r="DD623" s="73"/>
      <c r="DE623" s="73"/>
      <c r="DF623" s="73"/>
      <c r="DG623" s="73"/>
      <c r="DH623" s="73"/>
      <c r="DI623" s="73"/>
      <c r="DJ623" s="73"/>
      <c r="DK623" s="73"/>
      <c r="DL623" s="73"/>
      <c r="DM623" s="73"/>
      <c r="DN623" s="73"/>
      <c r="DO623" s="73"/>
      <c r="DP623" s="73"/>
      <c r="DQ623" s="73"/>
      <c r="DR623" s="73"/>
      <c r="DS623" s="73"/>
      <c r="DT623" s="73"/>
      <c r="DU623" s="73"/>
      <c r="DV623" s="73"/>
      <c r="DW623" s="73"/>
      <c r="DX623" s="72"/>
      <c r="DY623" s="72"/>
      <c r="DZ623" s="73"/>
      <c r="EA623" s="73"/>
      <c r="EB623" s="73"/>
      <c r="EC623" s="73"/>
      <c r="ED623" s="73"/>
      <c r="EE623" s="73"/>
      <c r="EF623" s="73"/>
      <c r="EG623" s="73"/>
      <c r="EH623" s="73"/>
      <c r="EI623" s="73"/>
      <c r="EJ623" s="73"/>
      <c r="EK623" s="73"/>
      <c r="EL623" s="73"/>
      <c r="EM623" s="73"/>
      <c r="EN623" s="73"/>
      <c r="EO623" s="73"/>
      <c r="EP623" s="69"/>
      <c r="EQ623" s="69"/>
      <c r="ER623" s="69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  <c r="CI624" s="73"/>
      <c r="CJ624" s="73"/>
      <c r="CK624" s="73"/>
      <c r="CL624" s="73"/>
      <c r="CM624" s="73"/>
      <c r="CN624" s="73"/>
      <c r="CO624" s="73"/>
      <c r="CP624" s="73"/>
      <c r="CQ624" s="73"/>
      <c r="CR624" s="73"/>
      <c r="CS624" s="73"/>
      <c r="CT624" s="73"/>
      <c r="CU624" s="73"/>
      <c r="CV624" s="73"/>
      <c r="CW624" s="73"/>
      <c r="CX624" s="73"/>
      <c r="CY624" s="73"/>
      <c r="CZ624" s="73"/>
      <c r="DA624" s="73"/>
      <c r="DB624" s="73"/>
      <c r="DC624" s="73"/>
      <c r="DD624" s="73"/>
      <c r="DE624" s="73"/>
      <c r="DF624" s="73"/>
      <c r="DG624" s="73"/>
      <c r="DH624" s="73"/>
      <c r="DI624" s="73"/>
      <c r="DJ624" s="73"/>
      <c r="DK624" s="73"/>
      <c r="DL624" s="73"/>
      <c r="DM624" s="73"/>
      <c r="DN624" s="73"/>
      <c r="DO624" s="73"/>
      <c r="DP624" s="73"/>
      <c r="DQ624" s="73"/>
      <c r="DR624" s="73"/>
      <c r="DS624" s="73"/>
      <c r="DT624" s="73"/>
      <c r="DU624" s="73"/>
      <c r="DV624" s="73"/>
      <c r="DW624" s="73"/>
      <c r="DX624" s="72"/>
      <c r="DY624" s="72"/>
      <c r="DZ624" s="73"/>
      <c r="EA624" s="73"/>
      <c r="EB624" s="73"/>
      <c r="EC624" s="73"/>
      <c r="ED624" s="73"/>
      <c r="EE624" s="73"/>
      <c r="EF624" s="73"/>
      <c r="EG624" s="73"/>
      <c r="EH624" s="73"/>
      <c r="EI624" s="73"/>
      <c r="EJ624" s="73"/>
      <c r="EK624" s="73"/>
      <c r="EL624" s="73"/>
      <c r="EM624" s="73"/>
      <c r="EN624" s="73"/>
      <c r="EO624" s="73"/>
      <c r="EP624" s="69"/>
      <c r="EQ624" s="69"/>
      <c r="ER624" s="69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  <c r="CI625" s="73"/>
      <c r="CJ625" s="73"/>
      <c r="CK625" s="73"/>
      <c r="CL625" s="73"/>
      <c r="CM625" s="72"/>
      <c r="CN625" s="73"/>
      <c r="CO625" s="73"/>
      <c r="CP625" s="73"/>
      <c r="CQ625" s="73"/>
      <c r="CR625" s="73"/>
      <c r="CS625" s="73"/>
      <c r="CT625" s="73"/>
      <c r="CU625" s="73"/>
      <c r="CV625" s="73"/>
      <c r="CW625" s="73"/>
      <c r="CX625" s="73"/>
      <c r="CY625" s="73"/>
      <c r="CZ625" s="73"/>
      <c r="DA625" s="73"/>
      <c r="DB625" s="73"/>
      <c r="DC625" s="73"/>
      <c r="DD625" s="73"/>
      <c r="DE625" s="73"/>
      <c r="DF625" s="73"/>
      <c r="DG625" s="73"/>
      <c r="DH625" s="73"/>
      <c r="DI625" s="73"/>
      <c r="DJ625" s="73"/>
      <c r="DK625" s="73"/>
      <c r="DL625" s="73"/>
      <c r="DM625" s="73"/>
      <c r="DN625" s="73"/>
      <c r="DO625" s="73"/>
      <c r="DP625" s="73"/>
      <c r="DQ625" s="73"/>
      <c r="DR625" s="73"/>
      <c r="DS625" s="73"/>
      <c r="DT625" s="73"/>
      <c r="DU625" s="73"/>
      <c r="DV625" s="73"/>
      <c r="DW625" s="73"/>
      <c r="DX625" s="72"/>
      <c r="DY625" s="72"/>
      <c r="DZ625" s="73"/>
      <c r="EA625" s="73"/>
      <c r="EB625" s="73"/>
      <c r="EC625" s="73"/>
      <c r="ED625" s="73"/>
      <c r="EE625" s="73"/>
      <c r="EF625" s="73"/>
      <c r="EG625" s="73"/>
      <c r="EH625" s="73"/>
      <c r="EI625" s="73"/>
      <c r="EJ625" s="73"/>
      <c r="EK625" s="73"/>
      <c r="EL625" s="73"/>
      <c r="EM625" s="73"/>
      <c r="EN625" s="73"/>
      <c r="EO625" s="73"/>
      <c r="EP625" s="69"/>
      <c r="EQ625" s="69"/>
      <c r="ER625" s="69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  <c r="CI626" s="73"/>
      <c r="CJ626" s="73"/>
      <c r="CK626" s="73"/>
      <c r="CL626" s="73"/>
      <c r="CM626" s="73"/>
      <c r="CN626" s="73"/>
      <c r="CO626" s="73"/>
      <c r="CP626" s="73"/>
      <c r="CQ626" s="73"/>
      <c r="CR626" s="73"/>
      <c r="CS626" s="73"/>
      <c r="CT626" s="73"/>
      <c r="CU626" s="73"/>
      <c r="CV626" s="73"/>
      <c r="CW626" s="73"/>
      <c r="CX626" s="73"/>
      <c r="CY626" s="73"/>
      <c r="CZ626" s="73"/>
      <c r="DA626" s="73"/>
      <c r="DB626" s="73"/>
      <c r="DC626" s="73"/>
      <c r="DD626" s="73"/>
      <c r="DE626" s="73"/>
      <c r="DF626" s="73"/>
      <c r="DG626" s="73"/>
      <c r="DH626" s="73"/>
      <c r="DI626" s="73"/>
      <c r="DJ626" s="73"/>
      <c r="DK626" s="73"/>
      <c r="DL626" s="73"/>
      <c r="DM626" s="73"/>
      <c r="DN626" s="73"/>
      <c r="DO626" s="73"/>
      <c r="DP626" s="73"/>
      <c r="DQ626" s="73"/>
      <c r="DR626" s="73"/>
      <c r="DS626" s="73"/>
      <c r="DT626" s="73"/>
      <c r="DU626" s="73"/>
      <c r="DV626" s="73"/>
      <c r="DW626" s="73"/>
      <c r="DX626" s="73"/>
      <c r="DY626" s="73"/>
      <c r="DZ626" s="73"/>
      <c r="EA626" s="73"/>
      <c r="EB626" s="73"/>
      <c r="EC626" s="73"/>
      <c r="ED626" s="73"/>
      <c r="EE626" s="73"/>
      <c r="EF626" s="73"/>
      <c r="EG626" s="73"/>
      <c r="EH626" s="73"/>
      <c r="EI626" s="73"/>
      <c r="EJ626" s="73"/>
      <c r="EK626" s="73"/>
      <c r="EL626" s="73"/>
      <c r="EM626" s="73"/>
      <c r="EN626" s="73"/>
      <c r="EO626" s="73"/>
      <c r="EP626" s="69"/>
      <c r="EQ626" s="69"/>
      <c r="ER626" s="69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  <c r="CI627" s="73"/>
      <c r="CJ627" s="73"/>
      <c r="CK627" s="73"/>
      <c r="CL627" s="73"/>
      <c r="CM627" s="73"/>
      <c r="CN627" s="73"/>
      <c r="CO627" s="73"/>
      <c r="CP627" s="73"/>
      <c r="CQ627" s="73"/>
      <c r="CR627" s="73"/>
      <c r="CS627" s="73"/>
      <c r="CT627" s="73"/>
      <c r="CU627" s="73"/>
      <c r="CV627" s="73"/>
      <c r="CW627" s="73"/>
      <c r="CX627" s="73"/>
      <c r="CY627" s="73"/>
      <c r="CZ627" s="73"/>
      <c r="DA627" s="73"/>
      <c r="DB627" s="73"/>
      <c r="DC627" s="73"/>
      <c r="DD627" s="73"/>
      <c r="DE627" s="73"/>
      <c r="DF627" s="73"/>
      <c r="DG627" s="73"/>
      <c r="DH627" s="73"/>
      <c r="DI627" s="73"/>
      <c r="DJ627" s="73"/>
      <c r="DK627" s="73"/>
      <c r="DL627" s="73"/>
      <c r="DM627" s="73"/>
      <c r="DN627" s="73"/>
      <c r="DO627" s="73"/>
      <c r="DP627" s="73"/>
      <c r="DQ627" s="73"/>
      <c r="DR627" s="73"/>
      <c r="DS627" s="73"/>
      <c r="DT627" s="73"/>
      <c r="DU627" s="73"/>
      <c r="DV627" s="73"/>
      <c r="DW627" s="73"/>
      <c r="DX627" s="73"/>
      <c r="DY627" s="73"/>
      <c r="DZ627" s="73"/>
      <c r="EA627" s="73"/>
      <c r="EB627" s="73"/>
      <c r="EC627" s="73"/>
      <c r="ED627" s="73"/>
      <c r="EE627" s="73"/>
      <c r="EF627" s="73"/>
      <c r="EG627" s="73"/>
      <c r="EH627" s="73"/>
      <c r="EI627" s="73"/>
      <c r="EJ627" s="73"/>
      <c r="EK627" s="73"/>
      <c r="EL627" s="73"/>
      <c r="EM627" s="73"/>
      <c r="EN627" s="73"/>
      <c r="EO627" s="73"/>
      <c r="EP627" s="69"/>
      <c r="EQ627" s="69"/>
      <c r="ER627" s="69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  <c r="CI628" s="73"/>
      <c r="CJ628" s="73"/>
      <c r="CK628" s="73"/>
      <c r="CL628" s="73"/>
      <c r="CM628" s="73"/>
      <c r="CN628" s="73"/>
      <c r="CO628" s="73"/>
      <c r="CP628" s="73"/>
      <c r="CQ628" s="73"/>
      <c r="CR628" s="73"/>
      <c r="CS628" s="73"/>
      <c r="CT628" s="73"/>
      <c r="CU628" s="73"/>
      <c r="CV628" s="73"/>
      <c r="CW628" s="73"/>
      <c r="CX628" s="73"/>
      <c r="CY628" s="73"/>
      <c r="CZ628" s="73"/>
      <c r="DA628" s="73"/>
      <c r="DB628" s="73"/>
      <c r="DC628" s="73"/>
      <c r="DD628" s="73"/>
      <c r="DE628" s="73"/>
      <c r="DF628" s="73"/>
      <c r="DG628" s="73"/>
      <c r="DH628" s="73"/>
      <c r="DI628" s="73"/>
      <c r="DJ628" s="73"/>
      <c r="DK628" s="73"/>
      <c r="DL628" s="73"/>
      <c r="DM628" s="73"/>
      <c r="DN628" s="73"/>
      <c r="DO628" s="73"/>
      <c r="DP628" s="73"/>
      <c r="DQ628" s="73"/>
      <c r="DR628" s="73"/>
      <c r="DS628" s="73"/>
      <c r="DT628" s="73"/>
      <c r="DU628" s="73"/>
      <c r="DV628" s="73"/>
      <c r="DW628" s="73"/>
      <c r="DX628" s="72"/>
      <c r="DY628" s="72"/>
      <c r="DZ628" s="73"/>
      <c r="EA628" s="73"/>
      <c r="EB628" s="73"/>
      <c r="EC628" s="73"/>
      <c r="ED628" s="73"/>
      <c r="EE628" s="73"/>
      <c r="EF628" s="73"/>
      <c r="EG628" s="73"/>
      <c r="EH628" s="73"/>
      <c r="EI628" s="73"/>
      <c r="EJ628" s="73"/>
      <c r="EK628" s="73"/>
      <c r="EL628" s="73"/>
      <c r="EM628" s="73"/>
      <c r="EN628" s="73"/>
      <c r="EO628" s="73"/>
      <c r="EP628" s="69"/>
      <c r="EQ628" s="69"/>
      <c r="ER628" s="69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  <c r="CI629" s="73"/>
      <c r="CJ629" s="73"/>
      <c r="CK629" s="73"/>
      <c r="CL629" s="73"/>
      <c r="CM629" s="73"/>
      <c r="CN629" s="73"/>
      <c r="CO629" s="73"/>
      <c r="CP629" s="73"/>
      <c r="CQ629" s="73"/>
      <c r="CR629" s="73"/>
      <c r="CS629" s="73"/>
      <c r="CT629" s="73"/>
      <c r="CU629" s="73"/>
      <c r="CV629" s="73"/>
      <c r="CW629" s="73"/>
      <c r="CX629" s="73"/>
      <c r="CY629" s="73"/>
      <c r="CZ629" s="73"/>
      <c r="DA629" s="73"/>
      <c r="DB629" s="73"/>
      <c r="DC629" s="73"/>
      <c r="DD629" s="73"/>
      <c r="DE629" s="73"/>
      <c r="DF629" s="73"/>
      <c r="DG629" s="73"/>
      <c r="DH629" s="73"/>
      <c r="DI629" s="73"/>
      <c r="DJ629" s="73"/>
      <c r="DK629" s="73"/>
      <c r="DL629" s="73"/>
      <c r="DM629" s="73"/>
      <c r="DN629" s="73"/>
      <c r="DO629" s="73"/>
      <c r="DP629" s="73"/>
      <c r="DQ629" s="73"/>
      <c r="DR629" s="73"/>
      <c r="DS629" s="73"/>
      <c r="DT629" s="73"/>
      <c r="DU629" s="73"/>
      <c r="DV629" s="73"/>
      <c r="DW629" s="73"/>
      <c r="DX629" s="72"/>
      <c r="DY629" s="72"/>
      <c r="DZ629" s="73"/>
      <c r="EA629" s="73"/>
      <c r="EB629" s="73"/>
      <c r="EC629" s="73"/>
      <c r="ED629" s="73"/>
      <c r="EE629" s="73"/>
      <c r="EF629" s="73"/>
      <c r="EG629" s="73"/>
      <c r="EH629" s="73"/>
      <c r="EI629" s="73"/>
      <c r="EJ629" s="73"/>
      <c r="EK629" s="73"/>
      <c r="EL629" s="73"/>
      <c r="EM629" s="73"/>
      <c r="EN629" s="73"/>
      <c r="EO629" s="73"/>
      <c r="EP629" s="69"/>
      <c r="EQ629" s="69"/>
      <c r="ER629" s="69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  <c r="CI630" s="73"/>
      <c r="CJ630" s="73"/>
      <c r="CK630" s="73"/>
      <c r="CL630" s="73"/>
      <c r="CM630" s="73"/>
      <c r="CN630" s="73"/>
      <c r="CO630" s="73"/>
      <c r="CP630" s="73"/>
      <c r="CQ630" s="73"/>
      <c r="CR630" s="73"/>
      <c r="CS630" s="73"/>
      <c r="CT630" s="73"/>
      <c r="CU630" s="73"/>
      <c r="CV630" s="73"/>
      <c r="CW630" s="73"/>
      <c r="CX630" s="73"/>
      <c r="CY630" s="73"/>
      <c r="CZ630" s="73"/>
      <c r="DA630" s="73"/>
      <c r="DB630" s="73"/>
      <c r="DC630" s="73"/>
      <c r="DD630" s="73"/>
      <c r="DE630" s="73"/>
      <c r="DF630" s="73"/>
      <c r="DG630" s="73"/>
      <c r="DH630" s="73"/>
      <c r="DI630" s="73"/>
      <c r="DJ630" s="73"/>
      <c r="DK630" s="73"/>
      <c r="DL630" s="73"/>
      <c r="DM630" s="73"/>
      <c r="DN630" s="73"/>
      <c r="DO630" s="73"/>
      <c r="DP630" s="73"/>
      <c r="DQ630" s="73"/>
      <c r="DR630" s="73"/>
      <c r="DS630" s="73"/>
      <c r="DT630" s="73"/>
      <c r="DU630" s="73"/>
      <c r="DV630" s="73"/>
      <c r="DW630" s="73"/>
      <c r="DX630" s="72"/>
      <c r="DY630" s="72"/>
      <c r="DZ630" s="73"/>
      <c r="EA630" s="73"/>
      <c r="EB630" s="73"/>
      <c r="EC630" s="73"/>
      <c r="ED630" s="73"/>
      <c r="EE630" s="73"/>
      <c r="EF630" s="73"/>
      <c r="EG630" s="73"/>
      <c r="EH630" s="73"/>
      <c r="EI630" s="73"/>
      <c r="EJ630" s="73"/>
      <c r="EK630" s="73"/>
      <c r="EL630" s="73"/>
      <c r="EM630" s="73"/>
      <c r="EN630" s="73"/>
      <c r="EO630" s="73"/>
      <c r="EP630" s="69"/>
      <c r="EQ630" s="69"/>
      <c r="ER630" s="69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  <c r="CI631" s="73"/>
      <c r="CJ631" s="73"/>
      <c r="CK631" s="73"/>
      <c r="CL631" s="73"/>
      <c r="CM631" s="73"/>
      <c r="CN631" s="73"/>
      <c r="CO631" s="73"/>
      <c r="CP631" s="73"/>
      <c r="CQ631" s="73"/>
      <c r="CR631" s="73"/>
      <c r="CS631" s="73"/>
      <c r="CT631" s="73"/>
      <c r="CU631" s="73"/>
      <c r="CV631" s="73"/>
      <c r="CW631" s="73"/>
      <c r="CX631" s="73"/>
      <c r="CY631" s="73"/>
      <c r="CZ631" s="73"/>
      <c r="DA631" s="73"/>
      <c r="DB631" s="73"/>
      <c r="DC631" s="73"/>
      <c r="DD631" s="73"/>
      <c r="DE631" s="73"/>
      <c r="DF631" s="73"/>
      <c r="DG631" s="73"/>
      <c r="DH631" s="73"/>
      <c r="DI631" s="73"/>
      <c r="DJ631" s="73"/>
      <c r="DK631" s="73"/>
      <c r="DL631" s="73"/>
      <c r="DM631" s="73"/>
      <c r="DN631" s="73"/>
      <c r="DO631" s="73"/>
      <c r="DP631" s="73"/>
      <c r="DQ631" s="73"/>
      <c r="DR631" s="73"/>
      <c r="DS631" s="73"/>
      <c r="DT631" s="73"/>
      <c r="DU631" s="73"/>
      <c r="DV631" s="73"/>
      <c r="DW631" s="73"/>
      <c r="DX631" s="72"/>
      <c r="DY631" s="72"/>
      <c r="DZ631" s="73"/>
      <c r="EA631" s="73"/>
      <c r="EB631" s="73"/>
      <c r="EC631" s="73"/>
      <c r="ED631" s="73"/>
      <c r="EE631" s="73"/>
      <c r="EF631" s="73"/>
      <c r="EG631" s="73"/>
      <c r="EH631" s="73"/>
      <c r="EI631" s="73"/>
      <c r="EJ631" s="73"/>
      <c r="EK631" s="73"/>
      <c r="EL631" s="73"/>
      <c r="EM631" s="73"/>
      <c r="EN631" s="73"/>
      <c r="EO631" s="73"/>
      <c r="EP631" s="69"/>
      <c r="EQ631" s="69"/>
      <c r="ER631" s="69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  <c r="CI632" s="73"/>
      <c r="CJ632" s="73"/>
      <c r="CK632" s="73"/>
      <c r="CL632" s="73"/>
      <c r="CM632" s="73"/>
      <c r="CN632" s="73"/>
      <c r="CO632" s="73"/>
      <c r="CP632" s="73"/>
      <c r="CQ632" s="73"/>
      <c r="CR632" s="73"/>
      <c r="CS632" s="73"/>
      <c r="CT632" s="73"/>
      <c r="CU632" s="73"/>
      <c r="CV632" s="73"/>
      <c r="CW632" s="73"/>
      <c r="CX632" s="73"/>
      <c r="CY632" s="73"/>
      <c r="CZ632" s="73"/>
      <c r="DA632" s="73"/>
      <c r="DB632" s="73"/>
      <c r="DC632" s="73"/>
      <c r="DD632" s="73"/>
      <c r="DE632" s="73"/>
      <c r="DF632" s="73"/>
      <c r="DG632" s="73"/>
      <c r="DH632" s="73"/>
      <c r="DI632" s="73"/>
      <c r="DJ632" s="73"/>
      <c r="DK632" s="73"/>
      <c r="DL632" s="73"/>
      <c r="DM632" s="73"/>
      <c r="DN632" s="73"/>
      <c r="DO632" s="73"/>
      <c r="DP632" s="73"/>
      <c r="DQ632" s="73"/>
      <c r="DR632" s="73"/>
      <c r="DS632" s="73"/>
      <c r="DT632" s="73"/>
      <c r="DU632" s="73"/>
      <c r="DV632" s="73"/>
      <c r="DW632" s="73"/>
      <c r="DX632" s="72"/>
      <c r="DY632" s="72"/>
      <c r="DZ632" s="73"/>
      <c r="EA632" s="73"/>
      <c r="EB632" s="73"/>
      <c r="EC632" s="73"/>
      <c r="ED632" s="73"/>
      <c r="EE632" s="73"/>
      <c r="EF632" s="73"/>
      <c r="EG632" s="73"/>
      <c r="EH632" s="73"/>
      <c r="EI632" s="73"/>
      <c r="EJ632" s="73"/>
      <c r="EK632" s="73"/>
      <c r="EL632" s="73"/>
      <c r="EM632" s="73"/>
      <c r="EN632" s="73"/>
      <c r="EO632" s="73"/>
      <c r="EP632" s="69"/>
      <c r="EQ632" s="69"/>
      <c r="ER632" s="69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  <c r="CI633" s="73"/>
      <c r="CJ633" s="73"/>
      <c r="CK633" s="73"/>
      <c r="CL633" s="73"/>
      <c r="CM633" s="72"/>
      <c r="CN633" s="73"/>
      <c r="CO633" s="73"/>
      <c r="CP633" s="73"/>
      <c r="CQ633" s="73"/>
      <c r="CR633" s="73"/>
      <c r="CS633" s="73"/>
      <c r="CT633" s="73"/>
      <c r="CU633" s="73"/>
      <c r="CV633" s="73"/>
      <c r="CW633" s="73"/>
      <c r="CX633" s="73"/>
      <c r="CY633" s="73"/>
      <c r="CZ633" s="73"/>
      <c r="DA633" s="73"/>
      <c r="DB633" s="73"/>
      <c r="DC633" s="73"/>
      <c r="DD633" s="73"/>
      <c r="DE633" s="73"/>
      <c r="DF633" s="73"/>
      <c r="DG633" s="73"/>
      <c r="DH633" s="73"/>
      <c r="DI633" s="73"/>
      <c r="DJ633" s="73"/>
      <c r="DK633" s="73"/>
      <c r="DL633" s="73"/>
      <c r="DM633" s="73"/>
      <c r="DN633" s="73"/>
      <c r="DO633" s="73"/>
      <c r="DP633" s="73"/>
      <c r="DQ633" s="73"/>
      <c r="DR633" s="73"/>
      <c r="DS633" s="73"/>
      <c r="DT633" s="73"/>
      <c r="DU633" s="73"/>
      <c r="DV633" s="73"/>
      <c r="DW633" s="73"/>
      <c r="DX633" s="72"/>
      <c r="DY633" s="72"/>
      <c r="DZ633" s="73"/>
      <c r="EA633" s="73"/>
      <c r="EB633" s="73"/>
      <c r="EC633" s="73"/>
      <c r="ED633" s="73"/>
      <c r="EE633" s="73"/>
      <c r="EF633" s="73"/>
      <c r="EG633" s="73"/>
      <c r="EH633" s="73"/>
      <c r="EI633" s="73"/>
      <c r="EJ633" s="73"/>
      <c r="EK633" s="73"/>
      <c r="EL633" s="73"/>
      <c r="EM633" s="73"/>
      <c r="EN633" s="73"/>
      <c r="EO633" s="73"/>
      <c r="EP633" s="69"/>
      <c r="EQ633" s="69"/>
      <c r="ER633" s="69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  <c r="CI634" s="73"/>
      <c r="CJ634" s="73"/>
      <c r="CK634" s="73"/>
      <c r="CL634" s="73"/>
      <c r="CM634" s="73"/>
      <c r="CN634" s="73"/>
      <c r="CO634" s="73"/>
      <c r="CP634" s="73"/>
      <c r="CQ634" s="73"/>
      <c r="CR634" s="73"/>
      <c r="CS634" s="73"/>
      <c r="CT634" s="73"/>
      <c r="CU634" s="73"/>
      <c r="CV634" s="73"/>
      <c r="CW634" s="73"/>
      <c r="CX634" s="73"/>
      <c r="CY634" s="73"/>
      <c r="CZ634" s="73"/>
      <c r="DA634" s="73"/>
      <c r="DB634" s="73"/>
      <c r="DC634" s="73"/>
      <c r="DD634" s="73"/>
      <c r="DE634" s="73"/>
      <c r="DF634" s="73"/>
      <c r="DG634" s="73"/>
      <c r="DH634" s="73"/>
      <c r="DI634" s="73"/>
      <c r="DJ634" s="73"/>
      <c r="DK634" s="73"/>
      <c r="DL634" s="73"/>
      <c r="DM634" s="73"/>
      <c r="DN634" s="73"/>
      <c r="DO634" s="73"/>
      <c r="DP634" s="73"/>
      <c r="DQ634" s="73"/>
      <c r="DR634" s="73"/>
      <c r="DS634" s="73"/>
      <c r="DT634" s="73"/>
      <c r="DU634" s="73"/>
      <c r="DV634" s="73"/>
      <c r="DW634" s="73"/>
      <c r="DX634" s="72"/>
      <c r="DY634" s="72"/>
      <c r="DZ634" s="73"/>
      <c r="EA634" s="73"/>
      <c r="EB634" s="73"/>
      <c r="EC634" s="73"/>
      <c r="ED634" s="73"/>
      <c r="EE634" s="73"/>
      <c r="EF634" s="73"/>
      <c r="EG634" s="73"/>
      <c r="EH634" s="73"/>
      <c r="EI634" s="73"/>
      <c r="EJ634" s="73"/>
      <c r="EK634" s="73"/>
      <c r="EL634" s="73"/>
      <c r="EM634" s="73"/>
      <c r="EN634" s="73"/>
      <c r="EO634" s="73"/>
      <c r="EP634" s="69"/>
      <c r="EQ634" s="69"/>
      <c r="ER634" s="69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  <c r="CI635" s="73"/>
      <c r="CJ635" s="73"/>
      <c r="CK635" s="73"/>
      <c r="CL635" s="73"/>
      <c r="CM635" s="72"/>
      <c r="CN635" s="73"/>
      <c r="CO635" s="73"/>
      <c r="CP635" s="73"/>
      <c r="CQ635" s="73"/>
      <c r="CR635" s="73"/>
      <c r="CS635" s="73"/>
      <c r="CT635" s="73"/>
      <c r="CU635" s="73"/>
      <c r="CV635" s="73"/>
      <c r="CW635" s="73"/>
      <c r="CX635" s="73"/>
      <c r="CY635" s="73"/>
      <c r="CZ635" s="73"/>
      <c r="DA635" s="73"/>
      <c r="DB635" s="73"/>
      <c r="DC635" s="73"/>
      <c r="DD635" s="73"/>
      <c r="DE635" s="73"/>
      <c r="DF635" s="73"/>
      <c r="DG635" s="73"/>
      <c r="DH635" s="73"/>
      <c r="DI635" s="73"/>
      <c r="DJ635" s="73"/>
      <c r="DK635" s="73"/>
      <c r="DL635" s="73"/>
      <c r="DM635" s="73"/>
      <c r="DN635" s="73"/>
      <c r="DO635" s="73"/>
      <c r="DP635" s="73"/>
      <c r="DQ635" s="73"/>
      <c r="DR635" s="73"/>
      <c r="DS635" s="73"/>
      <c r="DT635" s="73"/>
      <c r="DU635" s="73"/>
      <c r="DV635" s="73"/>
      <c r="DW635" s="73"/>
      <c r="DX635" s="72"/>
      <c r="DY635" s="72"/>
      <c r="DZ635" s="73"/>
      <c r="EA635" s="73"/>
      <c r="EB635" s="73"/>
      <c r="EC635" s="73"/>
      <c r="ED635" s="73"/>
      <c r="EE635" s="73"/>
      <c r="EF635" s="73"/>
      <c r="EG635" s="73"/>
      <c r="EH635" s="73"/>
      <c r="EI635" s="73"/>
      <c r="EJ635" s="73"/>
      <c r="EK635" s="73"/>
      <c r="EL635" s="73"/>
      <c r="EM635" s="73"/>
      <c r="EN635" s="73"/>
      <c r="EO635" s="73"/>
      <c r="EP635" s="69"/>
      <c r="EQ635" s="69"/>
      <c r="ER635" s="69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  <c r="CI636" s="73"/>
      <c r="CJ636" s="73"/>
      <c r="CK636" s="73"/>
      <c r="CL636" s="73"/>
      <c r="CM636" s="73"/>
      <c r="CN636" s="73"/>
      <c r="CO636" s="73"/>
      <c r="CP636" s="73"/>
      <c r="CQ636" s="73"/>
      <c r="CR636" s="73"/>
      <c r="CS636" s="73"/>
      <c r="CT636" s="73"/>
      <c r="CU636" s="73"/>
      <c r="CV636" s="73"/>
      <c r="CW636" s="73"/>
      <c r="CX636" s="73"/>
      <c r="CY636" s="73"/>
      <c r="CZ636" s="73"/>
      <c r="DA636" s="73"/>
      <c r="DB636" s="73"/>
      <c r="DC636" s="73"/>
      <c r="DD636" s="73"/>
      <c r="DE636" s="73"/>
      <c r="DF636" s="73"/>
      <c r="DG636" s="73"/>
      <c r="DH636" s="73"/>
      <c r="DI636" s="73"/>
      <c r="DJ636" s="73"/>
      <c r="DK636" s="73"/>
      <c r="DL636" s="73"/>
      <c r="DM636" s="73"/>
      <c r="DN636" s="73"/>
      <c r="DO636" s="73"/>
      <c r="DP636" s="73"/>
      <c r="DQ636" s="73"/>
      <c r="DR636" s="73"/>
      <c r="DS636" s="73"/>
      <c r="DT636" s="73"/>
      <c r="DU636" s="73"/>
      <c r="DV636" s="73"/>
      <c r="DW636" s="73"/>
      <c r="DX636" s="72"/>
      <c r="DY636" s="72"/>
      <c r="DZ636" s="73"/>
      <c r="EA636" s="73"/>
      <c r="EB636" s="73"/>
      <c r="EC636" s="73"/>
      <c r="ED636" s="73"/>
      <c r="EE636" s="73"/>
      <c r="EF636" s="73"/>
      <c r="EG636" s="73"/>
      <c r="EH636" s="73"/>
      <c r="EI636" s="73"/>
      <c r="EJ636" s="73"/>
      <c r="EK636" s="73"/>
      <c r="EL636" s="73"/>
      <c r="EM636" s="73"/>
      <c r="EN636" s="73"/>
      <c r="EO636" s="73"/>
      <c r="EP636" s="69"/>
      <c r="EQ636" s="69"/>
      <c r="ER636" s="69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  <c r="CI637" s="73"/>
      <c r="CJ637" s="73"/>
      <c r="CK637" s="73"/>
      <c r="CL637" s="73"/>
      <c r="CM637" s="73"/>
      <c r="CN637" s="73"/>
      <c r="CO637" s="73"/>
      <c r="CP637" s="73"/>
      <c r="CQ637" s="73"/>
      <c r="CR637" s="73"/>
      <c r="CS637" s="73"/>
      <c r="CT637" s="73"/>
      <c r="CU637" s="73"/>
      <c r="CV637" s="73"/>
      <c r="CW637" s="73"/>
      <c r="CX637" s="73"/>
      <c r="CY637" s="73"/>
      <c r="CZ637" s="73"/>
      <c r="DA637" s="73"/>
      <c r="DB637" s="73"/>
      <c r="DC637" s="73"/>
      <c r="DD637" s="73"/>
      <c r="DE637" s="73"/>
      <c r="DF637" s="73"/>
      <c r="DG637" s="73"/>
      <c r="DH637" s="73"/>
      <c r="DI637" s="73"/>
      <c r="DJ637" s="73"/>
      <c r="DK637" s="73"/>
      <c r="DL637" s="73"/>
      <c r="DM637" s="73"/>
      <c r="DN637" s="73"/>
      <c r="DO637" s="73"/>
      <c r="DP637" s="73"/>
      <c r="DQ637" s="73"/>
      <c r="DR637" s="73"/>
      <c r="DS637" s="73"/>
      <c r="DT637" s="73"/>
      <c r="DU637" s="73"/>
      <c r="DV637" s="73"/>
      <c r="DW637" s="73"/>
      <c r="DX637" s="72"/>
      <c r="DY637" s="72"/>
      <c r="DZ637" s="73"/>
      <c r="EA637" s="73"/>
      <c r="EB637" s="73"/>
      <c r="EC637" s="73"/>
      <c r="ED637" s="73"/>
      <c r="EE637" s="73"/>
      <c r="EF637" s="73"/>
      <c r="EG637" s="73"/>
      <c r="EH637" s="73"/>
      <c r="EI637" s="73"/>
      <c r="EJ637" s="73"/>
      <c r="EK637" s="73"/>
      <c r="EL637" s="73"/>
      <c r="EM637" s="73"/>
      <c r="EN637" s="73"/>
      <c r="EO637" s="73"/>
      <c r="EP637" s="69"/>
      <c r="EQ637" s="69"/>
      <c r="ER637" s="69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  <c r="CI638" s="73"/>
      <c r="CJ638" s="73"/>
      <c r="CK638" s="73"/>
      <c r="CL638" s="73"/>
      <c r="CM638" s="73"/>
      <c r="CN638" s="73"/>
      <c r="CO638" s="73"/>
      <c r="CP638" s="73"/>
      <c r="CQ638" s="73"/>
      <c r="CR638" s="73"/>
      <c r="CS638" s="73"/>
      <c r="CT638" s="73"/>
      <c r="CU638" s="73"/>
      <c r="CV638" s="73"/>
      <c r="CW638" s="73"/>
      <c r="CX638" s="73"/>
      <c r="CY638" s="73"/>
      <c r="CZ638" s="73"/>
      <c r="DA638" s="73"/>
      <c r="DB638" s="73"/>
      <c r="DC638" s="73"/>
      <c r="DD638" s="73"/>
      <c r="DE638" s="73"/>
      <c r="DF638" s="73"/>
      <c r="DG638" s="73"/>
      <c r="DH638" s="73"/>
      <c r="DI638" s="73"/>
      <c r="DJ638" s="73"/>
      <c r="DK638" s="73"/>
      <c r="DL638" s="73"/>
      <c r="DM638" s="73"/>
      <c r="DN638" s="73"/>
      <c r="DO638" s="73"/>
      <c r="DP638" s="73"/>
      <c r="DQ638" s="73"/>
      <c r="DR638" s="73"/>
      <c r="DS638" s="73"/>
      <c r="DT638" s="73"/>
      <c r="DU638" s="73"/>
      <c r="DV638" s="73"/>
      <c r="DW638" s="73"/>
      <c r="DX638" s="72"/>
      <c r="DY638" s="72"/>
      <c r="DZ638" s="73"/>
      <c r="EA638" s="73"/>
      <c r="EB638" s="73"/>
      <c r="EC638" s="73"/>
      <c r="ED638" s="73"/>
      <c r="EE638" s="73"/>
      <c r="EF638" s="73"/>
      <c r="EG638" s="73"/>
      <c r="EH638" s="73"/>
      <c r="EI638" s="73"/>
      <c r="EJ638" s="73"/>
      <c r="EK638" s="73"/>
      <c r="EL638" s="73"/>
      <c r="EM638" s="73"/>
      <c r="EN638" s="73"/>
      <c r="EO638" s="73"/>
      <c r="EP638" s="69"/>
      <c r="EQ638" s="69"/>
      <c r="ER638" s="69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  <c r="CI639" s="73"/>
      <c r="CJ639" s="73"/>
      <c r="CK639" s="73"/>
      <c r="CL639" s="73"/>
      <c r="CM639" s="73"/>
      <c r="CN639" s="73"/>
      <c r="CO639" s="73"/>
      <c r="CP639" s="73"/>
      <c r="CQ639" s="73"/>
      <c r="CR639" s="73"/>
      <c r="CS639" s="73"/>
      <c r="CT639" s="73"/>
      <c r="CU639" s="73"/>
      <c r="CV639" s="73"/>
      <c r="CW639" s="73"/>
      <c r="CX639" s="73"/>
      <c r="CY639" s="73"/>
      <c r="CZ639" s="73"/>
      <c r="DA639" s="73"/>
      <c r="DB639" s="73"/>
      <c r="DC639" s="73"/>
      <c r="DD639" s="73"/>
      <c r="DE639" s="73"/>
      <c r="DF639" s="73"/>
      <c r="DG639" s="73"/>
      <c r="DH639" s="73"/>
      <c r="DI639" s="73"/>
      <c r="DJ639" s="73"/>
      <c r="DK639" s="73"/>
      <c r="DL639" s="73"/>
      <c r="DM639" s="73"/>
      <c r="DN639" s="73"/>
      <c r="DO639" s="73"/>
      <c r="DP639" s="73"/>
      <c r="DQ639" s="73"/>
      <c r="DR639" s="73"/>
      <c r="DS639" s="73"/>
      <c r="DT639" s="73"/>
      <c r="DU639" s="73"/>
      <c r="DV639" s="73"/>
      <c r="DW639" s="73"/>
      <c r="DX639" s="72"/>
      <c r="DY639" s="72"/>
      <c r="DZ639" s="73"/>
      <c r="EA639" s="73"/>
      <c r="EB639" s="73"/>
      <c r="EC639" s="73"/>
      <c r="ED639" s="73"/>
      <c r="EE639" s="73"/>
      <c r="EF639" s="73"/>
      <c r="EG639" s="73"/>
      <c r="EH639" s="73"/>
      <c r="EI639" s="73"/>
      <c r="EJ639" s="73"/>
      <c r="EK639" s="73"/>
      <c r="EL639" s="73"/>
      <c r="EM639" s="73"/>
      <c r="EN639" s="73"/>
      <c r="EO639" s="73"/>
      <c r="EP639" s="69"/>
      <c r="EQ639" s="69"/>
      <c r="ER639" s="69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  <c r="CI640" s="73"/>
      <c r="CJ640" s="73"/>
      <c r="CK640" s="73"/>
      <c r="CL640" s="73"/>
      <c r="CM640" s="73"/>
      <c r="CN640" s="73"/>
      <c r="CO640" s="73"/>
      <c r="CP640" s="73"/>
      <c r="CQ640" s="73"/>
      <c r="CR640" s="73"/>
      <c r="CS640" s="73"/>
      <c r="CT640" s="73"/>
      <c r="CU640" s="73"/>
      <c r="CV640" s="73"/>
      <c r="CW640" s="73"/>
      <c r="CX640" s="73"/>
      <c r="CY640" s="73"/>
      <c r="CZ640" s="73"/>
      <c r="DA640" s="73"/>
      <c r="DB640" s="73"/>
      <c r="DC640" s="73"/>
      <c r="DD640" s="73"/>
      <c r="DE640" s="73"/>
      <c r="DF640" s="73"/>
      <c r="DG640" s="73"/>
      <c r="DH640" s="73"/>
      <c r="DI640" s="73"/>
      <c r="DJ640" s="73"/>
      <c r="DK640" s="73"/>
      <c r="DL640" s="73"/>
      <c r="DM640" s="73"/>
      <c r="DN640" s="73"/>
      <c r="DO640" s="73"/>
      <c r="DP640" s="73"/>
      <c r="DQ640" s="73"/>
      <c r="DR640" s="73"/>
      <c r="DS640" s="73"/>
      <c r="DT640" s="73"/>
      <c r="DU640" s="73"/>
      <c r="DV640" s="73"/>
      <c r="DW640" s="73"/>
      <c r="DX640" s="72"/>
      <c r="DY640" s="72"/>
      <c r="DZ640" s="73"/>
      <c r="EA640" s="73"/>
      <c r="EB640" s="73"/>
      <c r="EC640" s="73"/>
      <c r="ED640" s="73"/>
      <c r="EE640" s="73"/>
      <c r="EF640" s="73"/>
      <c r="EG640" s="73"/>
      <c r="EH640" s="73"/>
      <c r="EI640" s="73"/>
      <c r="EJ640" s="73"/>
      <c r="EK640" s="73"/>
      <c r="EL640" s="73"/>
      <c r="EM640" s="73"/>
      <c r="EN640" s="73"/>
      <c r="EO640" s="73"/>
      <c r="EP640" s="69"/>
      <c r="EQ640" s="69"/>
      <c r="ER640" s="69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  <c r="CI641" s="73"/>
      <c r="CJ641" s="73"/>
      <c r="CK641" s="73"/>
      <c r="CL641" s="73"/>
      <c r="CM641" s="73"/>
      <c r="CN641" s="73"/>
      <c r="CO641" s="73"/>
      <c r="CP641" s="73"/>
      <c r="CQ641" s="73"/>
      <c r="CR641" s="73"/>
      <c r="CS641" s="73"/>
      <c r="CT641" s="73"/>
      <c r="CU641" s="73"/>
      <c r="CV641" s="73"/>
      <c r="CW641" s="73"/>
      <c r="CX641" s="73"/>
      <c r="CY641" s="73"/>
      <c r="CZ641" s="73"/>
      <c r="DA641" s="73"/>
      <c r="DB641" s="73"/>
      <c r="DC641" s="73"/>
      <c r="DD641" s="73"/>
      <c r="DE641" s="73"/>
      <c r="DF641" s="73"/>
      <c r="DG641" s="73"/>
      <c r="DH641" s="73"/>
      <c r="DI641" s="73"/>
      <c r="DJ641" s="73"/>
      <c r="DK641" s="73"/>
      <c r="DL641" s="73"/>
      <c r="DM641" s="73"/>
      <c r="DN641" s="73"/>
      <c r="DO641" s="73"/>
      <c r="DP641" s="73"/>
      <c r="DQ641" s="73"/>
      <c r="DR641" s="73"/>
      <c r="DS641" s="73"/>
      <c r="DT641" s="73"/>
      <c r="DU641" s="73"/>
      <c r="DV641" s="73"/>
      <c r="DW641" s="73"/>
      <c r="DX641" s="72"/>
      <c r="DY641" s="72"/>
      <c r="DZ641" s="73"/>
      <c r="EA641" s="73"/>
      <c r="EB641" s="73"/>
      <c r="EC641" s="73"/>
      <c r="ED641" s="73"/>
      <c r="EE641" s="73"/>
      <c r="EF641" s="73"/>
      <c r="EG641" s="73"/>
      <c r="EH641" s="73"/>
      <c r="EI641" s="73"/>
      <c r="EJ641" s="73"/>
      <c r="EK641" s="73"/>
      <c r="EL641" s="73"/>
      <c r="EM641" s="73"/>
      <c r="EN641" s="73"/>
      <c r="EO641" s="73"/>
      <c r="EP641" s="69"/>
      <c r="EQ641" s="69"/>
      <c r="ER641" s="69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  <c r="CI642" s="73"/>
      <c r="CJ642" s="73"/>
      <c r="CK642" s="73"/>
      <c r="CL642" s="73"/>
      <c r="CM642" s="73"/>
      <c r="CN642" s="73"/>
      <c r="CO642" s="73"/>
      <c r="CP642" s="73"/>
      <c r="CQ642" s="73"/>
      <c r="CR642" s="73"/>
      <c r="CS642" s="73"/>
      <c r="CT642" s="73"/>
      <c r="CU642" s="73"/>
      <c r="CV642" s="73"/>
      <c r="CW642" s="73"/>
      <c r="CX642" s="73"/>
      <c r="CY642" s="73"/>
      <c r="CZ642" s="73"/>
      <c r="DA642" s="73"/>
      <c r="DB642" s="73"/>
      <c r="DC642" s="73"/>
      <c r="DD642" s="73"/>
      <c r="DE642" s="73"/>
      <c r="DF642" s="73"/>
      <c r="DG642" s="73"/>
      <c r="DH642" s="73"/>
      <c r="DI642" s="73"/>
      <c r="DJ642" s="73"/>
      <c r="DK642" s="73"/>
      <c r="DL642" s="73"/>
      <c r="DM642" s="73"/>
      <c r="DN642" s="73"/>
      <c r="DO642" s="73"/>
      <c r="DP642" s="73"/>
      <c r="DQ642" s="73"/>
      <c r="DR642" s="73"/>
      <c r="DS642" s="73"/>
      <c r="DT642" s="73"/>
      <c r="DU642" s="73"/>
      <c r="DV642" s="73"/>
      <c r="DW642" s="73"/>
      <c r="DX642" s="72"/>
      <c r="DY642" s="72"/>
      <c r="DZ642" s="73"/>
      <c r="EA642" s="73"/>
      <c r="EB642" s="73"/>
      <c r="EC642" s="73"/>
      <c r="ED642" s="73"/>
      <c r="EE642" s="73"/>
      <c r="EF642" s="73"/>
      <c r="EG642" s="73"/>
      <c r="EH642" s="73"/>
      <c r="EI642" s="73"/>
      <c r="EJ642" s="73"/>
      <c r="EK642" s="73"/>
      <c r="EL642" s="73"/>
      <c r="EM642" s="73"/>
      <c r="EN642" s="73"/>
      <c r="EO642" s="73"/>
      <c r="EP642" s="69"/>
      <c r="EQ642" s="69"/>
      <c r="ER642" s="69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  <c r="CI643" s="73"/>
      <c r="CJ643" s="73"/>
      <c r="CK643" s="73"/>
      <c r="CL643" s="73"/>
      <c r="CM643" s="72"/>
      <c r="CN643" s="73"/>
      <c r="CO643" s="73"/>
      <c r="CP643" s="73"/>
      <c r="CQ643" s="73"/>
      <c r="CR643" s="73"/>
      <c r="CS643" s="73"/>
      <c r="CT643" s="73"/>
      <c r="CU643" s="73"/>
      <c r="CV643" s="73"/>
      <c r="CW643" s="73"/>
      <c r="CX643" s="73"/>
      <c r="CY643" s="73"/>
      <c r="CZ643" s="73"/>
      <c r="DA643" s="73"/>
      <c r="DB643" s="73"/>
      <c r="DC643" s="73"/>
      <c r="DD643" s="73"/>
      <c r="DE643" s="73"/>
      <c r="DF643" s="73"/>
      <c r="DG643" s="73"/>
      <c r="DH643" s="73"/>
      <c r="DI643" s="73"/>
      <c r="DJ643" s="73"/>
      <c r="DK643" s="73"/>
      <c r="DL643" s="73"/>
      <c r="DM643" s="73"/>
      <c r="DN643" s="73"/>
      <c r="DO643" s="73"/>
      <c r="DP643" s="73"/>
      <c r="DQ643" s="73"/>
      <c r="DR643" s="73"/>
      <c r="DS643" s="73"/>
      <c r="DT643" s="73"/>
      <c r="DU643" s="73"/>
      <c r="DV643" s="73"/>
      <c r="DW643" s="73"/>
      <c r="DX643" s="72"/>
      <c r="DY643" s="72"/>
      <c r="DZ643" s="73"/>
      <c r="EA643" s="73"/>
      <c r="EB643" s="73"/>
      <c r="EC643" s="73"/>
      <c r="ED643" s="73"/>
      <c r="EE643" s="73"/>
      <c r="EF643" s="73"/>
      <c r="EG643" s="73"/>
      <c r="EH643" s="73"/>
      <c r="EI643" s="73"/>
      <c r="EJ643" s="73"/>
      <c r="EK643" s="73"/>
      <c r="EL643" s="73"/>
      <c r="EM643" s="73"/>
      <c r="EN643" s="73"/>
      <c r="EO643" s="73"/>
      <c r="EP643" s="69"/>
      <c r="EQ643" s="69"/>
      <c r="ER643" s="69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  <c r="CI644" s="73"/>
      <c r="CJ644" s="73"/>
      <c r="CK644" s="73"/>
      <c r="CL644" s="73"/>
      <c r="CM644" s="73"/>
      <c r="CN644" s="73"/>
      <c r="CO644" s="73"/>
      <c r="CP644" s="73"/>
      <c r="CQ644" s="73"/>
      <c r="CR644" s="73"/>
      <c r="CS644" s="73"/>
      <c r="CT644" s="73"/>
      <c r="CU644" s="73"/>
      <c r="CV644" s="73"/>
      <c r="CW644" s="73"/>
      <c r="CX644" s="73"/>
      <c r="CY644" s="73"/>
      <c r="CZ644" s="73"/>
      <c r="DA644" s="73"/>
      <c r="DB644" s="73"/>
      <c r="DC644" s="73"/>
      <c r="DD644" s="73"/>
      <c r="DE644" s="73"/>
      <c r="DF644" s="73"/>
      <c r="DG644" s="73"/>
      <c r="DH644" s="73"/>
      <c r="DI644" s="73"/>
      <c r="DJ644" s="73"/>
      <c r="DK644" s="73"/>
      <c r="DL644" s="73"/>
      <c r="DM644" s="73"/>
      <c r="DN644" s="73"/>
      <c r="DO644" s="73"/>
      <c r="DP644" s="73"/>
      <c r="DQ644" s="73"/>
      <c r="DR644" s="73"/>
      <c r="DS644" s="73"/>
      <c r="DT644" s="73"/>
      <c r="DU644" s="73"/>
      <c r="DV644" s="73"/>
      <c r="DW644" s="73"/>
      <c r="DX644" s="72"/>
      <c r="DY644" s="72"/>
      <c r="DZ644" s="73"/>
      <c r="EA644" s="73"/>
      <c r="EB644" s="73"/>
      <c r="EC644" s="73"/>
      <c r="ED644" s="73"/>
      <c r="EE644" s="73"/>
      <c r="EF644" s="73"/>
      <c r="EG644" s="73"/>
      <c r="EH644" s="73"/>
      <c r="EI644" s="73"/>
      <c r="EJ644" s="73"/>
      <c r="EK644" s="73"/>
      <c r="EL644" s="73"/>
      <c r="EM644" s="73"/>
      <c r="EN644" s="73"/>
      <c r="EO644" s="73"/>
      <c r="EP644" s="69"/>
      <c r="EQ644" s="69"/>
      <c r="ER644" s="69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  <c r="CI645" s="73"/>
      <c r="CJ645" s="73"/>
      <c r="CK645" s="73"/>
      <c r="CL645" s="73"/>
      <c r="CM645" s="73"/>
      <c r="CN645" s="73"/>
      <c r="CO645" s="73"/>
      <c r="CP645" s="73"/>
      <c r="CQ645" s="73"/>
      <c r="CR645" s="73"/>
      <c r="CS645" s="73"/>
      <c r="CT645" s="73"/>
      <c r="CU645" s="73"/>
      <c r="CV645" s="73"/>
      <c r="CW645" s="73"/>
      <c r="CX645" s="73"/>
      <c r="CY645" s="73"/>
      <c r="CZ645" s="73"/>
      <c r="DA645" s="73"/>
      <c r="DB645" s="73"/>
      <c r="DC645" s="73"/>
      <c r="DD645" s="73"/>
      <c r="DE645" s="73"/>
      <c r="DF645" s="73"/>
      <c r="DG645" s="73"/>
      <c r="DH645" s="73"/>
      <c r="DI645" s="73"/>
      <c r="DJ645" s="73"/>
      <c r="DK645" s="73"/>
      <c r="DL645" s="73"/>
      <c r="DM645" s="73"/>
      <c r="DN645" s="73"/>
      <c r="DO645" s="73"/>
      <c r="DP645" s="73"/>
      <c r="DQ645" s="73"/>
      <c r="DR645" s="73"/>
      <c r="DS645" s="73"/>
      <c r="DT645" s="73"/>
      <c r="DU645" s="73"/>
      <c r="DV645" s="73"/>
      <c r="DW645" s="73"/>
      <c r="DX645" s="72"/>
      <c r="DY645" s="72"/>
      <c r="DZ645" s="73"/>
      <c r="EA645" s="73"/>
      <c r="EB645" s="73"/>
      <c r="EC645" s="73"/>
      <c r="ED645" s="73"/>
      <c r="EE645" s="73"/>
      <c r="EF645" s="73"/>
      <c r="EG645" s="73"/>
      <c r="EH645" s="73"/>
      <c r="EI645" s="73"/>
      <c r="EJ645" s="73"/>
      <c r="EK645" s="73"/>
      <c r="EL645" s="73"/>
      <c r="EM645" s="73"/>
      <c r="EN645" s="73"/>
      <c r="EO645" s="73"/>
      <c r="EP645" s="69"/>
      <c r="EQ645" s="69"/>
      <c r="ER645" s="69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  <c r="CI646" s="73"/>
      <c r="CJ646" s="73"/>
      <c r="CK646" s="73"/>
      <c r="CL646" s="73"/>
      <c r="CM646" s="72"/>
      <c r="CN646" s="73"/>
      <c r="CO646" s="73"/>
      <c r="CP646" s="73"/>
      <c r="CQ646" s="73"/>
      <c r="CR646" s="73"/>
      <c r="CS646" s="73"/>
      <c r="CT646" s="73"/>
      <c r="CU646" s="73"/>
      <c r="CV646" s="73"/>
      <c r="CW646" s="73"/>
      <c r="CX646" s="73"/>
      <c r="CY646" s="73"/>
      <c r="CZ646" s="73"/>
      <c r="DA646" s="73"/>
      <c r="DB646" s="73"/>
      <c r="DC646" s="73"/>
      <c r="DD646" s="73"/>
      <c r="DE646" s="73"/>
      <c r="DF646" s="73"/>
      <c r="DG646" s="73"/>
      <c r="DH646" s="73"/>
      <c r="DI646" s="73"/>
      <c r="DJ646" s="73"/>
      <c r="DK646" s="73"/>
      <c r="DL646" s="73"/>
      <c r="DM646" s="73"/>
      <c r="DN646" s="73"/>
      <c r="DO646" s="73"/>
      <c r="DP646" s="73"/>
      <c r="DQ646" s="73"/>
      <c r="DR646" s="73"/>
      <c r="DS646" s="73"/>
      <c r="DT646" s="73"/>
      <c r="DU646" s="73"/>
      <c r="DV646" s="73"/>
      <c r="DW646" s="73"/>
      <c r="DX646" s="72"/>
      <c r="DY646" s="72"/>
      <c r="DZ646" s="73"/>
      <c r="EA646" s="73"/>
      <c r="EB646" s="73"/>
      <c r="EC646" s="73"/>
      <c r="ED646" s="73"/>
      <c r="EE646" s="73"/>
      <c r="EF646" s="73"/>
      <c r="EG646" s="73"/>
      <c r="EH646" s="73"/>
      <c r="EI646" s="73"/>
      <c r="EJ646" s="73"/>
      <c r="EK646" s="73"/>
      <c r="EL646" s="73"/>
      <c r="EM646" s="73"/>
      <c r="EN646" s="73"/>
      <c r="EO646" s="73"/>
      <c r="EP646" s="69"/>
      <c r="EQ646" s="69"/>
      <c r="ER646" s="69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  <c r="CI647" s="73"/>
      <c r="CJ647" s="73"/>
      <c r="CK647" s="73"/>
      <c r="CL647" s="73"/>
      <c r="CM647" s="72"/>
      <c r="CN647" s="73"/>
      <c r="CO647" s="73"/>
      <c r="CP647" s="73"/>
      <c r="CQ647" s="73"/>
      <c r="CR647" s="73"/>
      <c r="CS647" s="73"/>
      <c r="CT647" s="73"/>
      <c r="CU647" s="73"/>
      <c r="CV647" s="73"/>
      <c r="CW647" s="73"/>
      <c r="CX647" s="73"/>
      <c r="CY647" s="73"/>
      <c r="CZ647" s="73"/>
      <c r="DA647" s="73"/>
      <c r="DB647" s="73"/>
      <c r="DC647" s="73"/>
      <c r="DD647" s="73"/>
      <c r="DE647" s="73"/>
      <c r="DF647" s="73"/>
      <c r="DG647" s="73"/>
      <c r="DH647" s="73"/>
      <c r="DI647" s="73"/>
      <c r="DJ647" s="73"/>
      <c r="DK647" s="73"/>
      <c r="DL647" s="73"/>
      <c r="DM647" s="73"/>
      <c r="DN647" s="73"/>
      <c r="DO647" s="73"/>
      <c r="DP647" s="73"/>
      <c r="DQ647" s="73"/>
      <c r="DR647" s="73"/>
      <c r="DS647" s="73"/>
      <c r="DT647" s="73"/>
      <c r="DU647" s="73"/>
      <c r="DV647" s="73"/>
      <c r="DW647" s="73"/>
      <c r="DX647" s="72"/>
      <c r="DY647" s="72"/>
      <c r="DZ647" s="73"/>
      <c r="EA647" s="73"/>
      <c r="EB647" s="73"/>
      <c r="EC647" s="73"/>
      <c r="ED647" s="73"/>
      <c r="EE647" s="73"/>
      <c r="EF647" s="73"/>
      <c r="EG647" s="73"/>
      <c r="EH647" s="73"/>
      <c r="EI647" s="73"/>
      <c r="EJ647" s="73"/>
      <c r="EK647" s="73"/>
      <c r="EL647" s="73"/>
      <c r="EM647" s="73"/>
      <c r="EN647" s="73"/>
      <c r="EO647" s="73"/>
      <c r="EP647" s="69"/>
      <c r="EQ647" s="69"/>
      <c r="ER647" s="69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  <c r="CI648" s="73"/>
      <c r="CJ648" s="73"/>
      <c r="CK648" s="73"/>
      <c r="CL648" s="73"/>
      <c r="CM648" s="72"/>
      <c r="CN648" s="73"/>
      <c r="CO648" s="73"/>
      <c r="CP648" s="73"/>
      <c r="CQ648" s="73"/>
      <c r="CR648" s="73"/>
      <c r="CS648" s="73"/>
      <c r="CT648" s="73"/>
      <c r="CU648" s="73"/>
      <c r="CV648" s="73"/>
      <c r="CW648" s="73"/>
      <c r="CX648" s="73"/>
      <c r="CY648" s="73"/>
      <c r="CZ648" s="73"/>
      <c r="DA648" s="73"/>
      <c r="DB648" s="73"/>
      <c r="DC648" s="73"/>
      <c r="DD648" s="73"/>
      <c r="DE648" s="73"/>
      <c r="DF648" s="73"/>
      <c r="DG648" s="73"/>
      <c r="DH648" s="73"/>
      <c r="DI648" s="73"/>
      <c r="DJ648" s="73"/>
      <c r="DK648" s="73"/>
      <c r="DL648" s="73"/>
      <c r="DM648" s="73"/>
      <c r="DN648" s="73"/>
      <c r="DO648" s="73"/>
      <c r="DP648" s="73"/>
      <c r="DQ648" s="73"/>
      <c r="DR648" s="73"/>
      <c r="DS648" s="73"/>
      <c r="DT648" s="73"/>
      <c r="DU648" s="73"/>
      <c r="DV648" s="73"/>
      <c r="DW648" s="73"/>
      <c r="DX648" s="72"/>
      <c r="DY648" s="72"/>
      <c r="DZ648" s="73"/>
      <c r="EA648" s="73"/>
      <c r="EB648" s="73"/>
      <c r="EC648" s="73"/>
      <c r="ED648" s="73"/>
      <c r="EE648" s="73"/>
      <c r="EF648" s="73"/>
      <c r="EG648" s="73"/>
      <c r="EH648" s="73"/>
      <c r="EI648" s="73"/>
      <c r="EJ648" s="73"/>
      <c r="EK648" s="73"/>
      <c r="EL648" s="73"/>
      <c r="EM648" s="73"/>
      <c r="EN648" s="73"/>
      <c r="EO648" s="73"/>
      <c r="EP648" s="69"/>
      <c r="EQ648" s="69"/>
      <c r="ER648" s="69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  <c r="CI649" s="73"/>
      <c r="CJ649" s="73"/>
      <c r="CK649" s="73"/>
      <c r="CL649" s="73"/>
      <c r="CM649" s="72"/>
      <c r="CN649" s="73"/>
      <c r="CO649" s="73"/>
      <c r="CP649" s="73"/>
      <c r="CQ649" s="73"/>
      <c r="CR649" s="73"/>
      <c r="CS649" s="73"/>
      <c r="CT649" s="73"/>
      <c r="CU649" s="73"/>
      <c r="CV649" s="73"/>
      <c r="CW649" s="73"/>
      <c r="CX649" s="73"/>
      <c r="CY649" s="73"/>
      <c r="CZ649" s="73"/>
      <c r="DA649" s="73"/>
      <c r="DB649" s="73"/>
      <c r="DC649" s="73"/>
      <c r="DD649" s="73"/>
      <c r="DE649" s="73"/>
      <c r="DF649" s="73"/>
      <c r="DG649" s="73"/>
      <c r="DH649" s="73"/>
      <c r="DI649" s="73"/>
      <c r="DJ649" s="73"/>
      <c r="DK649" s="73"/>
      <c r="DL649" s="73"/>
      <c r="DM649" s="73"/>
      <c r="DN649" s="73"/>
      <c r="DO649" s="73"/>
      <c r="DP649" s="73"/>
      <c r="DQ649" s="73"/>
      <c r="DR649" s="73"/>
      <c r="DS649" s="73"/>
      <c r="DT649" s="73"/>
      <c r="DU649" s="73"/>
      <c r="DV649" s="73"/>
      <c r="DW649" s="73"/>
      <c r="DX649" s="72"/>
      <c r="DY649" s="72"/>
      <c r="DZ649" s="73"/>
      <c r="EA649" s="73"/>
      <c r="EB649" s="73"/>
      <c r="EC649" s="73"/>
      <c r="ED649" s="73"/>
      <c r="EE649" s="73"/>
      <c r="EF649" s="73"/>
      <c r="EG649" s="73"/>
      <c r="EH649" s="73"/>
      <c r="EI649" s="73"/>
      <c r="EJ649" s="73"/>
      <c r="EK649" s="73"/>
      <c r="EL649" s="73"/>
      <c r="EM649" s="73"/>
      <c r="EN649" s="73"/>
      <c r="EO649" s="73"/>
      <c r="EP649" s="69"/>
      <c r="EQ649" s="69"/>
      <c r="ER649" s="69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  <c r="CI650" s="73"/>
      <c r="CJ650" s="73"/>
      <c r="CK650" s="73"/>
      <c r="CL650" s="73"/>
      <c r="CM650" s="73"/>
      <c r="CN650" s="73"/>
      <c r="CO650" s="73"/>
      <c r="CP650" s="73"/>
      <c r="CQ650" s="73"/>
      <c r="CR650" s="73"/>
      <c r="CS650" s="73"/>
      <c r="CT650" s="73"/>
      <c r="CU650" s="73"/>
      <c r="CV650" s="73"/>
      <c r="CW650" s="73"/>
      <c r="CX650" s="73"/>
      <c r="CY650" s="73"/>
      <c r="CZ650" s="73"/>
      <c r="DA650" s="73"/>
      <c r="DB650" s="73"/>
      <c r="DC650" s="73"/>
      <c r="DD650" s="73"/>
      <c r="DE650" s="73"/>
      <c r="DF650" s="73"/>
      <c r="DG650" s="73"/>
      <c r="DH650" s="73"/>
      <c r="DI650" s="73"/>
      <c r="DJ650" s="73"/>
      <c r="DK650" s="73"/>
      <c r="DL650" s="73"/>
      <c r="DM650" s="73"/>
      <c r="DN650" s="73"/>
      <c r="DO650" s="73"/>
      <c r="DP650" s="73"/>
      <c r="DQ650" s="73"/>
      <c r="DR650" s="73"/>
      <c r="DS650" s="73"/>
      <c r="DT650" s="73"/>
      <c r="DU650" s="73"/>
      <c r="DV650" s="73"/>
      <c r="DW650" s="73"/>
      <c r="DX650" s="72"/>
      <c r="DY650" s="72"/>
      <c r="DZ650" s="73"/>
      <c r="EA650" s="73"/>
      <c r="EB650" s="73"/>
      <c r="EC650" s="73"/>
      <c r="ED650" s="73"/>
      <c r="EE650" s="73"/>
      <c r="EF650" s="73"/>
      <c r="EG650" s="73"/>
      <c r="EH650" s="73"/>
      <c r="EI650" s="73"/>
      <c r="EJ650" s="73"/>
      <c r="EK650" s="73"/>
      <c r="EL650" s="73"/>
      <c r="EM650" s="73"/>
      <c r="EN650" s="73"/>
      <c r="EO650" s="73"/>
      <c r="EP650" s="69"/>
      <c r="EQ650" s="69"/>
      <c r="ER650" s="69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  <c r="CI651" s="73"/>
      <c r="CJ651" s="73"/>
      <c r="CK651" s="73"/>
      <c r="CL651" s="73"/>
      <c r="CM651" s="73"/>
      <c r="CN651" s="73"/>
      <c r="CO651" s="73"/>
      <c r="CP651" s="73"/>
      <c r="CQ651" s="73"/>
      <c r="CR651" s="73"/>
      <c r="CS651" s="73"/>
      <c r="CT651" s="73"/>
      <c r="CU651" s="73"/>
      <c r="CV651" s="73"/>
      <c r="CW651" s="73"/>
      <c r="CX651" s="73"/>
      <c r="CY651" s="73"/>
      <c r="CZ651" s="73"/>
      <c r="DA651" s="73"/>
      <c r="DB651" s="73"/>
      <c r="DC651" s="73"/>
      <c r="DD651" s="73"/>
      <c r="DE651" s="73"/>
      <c r="DF651" s="73"/>
      <c r="DG651" s="73"/>
      <c r="DH651" s="73"/>
      <c r="DI651" s="73"/>
      <c r="DJ651" s="73"/>
      <c r="DK651" s="73"/>
      <c r="DL651" s="73"/>
      <c r="DM651" s="73"/>
      <c r="DN651" s="73"/>
      <c r="DO651" s="73"/>
      <c r="DP651" s="73"/>
      <c r="DQ651" s="73"/>
      <c r="DR651" s="73"/>
      <c r="DS651" s="73"/>
      <c r="DT651" s="73"/>
      <c r="DU651" s="73"/>
      <c r="DV651" s="73"/>
      <c r="DW651" s="73"/>
      <c r="DX651" s="72"/>
      <c r="DY651" s="72"/>
      <c r="DZ651" s="73"/>
      <c r="EA651" s="73"/>
      <c r="EB651" s="73"/>
      <c r="EC651" s="73"/>
      <c r="ED651" s="73"/>
      <c r="EE651" s="73"/>
      <c r="EF651" s="73"/>
      <c r="EG651" s="73"/>
      <c r="EH651" s="73"/>
      <c r="EI651" s="73"/>
      <c r="EJ651" s="73"/>
      <c r="EK651" s="73"/>
      <c r="EL651" s="73"/>
      <c r="EM651" s="73"/>
      <c r="EN651" s="73"/>
      <c r="EO651" s="73"/>
      <c r="EP651" s="69"/>
      <c r="EQ651" s="69"/>
      <c r="ER651" s="69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  <c r="CI652" s="73"/>
      <c r="CJ652" s="73"/>
      <c r="CK652" s="73"/>
      <c r="CL652" s="73"/>
      <c r="CM652" s="73"/>
      <c r="CN652" s="73"/>
      <c r="CO652" s="73"/>
      <c r="CP652" s="73"/>
      <c r="CQ652" s="73"/>
      <c r="CR652" s="73"/>
      <c r="CS652" s="73"/>
      <c r="CT652" s="73"/>
      <c r="CU652" s="73"/>
      <c r="CV652" s="73"/>
      <c r="CW652" s="73"/>
      <c r="CX652" s="73"/>
      <c r="CY652" s="73"/>
      <c r="CZ652" s="73"/>
      <c r="DA652" s="73"/>
      <c r="DB652" s="73"/>
      <c r="DC652" s="73"/>
      <c r="DD652" s="73"/>
      <c r="DE652" s="73"/>
      <c r="DF652" s="73"/>
      <c r="DG652" s="73"/>
      <c r="DH652" s="73"/>
      <c r="DI652" s="73"/>
      <c r="DJ652" s="73"/>
      <c r="DK652" s="73"/>
      <c r="DL652" s="73"/>
      <c r="DM652" s="73"/>
      <c r="DN652" s="73"/>
      <c r="DO652" s="73"/>
      <c r="DP652" s="73"/>
      <c r="DQ652" s="73"/>
      <c r="DR652" s="73"/>
      <c r="DS652" s="73"/>
      <c r="DT652" s="73"/>
      <c r="DU652" s="73"/>
      <c r="DV652" s="73"/>
      <c r="DW652" s="73"/>
      <c r="DX652" s="72"/>
      <c r="DY652" s="72"/>
      <c r="DZ652" s="73"/>
      <c r="EA652" s="73"/>
      <c r="EB652" s="73"/>
      <c r="EC652" s="73"/>
      <c r="ED652" s="73"/>
      <c r="EE652" s="73"/>
      <c r="EF652" s="73"/>
      <c r="EG652" s="73"/>
      <c r="EH652" s="73"/>
      <c r="EI652" s="73"/>
      <c r="EJ652" s="73"/>
      <c r="EK652" s="73"/>
      <c r="EL652" s="73"/>
      <c r="EM652" s="73"/>
      <c r="EN652" s="73"/>
      <c r="EO652" s="73"/>
      <c r="EP652" s="69"/>
      <c r="EQ652" s="69"/>
      <c r="ER652" s="69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  <c r="CI653" s="73"/>
      <c r="CJ653" s="73"/>
      <c r="CK653" s="73"/>
      <c r="CL653" s="73"/>
      <c r="CM653" s="73"/>
      <c r="CN653" s="73"/>
      <c r="CO653" s="73"/>
      <c r="CP653" s="73"/>
      <c r="CQ653" s="73"/>
      <c r="CR653" s="73"/>
      <c r="CS653" s="73"/>
      <c r="CT653" s="73"/>
      <c r="CU653" s="73"/>
      <c r="CV653" s="73"/>
      <c r="CW653" s="73"/>
      <c r="CX653" s="73"/>
      <c r="CY653" s="73"/>
      <c r="CZ653" s="73"/>
      <c r="DA653" s="73"/>
      <c r="DB653" s="73"/>
      <c r="DC653" s="73"/>
      <c r="DD653" s="73"/>
      <c r="DE653" s="73"/>
      <c r="DF653" s="73"/>
      <c r="DG653" s="73"/>
      <c r="DH653" s="73"/>
      <c r="DI653" s="73"/>
      <c r="DJ653" s="73"/>
      <c r="DK653" s="73"/>
      <c r="DL653" s="73"/>
      <c r="DM653" s="73"/>
      <c r="DN653" s="73"/>
      <c r="DO653" s="73"/>
      <c r="DP653" s="73"/>
      <c r="DQ653" s="73"/>
      <c r="DR653" s="73"/>
      <c r="DS653" s="73"/>
      <c r="DT653" s="73"/>
      <c r="DU653" s="73"/>
      <c r="DV653" s="73"/>
      <c r="DW653" s="73"/>
      <c r="DX653" s="72"/>
      <c r="DY653" s="72"/>
      <c r="DZ653" s="73"/>
      <c r="EA653" s="73"/>
      <c r="EB653" s="73"/>
      <c r="EC653" s="73"/>
      <c r="ED653" s="73"/>
      <c r="EE653" s="73"/>
      <c r="EF653" s="73"/>
      <c r="EG653" s="73"/>
      <c r="EH653" s="73"/>
      <c r="EI653" s="73"/>
      <c r="EJ653" s="73"/>
      <c r="EK653" s="73"/>
      <c r="EL653" s="73"/>
      <c r="EM653" s="73"/>
      <c r="EN653" s="73"/>
      <c r="EO653" s="73"/>
      <c r="EP653" s="69"/>
      <c r="EQ653" s="69"/>
      <c r="ER653" s="69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  <c r="CI654" s="73"/>
      <c r="CJ654" s="73"/>
      <c r="CK654" s="73"/>
      <c r="CL654" s="73"/>
      <c r="CM654" s="72"/>
      <c r="CN654" s="73"/>
      <c r="CO654" s="73"/>
      <c r="CP654" s="73"/>
      <c r="CQ654" s="73"/>
      <c r="CR654" s="73"/>
      <c r="CS654" s="73"/>
      <c r="CT654" s="73"/>
      <c r="CU654" s="73"/>
      <c r="CV654" s="73"/>
      <c r="CW654" s="73"/>
      <c r="CX654" s="73"/>
      <c r="CY654" s="73"/>
      <c r="CZ654" s="73"/>
      <c r="DA654" s="73"/>
      <c r="DB654" s="73"/>
      <c r="DC654" s="73"/>
      <c r="DD654" s="73"/>
      <c r="DE654" s="73"/>
      <c r="DF654" s="73"/>
      <c r="DG654" s="73"/>
      <c r="DH654" s="73"/>
      <c r="DI654" s="73"/>
      <c r="DJ654" s="73"/>
      <c r="DK654" s="73"/>
      <c r="DL654" s="73"/>
      <c r="DM654" s="73"/>
      <c r="DN654" s="73"/>
      <c r="DO654" s="73"/>
      <c r="DP654" s="73"/>
      <c r="DQ654" s="73"/>
      <c r="DR654" s="73"/>
      <c r="DS654" s="73"/>
      <c r="DT654" s="73"/>
      <c r="DU654" s="73"/>
      <c r="DV654" s="73"/>
      <c r="DW654" s="73"/>
      <c r="DX654" s="72"/>
      <c r="DY654" s="72"/>
      <c r="DZ654" s="73"/>
      <c r="EA654" s="73"/>
      <c r="EB654" s="73"/>
      <c r="EC654" s="73"/>
      <c r="ED654" s="73"/>
      <c r="EE654" s="73"/>
      <c r="EF654" s="73"/>
      <c r="EG654" s="73"/>
      <c r="EH654" s="73"/>
      <c r="EI654" s="73"/>
      <c r="EJ654" s="73"/>
      <c r="EK654" s="73"/>
      <c r="EL654" s="73"/>
      <c r="EM654" s="73"/>
      <c r="EN654" s="73"/>
      <c r="EO654" s="73"/>
      <c r="EP654" s="69"/>
      <c r="EQ654" s="69"/>
      <c r="ER654" s="69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  <c r="CI655" s="73"/>
      <c r="CJ655" s="73"/>
      <c r="CK655" s="73"/>
      <c r="CL655" s="73"/>
      <c r="CM655" s="72"/>
      <c r="CN655" s="73"/>
      <c r="CO655" s="73"/>
      <c r="CP655" s="73"/>
      <c r="CQ655" s="73"/>
      <c r="CR655" s="73"/>
      <c r="CS655" s="73"/>
      <c r="CT655" s="73"/>
      <c r="CU655" s="73"/>
      <c r="CV655" s="73"/>
      <c r="CW655" s="73"/>
      <c r="CX655" s="73"/>
      <c r="CY655" s="73"/>
      <c r="CZ655" s="73"/>
      <c r="DA655" s="73"/>
      <c r="DB655" s="73"/>
      <c r="DC655" s="73"/>
      <c r="DD655" s="73"/>
      <c r="DE655" s="73"/>
      <c r="DF655" s="73"/>
      <c r="DG655" s="73"/>
      <c r="DH655" s="73"/>
      <c r="DI655" s="73"/>
      <c r="DJ655" s="73"/>
      <c r="DK655" s="73"/>
      <c r="DL655" s="73"/>
      <c r="DM655" s="73"/>
      <c r="DN655" s="73"/>
      <c r="DO655" s="73"/>
      <c r="DP655" s="73"/>
      <c r="DQ655" s="73"/>
      <c r="DR655" s="73"/>
      <c r="DS655" s="73"/>
      <c r="DT655" s="73"/>
      <c r="DU655" s="73"/>
      <c r="DV655" s="73"/>
      <c r="DW655" s="73"/>
      <c r="DX655" s="72"/>
      <c r="DY655" s="72"/>
      <c r="DZ655" s="73"/>
      <c r="EA655" s="73"/>
      <c r="EB655" s="73"/>
      <c r="EC655" s="73"/>
      <c r="ED655" s="73"/>
      <c r="EE655" s="73"/>
      <c r="EF655" s="73"/>
      <c r="EG655" s="73"/>
      <c r="EH655" s="73"/>
      <c r="EI655" s="73"/>
      <c r="EJ655" s="73"/>
      <c r="EK655" s="73"/>
      <c r="EL655" s="73"/>
      <c r="EM655" s="73"/>
      <c r="EN655" s="73"/>
      <c r="EO655" s="73"/>
      <c r="EP655" s="69"/>
      <c r="EQ655" s="69"/>
      <c r="ER655" s="69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  <c r="CI656" s="73"/>
      <c r="CJ656" s="73"/>
      <c r="CK656" s="73"/>
      <c r="CL656" s="73"/>
      <c r="CM656" s="73"/>
      <c r="CN656" s="73"/>
      <c r="CO656" s="73"/>
      <c r="CP656" s="73"/>
      <c r="CQ656" s="73"/>
      <c r="CR656" s="73"/>
      <c r="CS656" s="73"/>
      <c r="CT656" s="73"/>
      <c r="CU656" s="73"/>
      <c r="CV656" s="73"/>
      <c r="CW656" s="73"/>
      <c r="CX656" s="73"/>
      <c r="CY656" s="73"/>
      <c r="CZ656" s="73"/>
      <c r="DA656" s="73"/>
      <c r="DB656" s="73"/>
      <c r="DC656" s="73"/>
      <c r="DD656" s="73"/>
      <c r="DE656" s="73"/>
      <c r="DF656" s="73"/>
      <c r="DG656" s="73"/>
      <c r="DH656" s="73"/>
      <c r="DI656" s="73"/>
      <c r="DJ656" s="73"/>
      <c r="DK656" s="73"/>
      <c r="DL656" s="73"/>
      <c r="DM656" s="73"/>
      <c r="DN656" s="73"/>
      <c r="DO656" s="73"/>
      <c r="DP656" s="73"/>
      <c r="DQ656" s="73"/>
      <c r="DR656" s="73"/>
      <c r="DS656" s="73"/>
      <c r="DT656" s="73"/>
      <c r="DU656" s="73"/>
      <c r="DV656" s="73"/>
      <c r="DW656" s="73"/>
      <c r="DX656" s="72"/>
      <c r="DY656" s="72"/>
      <c r="DZ656" s="73"/>
      <c r="EA656" s="73"/>
      <c r="EB656" s="73"/>
      <c r="EC656" s="73"/>
      <c r="ED656" s="73"/>
      <c r="EE656" s="73"/>
      <c r="EF656" s="73"/>
      <c r="EG656" s="73"/>
      <c r="EH656" s="73"/>
      <c r="EI656" s="73"/>
      <c r="EJ656" s="73"/>
      <c r="EK656" s="73"/>
      <c r="EL656" s="73"/>
      <c r="EM656" s="73"/>
      <c r="EN656" s="73"/>
      <c r="EO656" s="73"/>
      <c r="EP656" s="69"/>
      <c r="EQ656" s="69"/>
      <c r="ER656" s="69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  <c r="CI657" s="73"/>
      <c r="CJ657" s="73"/>
      <c r="CK657" s="73"/>
      <c r="CL657" s="73"/>
      <c r="CM657" s="72"/>
      <c r="CN657" s="73"/>
      <c r="CO657" s="73"/>
      <c r="CP657" s="73"/>
      <c r="CQ657" s="73"/>
      <c r="CR657" s="73"/>
      <c r="CS657" s="73"/>
      <c r="CT657" s="73"/>
      <c r="CU657" s="73"/>
      <c r="CV657" s="73"/>
      <c r="CW657" s="73"/>
      <c r="CX657" s="73"/>
      <c r="CY657" s="73"/>
      <c r="CZ657" s="73"/>
      <c r="DA657" s="73"/>
      <c r="DB657" s="73"/>
      <c r="DC657" s="73"/>
      <c r="DD657" s="73"/>
      <c r="DE657" s="73"/>
      <c r="DF657" s="73"/>
      <c r="DG657" s="73"/>
      <c r="DH657" s="73"/>
      <c r="DI657" s="73"/>
      <c r="DJ657" s="73"/>
      <c r="DK657" s="73"/>
      <c r="DL657" s="73"/>
      <c r="DM657" s="73"/>
      <c r="DN657" s="73"/>
      <c r="DO657" s="73"/>
      <c r="DP657" s="73"/>
      <c r="DQ657" s="73"/>
      <c r="DR657" s="73"/>
      <c r="DS657" s="73"/>
      <c r="DT657" s="73"/>
      <c r="DU657" s="73"/>
      <c r="DV657" s="73"/>
      <c r="DW657" s="73"/>
      <c r="DX657" s="72"/>
      <c r="DY657" s="72"/>
      <c r="DZ657" s="73"/>
      <c r="EA657" s="73"/>
      <c r="EB657" s="73"/>
      <c r="EC657" s="73"/>
      <c r="ED657" s="73"/>
      <c r="EE657" s="73"/>
      <c r="EF657" s="73"/>
      <c r="EG657" s="73"/>
      <c r="EH657" s="73"/>
      <c r="EI657" s="73"/>
      <c r="EJ657" s="73"/>
      <c r="EK657" s="73"/>
      <c r="EL657" s="73"/>
      <c r="EM657" s="73"/>
      <c r="EN657" s="73"/>
      <c r="EO657" s="73"/>
      <c r="EP657" s="69"/>
      <c r="EQ657" s="69"/>
      <c r="ER657" s="69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  <c r="CI658" s="73"/>
      <c r="CJ658" s="73"/>
      <c r="CK658" s="73"/>
      <c r="CL658" s="73"/>
      <c r="CM658" s="72"/>
      <c r="CN658" s="73"/>
      <c r="CO658" s="73"/>
      <c r="CP658" s="73"/>
      <c r="CQ658" s="73"/>
      <c r="CR658" s="73"/>
      <c r="CS658" s="73"/>
      <c r="CT658" s="73"/>
      <c r="CU658" s="73"/>
      <c r="CV658" s="73"/>
      <c r="CW658" s="73"/>
      <c r="CX658" s="73"/>
      <c r="CY658" s="73"/>
      <c r="CZ658" s="73"/>
      <c r="DA658" s="73"/>
      <c r="DB658" s="73"/>
      <c r="DC658" s="73"/>
      <c r="DD658" s="73"/>
      <c r="DE658" s="73"/>
      <c r="DF658" s="73"/>
      <c r="DG658" s="73"/>
      <c r="DH658" s="73"/>
      <c r="DI658" s="73"/>
      <c r="DJ658" s="73"/>
      <c r="DK658" s="73"/>
      <c r="DL658" s="73"/>
      <c r="DM658" s="73"/>
      <c r="DN658" s="73"/>
      <c r="DO658" s="73"/>
      <c r="DP658" s="73"/>
      <c r="DQ658" s="73"/>
      <c r="DR658" s="73"/>
      <c r="DS658" s="73"/>
      <c r="DT658" s="73"/>
      <c r="DU658" s="73"/>
      <c r="DV658" s="73"/>
      <c r="DW658" s="73"/>
      <c r="DX658" s="72"/>
      <c r="DY658" s="72"/>
      <c r="DZ658" s="73"/>
      <c r="EA658" s="73"/>
      <c r="EB658" s="73"/>
      <c r="EC658" s="73"/>
      <c r="ED658" s="73"/>
      <c r="EE658" s="73"/>
      <c r="EF658" s="73"/>
      <c r="EG658" s="73"/>
      <c r="EH658" s="73"/>
      <c r="EI658" s="73"/>
      <c r="EJ658" s="73"/>
      <c r="EK658" s="73"/>
      <c r="EL658" s="73"/>
      <c r="EM658" s="73"/>
      <c r="EN658" s="73"/>
      <c r="EO658" s="73"/>
      <c r="EP658" s="69"/>
      <c r="EQ658" s="69"/>
      <c r="ER658" s="69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  <c r="CI659" s="73"/>
      <c r="CJ659" s="73"/>
      <c r="CK659" s="73"/>
      <c r="CL659" s="73"/>
      <c r="CM659" s="73"/>
      <c r="CN659" s="73"/>
      <c r="CO659" s="73"/>
      <c r="CP659" s="73"/>
      <c r="CQ659" s="73"/>
      <c r="CR659" s="73"/>
      <c r="CS659" s="73"/>
      <c r="CT659" s="73"/>
      <c r="CU659" s="73"/>
      <c r="CV659" s="73"/>
      <c r="CW659" s="73"/>
      <c r="CX659" s="73"/>
      <c r="CY659" s="73"/>
      <c r="CZ659" s="73"/>
      <c r="DA659" s="73"/>
      <c r="DB659" s="73"/>
      <c r="DC659" s="73"/>
      <c r="DD659" s="73"/>
      <c r="DE659" s="73"/>
      <c r="DF659" s="73"/>
      <c r="DG659" s="73"/>
      <c r="DH659" s="73"/>
      <c r="DI659" s="73"/>
      <c r="DJ659" s="73"/>
      <c r="DK659" s="73"/>
      <c r="DL659" s="73"/>
      <c r="DM659" s="73"/>
      <c r="DN659" s="73"/>
      <c r="DO659" s="73"/>
      <c r="DP659" s="73"/>
      <c r="DQ659" s="73"/>
      <c r="DR659" s="73"/>
      <c r="DS659" s="73"/>
      <c r="DT659" s="73"/>
      <c r="DU659" s="73"/>
      <c r="DV659" s="73"/>
      <c r="DW659" s="73"/>
      <c r="DX659" s="72"/>
      <c r="DY659" s="72"/>
      <c r="DZ659" s="73"/>
      <c r="EA659" s="73"/>
      <c r="EB659" s="73"/>
      <c r="EC659" s="73"/>
      <c r="ED659" s="73"/>
      <c r="EE659" s="73"/>
      <c r="EF659" s="73"/>
      <c r="EG659" s="73"/>
      <c r="EH659" s="73"/>
      <c r="EI659" s="73"/>
      <c r="EJ659" s="73"/>
      <c r="EK659" s="73"/>
      <c r="EL659" s="73"/>
      <c r="EM659" s="73"/>
      <c r="EN659" s="73"/>
      <c r="EO659" s="73"/>
      <c r="EP659" s="69"/>
      <c r="EQ659" s="69"/>
      <c r="ER659" s="69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  <c r="CI660" s="73"/>
      <c r="CJ660" s="73"/>
      <c r="CK660" s="73"/>
      <c r="CL660" s="73"/>
      <c r="CM660" s="73"/>
      <c r="CN660" s="73"/>
      <c r="CO660" s="73"/>
      <c r="CP660" s="73"/>
      <c r="CQ660" s="73"/>
      <c r="CR660" s="73"/>
      <c r="CS660" s="73"/>
      <c r="CT660" s="73"/>
      <c r="CU660" s="73"/>
      <c r="CV660" s="73"/>
      <c r="CW660" s="73"/>
      <c r="CX660" s="73"/>
      <c r="CY660" s="73"/>
      <c r="CZ660" s="73"/>
      <c r="DA660" s="73"/>
      <c r="DB660" s="73"/>
      <c r="DC660" s="73"/>
      <c r="DD660" s="73"/>
      <c r="DE660" s="73"/>
      <c r="DF660" s="73"/>
      <c r="DG660" s="73"/>
      <c r="DH660" s="73"/>
      <c r="DI660" s="73"/>
      <c r="DJ660" s="73"/>
      <c r="DK660" s="73"/>
      <c r="DL660" s="73"/>
      <c r="DM660" s="73"/>
      <c r="DN660" s="73"/>
      <c r="DO660" s="73"/>
      <c r="DP660" s="73"/>
      <c r="DQ660" s="73"/>
      <c r="DR660" s="73"/>
      <c r="DS660" s="73"/>
      <c r="DT660" s="73"/>
      <c r="DU660" s="73"/>
      <c r="DV660" s="73"/>
      <c r="DW660" s="73"/>
      <c r="DX660" s="72"/>
      <c r="DY660" s="72"/>
      <c r="DZ660" s="73"/>
      <c r="EA660" s="73"/>
      <c r="EB660" s="73"/>
      <c r="EC660" s="73"/>
      <c r="ED660" s="73"/>
      <c r="EE660" s="73"/>
      <c r="EF660" s="73"/>
      <c r="EG660" s="73"/>
      <c r="EH660" s="73"/>
      <c r="EI660" s="73"/>
      <c r="EJ660" s="73"/>
      <c r="EK660" s="73"/>
      <c r="EL660" s="73"/>
      <c r="EM660" s="73"/>
      <c r="EN660" s="73"/>
      <c r="EO660" s="73"/>
      <c r="EP660" s="69"/>
      <c r="EQ660" s="69"/>
      <c r="ER660" s="69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  <c r="CI661" s="73"/>
      <c r="CJ661" s="73"/>
      <c r="CK661" s="73"/>
      <c r="CL661" s="73"/>
      <c r="CM661" s="73"/>
      <c r="CN661" s="73"/>
      <c r="CO661" s="73"/>
      <c r="CP661" s="73"/>
      <c r="CQ661" s="73"/>
      <c r="CR661" s="73"/>
      <c r="CS661" s="73"/>
      <c r="CT661" s="73"/>
      <c r="CU661" s="73"/>
      <c r="CV661" s="73"/>
      <c r="CW661" s="73"/>
      <c r="CX661" s="73"/>
      <c r="CY661" s="73"/>
      <c r="CZ661" s="73"/>
      <c r="DA661" s="73"/>
      <c r="DB661" s="73"/>
      <c r="DC661" s="73"/>
      <c r="DD661" s="73"/>
      <c r="DE661" s="73"/>
      <c r="DF661" s="73"/>
      <c r="DG661" s="73"/>
      <c r="DH661" s="73"/>
      <c r="DI661" s="73"/>
      <c r="DJ661" s="73"/>
      <c r="DK661" s="73"/>
      <c r="DL661" s="73"/>
      <c r="DM661" s="73"/>
      <c r="DN661" s="73"/>
      <c r="DO661" s="73"/>
      <c r="DP661" s="73"/>
      <c r="DQ661" s="73"/>
      <c r="DR661" s="73"/>
      <c r="DS661" s="73"/>
      <c r="DT661" s="73"/>
      <c r="DU661" s="73"/>
      <c r="DV661" s="73"/>
      <c r="DW661" s="73"/>
      <c r="DX661" s="72"/>
      <c r="DY661" s="72"/>
      <c r="DZ661" s="73"/>
      <c r="EA661" s="73"/>
      <c r="EB661" s="73"/>
      <c r="EC661" s="73"/>
      <c r="ED661" s="73"/>
      <c r="EE661" s="73"/>
      <c r="EF661" s="73"/>
      <c r="EG661" s="73"/>
      <c r="EH661" s="73"/>
      <c r="EI661" s="73"/>
      <c r="EJ661" s="73"/>
      <c r="EK661" s="73"/>
      <c r="EL661" s="73"/>
      <c r="EM661" s="73"/>
      <c r="EN661" s="73"/>
      <c r="EO661" s="73"/>
      <c r="EP661" s="69"/>
      <c r="EQ661" s="69"/>
      <c r="ER661" s="69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  <c r="CI662" s="73"/>
      <c r="CJ662" s="73"/>
      <c r="CK662" s="73"/>
      <c r="CL662" s="73"/>
      <c r="CM662" s="73"/>
      <c r="CN662" s="73"/>
      <c r="CO662" s="73"/>
      <c r="CP662" s="73"/>
      <c r="CQ662" s="73"/>
      <c r="CR662" s="73"/>
      <c r="CS662" s="73"/>
      <c r="CT662" s="73"/>
      <c r="CU662" s="73"/>
      <c r="CV662" s="73"/>
      <c r="CW662" s="73"/>
      <c r="CX662" s="73"/>
      <c r="CY662" s="73"/>
      <c r="CZ662" s="73"/>
      <c r="DA662" s="73"/>
      <c r="DB662" s="73"/>
      <c r="DC662" s="73"/>
      <c r="DD662" s="73"/>
      <c r="DE662" s="73"/>
      <c r="DF662" s="73"/>
      <c r="DG662" s="73"/>
      <c r="DH662" s="73"/>
      <c r="DI662" s="73"/>
      <c r="DJ662" s="73"/>
      <c r="DK662" s="73"/>
      <c r="DL662" s="73"/>
      <c r="DM662" s="73"/>
      <c r="DN662" s="73"/>
      <c r="DO662" s="73"/>
      <c r="DP662" s="73"/>
      <c r="DQ662" s="73"/>
      <c r="DR662" s="73"/>
      <c r="DS662" s="73"/>
      <c r="DT662" s="73"/>
      <c r="DU662" s="73"/>
      <c r="DV662" s="73"/>
      <c r="DW662" s="73"/>
      <c r="DX662" s="72"/>
      <c r="DY662" s="72"/>
      <c r="DZ662" s="73"/>
      <c r="EA662" s="73"/>
      <c r="EB662" s="73"/>
      <c r="EC662" s="73"/>
      <c r="ED662" s="73"/>
      <c r="EE662" s="73"/>
      <c r="EF662" s="73"/>
      <c r="EG662" s="73"/>
      <c r="EH662" s="73"/>
      <c r="EI662" s="73"/>
      <c r="EJ662" s="73"/>
      <c r="EK662" s="73"/>
      <c r="EL662" s="73"/>
      <c r="EM662" s="73"/>
      <c r="EN662" s="73"/>
      <c r="EO662" s="73"/>
      <c r="EP662" s="69"/>
      <c r="EQ662" s="69"/>
      <c r="ER662" s="69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  <c r="CI663" s="73"/>
      <c r="CJ663" s="73"/>
      <c r="CK663" s="73"/>
      <c r="CL663" s="73"/>
      <c r="CM663" s="73"/>
      <c r="CN663" s="73"/>
      <c r="CO663" s="73"/>
      <c r="CP663" s="73"/>
      <c r="CQ663" s="73"/>
      <c r="CR663" s="73"/>
      <c r="CS663" s="73"/>
      <c r="CT663" s="73"/>
      <c r="CU663" s="73"/>
      <c r="CV663" s="73"/>
      <c r="CW663" s="73"/>
      <c r="CX663" s="73"/>
      <c r="CY663" s="73"/>
      <c r="CZ663" s="73"/>
      <c r="DA663" s="73"/>
      <c r="DB663" s="73"/>
      <c r="DC663" s="73"/>
      <c r="DD663" s="73"/>
      <c r="DE663" s="73"/>
      <c r="DF663" s="73"/>
      <c r="DG663" s="73"/>
      <c r="DH663" s="73"/>
      <c r="DI663" s="73"/>
      <c r="DJ663" s="73"/>
      <c r="DK663" s="73"/>
      <c r="DL663" s="73"/>
      <c r="DM663" s="73"/>
      <c r="DN663" s="73"/>
      <c r="DO663" s="73"/>
      <c r="DP663" s="73"/>
      <c r="DQ663" s="73"/>
      <c r="DR663" s="73"/>
      <c r="DS663" s="73"/>
      <c r="DT663" s="73"/>
      <c r="DU663" s="73"/>
      <c r="DV663" s="73"/>
      <c r="DW663" s="73"/>
      <c r="DX663" s="72"/>
      <c r="DY663" s="72"/>
      <c r="DZ663" s="73"/>
      <c r="EA663" s="73"/>
      <c r="EB663" s="73"/>
      <c r="EC663" s="73"/>
      <c r="ED663" s="73"/>
      <c r="EE663" s="73"/>
      <c r="EF663" s="73"/>
      <c r="EG663" s="73"/>
      <c r="EH663" s="73"/>
      <c r="EI663" s="73"/>
      <c r="EJ663" s="73"/>
      <c r="EK663" s="73"/>
      <c r="EL663" s="73"/>
      <c r="EM663" s="73"/>
      <c r="EN663" s="73"/>
      <c r="EO663" s="73"/>
      <c r="EP663" s="69"/>
      <c r="EQ663" s="69"/>
      <c r="ER663" s="69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  <c r="CI664" s="73"/>
      <c r="CJ664" s="73"/>
      <c r="CK664" s="73"/>
      <c r="CL664" s="73"/>
      <c r="CM664" s="72"/>
      <c r="CN664" s="73"/>
      <c r="CO664" s="73"/>
      <c r="CP664" s="73"/>
      <c r="CQ664" s="73"/>
      <c r="CR664" s="73"/>
      <c r="CS664" s="73"/>
      <c r="CT664" s="73"/>
      <c r="CU664" s="73"/>
      <c r="CV664" s="73"/>
      <c r="CW664" s="73"/>
      <c r="CX664" s="73"/>
      <c r="CY664" s="73"/>
      <c r="CZ664" s="73"/>
      <c r="DA664" s="73"/>
      <c r="DB664" s="73"/>
      <c r="DC664" s="73"/>
      <c r="DD664" s="73"/>
      <c r="DE664" s="73"/>
      <c r="DF664" s="73"/>
      <c r="DG664" s="73"/>
      <c r="DH664" s="73"/>
      <c r="DI664" s="73"/>
      <c r="DJ664" s="73"/>
      <c r="DK664" s="73"/>
      <c r="DL664" s="73"/>
      <c r="DM664" s="73"/>
      <c r="DN664" s="73"/>
      <c r="DO664" s="73"/>
      <c r="DP664" s="73"/>
      <c r="DQ664" s="73"/>
      <c r="DR664" s="73"/>
      <c r="DS664" s="73"/>
      <c r="DT664" s="73"/>
      <c r="DU664" s="73"/>
      <c r="DV664" s="73"/>
      <c r="DW664" s="73"/>
      <c r="DX664" s="72"/>
      <c r="DY664" s="72"/>
      <c r="DZ664" s="73"/>
      <c r="EA664" s="73"/>
      <c r="EB664" s="73"/>
      <c r="EC664" s="73"/>
      <c r="ED664" s="73"/>
      <c r="EE664" s="73"/>
      <c r="EF664" s="73"/>
      <c r="EG664" s="73"/>
      <c r="EH664" s="73"/>
      <c r="EI664" s="73"/>
      <c r="EJ664" s="73"/>
      <c r="EK664" s="73"/>
      <c r="EL664" s="73"/>
      <c r="EM664" s="73"/>
      <c r="EN664" s="73"/>
      <c r="EO664" s="73"/>
      <c r="EP664" s="69"/>
      <c r="EQ664" s="69"/>
      <c r="ER664" s="69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3"/>
      <c r="CS665" s="73"/>
      <c r="CT665" s="73"/>
      <c r="CU665" s="73"/>
      <c r="CV665" s="73"/>
      <c r="CW665" s="73"/>
      <c r="CX665" s="73"/>
      <c r="CY665" s="73"/>
      <c r="CZ665" s="73"/>
      <c r="DA665" s="73"/>
      <c r="DB665" s="73"/>
      <c r="DC665" s="73"/>
      <c r="DD665" s="73"/>
      <c r="DE665" s="73"/>
      <c r="DF665" s="73"/>
      <c r="DG665" s="73"/>
      <c r="DH665" s="73"/>
      <c r="DI665" s="73"/>
      <c r="DJ665" s="73"/>
      <c r="DK665" s="73"/>
      <c r="DL665" s="73"/>
      <c r="DM665" s="73"/>
      <c r="DN665" s="73"/>
      <c r="DO665" s="73"/>
      <c r="DP665" s="73"/>
      <c r="DQ665" s="73"/>
      <c r="DR665" s="73"/>
      <c r="DS665" s="73"/>
      <c r="DT665" s="73"/>
      <c r="DU665" s="73"/>
      <c r="DV665" s="73"/>
      <c r="DW665" s="73"/>
      <c r="DX665" s="72"/>
      <c r="DY665" s="72"/>
      <c r="DZ665" s="73"/>
      <c r="EA665" s="73"/>
      <c r="EB665" s="73"/>
      <c r="EC665" s="73"/>
      <c r="ED665" s="73"/>
      <c r="EE665" s="73"/>
      <c r="EF665" s="73"/>
      <c r="EG665" s="73"/>
      <c r="EH665" s="73"/>
      <c r="EI665" s="73"/>
      <c r="EJ665" s="73"/>
      <c r="EK665" s="73"/>
      <c r="EL665" s="73"/>
      <c r="EM665" s="73"/>
      <c r="EN665" s="73"/>
      <c r="EO665" s="73"/>
      <c r="EP665" s="69"/>
      <c r="EQ665" s="69"/>
      <c r="ER665" s="69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3"/>
      <c r="CR666" s="73"/>
      <c r="CS666" s="73"/>
      <c r="CT666" s="73"/>
      <c r="CU666" s="73"/>
      <c r="CV666" s="73"/>
      <c r="CW666" s="73"/>
      <c r="CX666" s="73"/>
      <c r="CY666" s="73"/>
      <c r="CZ666" s="73"/>
      <c r="DA666" s="73"/>
      <c r="DB666" s="73"/>
      <c r="DC666" s="73"/>
      <c r="DD666" s="73"/>
      <c r="DE666" s="73"/>
      <c r="DF666" s="73"/>
      <c r="DG666" s="73"/>
      <c r="DH666" s="73"/>
      <c r="DI666" s="73"/>
      <c r="DJ666" s="73"/>
      <c r="DK666" s="73"/>
      <c r="DL666" s="73"/>
      <c r="DM666" s="73"/>
      <c r="DN666" s="73"/>
      <c r="DO666" s="73"/>
      <c r="DP666" s="73"/>
      <c r="DQ666" s="73"/>
      <c r="DR666" s="73"/>
      <c r="DS666" s="73"/>
      <c r="DT666" s="73"/>
      <c r="DU666" s="73"/>
      <c r="DV666" s="73"/>
      <c r="DW666" s="73"/>
      <c r="DX666" s="72"/>
      <c r="DY666" s="72"/>
      <c r="DZ666" s="73"/>
      <c r="EA666" s="73"/>
      <c r="EB666" s="73"/>
      <c r="EC666" s="73"/>
      <c r="ED666" s="73"/>
      <c r="EE666" s="73"/>
      <c r="EF666" s="73"/>
      <c r="EG666" s="73"/>
      <c r="EH666" s="73"/>
      <c r="EI666" s="73"/>
      <c r="EJ666" s="73"/>
      <c r="EK666" s="73"/>
      <c r="EL666" s="73"/>
      <c r="EM666" s="73"/>
      <c r="EN666" s="73"/>
      <c r="EO666" s="73"/>
      <c r="EP666" s="69"/>
      <c r="EQ666" s="69"/>
      <c r="ER666" s="69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  <c r="CI667" s="73"/>
      <c r="CJ667" s="73"/>
      <c r="CK667" s="73"/>
      <c r="CL667" s="73"/>
      <c r="CM667" s="73"/>
      <c r="CN667" s="73"/>
      <c r="CO667" s="73"/>
      <c r="CP667" s="73"/>
      <c r="CQ667" s="73"/>
      <c r="CR667" s="73"/>
      <c r="CS667" s="73"/>
      <c r="CT667" s="73"/>
      <c r="CU667" s="73"/>
      <c r="CV667" s="73"/>
      <c r="CW667" s="73"/>
      <c r="CX667" s="73"/>
      <c r="CY667" s="73"/>
      <c r="CZ667" s="73"/>
      <c r="DA667" s="73"/>
      <c r="DB667" s="73"/>
      <c r="DC667" s="73"/>
      <c r="DD667" s="73"/>
      <c r="DE667" s="73"/>
      <c r="DF667" s="73"/>
      <c r="DG667" s="73"/>
      <c r="DH667" s="73"/>
      <c r="DI667" s="73"/>
      <c r="DJ667" s="73"/>
      <c r="DK667" s="73"/>
      <c r="DL667" s="73"/>
      <c r="DM667" s="73"/>
      <c r="DN667" s="73"/>
      <c r="DO667" s="73"/>
      <c r="DP667" s="73"/>
      <c r="DQ667" s="73"/>
      <c r="DR667" s="73"/>
      <c r="DS667" s="73"/>
      <c r="DT667" s="73"/>
      <c r="DU667" s="73"/>
      <c r="DV667" s="73"/>
      <c r="DW667" s="73"/>
      <c r="DX667" s="73"/>
      <c r="DY667" s="73"/>
      <c r="DZ667" s="73"/>
      <c r="EA667" s="73"/>
      <c r="EB667" s="73"/>
      <c r="EC667" s="73"/>
      <c r="ED667" s="73"/>
      <c r="EE667" s="73"/>
      <c r="EF667" s="73"/>
      <c r="EG667" s="73"/>
      <c r="EH667" s="73"/>
      <c r="EI667" s="73"/>
      <c r="EJ667" s="73"/>
      <c r="EK667" s="73"/>
      <c r="EL667" s="73"/>
      <c r="EM667" s="73"/>
      <c r="EN667" s="73"/>
      <c r="EO667" s="73"/>
      <c r="EP667" s="69"/>
      <c r="EQ667" s="69"/>
      <c r="ER667" s="69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  <c r="CI668" s="73"/>
      <c r="CJ668" s="73"/>
      <c r="CK668" s="73"/>
      <c r="CL668" s="73"/>
      <c r="CM668" s="73"/>
      <c r="CN668" s="73"/>
      <c r="CO668" s="73"/>
      <c r="CP668" s="73"/>
      <c r="CQ668" s="73"/>
      <c r="CR668" s="73"/>
      <c r="CS668" s="73"/>
      <c r="CT668" s="73"/>
      <c r="CU668" s="73"/>
      <c r="CV668" s="73"/>
      <c r="CW668" s="73"/>
      <c r="CX668" s="73"/>
      <c r="CY668" s="73"/>
      <c r="CZ668" s="73"/>
      <c r="DA668" s="73"/>
      <c r="DB668" s="73"/>
      <c r="DC668" s="73"/>
      <c r="DD668" s="73"/>
      <c r="DE668" s="73"/>
      <c r="DF668" s="73"/>
      <c r="DG668" s="73"/>
      <c r="DH668" s="73"/>
      <c r="DI668" s="73"/>
      <c r="DJ668" s="73"/>
      <c r="DK668" s="73"/>
      <c r="DL668" s="73"/>
      <c r="DM668" s="73"/>
      <c r="DN668" s="73"/>
      <c r="DO668" s="73"/>
      <c r="DP668" s="73"/>
      <c r="DQ668" s="73"/>
      <c r="DR668" s="73"/>
      <c r="DS668" s="73"/>
      <c r="DT668" s="73"/>
      <c r="DU668" s="73"/>
      <c r="DV668" s="73"/>
      <c r="DW668" s="73"/>
      <c r="DX668" s="72"/>
      <c r="DY668" s="72"/>
      <c r="DZ668" s="73"/>
      <c r="EA668" s="73"/>
      <c r="EB668" s="73"/>
      <c r="EC668" s="73"/>
      <c r="ED668" s="73"/>
      <c r="EE668" s="73"/>
      <c r="EF668" s="73"/>
      <c r="EG668" s="73"/>
      <c r="EH668" s="73"/>
      <c r="EI668" s="73"/>
      <c r="EJ668" s="73"/>
      <c r="EK668" s="73"/>
      <c r="EL668" s="73"/>
      <c r="EM668" s="73"/>
      <c r="EN668" s="73"/>
      <c r="EO668" s="73"/>
      <c r="EP668" s="69"/>
      <c r="EQ668" s="69"/>
      <c r="ER668" s="69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73"/>
      <c r="CT669" s="73"/>
      <c r="CU669" s="73"/>
      <c r="CV669" s="73"/>
      <c r="CW669" s="73"/>
      <c r="CX669" s="73"/>
      <c r="CY669" s="73"/>
      <c r="CZ669" s="73"/>
      <c r="DA669" s="73"/>
      <c r="DB669" s="73"/>
      <c r="DC669" s="73"/>
      <c r="DD669" s="73"/>
      <c r="DE669" s="73"/>
      <c r="DF669" s="73"/>
      <c r="DG669" s="73"/>
      <c r="DH669" s="73"/>
      <c r="DI669" s="73"/>
      <c r="DJ669" s="73"/>
      <c r="DK669" s="73"/>
      <c r="DL669" s="73"/>
      <c r="DM669" s="73"/>
      <c r="DN669" s="73"/>
      <c r="DO669" s="73"/>
      <c r="DP669" s="73"/>
      <c r="DQ669" s="73"/>
      <c r="DR669" s="73"/>
      <c r="DS669" s="73"/>
      <c r="DT669" s="73"/>
      <c r="DU669" s="73"/>
      <c r="DV669" s="73"/>
      <c r="DW669" s="73"/>
      <c r="DX669" s="72"/>
      <c r="DY669" s="72"/>
      <c r="DZ669" s="73"/>
      <c r="EA669" s="73"/>
      <c r="EB669" s="73"/>
      <c r="EC669" s="73"/>
      <c r="ED669" s="73"/>
      <c r="EE669" s="73"/>
      <c r="EF669" s="73"/>
      <c r="EG669" s="73"/>
      <c r="EH669" s="73"/>
      <c r="EI669" s="73"/>
      <c r="EJ669" s="73"/>
      <c r="EK669" s="73"/>
      <c r="EL669" s="73"/>
      <c r="EM669" s="73"/>
      <c r="EN669" s="73"/>
      <c r="EO669" s="73"/>
      <c r="EP669" s="69"/>
      <c r="EQ669" s="69"/>
      <c r="ER669" s="69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  <c r="CI670" s="73"/>
      <c r="CJ670" s="73"/>
      <c r="CK670" s="73"/>
      <c r="CL670" s="73"/>
      <c r="CM670" s="73"/>
      <c r="CN670" s="73"/>
      <c r="CO670" s="73"/>
      <c r="CP670" s="73"/>
      <c r="CQ670" s="73"/>
      <c r="CR670" s="73"/>
      <c r="CS670" s="73"/>
      <c r="CT670" s="73"/>
      <c r="CU670" s="73"/>
      <c r="CV670" s="73"/>
      <c r="CW670" s="73"/>
      <c r="CX670" s="73"/>
      <c r="CY670" s="73"/>
      <c r="CZ670" s="73"/>
      <c r="DA670" s="73"/>
      <c r="DB670" s="73"/>
      <c r="DC670" s="73"/>
      <c r="DD670" s="73"/>
      <c r="DE670" s="73"/>
      <c r="DF670" s="73"/>
      <c r="DG670" s="73"/>
      <c r="DH670" s="73"/>
      <c r="DI670" s="73"/>
      <c r="DJ670" s="73"/>
      <c r="DK670" s="73"/>
      <c r="DL670" s="73"/>
      <c r="DM670" s="73"/>
      <c r="DN670" s="73"/>
      <c r="DO670" s="73"/>
      <c r="DP670" s="73"/>
      <c r="DQ670" s="73"/>
      <c r="DR670" s="73"/>
      <c r="DS670" s="73"/>
      <c r="DT670" s="73"/>
      <c r="DU670" s="73"/>
      <c r="DV670" s="73"/>
      <c r="DW670" s="73"/>
      <c r="DX670" s="73"/>
      <c r="DY670" s="73"/>
      <c r="DZ670" s="73"/>
      <c r="EA670" s="73"/>
      <c r="EB670" s="73"/>
      <c r="EC670" s="73"/>
      <c r="ED670" s="73"/>
      <c r="EE670" s="73"/>
      <c r="EF670" s="73"/>
      <c r="EG670" s="73"/>
      <c r="EH670" s="73"/>
      <c r="EI670" s="73"/>
      <c r="EJ670" s="73"/>
      <c r="EK670" s="73"/>
      <c r="EL670" s="73"/>
      <c r="EM670" s="73"/>
      <c r="EN670" s="73"/>
      <c r="EO670" s="73"/>
      <c r="EP670" s="69"/>
      <c r="EQ670" s="69"/>
      <c r="ER670" s="69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  <c r="CI671" s="73"/>
      <c r="CJ671" s="73"/>
      <c r="CK671" s="73"/>
      <c r="CL671" s="73"/>
      <c r="CM671" s="73"/>
      <c r="CN671" s="73"/>
      <c r="CO671" s="73"/>
      <c r="CP671" s="73"/>
      <c r="CQ671" s="73"/>
      <c r="CR671" s="73"/>
      <c r="CS671" s="73"/>
      <c r="CT671" s="73"/>
      <c r="CU671" s="73"/>
      <c r="CV671" s="73"/>
      <c r="CW671" s="73"/>
      <c r="CX671" s="73"/>
      <c r="CY671" s="73"/>
      <c r="CZ671" s="73"/>
      <c r="DA671" s="73"/>
      <c r="DB671" s="73"/>
      <c r="DC671" s="73"/>
      <c r="DD671" s="73"/>
      <c r="DE671" s="73"/>
      <c r="DF671" s="73"/>
      <c r="DG671" s="73"/>
      <c r="DH671" s="73"/>
      <c r="DI671" s="73"/>
      <c r="DJ671" s="73"/>
      <c r="DK671" s="73"/>
      <c r="DL671" s="73"/>
      <c r="DM671" s="73"/>
      <c r="DN671" s="73"/>
      <c r="DO671" s="73"/>
      <c r="DP671" s="73"/>
      <c r="DQ671" s="73"/>
      <c r="DR671" s="73"/>
      <c r="DS671" s="73"/>
      <c r="DT671" s="73"/>
      <c r="DU671" s="73"/>
      <c r="DV671" s="73"/>
      <c r="DW671" s="73"/>
      <c r="DX671" s="72"/>
      <c r="DY671" s="72"/>
      <c r="DZ671" s="73"/>
      <c r="EA671" s="73"/>
      <c r="EB671" s="73"/>
      <c r="EC671" s="73"/>
      <c r="ED671" s="73"/>
      <c r="EE671" s="73"/>
      <c r="EF671" s="73"/>
      <c r="EG671" s="73"/>
      <c r="EH671" s="73"/>
      <c r="EI671" s="73"/>
      <c r="EJ671" s="73"/>
      <c r="EK671" s="73"/>
      <c r="EL671" s="73"/>
      <c r="EM671" s="73"/>
      <c r="EN671" s="73"/>
      <c r="EO671" s="73"/>
      <c r="EP671" s="69"/>
      <c r="EQ671" s="69"/>
      <c r="ER671" s="69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  <c r="CI672" s="73"/>
      <c r="CJ672" s="73"/>
      <c r="CK672" s="73"/>
      <c r="CL672" s="73"/>
      <c r="CM672" s="72"/>
      <c r="CN672" s="73"/>
      <c r="CO672" s="73"/>
      <c r="CP672" s="73"/>
      <c r="CQ672" s="73"/>
      <c r="CR672" s="73"/>
      <c r="CS672" s="73"/>
      <c r="CT672" s="73"/>
      <c r="CU672" s="73"/>
      <c r="CV672" s="73"/>
      <c r="CW672" s="73"/>
      <c r="CX672" s="73"/>
      <c r="CY672" s="73"/>
      <c r="CZ672" s="73"/>
      <c r="DA672" s="73"/>
      <c r="DB672" s="73"/>
      <c r="DC672" s="73"/>
      <c r="DD672" s="73"/>
      <c r="DE672" s="73"/>
      <c r="DF672" s="73"/>
      <c r="DG672" s="73"/>
      <c r="DH672" s="73"/>
      <c r="DI672" s="73"/>
      <c r="DJ672" s="73"/>
      <c r="DK672" s="73"/>
      <c r="DL672" s="73"/>
      <c r="DM672" s="73"/>
      <c r="DN672" s="73"/>
      <c r="DO672" s="73"/>
      <c r="DP672" s="73"/>
      <c r="DQ672" s="73"/>
      <c r="DR672" s="73"/>
      <c r="DS672" s="73"/>
      <c r="DT672" s="73"/>
      <c r="DU672" s="73"/>
      <c r="DV672" s="73"/>
      <c r="DW672" s="73"/>
      <c r="DX672" s="72"/>
      <c r="DY672" s="72"/>
      <c r="DZ672" s="73"/>
      <c r="EA672" s="73"/>
      <c r="EB672" s="73"/>
      <c r="EC672" s="73"/>
      <c r="ED672" s="73"/>
      <c r="EE672" s="73"/>
      <c r="EF672" s="73"/>
      <c r="EG672" s="73"/>
      <c r="EH672" s="73"/>
      <c r="EI672" s="73"/>
      <c r="EJ672" s="73"/>
      <c r="EK672" s="73"/>
      <c r="EL672" s="73"/>
      <c r="EM672" s="73"/>
      <c r="EN672" s="73"/>
      <c r="EO672" s="73"/>
      <c r="EP672" s="69"/>
      <c r="EQ672" s="69"/>
      <c r="ER672" s="69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  <c r="CI673" s="73"/>
      <c r="CJ673" s="73"/>
      <c r="CK673" s="73"/>
      <c r="CL673" s="73"/>
      <c r="CM673" s="73"/>
      <c r="CN673" s="73"/>
      <c r="CO673" s="73"/>
      <c r="CP673" s="73"/>
      <c r="CQ673" s="73"/>
      <c r="CR673" s="73"/>
      <c r="CS673" s="73"/>
      <c r="CT673" s="73"/>
      <c r="CU673" s="73"/>
      <c r="CV673" s="73"/>
      <c r="CW673" s="73"/>
      <c r="CX673" s="73"/>
      <c r="CY673" s="73"/>
      <c r="CZ673" s="73"/>
      <c r="DA673" s="73"/>
      <c r="DB673" s="73"/>
      <c r="DC673" s="73"/>
      <c r="DD673" s="73"/>
      <c r="DE673" s="73"/>
      <c r="DF673" s="73"/>
      <c r="DG673" s="73"/>
      <c r="DH673" s="73"/>
      <c r="DI673" s="73"/>
      <c r="DJ673" s="73"/>
      <c r="DK673" s="73"/>
      <c r="DL673" s="73"/>
      <c r="DM673" s="73"/>
      <c r="DN673" s="73"/>
      <c r="DO673" s="73"/>
      <c r="DP673" s="73"/>
      <c r="DQ673" s="73"/>
      <c r="DR673" s="73"/>
      <c r="DS673" s="73"/>
      <c r="DT673" s="73"/>
      <c r="DU673" s="73"/>
      <c r="DV673" s="73"/>
      <c r="DW673" s="73"/>
      <c r="DX673" s="72"/>
      <c r="DY673" s="72"/>
      <c r="DZ673" s="73"/>
      <c r="EA673" s="73"/>
      <c r="EB673" s="73"/>
      <c r="EC673" s="73"/>
      <c r="ED673" s="73"/>
      <c r="EE673" s="73"/>
      <c r="EF673" s="73"/>
      <c r="EG673" s="73"/>
      <c r="EH673" s="73"/>
      <c r="EI673" s="73"/>
      <c r="EJ673" s="73"/>
      <c r="EK673" s="73"/>
      <c r="EL673" s="73"/>
      <c r="EM673" s="73"/>
      <c r="EN673" s="73"/>
      <c r="EO673" s="73"/>
      <c r="EP673" s="69"/>
      <c r="EQ673" s="69"/>
      <c r="ER673" s="69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73"/>
      <c r="CT674" s="73"/>
      <c r="CU674" s="73"/>
      <c r="CV674" s="73"/>
      <c r="CW674" s="73"/>
      <c r="CX674" s="73"/>
      <c r="CY674" s="73"/>
      <c r="CZ674" s="73"/>
      <c r="DA674" s="73"/>
      <c r="DB674" s="73"/>
      <c r="DC674" s="73"/>
      <c r="DD674" s="73"/>
      <c r="DE674" s="73"/>
      <c r="DF674" s="73"/>
      <c r="DG674" s="73"/>
      <c r="DH674" s="73"/>
      <c r="DI674" s="73"/>
      <c r="DJ674" s="73"/>
      <c r="DK674" s="73"/>
      <c r="DL674" s="73"/>
      <c r="DM674" s="73"/>
      <c r="DN674" s="73"/>
      <c r="DO674" s="73"/>
      <c r="DP674" s="73"/>
      <c r="DQ674" s="73"/>
      <c r="DR674" s="73"/>
      <c r="DS674" s="73"/>
      <c r="DT674" s="73"/>
      <c r="DU674" s="73"/>
      <c r="DV674" s="73"/>
      <c r="DW674" s="73"/>
      <c r="DX674" s="72"/>
      <c r="DY674" s="72"/>
      <c r="DZ674" s="73"/>
      <c r="EA674" s="73"/>
      <c r="EB674" s="73"/>
      <c r="EC674" s="73"/>
      <c r="ED674" s="73"/>
      <c r="EE674" s="73"/>
      <c r="EF674" s="73"/>
      <c r="EG674" s="73"/>
      <c r="EH674" s="73"/>
      <c r="EI674" s="73"/>
      <c r="EJ674" s="73"/>
      <c r="EK674" s="73"/>
      <c r="EL674" s="73"/>
      <c r="EM674" s="73"/>
      <c r="EN674" s="73"/>
      <c r="EO674" s="73"/>
      <c r="EP674" s="69"/>
      <c r="EQ674" s="69"/>
      <c r="ER674" s="69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  <c r="CI675" s="73"/>
      <c r="CJ675" s="73"/>
      <c r="CK675" s="73"/>
      <c r="CL675" s="73"/>
      <c r="CM675" s="73"/>
      <c r="CN675" s="73"/>
      <c r="CO675" s="73"/>
      <c r="CP675" s="73"/>
      <c r="CQ675" s="73"/>
      <c r="CR675" s="73"/>
      <c r="CS675" s="73"/>
      <c r="CT675" s="73"/>
      <c r="CU675" s="73"/>
      <c r="CV675" s="73"/>
      <c r="CW675" s="73"/>
      <c r="CX675" s="73"/>
      <c r="CY675" s="73"/>
      <c r="CZ675" s="73"/>
      <c r="DA675" s="73"/>
      <c r="DB675" s="73"/>
      <c r="DC675" s="73"/>
      <c r="DD675" s="73"/>
      <c r="DE675" s="73"/>
      <c r="DF675" s="73"/>
      <c r="DG675" s="73"/>
      <c r="DH675" s="73"/>
      <c r="DI675" s="73"/>
      <c r="DJ675" s="73"/>
      <c r="DK675" s="73"/>
      <c r="DL675" s="73"/>
      <c r="DM675" s="73"/>
      <c r="DN675" s="73"/>
      <c r="DO675" s="73"/>
      <c r="DP675" s="73"/>
      <c r="DQ675" s="73"/>
      <c r="DR675" s="73"/>
      <c r="DS675" s="73"/>
      <c r="DT675" s="73"/>
      <c r="DU675" s="73"/>
      <c r="DV675" s="73"/>
      <c r="DW675" s="73"/>
      <c r="DX675" s="72"/>
      <c r="DY675" s="72"/>
      <c r="DZ675" s="73"/>
      <c r="EA675" s="73"/>
      <c r="EB675" s="73"/>
      <c r="EC675" s="73"/>
      <c r="ED675" s="73"/>
      <c r="EE675" s="73"/>
      <c r="EF675" s="73"/>
      <c r="EG675" s="73"/>
      <c r="EH675" s="73"/>
      <c r="EI675" s="73"/>
      <c r="EJ675" s="73"/>
      <c r="EK675" s="73"/>
      <c r="EL675" s="73"/>
      <c r="EM675" s="73"/>
      <c r="EN675" s="73"/>
      <c r="EO675" s="73"/>
      <c r="EP675" s="69"/>
      <c r="EQ675" s="69"/>
      <c r="ER675" s="69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  <c r="CI676" s="73"/>
      <c r="CJ676" s="73"/>
      <c r="CK676" s="73"/>
      <c r="CL676" s="73"/>
      <c r="CM676" s="73"/>
      <c r="CN676" s="73"/>
      <c r="CO676" s="73"/>
      <c r="CP676" s="73"/>
      <c r="CQ676" s="73"/>
      <c r="CR676" s="73"/>
      <c r="CS676" s="73"/>
      <c r="CT676" s="73"/>
      <c r="CU676" s="73"/>
      <c r="CV676" s="73"/>
      <c r="CW676" s="73"/>
      <c r="CX676" s="73"/>
      <c r="CY676" s="73"/>
      <c r="CZ676" s="73"/>
      <c r="DA676" s="73"/>
      <c r="DB676" s="73"/>
      <c r="DC676" s="73"/>
      <c r="DD676" s="73"/>
      <c r="DE676" s="73"/>
      <c r="DF676" s="73"/>
      <c r="DG676" s="73"/>
      <c r="DH676" s="73"/>
      <c r="DI676" s="73"/>
      <c r="DJ676" s="73"/>
      <c r="DK676" s="73"/>
      <c r="DL676" s="73"/>
      <c r="DM676" s="73"/>
      <c r="DN676" s="73"/>
      <c r="DO676" s="73"/>
      <c r="DP676" s="73"/>
      <c r="DQ676" s="73"/>
      <c r="DR676" s="73"/>
      <c r="DS676" s="73"/>
      <c r="DT676" s="73"/>
      <c r="DU676" s="73"/>
      <c r="DV676" s="73"/>
      <c r="DW676" s="73"/>
      <c r="DX676" s="72"/>
      <c r="DY676" s="72"/>
      <c r="DZ676" s="73"/>
      <c r="EA676" s="73"/>
      <c r="EB676" s="73"/>
      <c r="EC676" s="73"/>
      <c r="ED676" s="73"/>
      <c r="EE676" s="73"/>
      <c r="EF676" s="73"/>
      <c r="EG676" s="73"/>
      <c r="EH676" s="73"/>
      <c r="EI676" s="73"/>
      <c r="EJ676" s="73"/>
      <c r="EK676" s="73"/>
      <c r="EL676" s="73"/>
      <c r="EM676" s="73"/>
      <c r="EN676" s="73"/>
      <c r="EO676" s="73"/>
      <c r="EP676" s="69"/>
      <c r="EQ676" s="69"/>
      <c r="ER676" s="69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  <c r="CI677" s="73"/>
      <c r="CJ677" s="73"/>
      <c r="CK677" s="73"/>
      <c r="CL677" s="73"/>
      <c r="CM677" s="73"/>
      <c r="CN677" s="73"/>
      <c r="CO677" s="73"/>
      <c r="CP677" s="73"/>
      <c r="CQ677" s="73"/>
      <c r="CR677" s="73"/>
      <c r="CS677" s="73"/>
      <c r="CT677" s="73"/>
      <c r="CU677" s="73"/>
      <c r="CV677" s="73"/>
      <c r="CW677" s="73"/>
      <c r="CX677" s="73"/>
      <c r="CY677" s="73"/>
      <c r="CZ677" s="73"/>
      <c r="DA677" s="73"/>
      <c r="DB677" s="73"/>
      <c r="DC677" s="73"/>
      <c r="DD677" s="73"/>
      <c r="DE677" s="73"/>
      <c r="DF677" s="73"/>
      <c r="DG677" s="73"/>
      <c r="DH677" s="73"/>
      <c r="DI677" s="73"/>
      <c r="DJ677" s="73"/>
      <c r="DK677" s="73"/>
      <c r="DL677" s="73"/>
      <c r="DM677" s="73"/>
      <c r="DN677" s="73"/>
      <c r="DO677" s="73"/>
      <c r="DP677" s="73"/>
      <c r="DQ677" s="73"/>
      <c r="DR677" s="73"/>
      <c r="DS677" s="73"/>
      <c r="DT677" s="73"/>
      <c r="DU677" s="73"/>
      <c r="DV677" s="73"/>
      <c r="DW677" s="73"/>
      <c r="DX677" s="72"/>
      <c r="DY677" s="72"/>
      <c r="DZ677" s="73"/>
      <c r="EA677" s="73"/>
      <c r="EB677" s="73"/>
      <c r="EC677" s="73"/>
      <c r="ED677" s="73"/>
      <c r="EE677" s="73"/>
      <c r="EF677" s="73"/>
      <c r="EG677" s="73"/>
      <c r="EH677" s="73"/>
      <c r="EI677" s="73"/>
      <c r="EJ677" s="73"/>
      <c r="EK677" s="73"/>
      <c r="EL677" s="73"/>
      <c r="EM677" s="73"/>
      <c r="EN677" s="73"/>
      <c r="EO677" s="73"/>
      <c r="EP677" s="69"/>
      <c r="EQ677" s="69"/>
      <c r="ER677" s="69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  <c r="CI678" s="73"/>
      <c r="CJ678" s="73"/>
      <c r="CK678" s="73"/>
      <c r="CL678" s="73"/>
      <c r="CM678" s="72"/>
      <c r="CN678" s="73"/>
      <c r="CO678" s="73"/>
      <c r="CP678" s="73"/>
      <c r="CQ678" s="73"/>
      <c r="CR678" s="73"/>
      <c r="CS678" s="73"/>
      <c r="CT678" s="73"/>
      <c r="CU678" s="73"/>
      <c r="CV678" s="73"/>
      <c r="CW678" s="73"/>
      <c r="CX678" s="73"/>
      <c r="CY678" s="73"/>
      <c r="CZ678" s="73"/>
      <c r="DA678" s="73"/>
      <c r="DB678" s="73"/>
      <c r="DC678" s="73"/>
      <c r="DD678" s="73"/>
      <c r="DE678" s="73"/>
      <c r="DF678" s="73"/>
      <c r="DG678" s="73"/>
      <c r="DH678" s="73"/>
      <c r="DI678" s="73"/>
      <c r="DJ678" s="73"/>
      <c r="DK678" s="73"/>
      <c r="DL678" s="73"/>
      <c r="DM678" s="73"/>
      <c r="DN678" s="73"/>
      <c r="DO678" s="73"/>
      <c r="DP678" s="73"/>
      <c r="DQ678" s="73"/>
      <c r="DR678" s="73"/>
      <c r="DS678" s="73"/>
      <c r="DT678" s="73"/>
      <c r="DU678" s="73"/>
      <c r="DV678" s="73"/>
      <c r="DW678" s="73"/>
      <c r="DX678" s="72"/>
      <c r="DY678" s="72"/>
      <c r="DZ678" s="73"/>
      <c r="EA678" s="73"/>
      <c r="EB678" s="73"/>
      <c r="EC678" s="73"/>
      <c r="ED678" s="73"/>
      <c r="EE678" s="73"/>
      <c r="EF678" s="73"/>
      <c r="EG678" s="73"/>
      <c r="EH678" s="73"/>
      <c r="EI678" s="73"/>
      <c r="EJ678" s="73"/>
      <c r="EK678" s="73"/>
      <c r="EL678" s="73"/>
      <c r="EM678" s="73"/>
      <c r="EN678" s="73"/>
      <c r="EO678" s="73"/>
      <c r="EP678" s="69"/>
      <c r="EQ678" s="69"/>
      <c r="ER678" s="69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73"/>
      <c r="CT679" s="73"/>
      <c r="CU679" s="73"/>
      <c r="CV679" s="73"/>
      <c r="CW679" s="73"/>
      <c r="CX679" s="73"/>
      <c r="CY679" s="73"/>
      <c r="CZ679" s="73"/>
      <c r="DA679" s="73"/>
      <c r="DB679" s="73"/>
      <c r="DC679" s="73"/>
      <c r="DD679" s="73"/>
      <c r="DE679" s="73"/>
      <c r="DF679" s="73"/>
      <c r="DG679" s="73"/>
      <c r="DH679" s="73"/>
      <c r="DI679" s="73"/>
      <c r="DJ679" s="73"/>
      <c r="DK679" s="73"/>
      <c r="DL679" s="73"/>
      <c r="DM679" s="73"/>
      <c r="DN679" s="73"/>
      <c r="DO679" s="73"/>
      <c r="DP679" s="73"/>
      <c r="DQ679" s="73"/>
      <c r="DR679" s="73"/>
      <c r="DS679" s="73"/>
      <c r="DT679" s="73"/>
      <c r="DU679" s="73"/>
      <c r="DV679" s="73"/>
      <c r="DW679" s="73"/>
      <c r="DX679" s="72"/>
      <c r="DY679" s="72"/>
      <c r="DZ679" s="73"/>
      <c r="EA679" s="73"/>
      <c r="EB679" s="73"/>
      <c r="EC679" s="73"/>
      <c r="ED679" s="73"/>
      <c r="EE679" s="73"/>
      <c r="EF679" s="73"/>
      <c r="EG679" s="73"/>
      <c r="EH679" s="73"/>
      <c r="EI679" s="73"/>
      <c r="EJ679" s="73"/>
      <c r="EK679" s="73"/>
      <c r="EL679" s="73"/>
      <c r="EM679" s="73"/>
      <c r="EN679" s="73"/>
      <c r="EO679" s="73"/>
      <c r="EP679" s="69"/>
      <c r="EQ679" s="69"/>
      <c r="ER679" s="69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  <c r="CI680" s="73"/>
      <c r="CJ680" s="73"/>
      <c r="CK680" s="73"/>
      <c r="CL680" s="73"/>
      <c r="CM680" s="73"/>
      <c r="CN680" s="73"/>
      <c r="CO680" s="73"/>
      <c r="CP680" s="73"/>
      <c r="CQ680" s="73"/>
      <c r="CR680" s="73"/>
      <c r="CS680" s="73"/>
      <c r="CT680" s="73"/>
      <c r="CU680" s="73"/>
      <c r="CV680" s="73"/>
      <c r="CW680" s="73"/>
      <c r="CX680" s="73"/>
      <c r="CY680" s="73"/>
      <c r="CZ680" s="73"/>
      <c r="DA680" s="73"/>
      <c r="DB680" s="73"/>
      <c r="DC680" s="73"/>
      <c r="DD680" s="73"/>
      <c r="DE680" s="73"/>
      <c r="DF680" s="73"/>
      <c r="DG680" s="73"/>
      <c r="DH680" s="73"/>
      <c r="DI680" s="73"/>
      <c r="DJ680" s="73"/>
      <c r="DK680" s="73"/>
      <c r="DL680" s="73"/>
      <c r="DM680" s="73"/>
      <c r="DN680" s="73"/>
      <c r="DO680" s="73"/>
      <c r="DP680" s="73"/>
      <c r="DQ680" s="73"/>
      <c r="DR680" s="73"/>
      <c r="DS680" s="73"/>
      <c r="DT680" s="73"/>
      <c r="DU680" s="73"/>
      <c r="DV680" s="73"/>
      <c r="DW680" s="73"/>
      <c r="DX680" s="72"/>
      <c r="DY680" s="72"/>
      <c r="DZ680" s="73"/>
      <c r="EA680" s="73"/>
      <c r="EB680" s="73"/>
      <c r="EC680" s="73"/>
      <c r="ED680" s="73"/>
      <c r="EE680" s="73"/>
      <c r="EF680" s="73"/>
      <c r="EG680" s="73"/>
      <c r="EH680" s="73"/>
      <c r="EI680" s="73"/>
      <c r="EJ680" s="73"/>
      <c r="EK680" s="73"/>
      <c r="EL680" s="73"/>
      <c r="EM680" s="73"/>
      <c r="EN680" s="73"/>
      <c r="EO680" s="73"/>
      <c r="EP680" s="69"/>
      <c r="EQ680" s="69"/>
      <c r="ER680" s="69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  <c r="CI681" s="73"/>
      <c r="CJ681" s="73"/>
      <c r="CK681" s="73"/>
      <c r="CL681" s="73"/>
      <c r="CM681" s="73"/>
      <c r="CN681" s="73"/>
      <c r="CO681" s="73"/>
      <c r="CP681" s="73"/>
      <c r="CQ681" s="73"/>
      <c r="CR681" s="73"/>
      <c r="CS681" s="73"/>
      <c r="CT681" s="73"/>
      <c r="CU681" s="73"/>
      <c r="CV681" s="73"/>
      <c r="CW681" s="73"/>
      <c r="CX681" s="73"/>
      <c r="CY681" s="73"/>
      <c r="CZ681" s="73"/>
      <c r="DA681" s="73"/>
      <c r="DB681" s="73"/>
      <c r="DC681" s="73"/>
      <c r="DD681" s="73"/>
      <c r="DE681" s="73"/>
      <c r="DF681" s="73"/>
      <c r="DG681" s="73"/>
      <c r="DH681" s="73"/>
      <c r="DI681" s="73"/>
      <c r="DJ681" s="73"/>
      <c r="DK681" s="73"/>
      <c r="DL681" s="73"/>
      <c r="DM681" s="73"/>
      <c r="DN681" s="73"/>
      <c r="DO681" s="73"/>
      <c r="DP681" s="73"/>
      <c r="DQ681" s="73"/>
      <c r="DR681" s="73"/>
      <c r="DS681" s="73"/>
      <c r="DT681" s="73"/>
      <c r="DU681" s="73"/>
      <c r="DV681" s="73"/>
      <c r="DW681" s="73"/>
      <c r="DX681" s="72"/>
      <c r="DY681" s="72"/>
      <c r="DZ681" s="73"/>
      <c r="EA681" s="73"/>
      <c r="EB681" s="73"/>
      <c r="EC681" s="73"/>
      <c r="ED681" s="73"/>
      <c r="EE681" s="73"/>
      <c r="EF681" s="73"/>
      <c r="EG681" s="73"/>
      <c r="EH681" s="73"/>
      <c r="EI681" s="73"/>
      <c r="EJ681" s="73"/>
      <c r="EK681" s="73"/>
      <c r="EL681" s="73"/>
      <c r="EM681" s="73"/>
      <c r="EN681" s="73"/>
      <c r="EO681" s="73"/>
      <c r="EP681" s="69"/>
      <c r="EQ681" s="69"/>
      <c r="ER681" s="69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  <c r="CI682" s="73"/>
      <c r="CJ682" s="73"/>
      <c r="CK682" s="73"/>
      <c r="CL682" s="73"/>
      <c r="CM682" s="73"/>
      <c r="CN682" s="73"/>
      <c r="CO682" s="73"/>
      <c r="CP682" s="73"/>
      <c r="CQ682" s="73"/>
      <c r="CR682" s="73"/>
      <c r="CS682" s="73"/>
      <c r="CT682" s="73"/>
      <c r="CU682" s="73"/>
      <c r="CV682" s="73"/>
      <c r="CW682" s="73"/>
      <c r="CX682" s="73"/>
      <c r="CY682" s="73"/>
      <c r="CZ682" s="73"/>
      <c r="DA682" s="73"/>
      <c r="DB682" s="73"/>
      <c r="DC682" s="73"/>
      <c r="DD682" s="73"/>
      <c r="DE682" s="73"/>
      <c r="DF682" s="73"/>
      <c r="DG682" s="73"/>
      <c r="DH682" s="73"/>
      <c r="DI682" s="73"/>
      <c r="DJ682" s="73"/>
      <c r="DK682" s="73"/>
      <c r="DL682" s="73"/>
      <c r="DM682" s="73"/>
      <c r="DN682" s="73"/>
      <c r="DO682" s="73"/>
      <c r="DP682" s="73"/>
      <c r="DQ682" s="73"/>
      <c r="DR682" s="73"/>
      <c r="DS682" s="73"/>
      <c r="DT682" s="73"/>
      <c r="DU682" s="73"/>
      <c r="DV682" s="73"/>
      <c r="DW682" s="73"/>
      <c r="DX682" s="72"/>
      <c r="DY682" s="72"/>
      <c r="DZ682" s="73"/>
      <c r="EA682" s="73"/>
      <c r="EB682" s="73"/>
      <c r="EC682" s="73"/>
      <c r="ED682" s="73"/>
      <c r="EE682" s="73"/>
      <c r="EF682" s="73"/>
      <c r="EG682" s="73"/>
      <c r="EH682" s="73"/>
      <c r="EI682" s="73"/>
      <c r="EJ682" s="73"/>
      <c r="EK682" s="73"/>
      <c r="EL682" s="73"/>
      <c r="EM682" s="73"/>
      <c r="EN682" s="73"/>
      <c r="EO682" s="73"/>
      <c r="EP682" s="69"/>
      <c r="EQ682" s="69"/>
      <c r="ER682" s="69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  <c r="CI683" s="73"/>
      <c r="CJ683" s="73"/>
      <c r="CK683" s="73"/>
      <c r="CL683" s="73"/>
      <c r="CM683" s="72"/>
      <c r="CN683" s="73"/>
      <c r="CO683" s="73"/>
      <c r="CP683" s="73"/>
      <c r="CQ683" s="73"/>
      <c r="CR683" s="73"/>
      <c r="CS683" s="73"/>
      <c r="CT683" s="73"/>
      <c r="CU683" s="73"/>
      <c r="CV683" s="73"/>
      <c r="CW683" s="73"/>
      <c r="CX683" s="73"/>
      <c r="CY683" s="73"/>
      <c r="CZ683" s="73"/>
      <c r="DA683" s="73"/>
      <c r="DB683" s="73"/>
      <c r="DC683" s="73"/>
      <c r="DD683" s="73"/>
      <c r="DE683" s="73"/>
      <c r="DF683" s="73"/>
      <c r="DG683" s="73"/>
      <c r="DH683" s="73"/>
      <c r="DI683" s="73"/>
      <c r="DJ683" s="73"/>
      <c r="DK683" s="73"/>
      <c r="DL683" s="73"/>
      <c r="DM683" s="73"/>
      <c r="DN683" s="73"/>
      <c r="DO683" s="73"/>
      <c r="DP683" s="73"/>
      <c r="DQ683" s="73"/>
      <c r="DR683" s="73"/>
      <c r="DS683" s="73"/>
      <c r="DT683" s="73"/>
      <c r="DU683" s="73"/>
      <c r="DV683" s="73"/>
      <c r="DW683" s="73"/>
      <c r="DX683" s="72"/>
      <c r="DY683" s="72"/>
      <c r="DZ683" s="73"/>
      <c r="EA683" s="73"/>
      <c r="EB683" s="73"/>
      <c r="EC683" s="73"/>
      <c r="ED683" s="73"/>
      <c r="EE683" s="73"/>
      <c r="EF683" s="73"/>
      <c r="EG683" s="73"/>
      <c r="EH683" s="73"/>
      <c r="EI683" s="73"/>
      <c r="EJ683" s="73"/>
      <c r="EK683" s="73"/>
      <c r="EL683" s="73"/>
      <c r="EM683" s="73"/>
      <c r="EN683" s="73"/>
      <c r="EO683" s="73"/>
      <c r="EP683" s="69"/>
      <c r="EQ683" s="69"/>
      <c r="ER683" s="69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73"/>
      <c r="CT684" s="73"/>
      <c r="CU684" s="73"/>
      <c r="CV684" s="73"/>
      <c r="CW684" s="73"/>
      <c r="CX684" s="73"/>
      <c r="CY684" s="73"/>
      <c r="CZ684" s="73"/>
      <c r="DA684" s="73"/>
      <c r="DB684" s="73"/>
      <c r="DC684" s="73"/>
      <c r="DD684" s="73"/>
      <c r="DE684" s="73"/>
      <c r="DF684" s="73"/>
      <c r="DG684" s="73"/>
      <c r="DH684" s="73"/>
      <c r="DI684" s="73"/>
      <c r="DJ684" s="73"/>
      <c r="DK684" s="73"/>
      <c r="DL684" s="73"/>
      <c r="DM684" s="73"/>
      <c r="DN684" s="73"/>
      <c r="DO684" s="73"/>
      <c r="DP684" s="73"/>
      <c r="DQ684" s="73"/>
      <c r="DR684" s="73"/>
      <c r="DS684" s="73"/>
      <c r="DT684" s="73"/>
      <c r="DU684" s="73"/>
      <c r="DV684" s="73"/>
      <c r="DW684" s="73"/>
      <c r="DX684" s="72"/>
      <c r="DY684" s="72"/>
      <c r="DZ684" s="73"/>
      <c r="EA684" s="73"/>
      <c r="EB684" s="73"/>
      <c r="EC684" s="73"/>
      <c r="ED684" s="73"/>
      <c r="EE684" s="73"/>
      <c r="EF684" s="73"/>
      <c r="EG684" s="73"/>
      <c r="EH684" s="73"/>
      <c r="EI684" s="73"/>
      <c r="EJ684" s="73"/>
      <c r="EK684" s="73"/>
      <c r="EL684" s="73"/>
      <c r="EM684" s="73"/>
      <c r="EN684" s="73"/>
      <c r="EO684" s="73"/>
      <c r="EP684" s="69"/>
      <c r="EQ684" s="69"/>
      <c r="ER684" s="69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  <c r="CI685" s="73"/>
      <c r="CJ685" s="73"/>
      <c r="CK685" s="73"/>
      <c r="CL685" s="73"/>
      <c r="CM685" s="73"/>
      <c r="CN685" s="73"/>
      <c r="CO685" s="73"/>
      <c r="CP685" s="73"/>
      <c r="CQ685" s="73"/>
      <c r="CR685" s="73"/>
      <c r="CS685" s="73"/>
      <c r="CT685" s="73"/>
      <c r="CU685" s="73"/>
      <c r="CV685" s="73"/>
      <c r="CW685" s="73"/>
      <c r="CX685" s="73"/>
      <c r="CY685" s="73"/>
      <c r="CZ685" s="73"/>
      <c r="DA685" s="73"/>
      <c r="DB685" s="73"/>
      <c r="DC685" s="73"/>
      <c r="DD685" s="73"/>
      <c r="DE685" s="73"/>
      <c r="DF685" s="73"/>
      <c r="DG685" s="73"/>
      <c r="DH685" s="73"/>
      <c r="DI685" s="73"/>
      <c r="DJ685" s="73"/>
      <c r="DK685" s="73"/>
      <c r="DL685" s="73"/>
      <c r="DM685" s="73"/>
      <c r="DN685" s="73"/>
      <c r="DO685" s="73"/>
      <c r="DP685" s="73"/>
      <c r="DQ685" s="73"/>
      <c r="DR685" s="73"/>
      <c r="DS685" s="73"/>
      <c r="DT685" s="73"/>
      <c r="DU685" s="73"/>
      <c r="DV685" s="73"/>
      <c r="DW685" s="73"/>
      <c r="DX685" s="73"/>
      <c r="DY685" s="73"/>
      <c r="DZ685" s="73"/>
      <c r="EA685" s="73"/>
      <c r="EB685" s="73"/>
      <c r="EC685" s="73"/>
      <c r="ED685" s="73"/>
      <c r="EE685" s="73"/>
      <c r="EF685" s="73"/>
      <c r="EG685" s="73"/>
      <c r="EH685" s="73"/>
      <c r="EI685" s="73"/>
      <c r="EJ685" s="73"/>
      <c r="EK685" s="73"/>
      <c r="EL685" s="73"/>
      <c r="EM685" s="73"/>
      <c r="EN685" s="73"/>
      <c r="EO685" s="73"/>
      <c r="EP685" s="69"/>
      <c r="EQ685" s="69"/>
      <c r="ER685" s="69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  <c r="CI686" s="73"/>
      <c r="CJ686" s="73"/>
      <c r="CK686" s="73"/>
      <c r="CL686" s="73"/>
      <c r="CM686" s="73"/>
      <c r="CN686" s="73"/>
      <c r="CO686" s="73"/>
      <c r="CP686" s="73"/>
      <c r="CQ686" s="73"/>
      <c r="CR686" s="73"/>
      <c r="CS686" s="73"/>
      <c r="CT686" s="73"/>
      <c r="CU686" s="73"/>
      <c r="CV686" s="73"/>
      <c r="CW686" s="73"/>
      <c r="CX686" s="73"/>
      <c r="CY686" s="73"/>
      <c r="CZ686" s="73"/>
      <c r="DA686" s="73"/>
      <c r="DB686" s="73"/>
      <c r="DC686" s="73"/>
      <c r="DD686" s="73"/>
      <c r="DE686" s="73"/>
      <c r="DF686" s="73"/>
      <c r="DG686" s="73"/>
      <c r="DH686" s="73"/>
      <c r="DI686" s="73"/>
      <c r="DJ686" s="73"/>
      <c r="DK686" s="73"/>
      <c r="DL686" s="73"/>
      <c r="DM686" s="73"/>
      <c r="DN686" s="73"/>
      <c r="DO686" s="73"/>
      <c r="DP686" s="73"/>
      <c r="DQ686" s="73"/>
      <c r="DR686" s="73"/>
      <c r="DS686" s="73"/>
      <c r="DT686" s="73"/>
      <c r="DU686" s="73"/>
      <c r="DV686" s="73"/>
      <c r="DW686" s="73"/>
      <c r="DX686" s="72"/>
      <c r="DY686" s="72"/>
      <c r="DZ686" s="73"/>
      <c r="EA686" s="73"/>
      <c r="EB686" s="73"/>
      <c r="EC686" s="73"/>
      <c r="ED686" s="73"/>
      <c r="EE686" s="73"/>
      <c r="EF686" s="73"/>
      <c r="EG686" s="73"/>
      <c r="EH686" s="73"/>
      <c r="EI686" s="73"/>
      <c r="EJ686" s="73"/>
      <c r="EK686" s="73"/>
      <c r="EL686" s="73"/>
      <c r="EM686" s="73"/>
      <c r="EN686" s="73"/>
      <c r="EO686" s="73"/>
      <c r="EP686" s="69"/>
      <c r="EQ686" s="69"/>
      <c r="ER686" s="69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  <c r="CI687" s="73"/>
      <c r="CJ687" s="73"/>
      <c r="CK687" s="73"/>
      <c r="CL687" s="73"/>
      <c r="CM687" s="72"/>
      <c r="CN687" s="73"/>
      <c r="CO687" s="73"/>
      <c r="CP687" s="73"/>
      <c r="CQ687" s="73"/>
      <c r="CR687" s="73"/>
      <c r="CS687" s="73"/>
      <c r="CT687" s="73"/>
      <c r="CU687" s="73"/>
      <c r="CV687" s="73"/>
      <c r="CW687" s="73"/>
      <c r="CX687" s="73"/>
      <c r="CY687" s="73"/>
      <c r="CZ687" s="73"/>
      <c r="DA687" s="73"/>
      <c r="DB687" s="73"/>
      <c r="DC687" s="73"/>
      <c r="DD687" s="73"/>
      <c r="DE687" s="73"/>
      <c r="DF687" s="73"/>
      <c r="DG687" s="73"/>
      <c r="DH687" s="73"/>
      <c r="DI687" s="73"/>
      <c r="DJ687" s="73"/>
      <c r="DK687" s="73"/>
      <c r="DL687" s="73"/>
      <c r="DM687" s="73"/>
      <c r="DN687" s="73"/>
      <c r="DO687" s="73"/>
      <c r="DP687" s="73"/>
      <c r="DQ687" s="73"/>
      <c r="DR687" s="73"/>
      <c r="DS687" s="73"/>
      <c r="DT687" s="73"/>
      <c r="DU687" s="73"/>
      <c r="DV687" s="73"/>
      <c r="DW687" s="73"/>
      <c r="DX687" s="72"/>
      <c r="DY687" s="72"/>
      <c r="DZ687" s="73"/>
      <c r="EA687" s="73"/>
      <c r="EB687" s="73"/>
      <c r="EC687" s="73"/>
      <c r="ED687" s="73"/>
      <c r="EE687" s="73"/>
      <c r="EF687" s="73"/>
      <c r="EG687" s="73"/>
      <c r="EH687" s="73"/>
      <c r="EI687" s="73"/>
      <c r="EJ687" s="73"/>
      <c r="EK687" s="73"/>
      <c r="EL687" s="73"/>
      <c r="EM687" s="73"/>
      <c r="EN687" s="73"/>
      <c r="EO687" s="73"/>
      <c r="EP687" s="69"/>
      <c r="EQ687" s="69"/>
      <c r="ER687" s="69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  <c r="CI688" s="73"/>
      <c r="CJ688" s="73"/>
      <c r="CK688" s="73"/>
      <c r="CL688" s="73"/>
      <c r="CM688" s="73"/>
      <c r="CN688" s="73"/>
      <c r="CO688" s="73"/>
      <c r="CP688" s="73"/>
      <c r="CQ688" s="73"/>
      <c r="CR688" s="73"/>
      <c r="CS688" s="73"/>
      <c r="CT688" s="73"/>
      <c r="CU688" s="73"/>
      <c r="CV688" s="73"/>
      <c r="CW688" s="73"/>
      <c r="CX688" s="73"/>
      <c r="CY688" s="73"/>
      <c r="CZ688" s="73"/>
      <c r="DA688" s="73"/>
      <c r="DB688" s="73"/>
      <c r="DC688" s="73"/>
      <c r="DD688" s="73"/>
      <c r="DE688" s="73"/>
      <c r="DF688" s="73"/>
      <c r="DG688" s="73"/>
      <c r="DH688" s="73"/>
      <c r="DI688" s="73"/>
      <c r="DJ688" s="73"/>
      <c r="DK688" s="73"/>
      <c r="DL688" s="73"/>
      <c r="DM688" s="73"/>
      <c r="DN688" s="73"/>
      <c r="DO688" s="73"/>
      <c r="DP688" s="73"/>
      <c r="DQ688" s="73"/>
      <c r="DR688" s="73"/>
      <c r="DS688" s="73"/>
      <c r="DT688" s="73"/>
      <c r="DU688" s="73"/>
      <c r="DV688" s="73"/>
      <c r="DW688" s="73"/>
      <c r="DX688" s="72"/>
      <c r="DY688" s="72"/>
      <c r="DZ688" s="73"/>
      <c r="EA688" s="73"/>
      <c r="EB688" s="73"/>
      <c r="EC688" s="73"/>
      <c r="ED688" s="73"/>
      <c r="EE688" s="73"/>
      <c r="EF688" s="73"/>
      <c r="EG688" s="73"/>
      <c r="EH688" s="73"/>
      <c r="EI688" s="73"/>
      <c r="EJ688" s="73"/>
      <c r="EK688" s="73"/>
      <c r="EL688" s="73"/>
      <c r="EM688" s="73"/>
      <c r="EN688" s="73"/>
      <c r="EO688" s="73"/>
      <c r="EP688" s="69"/>
      <c r="EQ688" s="69"/>
      <c r="ER688" s="69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73"/>
      <c r="CT689" s="73"/>
      <c r="CU689" s="73"/>
      <c r="CV689" s="73"/>
      <c r="CW689" s="73"/>
      <c r="CX689" s="73"/>
      <c r="CY689" s="73"/>
      <c r="CZ689" s="73"/>
      <c r="DA689" s="73"/>
      <c r="DB689" s="73"/>
      <c r="DC689" s="73"/>
      <c r="DD689" s="73"/>
      <c r="DE689" s="73"/>
      <c r="DF689" s="73"/>
      <c r="DG689" s="73"/>
      <c r="DH689" s="73"/>
      <c r="DI689" s="73"/>
      <c r="DJ689" s="73"/>
      <c r="DK689" s="73"/>
      <c r="DL689" s="73"/>
      <c r="DM689" s="73"/>
      <c r="DN689" s="73"/>
      <c r="DO689" s="73"/>
      <c r="DP689" s="73"/>
      <c r="DQ689" s="73"/>
      <c r="DR689" s="73"/>
      <c r="DS689" s="73"/>
      <c r="DT689" s="73"/>
      <c r="DU689" s="73"/>
      <c r="DV689" s="73"/>
      <c r="DW689" s="73"/>
      <c r="DX689" s="72"/>
      <c r="DY689" s="72"/>
      <c r="DZ689" s="73"/>
      <c r="EA689" s="73"/>
      <c r="EB689" s="73"/>
      <c r="EC689" s="73"/>
      <c r="ED689" s="73"/>
      <c r="EE689" s="73"/>
      <c r="EF689" s="73"/>
      <c r="EG689" s="73"/>
      <c r="EH689" s="73"/>
      <c r="EI689" s="73"/>
      <c r="EJ689" s="73"/>
      <c r="EK689" s="73"/>
      <c r="EL689" s="73"/>
      <c r="EM689" s="73"/>
      <c r="EN689" s="73"/>
      <c r="EO689" s="73"/>
      <c r="EP689" s="69"/>
      <c r="EQ689" s="69"/>
      <c r="ER689" s="69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  <c r="CI690" s="73"/>
      <c r="CJ690" s="73"/>
      <c r="CK690" s="73"/>
      <c r="CL690" s="73"/>
      <c r="CM690" s="72"/>
      <c r="CN690" s="73"/>
      <c r="CO690" s="73"/>
      <c r="CP690" s="73"/>
      <c r="CQ690" s="73"/>
      <c r="CR690" s="73"/>
      <c r="CS690" s="73"/>
      <c r="CT690" s="73"/>
      <c r="CU690" s="73"/>
      <c r="CV690" s="73"/>
      <c r="CW690" s="73"/>
      <c r="CX690" s="73"/>
      <c r="CY690" s="73"/>
      <c r="CZ690" s="73"/>
      <c r="DA690" s="73"/>
      <c r="DB690" s="73"/>
      <c r="DC690" s="73"/>
      <c r="DD690" s="73"/>
      <c r="DE690" s="73"/>
      <c r="DF690" s="73"/>
      <c r="DG690" s="73"/>
      <c r="DH690" s="73"/>
      <c r="DI690" s="73"/>
      <c r="DJ690" s="73"/>
      <c r="DK690" s="73"/>
      <c r="DL690" s="73"/>
      <c r="DM690" s="73"/>
      <c r="DN690" s="73"/>
      <c r="DO690" s="73"/>
      <c r="DP690" s="73"/>
      <c r="DQ690" s="73"/>
      <c r="DR690" s="73"/>
      <c r="DS690" s="73"/>
      <c r="DT690" s="73"/>
      <c r="DU690" s="73"/>
      <c r="DV690" s="73"/>
      <c r="DW690" s="73"/>
      <c r="DX690" s="72"/>
      <c r="DY690" s="72"/>
      <c r="DZ690" s="73"/>
      <c r="EA690" s="73"/>
      <c r="EB690" s="73"/>
      <c r="EC690" s="73"/>
      <c r="ED690" s="73"/>
      <c r="EE690" s="73"/>
      <c r="EF690" s="73"/>
      <c r="EG690" s="73"/>
      <c r="EH690" s="73"/>
      <c r="EI690" s="73"/>
      <c r="EJ690" s="73"/>
      <c r="EK690" s="73"/>
      <c r="EL690" s="73"/>
      <c r="EM690" s="73"/>
      <c r="EN690" s="73"/>
      <c r="EO690" s="73"/>
      <c r="EP690" s="69"/>
      <c r="EQ690" s="69"/>
      <c r="ER690" s="69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  <c r="CI691" s="73"/>
      <c r="CJ691" s="73"/>
      <c r="CK691" s="73"/>
      <c r="CL691" s="73"/>
      <c r="CM691" s="72"/>
      <c r="CN691" s="73"/>
      <c r="CO691" s="73"/>
      <c r="CP691" s="73"/>
      <c r="CQ691" s="73"/>
      <c r="CR691" s="73"/>
      <c r="CS691" s="73"/>
      <c r="CT691" s="73"/>
      <c r="CU691" s="73"/>
      <c r="CV691" s="73"/>
      <c r="CW691" s="73"/>
      <c r="CX691" s="73"/>
      <c r="CY691" s="73"/>
      <c r="CZ691" s="73"/>
      <c r="DA691" s="73"/>
      <c r="DB691" s="73"/>
      <c r="DC691" s="73"/>
      <c r="DD691" s="73"/>
      <c r="DE691" s="73"/>
      <c r="DF691" s="73"/>
      <c r="DG691" s="73"/>
      <c r="DH691" s="73"/>
      <c r="DI691" s="73"/>
      <c r="DJ691" s="73"/>
      <c r="DK691" s="73"/>
      <c r="DL691" s="73"/>
      <c r="DM691" s="73"/>
      <c r="DN691" s="73"/>
      <c r="DO691" s="73"/>
      <c r="DP691" s="73"/>
      <c r="DQ691" s="73"/>
      <c r="DR691" s="73"/>
      <c r="DS691" s="73"/>
      <c r="DT691" s="73"/>
      <c r="DU691" s="73"/>
      <c r="DV691" s="73"/>
      <c r="DW691" s="73"/>
      <c r="DX691" s="72"/>
      <c r="DY691" s="72"/>
      <c r="DZ691" s="73"/>
      <c r="EA691" s="73"/>
      <c r="EB691" s="73"/>
      <c r="EC691" s="73"/>
      <c r="ED691" s="73"/>
      <c r="EE691" s="73"/>
      <c r="EF691" s="73"/>
      <c r="EG691" s="73"/>
      <c r="EH691" s="73"/>
      <c r="EI691" s="73"/>
      <c r="EJ691" s="73"/>
      <c r="EK691" s="73"/>
      <c r="EL691" s="73"/>
      <c r="EM691" s="73"/>
      <c r="EN691" s="73"/>
      <c r="EO691" s="73"/>
      <c r="EP691" s="69"/>
      <c r="EQ691" s="69"/>
      <c r="ER691" s="69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  <c r="CI692" s="73"/>
      <c r="CJ692" s="73"/>
      <c r="CK692" s="73"/>
      <c r="CL692" s="73"/>
      <c r="CM692" s="73"/>
      <c r="CN692" s="73"/>
      <c r="CO692" s="73"/>
      <c r="CP692" s="73"/>
      <c r="CQ692" s="73"/>
      <c r="CR692" s="73"/>
      <c r="CS692" s="73"/>
      <c r="CT692" s="73"/>
      <c r="CU692" s="73"/>
      <c r="CV692" s="73"/>
      <c r="CW692" s="73"/>
      <c r="CX692" s="73"/>
      <c r="CY692" s="73"/>
      <c r="CZ692" s="73"/>
      <c r="DA692" s="73"/>
      <c r="DB692" s="73"/>
      <c r="DC692" s="73"/>
      <c r="DD692" s="73"/>
      <c r="DE692" s="73"/>
      <c r="DF692" s="73"/>
      <c r="DG692" s="73"/>
      <c r="DH692" s="73"/>
      <c r="DI692" s="73"/>
      <c r="DJ692" s="73"/>
      <c r="DK692" s="73"/>
      <c r="DL692" s="73"/>
      <c r="DM692" s="73"/>
      <c r="DN692" s="73"/>
      <c r="DO692" s="73"/>
      <c r="DP692" s="73"/>
      <c r="DQ692" s="73"/>
      <c r="DR692" s="73"/>
      <c r="DS692" s="73"/>
      <c r="DT692" s="73"/>
      <c r="DU692" s="73"/>
      <c r="DV692" s="73"/>
      <c r="DW692" s="73"/>
      <c r="DX692" s="72"/>
      <c r="DY692" s="72"/>
      <c r="DZ692" s="73"/>
      <c r="EA692" s="73"/>
      <c r="EB692" s="73"/>
      <c r="EC692" s="73"/>
      <c r="ED692" s="73"/>
      <c r="EE692" s="73"/>
      <c r="EF692" s="73"/>
      <c r="EG692" s="73"/>
      <c r="EH692" s="73"/>
      <c r="EI692" s="73"/>
      <c r="EJ692" s="73"/>
      <c r="EK692" s="73"/>
      <c r="EL692" s="73"/>
      <c r="EM692" s="73"/>
      <c r="EN692" s="73"/>
      <c r="EO692" s="73"/>
      <c r="EP692" s="69"/>
      <c r="EQ692" s="69"/>
      <c r="ER692" s="69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  <c r="CI693" s="73"/>
      <c r="CJ693" s="73"/>
      <c r="CK693" s="73"/>
      <c r="CL693" s="73"/>
      <c r="CM693" s="72"/>
      <c r="CN693" s="73"/>
      <c r="CO693" s="73"/>
      <c r="CP693" s="73"/>
      <c r="CQ693" s="73"/>
      <c r="CR693" s="73"/>
      <c r="CS693" s="73"/>
      <c r="CT693" s="73"/>
      <c r="CU693" s="73"/>
      <c r="CV693" s="73"/>
      <c r="CW693" s="73"/>
      <c r="CX693" s="73"/>
      <c r="CY693" s="73"/>
      <c r="CZ693" s="73"/>
      <c r="DA693" s="73"/>
      <c r="DB693" s="73"/>
      <c r="DC693" s="73"/>
      <c r="DD693" s="73"/>
      <c r="DE693" s="73"/>
      <c r="DF693" s="73"/>
      <c r="DG693" s="73"/>
      <c r="DH693" s="73"/>
      <c r="DI693" s="73"/>
      <c r="DJ693" s="73"/>
      <c r="DK693" s="73"/>
      <c r="DL693" s="73"/>
      <c r="DM693" s="73"/>
      <c r="DN693" s="73"/>
      <c r="DO693" s="73"/>
      <c r="DP693" s="73"/>
      <c r="DQ693" s="73"/>
      <c r="DR693" s="73"/>
      <c r="DS693" s="73"/>
      <c r="DT693" s="73"/>
      <c r="DU693" s="73"/>
      <c r="DV693" s="73"/>
      <c r="DW693" s="73"/>
      <c r="DX693" s="72"/>
      <c r="DY693" s="72"/>
      <c r="DZ693" s="73"/>
      <c r="EA693" s="73"/>
      <c r="EB693" s="73"/>
      <c r="EC693" s="73"/>
      <c r="ED693" s="73"/>
      <c r="EE693" s="73"/>
      <c r="EF693" s="73"/>
      <c r="EG693" s="73"/>
      <c r="EH693" s="73"/>
      <c r="EI693" s="73"/>
      <c r="EJ693" s="73"/>
      <c r="EK693" s="73"/>
      <c r="EL693" s="73"/>
      <c r="EM693" s="73"/>
      <c r="EN693" s="73"/>
      <c r="EO693" s="73"/>
      <c r="EP693" s="69"/>
      <c r="EQ693" s="69"/>
      <c r="ER693" s="69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73"/>
      <c r="CT694" s="73"/>
      <c r="CU694" s="73"/>
      <c r="CV694" s="73"/>
      <c r="CW694" s="73"/>
      <c r="CX694" s="73"/>
      <c r="CY694" s="73"/>
      <c r="CZ694" s="73"/>
      <c r="DA694" s="73"/>
      <c r="DB694" s="73"/>
      <c r="DC694" s="73"/>
      <c r="DD694" s="73"/>
      <c r="DE694" s="73"/>
      <c r="DF694" s="73"/>
      <c r="DG694" s="73"/>
      <c r="DH694" s="73"/>
      <c r="DI694" s="73"/>
      <c r="DJ694" s="73"/>
      <c r="DK694" s="73"/>
      <c r="DL694" s="73"/>
      <c r="DM694" s="73"/>
      <c r="DN694" s="73"/>
      <c r="DO694" s="73"/>
      <c r="DP694" s="73"/>
      <c r="DQ694" s="73"/>
      <c r="DR694" s="73"/>
      <c r="DS694" s="73"/>
      <c r="DT694" s="73"/>
      <c r="DU694" s="73"/>
      <c r="DV694" s="73"/>
      <c r="DW694" s="73"/>
      <c r="DX694" s="72"/>
      <c r="DY694" s="72"/>
      <c r="DZ694" s="73"/>
      <c r="EA694" s="73"/>
      <c r="EB694" s="73"/>
      <c r="EC694" s="73"/>
      <c r="ED694" s="73"/>
      <c r="EE694" s="73"/>
      <c r="EF694" s="73"/>
      <c r="EG694" s="73"/>
      <c r="EH694" s="73"/>
      <c r="EI694" s="73"/>
      <c r="EJ694" s="73"/>
      <c r="EK694" s="73"/>
      <c r="EL694" s="73"/>
      <c r="EM694" s="73"/>
      <c r="EN694" s="73"/>
      <c r="EO694" s="73"/>
      <c r="EP694" s="69"/>
      <c r="EQ694" s="69"/>
      <c r="ER694" s="69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  <c r="CI695" s="73"/>
      <c r="CJ695" s="73"/>
      <c r="CK695" s="73"/>
      <c r="CL695" s="73"/>
      <c r="CM695" s="73"/>
      <c r="CN695" s="73"/>
      <c r="CO695" s="73"/>
      <c r="CP695" s="73"/>
      <c r="CQ695" s="73"/>
      <c r="CR695" s="73"/>
      <c r="CS695" s="73"/>
      <c r="CT695" s="73"/>
      <c r="CU695" s="73"/>
      <c r="CV695" s="73"/>
      <c r="CW695" s="73"/>
      <c r="CX695" s="73"/>
      <c r="CY695" s="73"/>
      <c r="CZ695" s="73"/>
      <c r="DA695" s="73"/>
      <c r="DB695" s="73"/>
      <c r="DC695" s="73"/>
      <c r="DD695" s="73"/>
      <c r="DE695" s="73"/>
      <c r="DF695" s="73"/>
      <c r="DG695" s="73"/>
      <c r="DH695" s="73"/>
      <c r="DI695" s="73"/>
      <c r="DJ695" s="73"/>
      <c r="DK695" s="73"/>
      <c r="DL695" s="73"/>
      <c r="DM695" s="73"/>
      <c r="DN695" s="73"/>
      <c r="DO695" s="73"/>
      <c r="DP695" s="73"/>
      <c r="DQ695" s="73"/>
      <c r="DR695" s="73"/>
      <c r="DS695" s="73"/>
      <c r="DT695" s="73"/>
      <c r="DU695" s="73"/>
      <c r="DV695" s="73"/>
      <c r="DW695" s="73"/>
      <c r="DX695" s="72"/>
      <c r="DY695" s="72"/>
      <c r="DZ695" s="73"/>
      <c r="EA695" s="73"/>
      <c r="EB695" s="73"/>
      <c r="EC695" s="73"/>
      <c r="ED695" s="73"/>
      <c r="EE695" s="73"/>
      <c r="EF695" s="73"/>
      <c r="EG695" s="73"/>
      <c r="EH695" s="73"/>
      <c r="EI695" s="73"/>
      <c r="EJ695" s="73"/>
      <c r="EK695" s="73"/>
      <c r="EL695" s="73"/>
      <c r="EM695" s="73"/>
      <c r="EN695" s="73"/>
      <c r="EO695" s="73"/>
      <c r="EP695" s="69"/>
      <c r="EQ695" s="69"/>
      <c r="ER695" s="69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  <c r="CI696" s="73"/>
      <c r="CJ696" s="73"/>
      <c r="CK696" s="73"/>
      <c r="CL696" s="73"/>
      <c r="CM696" s="73"/>
      <c r="CN696" s="73"/>
      <c r="CO696" s="73"/>
      <c r="CP696" s="73"/>
      <c r="CQ696" s="73"/>
      <c r="CR696" s="73"/>
      <c r="CS696" s="73"/>
      <c r="CT696" s="73"/>
      <c r="CU696" s="73"/>
      <c r="CV696" s="73"/>
      <c r="CW696" s="73"/>
      <c r="CX696" s="73"/>
      <c r="CY696" s="73"/>
      <c r="CZ696" s="73"/>
      <c r="DA696" s="73"/>
      <c r="DB696" s="73"/>
      <c r="DC696" s="73"/>
      <c r="DD696" s="73"/>
      <c r="DE696" s="73"/>
      <c r="DF696" s="73"/>
      <c r="DG696" s="73"/>
      <c r="DH696" s="73"/>
      <c r="DI696" s="73"/>
      <c r="DJ696" s="73"/>
      <c r="DK696" s="73"/>
      <c r="DL696" s="73"/>
      <c r="DM696" s="73"/>
      <c r="DN696" s="73"/>
      <c r="DO696" s="73"/>
      <c r="DP696" s="73"/>
      <c r="DQ696" s="73"/>
      <c r="DR696" s="73"/>
      <c r="DS696" s="73"/>
      <c r="DT696" s="73"/>
      <c r="DU696" s="73"/>
      <c r="DV696" s="73"/>
      <c r="DW696" s="73"/>
      <c r="DX696" s="72"/>
      <c r="DY696" s="72"/>
      <c r="DZ696" s="73"/>
      <c r="EA696" s="73"/>
      <c r="EB696" s="73"/>
      <c r="EC696" s="73"/>
      <c r="ED696" s="73"/>
      <c r="EE696" s="73"/>
      <c r="EF696" s="73"/>
      <c r="EG696" s="73"/>
      <c r="EH696" s="73"/>
      <c r="EI696" s="73"/>
      <c r="EJ696" s="73"/>
      <c r="EK696" s="73"/>
      <c r="EL696" s="73"/>
      <c r="EM696" s="73"/>
      <c r="EN696" s="73"/>
      <c r="EO696" s="73"/>
      <c r="EP696" s="69"/>
      <c r="EQ696" s="69"/>
      <c r="ER696" s="69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  <c r="CI697" s="73"/>
      <c r="CJ697" s="73"/>
      <c r="CK697" s="73"/>
      <c r="CL697" s="73"/>
      <c r="CM697" s="72"/>
      <c r="CN697" s="73"/>
      <c r="CO697" s="73"/>
      <c r="CP697" s="73"/>
      <c r="CQ697" s="73"/>
      <c r="CR697" s="73"/>
      <c r="CS697" s="73"/>
      <c r="CT697" s="73"/>
      <c r="CU697" s="73"/>
      <c r="CV697" s="73"/>
      <c r="CW697" s="73"/>
      <c r="CX697" s="73"/>
      <c r="CY697" s="73"/>
      <c r="CZ697" s="73"/>
      <c r="DA697" s="73"/>
      <c r="DB697" s="73"/>
      <c r="DC697" s="73"/>
      <c r="DD697" s="73"/>
      <c r="DE697" s="73"/>
      <c r="DF697" s="73"/>
      <c r="DG697" s="73"/>
      <c r="DH697" s="73"/>
      <c r="DI697" s="73"/>
      <c r="DJ697" s="73"/>
      <c r="DK697" s="73"/>
      <c r="DL697" s="73"/>
      <c r="DM697" s="73"/>
      <c r="DN697" s="73"/>
      <c r="DO697" s="73"/>
      <c r="DP697" s="73"/>
      <c r="DQ697" s="73"/>
      <c r="DR697" s="73"/>
      <c r="DS697" s="73"/>
      <c r="DT697" s="73"/>
      <c r="DU697" s="73"/>
      <c r="DV697" s="73"/>
      <c r="DW697" s="73"/>
      <c r="DX697" s="72"/>
      <c r="DY697" s="72"/>
      <c r="DZ697" s="73"/>
      <c r="EA697" s="73"/>
      <c r="EB697" s="73"/>
      <c r="EC697" s="73"/>
      <c r="ED697" s="73"/>
      <c r="EE697" s="73"/>
      <c r="EF697" s="73"/>
      <c r="EG697" s="73"/>
      <c r="EH697" s="73"/>
      <c r="EI697" s="73"/>
      <c r="EJ697" s="73"/>
      <c r="EK697" s="73"/>
      <c r="EL697" s="73"/>
      <c r="EM697" s="73"/>
      <c r="EN697" s="73"/>
      <c r="EO697" s="73"/>
      <c r="EP697" s="69"/>
      <c r="EQ697" s="69"/>
      <c r="ER697" s="69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  <c r="CI698" s="73"/>
      <c r="CJ698" s="73"/>
      <c r="CK698" s="73"/>
      <c r="CL698" s="73"/>
      <c r="CM698" s="73"/>
      <c r="CN698" s="73"/>
      <c r="CO698" s="73"/>
      <c r="CP698" s="73"/>
      <c r="CQ698" s="73"/>
      <c r="CR698" s="73"/>
      <c r="CS698" s="73"/>
      <c r="CT698" s="73"/>
      <c r="CU698" s="73"/>
      <c r="CV698" s="73"/>
      <c r="CW698" s="73"/>
      <c r="CX698" s="73"/>
      <c r="CY698" s="73"/>
      <c r="CZ698" s="73"/>
      <c r="DA698" s="73"/>
      <c r="DB698" s="73"/>
      <c r="DC698" s="73"/>
      <c r="DD698" s="73"/>
      <c r="DE698" s="73"/>
      <c r="DF698" s="73"/>
      <c r="DG698" s="73"/>
      <c r="DH698" s="73"/>
      <c r="DI698" s="73"/>
      <c r="DJ698" s="73"/>
      <c r="DK698" s="73"/>
      <c r="DL698" s="73"/>
      <c r="DM698" s="73"/>
      <c r="DN698" s="73"/>
      <c r="DO698" s="73"/>
      <c r="DP698" s="73"/>
      <c r="DQ698" s="73"/>
      <c r="DR698" s="73"/>
      <c r="DS698" s="73"/>
      <c r="DT698" s="73"/>
      <c r="DU698" s="73"/>
      <c r="DV698" s="73"/>
      <c r="DW698" s="73"/>
      <c r="DX698" s="72"/>
      <c r="DY698" s="72"/>
      <c r="DZ698" s="73"/>
      <c r="EA698" s="73"/>
      <c r="EB698" s="73"/>
      <c r="EC698" s="73"/>
      <c r="ED698" s="73"/>
      <c r="EE698" s="73"/>
      <c r="EF698" s="73"/>
      <c r="EG698" s="73"/>
      <c r="EH698" s="73"/>
      <c r="EI698" s="73"/>
      <c r="EJ698" s="73"/>
      <c r="EK698" s="73"/>
      <c r="EL698" s="73"/>
      <c r="EM698" s="73"/>
      <c r="EN698" s="73"/>
      <c r="EO698" s="73"/>
      <c r="EP698" s="69"/>
      <c r="EQ698" s="69"/>
      <c r="ER698" s="69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73"/>
      <c r="CT699" s="73"/>
      <c r="CU699" s="73"/>
      <c r="CV699" s="73"/>
      <c r="CW699" s="73"/>
      <c r="CX699" s="73"/>
      <c r="CY699" s="73"/>
      <c r="CZ699" s="73"/>
      <c r="DA699" s="73"/>
      <c r="DB699" s="73"/>
      <c r="DC699" s="73"/>
      <c r="DD699" s="73"/>
      <c r="DE699" s="73"/>
      <c r="DF699" s="73"/>
      <c r="DG699" s="73"/>
      <c r="DH699" s="73"/>
      <c r="DI699" s="73"/>
      <c r="DJ699" s="73"/>
      <c r="DK699" s="73"/>
      <c r="DL699" s="73"/>
      <c r="DM699" s="73"/>
      <c r="DN699" s="73"/>
      <c r="DO699" s="73"/>
      <c r="DP699" s="73"/>
      <c r="DQ699" s="73"/>
      <c r="DR699" s="73"/>
      <c r="DS699" s="73"/>
      <c r="DT699" s="73"/>
      <c r="DU699" s="73"/>
      <c r="DV699" s="73"/>
      <c r="DW699" s="73"/>
      <c r="DX699" s="72"/>
      <c r="DY699" s="72"/>
      <c r="DZ699" s="73"/>
      <c r="EA699" s="73"/>
      <c r="EB699" s="73"/>
      <c r="EC699" s="73"/>
      <c r="ED699" s="73"/>
      <c r="EE699" s="73"/>
      <c r="EF699" s="73"/>
      <c r="EG699" s="73"/>
      <c r="EH699" s="73"/>
      <c r="EI699" s="73"/>
      <c r="EJ699" s="73"/>
      <c r="EK699" s="73"/>
      <c r="EL699" s="73"/>
      <c r="EM699" s="73"/>
      <c r="EN699" s="73"/>
      <c r="EO699" s="73"/>
      <c r="EP699" s="69"/>
      <c r="EQ699" s="69"/>
      <c r="ER699" s="69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  <c r="CI700" s="73"/>
      <c r="CJ700" s="73"/>
      <c r="CK700" s="73"/>
      <c r="CL700" s="73"/>
      <c r="CM700" s="73"/>
      <c r="CN700" s="73"/>
      <c r="CO700" s="73"/>
      <c r="CP700" s="73"/>
      <c r="CQ700" s="73"/>
      <c r="CR700" s="73"/>
      <c r="CS700" s="73"/>
      <c r="CT700" s="73"/>
      <c r="CU700" s="73"/>
      <c r="CV700" s="73"/>
      <c r="CW700" s="73"/>
      <c r="CX700" s="73"/>
      <c r="CY700" s="73"/>
      <c r="CZ700" s="73"/>
      <c r="DA700" s="73"/>
      <c r="DB700" s="73"/>
      <c r="DC700" s="73"/>
      <c r="DD700" s="73"/>
      <c r="DE700" s="73"/>
      <c r="DF700" s="73"/>
      <c r="DG700" s="73"/>
      <c r="DH700" s="73"/>
      <c r="DI700" s="73"/>
      <c r="DJ700" s="73"/>
      <c r="DK700" s="73"/>
      <c r="DL700" s="73"/>
      <c r="DM700" s="73"/>
      <c r="DN700" s="73"/>
      <c r="DO700" s="73"/>
      <c r="DP700" s="73"/>
      <c r="DQ700" s="73"/>
      <c r="DR700" s="73"/>
      <c r="DS700" s="73"/>
      <c r="DT700" s="73"/>
      <c r="DU700" s="73"/>
      <c r="DV700" s="73"/>
      <c r="DW700" s="73"/>
      <c r="DX700" s="73"/>
      <c r="DY700" s="73"/>
      <c r="DZ700" s="73"/>
      <c r="EA700" s="73"/>
      <c r="EB700" s="73"/>
      <c r="EC700" s="73"/>
      <c r="ED700" s="73"/>
      <c r="EE700" s="73"/>
      <c r="EF700" s="73"/>
      <c r="EG700" s="73"/>
      <c r="EH700" s="73"/>
      <c r="EI700" s="73"/>
      <c r="EJ700" s="73"/>
      <c r="EK700" s="73"/>
      <c r="EL700" s="73"/>
      <c r="EM700" s="73"/>
      <c r="EN700" s="73"/>
      <c r="EO700" s="73"/>
      <c r="EP700" s="69"/>
      <c r="EQ700" s="69"/>
      <c r="ER700" s="69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  <c r="CI701" s="73"/>
      <c r="CJ701" s="73"/>
      <c r="CK701" s="73"/>
      <c r="CL701" s="73"/>
      <c r="CM701" s="73"/>
      <c r="CN701" s="73"/>
      <c r="CO701" s="73"/>
      <c r="CP701" s="73"/>
      <c r="CQ701" s="73"/>
      <c r="CR701" s="73"/>
      <c r="CS701" s="73"/>
      <c r="CT701" s="73"/>
      <c r="CU701" s="73"/>
      <c r="CV701" s="73"/>
      <c r="CW701" s="73"/>
      <c r="CX701" s="73"/>
      <c r="CY701" s="73"/>
      <c r="CZ701" s="73"/>
      <c r="DA701" s="73"/>
      <c r="DB701" s="73"/>
      <c r="DC701" s="73"/>
      <c r="DD701" s="73"/>
      <c r="DE701" s="73"/>
      <c r="DF701" s="73"/>
      <c r="DG701" s="73"/>
      <c r="DH701" s="73"/>
      <c r="DI701" s="73"/>
      <c r="DJ701" s="73"/>
      <c r="DK701" s="73"/>
      <c r="DL701" s="73"/>
      <c r="DM701" s="73"/>
      <c r="DN701" s="73"/>
      <c r="DO701" s="73"/>
      <c r="DP701" s="73"/>
      <c r="DQ701" s="73"/>
      <c r="DR701" s="73"/>
      <c r="DS701" s="73"/>
      <c r="DT701" s="73"/>
      <c r="DU701" s="73"/>
      <c r="DV701" s="73"/>
      <c r="DW701" s="73"/>
      <c r="DX701" s="72"/>
      <c r="DY701" s="72"/>
      <c r="DZ701" s="73"/>
      <c r="EA701" s="73"/>
      <c r="EB701" s="73"/>
      <c r="EC701" s="73"/>
      <c r="ED701" s="73"/>
      <c r="EE701" s="73"/>
      <c r="EF701" s="73"/>
      <c r="EG701" s="73"/>
      <c r="EH701" s="73"/>
      <c r="EI701" s="73"/>
      <c r="EJ701" s="73"/>
      <c r="EK701" s="73"/>
      <c r="EL701" s="73"/>
      <c r="EM701" s="73"/>
      <c r="EN701" s="73"/>
      <c r="EO701" s="73"/>
      <c r="EP701" s="69"/>
      <c r="EQ701" s="69"/>
      <c r="ER701" s="69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  <c r="CI702" s="73"/>
      <c r="CJ702" s="73"/>
      <c r="CK702" s="73"/>
      <c r="CL702" s="73"/>
      <c r="CM702" s="72"/>
      <c r="CN702" s="73"/>
      <c r="CO702" s="73"/>
      <c r="CP702" s="73"/>
      <c r="CQ702" s="73"/>
      <c r="CR702" s="73"/>
      <c r="CS702" s="73"/>
      <c r="CT702" s="73"/>
      <c r="CU702" s="73"/>
      <c r="CV702" s="73"/>
      <c r="CW702" s="73"/>
      <c r="CX702" s="73"/>
      <c r="CY702" s="73"/>
      <c r="CZ702" s="73"/>
      <c r="DA702" s="73"/>
      <c r="DB702" s="73"/>
      <c r="DC702" s="73"/>
      <c r="DD702" s="73"/>
      <c r="DE702" s="73"/>
      <c r="DF702" s="73"/>
      <c r="DG702" s="73"/>
      <c r="DH702" s="73"/>
      <c r="DI702" s="73"/>
      <c r="DJ702" s="73"/>
      <c r="DK702" s="73"/>
      <c r="DL702" s="73"/>
      <c r="DM702" s="73"/>
      <c r="DN702" s="73"/>
      <c r="DO702" s="73"/>
      <c r="DP702" s="73"/>
      <c r="DQ702" s="73"/>
      <c r="DR702" s="73"/>
      <c r="DS702" s="73"/>
      <c r="DT702" s="73"/>
      <c r="DU702" s="73"/>
      <c r="DV702" s="73"/>
      <c r="DW702" s="73"/>
      <c r="DX702" s="72"/>
      <c r="DY702" s="72"/>
      <c r="DZ702" s="73"/>
      <c r="EA702" s="73"/>
      <c r="EB702" s="73"/>
      <c r="EC702" s="73"/>
      <c r="ED702" s="73"/>
      <c r="EE702" s="73"/>
      <c r="EF702" s="73"/>
      <c r="EG702" s="73"/>
      <c r="EH702" s="73"/>
      <c r="EI702" s="73"/>
      <c r="EJ702" s="73"/>
      <c r="EK702" s="73"/>
      <c r="EL702" s="73"/>
      <c r="EM702" s="73"/>
      <c r="EN702" s="73"/>
      <c r="EO702" s="73"/>
      <c r="EP702" s="69"/>
      <c r="EQ702" s="69"/>
      <c r="ER702" s="69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  <c r="CI703" s="73"/>
      <c r="CJ703" s="73"/>
      <c r="CK703" s="73"/>
      <c r="CL703" s="73"/>
      <c r="CM703" s="73"/>
      <c r="CN703" s="73"/>
      <c r="CO703" s="73"/>
      <c r="CP703" s="73"/>
      <c r="CQ703" s="73"/>
      <c r="CR703" s="73"/>
      <c r="CS703" s="73"/>
      <c r="CT703" s="73"/>
      <c r="CU703" s="73"/>
      <c r="CV703" s="73"/>
      <c r="CW703" s="73"/>
      <c r="CX703" s="73"/>
      <c r="CY703" s="73"/>
      <c r="CZ703" s="73"/>
      <c r="DA703" s="73"/>
      <c r="DB703" s="73"/>
      <c r="DC703" s="73"/>
      <c r="DD703" s="73"/>
      <c r="DE703" s="73"/>
      <c r="DF703" s="73"/>
      <c r="DG703" s="73"/>
      <c r="DH703" s="73"/>
      <c r="DI703" s="73"/>
      <c r="DJ703" s="73"/>
      <c r="DK703" s="73"/>
      <c r="DL703" s="73"/>
      <c r="DM703" s="73"/>
      <c r="DN703" s="73"/>
      <c r="DO703" s="73"/>
      <c r="DP703" s="73"/>
      <c r="DQ703" s="73"/>
      <c r="DR703" s="73"/>
      <c r="DS703" s="73"/>
      <c r="DT703" s="73"/>
      <c r="DU703" s="73"/>
      <c r="DV703" s="73"/>
      <c r="DW703" s="73"/>
      <c r="DX703" s="72"/>
      <c r="DY703" s="72"/>
      <c r="DZ703" s="73"/>
      <c r="EA703" s="73"/>
      <c r="EB703" s="73"/>
      <c r="EC703" s="73"/>
      <c r="ED703" s="73"/>
      <c r="EE703" s="73"/>
      <c r="EF703" s="73"/>
      <c r="EG703" s="73"/>
      <c r="EH703" s="73"/>
      <c r="EI703" s="73"/>
      <c r="EJ703" s="73"/>
      <c r="EK703" s="73"/>
      <c r="EL703" s="73"/>
      <c r="EM703" s="73"/>
      <c r="EN703" s="73"/>
      <c r="EO703" s="73"/>
      <c r="EP703" s="69"/>
      <c r="EQ703" s="69"/>
      <c r="ER703" s="69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  <c r="CI704" s="73"/>
      <c r="CJ704" s="73"/>
      <c r="CK704" s="73"/>
      <c r="CL704" s="73"/>
      <c r="CM704" s="73"/>
      <c r="CN704" s="73"/>
      <c r="CO704" s="73"/>
      <c r="CP704" s="73"/>
      <c r="CQ704" s="73"/>
      <c r="CR704" s="73"/>
      <c r="CS704" s="73"/>
      <c r="CT704" s="73"/>
      <c r="CU704" s="73"/>
      <c r="CV704" s="73"/>
      <c r="CW704" s="73"/>
      <c r="CX704" s="73"/>
      <c r="CY704" s="73"/>
      <c r="CZ704" s="73"/>
      <c r="DA704" s="73"/>
      <c r="DB704" s="73"/>
      <c r="DC704" s="73"/>
      <c r="DD704" s="73"/>
      <c r="DE704" s="73"/>
      <c r="DF704" s="73"/>
      <c r="DG704" s="73"/>
      <c r="DH704" s="73"/>
      <c r="DI704" s="73"/>
      <c r="DJ704" s="73"/>
      <c r="DK704" s="73"/>
      <c r="DL704" s="73"/>
      <c r="DM704" s="73"/>
      <c r="DN704" s="73"/>
      <c r="DO704" s="73"/>
      <c r="DP704" s="73"/>
      <c r="DQ704" s="73"/>
      <c r="DR704" s="73"/>
      <c r="DS704" s="73"/>
      <c r="DT704" s="73"/>
      <c r="DU704" s="73"/>
      <c r="DV704" s="73"/>
      <c r="DW704" s="73"/>
      <c r="DX704" s="72"/>
      <c r="DY704" s="72"/>
      <c r="DZ704" s="73"/>
      <c r="EA704" s="73"/>
      <c r="EB704" s="73"/>
      <c r="EC704" s="73"/>
      <c r="ED704" s="73"/>
      <c r="EE704" s="73"/>
      <c r="EF704" s="73"/>
      <c r="EG704" s="73"/>
      <c r="EH704" s="73"/>
      <c r="EI704" s="73"/>
      <c r="EJ704" s="73"/>
      <c r="EK704" s="73"/>
      <c r="EL704" s="73"/>
      <c r="EM704" s="73"/>
      <c r="EN704" s="73"/>
      <c r="EO704" s="73"/>
      <c r="EP704" s="69"/>
      <c r="EQ704" s="69"/>
      <c r="ER704" s="69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  <c r="CI705" s="73"/>
      <c r="CJ705" s="73"/>
      <c r="CK705" s="73"/>
      <c r="CL705" s="73"/>
      <c r="CM705" s="73"/>
      <c r="CN705" s="73"/>
      <c r="CO705" s="73"/>
      <c r="CP705" s="73"/>
      <c r="CQ705" s="73"/>
      <c r="CR705" s="73"/>
      <c r="CS705" s="73"/>
      <c r="CT705" s="73"/>
      <c r="CU705" s="73"/>
      <c r="CV705" s="73"/>
      <c r="CW705" s="73"/>
      <c r="CX705" s="73"/>
      <c r="CY705" s="73"/>
      <c r="CZ705" s="73"/>
      <c r="DA705" s="73"/>
      <c r="DB705" s="73"/>
      <c r="DC705" s="73"/>
      <c r="DD705" s="73"/>
      <c r="DE705" s="73"/>
      <c r="DF705" s="73"/>
      <c r="DG705" s="73"/>
      <c r="DH705" s="73"/>
      <c r="DI705" s="73"/>
      <c r="DJ705" s="73"/>
      <c r="DK705" s="73"/>
      <c r="DL705" s="73"/>
      <c r="DM705" s="73"/>
      <c r="DN705" s="73"/>
      <c r="DO705" s="73"/>
      <c r="DP705" s="73"/>
      <c r="DQ705" s="73"/>
      <c r="DR705" s="73"/>
      <c r="DS705" s="73"/>
      <c r="DT705" s="73"/>
      <c r="DU705" s="73"/>
      <c r="DV705" s="73"/>
      <c r="DW705" s="73"/>
      <c r="DX705" s="73"/>
      <c r="DY705" s="73"/>
      <c r="DZ705" s="73"/>
      <c r="EA705" s="73"/>
      <c r="EB705" s="73"/>
      <c r="EC705" s="73"/>
      <c r="ED705" s="73"/>
      <c r="EE705" s="73"/>
      <c r="EF705" s="73"/>
      <c r="EG705" s="73"/>
      <c r="EH705" s="73"/>
      <c r="EI705" s="73"/>
      <c r="EJ705" s="73"/>
      <c r="EK705" s="73"/>
      <c r="EL705" s="73"/>
      <c r="EM705" s="73"/>
      <c r="EN705" s="73"/>
      <c r="EO705" s="73"/>
      <c r="EP705" s="69"/>
      <c r="EQ705" s="69"/>
      <c r="ER705" s="69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  <c r="CI706" s="73"/>
      <c r="CJ706" s="73"/>
      <c r="CK706" s="73"/>
      <c r="CL706" s="73"/>
      <c r="CM706" s="72"/>
      <c r="CN706" s="73"/>
      <c r="CO706" s="73"/>
      <c r="CP706" s="73"/>
      <c r="CQ706" s="73"/>
      <c r="CR706" s="73"/>
      <c r="CS706" s="73"/>
      <c r="CT706" s="73"/>
      <c r="CU706" s="73"/>
      <c r="CV706" s="73"/>
      <c r="CW706" s="73"/>
      <c r="CX706" s="73"/>
      <c r="CY706" s="73"/>
      <c r="CZ706" s="73"/>
      <c r="DA706" s="73"/>
      <c r="DB706" s="73"/>
      <c r="DC706" s="73"/>
      <c r="DD706" s="73"/>
      <c r="DE706" s="73"/>
      <c r="DF706" s="73"/>
      <c r="DG706" s="73"/>
      <c r="DH706" s="73"/>
      <c r="DI706" s="73"/>
      <c r="DJ706" s="73"/>
      <c r="DK706" s="73"/>
      <c r="DL706" s="73"/>
      <c r="DM706" s="73"/>
      <c r="DN706" s="73"/>
      <c r="DO706" s="73"/>
      <c r="DP706" s="73"/>
      <c r="DQ706" s="73"/>
      <c r="DR706" s="73"/>
      <c r="DS706" s="73"/>
      <c r="DT706" s="73"/>
      <c r="DU706" s="73"/>
      <c r="DV706" s="73"/>
      <c r="DW706" s="73"/>
      <c r="DX706" s="72"/>
      <c r="DY706" s="72"/>
      <c r="DZ706" s="73"/>
      <c r="EA706" s="73"/>
      <c r="EB706" s="73"/>
      <c r="EC706" s="73"/>
      <c r="ED706" s="73"/>
      <c r="EE706" s="73"/>
      <c r="EF706" s="73"/>
      <c r="EG706" s="73"/>
      <c r="EH706" s="73"/>
      <c r="EI706" s="73"/>
      <c r="EJ706" s="73"/>
      <c r="EK706" s="73"/>
      <c r="EL706" s="73"/>
      <c r="EM706" s="73"/>
      <c r="EN706" s="73"/>
      <c r="EO706" s="73"/>
      <c r="EP706" s="69"/>
      <c r="EQ706" s="69"/>
      <c r="ER706" s="69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  <c r="CI707" s="73"/>
      <c r="CJ707" s="73"/>
      <c r="CK707" s="73"/>
      <c r="CL707" s="73"/>
      <c r="CM707" s="72"/>
      <c r="CN707" s="73"/>
      <c r="CO707" s="73"/>
      <c r="CP707" s="73"/>
      <c r="CQ707" s="73"/>
      <c r="CR707" s="73"/>
      <c r="CS707" s="73"/>
      <c r="CT707" s="73"/>
      <c r="CU707" s="73"/>
      <c r="CV707" s="73"/>
      <c r="CW707" s="73"/>
      <c r="CX707" s="73"/>
      <c r="CY707" s="73"/>
      <c r="CZ707" s="73"/>
      <c r="DA707" s="73"/>
      <c r="DB707" s="73"/>
      <c r="DC707" s="73"/>
      <c r="DD707" s="73"/>
      <c r="DE707" s="73"/>
      <c r="DF707" s="73"/>
      <c r="DG707" s="73"/>
      <c r="DH707" s="73"/>
      <c r="DI707" s="73"/>
      <c r="DJ707" s="73"/>
      <c r="DK707" s="73"/>
      <c r="DL707" s="73"/>
      <c r="DM707" s="73"/>
      <c r="DN707" s="73"/>
      <c r="DO707" s="73"/>
      <c r="DP707" s="73"/>
      <c r="DQ707" s="73"/>
      <c r="DR707" s="73"/>
      <c r="DS707" s="73"/>
      <c r="DT707" s="73"/>
      <c r="DU707" s="73"/>
      <c r="DV707" s="73"/>
      <c r="DW707" s="73"/>
      <c r="DX707" s="72"/>
      <c r="DY707" s="72"/>
      <c r="DZ707" s="73"/>
      <c r="EA707" s="73"/>
      <c r="EB707" s="73"/>
      <c r="EC707" s="73"/>
      <c r="ED707" s="73"/>
      <c r="EE707" s="73"/>
      <c r="EF707" s="73"/>
      <c r="EG707" s="73"/>
      <c r="EH707" s="73"/>
      <c r="EI707" s="73"/>
      <c r="EJ707" s="73"/>
      <c r="EK707" s="73"/>
      <c r="EL707" s="73"/>
      <c r="EM707" s="73"/>
      <c r="EN707" s="73"/>
      <c r="EO707" s="73"/>
      <c r="EP707" s="69"/>
      <c r="EQ707" s="69"/>
      <c r="ER707" s="69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  <c r="CI708" s="73"/>
      <c r="CJ708" s="73"/>
      <c r="CK708" s="73"/>
      <c r="CL708" s="73"/>
      <c r="CM708" s="73"/>
      <c r="CN708" s="73"/>
      <c r="CO708" s="73"/>
      <c r="CP708" s="73"/>
      <c r="CQ708" s="73"/>
      <c r="CR708" s="73"/>
      <c r="CS708" s="73"/>
      <c r="CT708" s="73"/>
      <c r="CU708" s="73"/>
      <c r="CV708" s="73"/>
      <c r="CW708" s="73"/>
      <c r="CX708" s="73"/>
      <c r="CY708" s="73"/>
      <c r="CZ708" s="73"/>
      <c r="DA708" s="73"/>
      <c r="DB708" s="73"/>
      <c r="DC708" s="73"/>
      <c r="DD708" s="73"/>
      <c r="DE708" s="73"/>
      <c r="DF708" s="73"/>
      <c r="DG708" s="73"/>
      <c r="DH708" s="73"/>
      <c r="DI708" s="73"/>
      <c r="DJ708" s="73"/>
      <c r="DK708" s="73"/>
      <c r="DL708" s="73"/>
      <c r="DM708" s="73"/>
      <c r="DN708" s="73"/>
      <c r="DO708" s="73"/>
      <c r="DP708" s="73"/>
      <c r="DQ708" s="73"/>
      <c r="DR708" s="73"/>
      <c r="DS708" s="73"/>
      <c r="DT708" s="73"/>
      <c r="DU708" s="73"/>
      <c r="DV708" s="73"/>
      <c r="DW708" s="73"/>
      <c r="DX708" s="72"/>
      <c r="DY708" s="72"/>
      <c r="DZ708" s="73"/>
      <c r="EA708" s="73"/>
      <c r="EB708" s="73"/>
      <c r="EC708" s="73"/>
      <c r="ED708" s="73"/>
      <c r="EE708" s="73"/>
      <c r="EF708" s="73"/>
      <c r="EG708" s="73"/>
      <c r="EH708" s="73"/>
      <c r="EI708" s="73"/>
      <c r="EJ708" s="73"/>
      <c r="EK708" s="73"/>
      <c r="EL708" s="73"/>
      <c r="EM708" s="73"/>
      <c r="EN708" s="73"/>
      <c r="EO708" s="73"/>
      <c r="EP708" s="69"/>
      <c r="EQ708" s="69"/>
      <c r="ER708" s="69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  <c r="CI709" s="73"/>
      <c r="CJ709" s="73"/>
      <c r="CK709" s="73"/>
      <c r="CL709" s="73"/>
      <c r="CM709" s="73"/>
      <c r="CN709" s="73"/>
      <c r="CO709" s="73"/>
      <c r="CP709" s="73"/>
      <c r="CQ709" s="73"/>
      <c r="CR709" s="73"/>
      <c r="CS709" s="73"/>
      <c r="CT709" s="73"/>
      <c r="CU709" s="73"/>
      <c r="CV709" s="73"/>
      <c r="CW709" s="73"/>
      <c r="CX709" s="73"/>
      <c r="CY709" s="73"/>
      <c r="CZ709" s="73"/>
      <c r="DA709" s="73"/>
      <c r="DB709" s="73"/>
      <c r="DC709" s="73"/>
      <c r="DD709" s="73"/>
      <c r="DE709" s="73"/>
      <c r="DF709" s="73"/>
      <c r="DG709" s="73"/>
      <c r="DH709" s="73"/>
      <c r="DI709" s="73"/>
      <c r="DJ709" s="73"/>
      <c r="DK709" s="73"/>
      <c r="DL709" s="73"/>
      <c r="DM709" s="73"/>
      <c r="DN709" s="73"/>
      <c r="DO709" s="73"/>
      <c r="DP709" s="73"/>
      <c r="DQ709" s="73"/>
      <c r="DR709" s="73"/>
      <c r="DS709" s="73"/>
      <c r="DT709" s="73"/>
      <c r="DU709" s="73"/>
      <c r="DV709" s="73"/>
      <c r="DW709" s="73"/>
      <c r="DX709" s="72"/>
      <c r="DY709" s="72"/>
      <c r="DZ709" s="73"/>
      <c r="EA709" s="73"/>
      <c r="EB709" s="73"/>
      <c r="EC709" s="73"/>
      <c r="ED709" s="73"/>
      <c r="EE709" s="73"/>
      <c r="EF709" s="73"/>
      <c r="EG709" s="73"/>
      <c r="EH709" s="73"/>
      <c r="EI709" s="73"/>
      <c r="EJ709" s="73"/>
      <c r="EK709" s="73"/>
      <c r="EL709" s="73"/>
      <c r="EM709" s="73"/>
      <c r="EN709" s="73"/>
      <c r="EO709" s="73"/>
      <c r="EP709" s="69"/>
      <c r="EQ709" s="69"/>
      <c r="ER709" s="69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  <c r="CI710" s="73"/>
      <c r="CJ710" s="73"/>
      <c r="CK710" s="73"/>
      <c r="CL710" s="73"/>
      <c r="CM710" s="73"/>
      <c r="CN710" s="73"/>
      <c r="CO710" s="73"/>
      <c r="CP710" s="73"/>
      <c r="CQ710" s="73"/>
      <c r="CR710" s="73"/>
      <c r="CS710" s="73"/>
      <c r="CT710" s="73"/>
      <c r="CU710" s="73"/>
      <c r="CV710" s="73"/>
      <c r="CW710" s="73"/>
      <c r="CX710" s="73"/>
      <c r="CY710" s="73"/>
      <c r="CZ710" s="73"/>
      <c r="DA710" s="73"/>
      <c r="DB710" s="73"/>
      <c r="DC710" s="73"/>
      <c r="DD710" s="73"/>
      <c r="DE710" s="73"/>
      <c r="DF710" s="73"/>
      <c r="DG710" s="73"/>
      <c r="DH710" s="73"/>
      <c r="DI710" s="73"/>
      <c r="DJ710" s="73"/>
      <c r="DK710" s="73"/>
      <c r="DL710" s="73"/>
      <c r="DM710" s="73"/>
      <c r="DN710" s="73"/>
      <c r="DO710" s="73"/>
      <c r="DP710" s="73"/>
      <c r="DQ710" s="73"/>
      <c r="DR710" s="73"/>
      <c r="DS710" s="73"/>
      <c r="DT710" s="73"/>
      <c r="DU710" s="73"/>
      <c r="DV710" s="73"/>
      <c r="DW710" s="73"/>
      <c r="DX710" s="72"/>
      <c r="DY710" s="72"/>
      <c r="DZ710" s="73"/>
      <c r="EA710" s="73"/>
      <c r="EB710" s="73"/>
      <c r="EC710" s="73"/>
      <c r="ED710" s="73"/>
      <c r="EE710" s="73"/>
      <c r="EF710" s="73"/>
      <c r="EG710" s="73"/>
      <c r="EH710" s="73"/>
      <c r="EI710" s="73"/>
      <c r="EJ710" s="73"/>
      <c r="EK710" s="73"/>
      <c r="EL710" s="73"/>
      <c r="EM710" s="73"/>
      <c r="EN710" s="73"/>
      <c r="EO710" s="73"/>
      <c r="EP710" s="69"/>
      <c r="EQ710" s="69"/>
      <c r="ER710" s="69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  <c r="CI711" s="73"/>
      <c r="CJ711" s="73"/>
      <c r="CK711" s="73"/>
      <c r="CL711" s="73"/>
      <c r="CM711" s="73"/>
      <c r="CN711" s="73"/>
      <c r="CO711" s="73"/>
      <c r="CP711" s="73"/>
      <c r="CQ711" s="73"/>
      <c r="CR711" s="73"/>
      <c r="CS711" s="73"/>
      <c r="CT711" s="73"/>
      <c r="CU711" s="73"/>
      <c r="CV711" s="73"/>
      <c r="CW711" s="73"/>
      <c r="CX711" s="73"/>
      <c r="CY711" s="73"/>
      <c r="CZ711" s="73"/>
      <c r="DA711" s="73"/>
      <c r="DB711" s="73"/>
      <c r="DC711" s="73"/>
      <c r="DD711" s="73"/>
      <c r="DE711" s="73"/>
      <c r="DF711" s="73"/>
      <c r="DG711" s="73"/>
      <c r="DH711" s="73"/>
      <c r="DI711" s="73"/>
      <c r="DJ711" s="73"/>
      <c r="DK711" s="73"/>
      <c r="DL711" s="73"/>
      <c r="DM711" s="73"/>
      <c r="DN711" s="73"/>
      <c r="DO711" s="73"/>
      <c r="DP711" s="73"/>
      <c r="DQ711" s="73"/>
      <c r="DR711" s="73"/>
      <c r="DS711" s="73"/>
      <c r="DT711" s="73"/>
      <c r="DU711" s="73"/>
      <c r="DV711" s="73"/>
      <c r="DW711" s="73"/>
      <c r="DX711" s="72"/>
      <c r="DY711" s="72"/>
      <c r="DZ711" s="73"/>
      <c r="EA711" s="73"/>
      <c r="EB711" s="73"/>
      <c r="EC711" s="73"/>
      <c r="ED711" s="73"/>
      <c r="EE711" s="73"/>
      <c r="EF711" s="73"/>
      <c r="EG711" s="73"/>
      <c r="EH711" s="73"/>
      <c r="EI711" s="73"/>
      <c r="EJ711" s="73"/>
      <c r="EK711" s="73"/>
      <c r="EL711" s="73"/>
      <c r="EM711" s="73"/>
      <c r="EN711" s="73"/>
      <c r="EO711" s="73"/>
      <c r="EP711" s="69"/>
      <c r="EQ711" s="69"/>
      <c r="ER711" s="69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  <c r="CI712" s="73"/>
      <c r="CJ712" s="73"/>
      <c r="CK712" s="73"/>
      <c r="CL712" s="73"/>
      <c r="CM712" s="72"/>
      <c r="CN712" s="73"/>
      <c r="CO712" s="73"/>
      <c r="CP712" s="73"/>
      <c r="CQ712" s="73"/>
      <c r="CR712" s="73"/>
      <c r="CS712" s="73"/>
      <c r="CT712" s="73"/>
      <c r="CU712" s="73"/>
      <c r="CV712" s="73"/>
      <c r="CW712" s="73"/>
      <c r="CX712" s="73"/>
      <c r="CY712" s="73"/>
      <c r="CZ712" s="73"/>
      <c r="DA712" s="73"/>
      <c r="DB712" s="73"/>
      <c r="DC712" s="73"/>
      <c r="DD712" s="73"/>
      <c r="DE712" s="73"/>
      <c r="DF712" s="73"/>
      <c r="DG712" s="73"/>
      <c r="DH712" s="73"/>
      <c r="DI712" s="73"/>
      <c r="DJ712" s="73"/>
      <c r="DK712" s="73"/>
      <c r="DL712" s="73"/>
      <c r="DM712" s="73"/>
      <c r="DN712" s="73"/>
      <c r="DO712" s="73"/>
      <c r="DP712" s="73"/>
      <c r="DQ712" s="73"/>
      <c r="DR712" s="73"/>
      <c r="DS712" s="73"/>
      <c r="DT712" s="73"/>
      <c r="DU712" s="73"/>
      <c r="DV712" s="73"/>
      <c r="DW712" s="73"/>
      <c r="DX712" s="73"/>
      <c r="DY712" s="73"/>
      <c r="DZ712" s="73"/>
      <c r="EA712" s="73"/>
      <c r="EB712" s="73"/>
      <c r="EC712" s="73"/>
      <c r="ED712" s="73"/>
      <c r="EE712" s="73"/>
      <c r="EF712" s="73"/>
      <c r="EG712" s="73"/>
      <c r="EH712" s="73"/>
      <c r="EI712" s="73"/>
      <c r="EJ712" s="73"/>
      <c r="EK712" s="73"/>
      <c r="EL712" s="73"/>
      <c r="EM712" s="73"/>
      <c r="EN712" s="73"/>
      <c r="EO712" s="73"/>
      <c r="EP712" s="69"/>
      <c r="EQ712" s="69"/>
      <c r="ER712" s="69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  <c r="CI713" s="73"/>
      <c r="CJ713" s="73"/>
      <c r="CK713" s="73"/>
      <c r="CL713" s="73"/>
      <c r="CM713" s="72"/>
      <c r="CN713" s="73"/>
      <c r="CO713" s="73"/>
      <c r="CP713" s="73"/>
      <c r="CQ713" s="73"/>
      <c r="CR713" s="73"/>
      <c r="CS713" s="73"/>
      <c r="CT713" s="73"/>
      <c r="CU713" s="73"/>
      <c r="CV713" s="73"/>
      <c r="CW713" s="73"/>
      <c r="CX713" s="73"/>
      <c r="CY713" s="73"/>
      <c r="CZ713" s="73"/>
      <c r="DA713" s="73"/>
      <c r="DB713" s="73"/>
      <c r="DC713" s="73"/>
      <c r="DD713" s="73"/>
      <c r="DE713" s="73"/>
      <c r="DF713" s="73"/>
      <c r="DG713" s="73"/>
      <c r="DH713" s="73"/>
      <c r="DI713" s="73"/>
      <c r="DJ713" s="73"/>
      <c r="DK713" s="73"/>
      <c r="DL713" s="73"/>
      <c r="DM713" s="73"/>
      <c r="DN713" s="73"/>
      <c r="DO713" s="73"/>
      <c r="DP713" s="73"/>
      <c r="DQ713" s="73"/>
      <c r="DR713" s="73"/>
      <c r="DS713" s="73"/>
      <c r="DT713" s="73"/>
      <c r="DU713" s="73"/>
      <c r="DV713" s="73"/>
      <c r="DW713" s="73"/>
      <c r="DX713" s="72"/>
      <c r="DY713" s="72"/>
      <c r="DZ713" s="73"/>
      <c r="EA713" s="73"/>
      <c r="EB713" s="73"/>
      <c r="EC713" s="73"/>
      <c r="ED713" s="73"/>
      <c r="EE713" s="73"/>
      <c r="EF713" s="73"/>
      <c r="EG713" s="73"/>
      <c r="EH713" s="73"/>
      <c r="EI713" s="73"/>
      <c r="EJ713" s="73"/>
      <c r="EK713" s="73"/>
      <c r="EL713" s="73"/>
      <c r="EM713" s="73"/>
      <c r="EN713" s="73"/>
      <c r="EO713" s="73"/>
      <c r="EP713" s="69"/>
      <c r="EQ713" s="69"/>
      <c r="ER713" s="69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  <c r="CI714" s="73"/>
      <c r="CJ714" s="73"/>
      <c r="CK714" s="73"/>
      <c r="CL714" s="73"/>
      <c r="CM714" s="73"/>
      <c r="CN714" s="73"/>
      <c r="CO714" s="73"/>
      <c r="CP714" s="73"/>
      <c r="CQ714" s="73"/>
      <c r="CR714" s="73"/>
      <c r="CS714" s="73"/>
      <c r="CT714" s="73"/>
      <c r="CU714" s="73"/>
      <c r="CV714" s="73"/>
      <c r="CW714" s="73"/>
      <c r="CX714" s="73"/>
      <c r="CY714" s="73"/>
      <c r="CZ714" s="73"/>
      <c r="DA714" s="73"/>
      <c r="DB714" s="73"/>
      <c r="DC714" s="73"/>
      <c r="DD714" s="73"/>
      <c r="DE714" s="73"/>
      <c r="DF714" s="73"/>
      <c r="DG714" s="73"/>
      <c r="DH714" s="73"/>
      <c r="DI714" s="73"/>
      <c r="DJ714" s="73"/>
      <c r="DK714" s="73"/>
      <c r="DL714" s="73"/>
      <c r="DM714" s="73"/>
      <c r="DN714" s="73"/>
      <c r="DO714" s="73"/>
      <c r="DP714" s="73"/>
      <c r="DQ714" s="73"/>
      <c r="DR714" s="73"/>
      <c r="DS714" s="73"/>
      <c r="DT714" s="73"/>
      <c r="DU714" s="73"/>
      <c r="DV714" s="73"/>
      <c r="DW714" s="73"/>
      <c r="DX714" s="72"/>
      <c r="DY714" s="72"/>
      <c r="DZ714" s="73"/>
      <c r="EA714" s="73"/>
      <c r="EB714" s="73"/>
      <c r="EC714" s="73"/>
      <c r="ED714" s="73"/>
      <c r="EE714" s="73"/>
      <c r="EF714" s="73"/>
      <c r="EG714" s="73"/>
      <c r="EH714" s="73"/>
      <c r="EI714" s="73"/>
      <c r="EJ714" s="73"/>
      <c r="EK714" s="73"/>
      <c r="EL714" s="73"/>
      <c r="EM714" s="73"/>
      <c r="EN714" s="73"/>
      <c r="EO714" s="73"/>
      <c r="EP714" s="69"/>
      <c r="EQ714" s="69"/>
      <c r="ER714" s="69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  <c r="CI715" s="73"/>
      <c r="CJ715" s="73"/>
      <c r="CK715" s="73"/>
      <c r="CL715" s="73"/>
      <c r="CM715" s="73"/>
      <c r="CN715" s="73"/>
      <c r="CO715" s="73"/>
      <c r="CP715" s="73"/>
      <c r="CQ715" s="73"/>
      <c r="CR715" s="73"/>
      <c r="CS715" s="73"/>
      <c r="CT715" s="73"/>
      <c r="CU715" s="73"/>
      <c r="CV715" s="73"/>
      <c r="CW715" s="73"/>
      <c r="CX715" s="73"/>
      <c r="CY715" s="73"/>
      <c r="CZ715" s="73"/>
      <c r="DA715" s="73"/>
      <c r="DB715" s="73"/>
      <c r="DC715" s="73"/>
      <c r="DD715" s="73"/>
      <c r="DE715" s="73"/>
      <c r="DF715" s="73"/>
      <c r="DG715" s="73"/>
      <c r="DH715" s="73"/>
      <c r="DI715" s="73"/>
      <c r="DJ715" s="73"/>
      <c r="DK715" s="73"/>
      <c r="DL715" s="73"/>
      <c r="DM715" s="73"/>
      <c r="DN715" s="73"/>
      <c r="DO715" s="73"/>
      <c r="DP715" s="73"/>
      <c r="DQ715" s="73"/>
      <c r="DR715" s="73"/>
      <c r="DS715" s="73"/>
      <c r="DT715" s="73"/>
      <c r="DU715" s="73"/>
      <c r="DV715" s="73"/>
      <c r="DW715" s="73"/>
      <c r="DX715" s="72"/>
      <c r="DY715" s="72"/>
      <c r="DZ715" s="73"/>
      <c r="EA715" s="73"/>
      <c r="EB715" s="73"/>
      <c r="EC715" s="73"/>
      <c r="ED715" s="73"/>
      <c r="EE715" s="73"/>
      <c r="EF715" s="73"/>
      <c r="EG715" s="73"/>
      <c r="EH715" s="73"/>
      <c r="EI715" s="73"/>
      <c r="EJ715" s="73"/>
      <c r="EK715" s="73"/>
      <c r="EL715" s="73"/>
      <c r="EM715" s="73"/>
      <c r="EN715" s="73"/>
      <c r="EO715" s="73"/>
      <c r="EP715" s="69"/>
      <c r="EQ715" s="69"/>
      <c r="ER715" s="69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  <c r="CI716" s="73"/>
      <c r="CJ716" s="73"/>
      <c r="CK716" s="73"/>
      <c r="CL716" s="73"/>
      <c r="CM716" s="73"/>
      <c r="CN716" s="73"/>
      <c r="CO716" s="73"/>
      <c r="CP716" s="73"/>
      <c r="CQ716" s="73"/>
      <c r="CR716" s="73"/>
      <c r="CS716" s="73"/>
      <c r="CT716" s="73"/>
      <c r="CU716" s="73"/>
      <c r="CV716" s="73"/>
      <c r="CW716" s="73"/>
      <c r="CX716" s="73"/>
      <c r="CY716" s="73"/>
      <c r="CZ716" s="73"/>
      <c r="DA716" s="73"/>
      <c r="DB716" s="73"/>
      <c r="DC716" s="73"/>
      <c r="DD716" s="73"/>
      <c r="DE716" s="73"/>
      <c r="DF716" s="73"/>
      <c r="DG716" s="73"/>
      <c r="DH716" s="73"/>
      <c r="DI716" s="73"/>
      <c r="DJ716" s="73"/>
      <c r="DK716" s="73"/>
      <c r="DL716" s="73"/>
      <c r="DM716" s="73"/>
      <c r="DN716" s="73"/>
      <c r="DO716" s="73"/>
      <c r="DP716" s="73"/>
      <c r="DQ716" s="73"/>
      <c r="DR716" s="73"/>
      <c r="DS716" s="73"/>
      <c r="DT716" s="73"/>
      <c r="DU716" s="73"/>
      <c r="DV716" s="73"/>
      <c r="DW716" s="73"/>
      <c r="DX716" s="72"/>
      <c r="DY716" s="72"/>
      <c r="DZ716" s="73"/>
      <c r="EA716" s="73"/>
      <c r="EB716" s="73"/>
      <c r="EC716" s="73"/>
      <c r="ED716" s="73"/>
      <c r="EE716" s="73"/>
      <c r="EF716" s="73"/>
      <c r="EG716" s="73"/>
      <c r="EH716" s="73"/>
      <c r="EI716" s="73"/>
      <c r="EJ716" s="73"/>
      <c r="EK716" s="73"/>
      <c r="EL716" s="73"/>
      <c r="EM716" s="73"/>
      <c r="EN716" s="73"/>
      <c r="EO716" s="73"/>
      <c r="EP716" s="69"/>
      <c r="EQ716" s="69"/>
      <c r="ER716" s="69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  <c r="CI717" s="73"/>
      <c r="CJ717" s="73"/>
      <c r="CK717" s="73"/>
      <c r="CL717" s="73"/>
      <c r="CM717" s="73"/>
      <c r="CN717" s="73"/>
      <c r="CO717" s="73"/>
      <c r="CP717" s="73"/>
      <c r="CQ717" s="73"/>
      <c r="CR717" s="73"/>
      <c r="CS717" s="73"/>
      <c r="CT717" s="73"/>
      <c r="CU717" s="73"/>
      <c r="CV717" s="73"/>
      <c r="CW717" s="73"/>
      <c r="CX717" s="73"/>
      <c r="CY717" s="73"/>
      <c r="CZ717" s="73"/>
      <c r="DA717" s="73"/>
      <c r="DB717" s="73"/>
      <c r="DC717" s="73"/>
      <c r="DD717" s="73"/>
      <c r="DE717" s="73"/>
      <c r="DF717" s="73"/>
      <c r="DG717" s="73"/>
      <c r="DH717" s="73"/>
      <c r="DI717" s="73"/>
      <c r="DJ717" s="73"/>
      <c r="DK717" s="73"/>
      <c r="DL717" s="73"/>
      <c r="DM717" s="73"/>
      <c r="DN717" s="73"/>
      <c r="DO717" s="73"/>
      <c r="DP717" s="73"/>
      <c r="DQ717" s="73"/>
      <c r="DR717" s="73"/>
      <c r="DS717" s="73"/>
      <c r="DT717" s="73"/>
      <c r="DU717" s="73"/>
      <c r="DV717" s="73"/>
      <c r="DW717" s="73"/>
      <c r="DX717" s="72"/>
      <c r="DY717" s="72"/>
      <c r="DZ717" s="73"/>
      <c r="EA717" s="73"/>
      <c r="EB717" s="73"/>
      <c r="EC717" s="73"/>
      <c r="ED717" s="73"/>
      <c r="EE717" s="73"/>
      <c r="EF717" s="73"/>
      <c r="EG717" s="73"/>
      <c r="EH717" s="73"/>
      <c r="EI717" s="73"/>
      <c r="EJ717" s="73"/>
      <c r="EK717" s="73"/>
      <c r="EL717" s="73"/>
      <c r="EM717" s="73"/>
      <c r="EN717" s="73"/>
      <c r="EO717" s="73"/>
      <c r="EP717" s="69"/>
      <c r="EQ717" s="69"/>
      <c r="ER717" s="69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  <c r="CI718" s="73"/>
      <c r="CJ718" s="73"/>
      <c r="CK718" s="73"/>
      <c r="CL718" s="73"/>
      <c r="CM718" s="73"/>
      <c r="CN718" s="73"/>
      <c r="CO718" s="73"/>
      <c r="CP718" s="73"/>
      <c r="CQ718" s="73"/>
      <c r="CR718" s="73"/>
      <c r="CS718" s="73"/>
      <c r="CT718" s="73"/>
      <c r="CU718" s="73"/>
      <c r="CV718" s="73"/>
      <c r="CW718" s="73"/>
      <c r="CX718" s="73"/>
      <c r="CY718" s="73"/>
      <c r="CZ718" s="73"/>
      <c r="DA718" s="73"/>
      <c r="DB718" s="73"/>
      <c r="DC718" s="73"/>
      <c r="DD718" s="73"/>
      <c r="DE718" s="73"/>
      <c r="DF718" s="73"/>
      <c r="DG718" s="73"/>
      <c r="DH718" s="73"/>
      <c r="DI718" s="73"/>
      <c r="DJ718" s="73"/>
      <c r="DK718" s="73"/>
      <c r="DL718" s="73"/>
      <c r="DM718" s="73"/>
      <c r="DN718" s="73"/>
      <c r="DO718" s="73"/>
      <c r="DP718" s="73"/>
      <c r="DQ718" s="73"/>
      <c r="DR718" s="73"/>
      <c r="DS718" s="73"/>
      <c r="DT718" s="73"/>
      <c r="DU718" s="73"/>
      <c r="DV718" s="73"/>
      <c r="DW718" s="73"/>
      <c r="DX718" s="72"/>
      <c r="DY718" s="72"/>
      <c r="DZ718" s="73"/>
      <c r="EA718" s="73"/>
      <c r="EB718" s="73"/>
      <c r="EC718" s="73"/>
      <c r="ED718" s="73"/>
      <c r="EE718" s="73"/>
      <c r="EF718" s="73"/>
      <c r="EG718" s="73"/>
      <c r="EH718" s="73"/>
      <c r="EI718" s="73"/>
      <c r="EJ718" s="73"/>
      <c r="EK718" s="73"/>
      <c r="EL718" s="73"/>
      <c r="EM718" s="73"/>
      <c r="EN718" s="73"/>
      <c r="EO718" s="73"/>
      <c r="EP718" s="69"/>
      <c r="EQ718" s="69"/>
      <c r="ER718" s="69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  <c r="CI719" s="73"/>
      <c r="CJ719" s="73"/>
      <c r="CK719" s="73"/>
      <c r="CL719" s="73"/>
      <c r="CM719" s="73"/>
      <c r="CN719" s="73"/>
      <c r="CO719" s="73"/>
      <c r="CP719" s="73"/>
      <c r="CQ719" s="73"/>
      <c r="CR719" s="73"/>
      <c r="CS719" s="73"/>
      <c r="CT719" s="73"/>
      <c r="CU719" s="73"/>
      <c r="CV719" s="73"/>
      <c r="CW719" s="73"/>
      <c r="CX719" s="73"/>
      <c r="CY719" s="73"/>
      <c r="CZ719" s="73"/>
      <c r="DA719" s="73"/>
      <c r="DB719" s="73"/>
      <c r="DC719" s="73"/>
      <c r="DD719" s="73"/>
      <c r="DE719" s="73"/>
      <c r="DF719" s="73"/>
      <c r="DG719" s="73"/>
      <c r="DH719" s="73"/>
      <c r="DI719" s="73"/>
      <c r="DJ719" s="73"/>
      <c r="DK719" s="73"/>
      <c r="DL719" s="73"/>
      <c r="DM719" s="73"/>
      <c r="DN719" s="73"/>
      <c r="DO719" s="73"/>
      <c r="DP719" s="73"/>
      <c r="DQ719" s="73"/>
      <c r="DR719" s="73"/>
      <c r="DS719" s="73"/>
      <c r="DT719" s="73"/>
      <c r="DU719" s="73"/>
      <c r="DV719" s="73"/>
      <c r="DW719" s="73"/>
      <c r="DX719" s="72"/>
      <c r="DY719" s="72"/>
      <c r="DZ719" s="73"/>
      <c r="EA719" s="73"/>
      <c r="EB719" s="73"/>
      <c r="EC719" s="73"/>
      <c r="ED719" s="73"/>
      <c r="EE719" s="73"/>
      <c r="EF719" s="73"/>
      <c r="EG719" s="73"/>
      <c r="EH719" s="73"/>
      <c r="EI719" s="73"/>
      <c r="EJ719" s="73"/>
      <c r="EK719" s="73"/>
      <c r="EL719" s="73"/>
      <c r="EM719" s="73"/>
      <c r="EN719" s="73"/>
      <c r="EO719" s="73"/>
      <c r="EP719" s="69"/>
      <c r="EQ719" s="69"/>
      <c r="ER719" s="69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  <c r="CI720" s="73"/>
      <c r="CJ720" s="73"/>
      <c r="CK720" s="73"/>
      <c r="CL720" s="73"/>
      <c r="CM720" s="73"/>
      <c r="CN720" s="73"/>
      <c r="CO720" s="73"/>
      <c r="CP720" s="73"/>
      <c r="CQ720" s="73"/>
      <c r="CR720" s="73"/>
      <c r="CS720" s="73"/>
      <c r="CT720" s="73"/>
      <c r="CU720" s="73"/>
      <c r="CV720" s="73"/>
      <c r="CW720" s="73"/>
      <c r="CX720" s="73"/>
      <c r="CY720" s="73"/>
      <c r="CZ720" s="73"/>
      <c r="DA720" s="73"/>
      <c r="DB720" s="73"/>
      <c r="DC720" s="73"/>
      <c r="DD720" s="73"/>
      <c r="DE720" s="73"/>
      <c r="DF720" s="73"/>
      <c r="DG720" s="73"/>
      <c r="DH720" s="73"/>
      <c r="DI720" s="73"/>
      <c r="DJ720" s="73"/>
      <c r="DK720" s="73"/>
      <c r="DL720" s="73"/>
      <c r="DM720" s="73"/>
      <c r="DN720" s="73"/>
      <c r="DO720" s="73"/>
      <c r="DP720" s="73"/>
      <c r="DQ720" s="73"/>
      <c r="DR720" s="73"/>
      <c r="DS720" s="73"/>
      <c r="DT720" s="73"/>
      <c r="DU720" s="73"/>
      <c r="DV720" s="73"/>
      <c r="DW720" s="73"/>
      <c r="DX720" s="72"/>
      <c r="DY720" s="72"/>
      <c r="DZ720" s="73"/>
      <c r="EA720" s="73"/>
      <c r="EB720" s="73"/>
      <c r="EC720" s="73"/>
      <c r="ED720" s="73"/>
      <c r="EE720" s="73"/>
      <c r="EF720" s="73"/>
      <c r="EG720" s="73"/>
      <c r="EH720" s="73"/>
      <c r="EI720" s="73"/>
      <c r="EJ720" s="73"/>
      <c r="EK720" s="73"/>
      <c r="EL720" s="73"/>
      <c r="EM720" s="73"/>
      <c r="EN720" s="73"/>
      <c r="EO720" s="73"/>
      <c r="EP720" s="69"/>
      <c r="EQ720" s="69"/>
      <c r="ER720" s="69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  <c r="CI721" s="73"/>
      <c r="CJ721" s="73"/>
      <c r="CK721" s="73"/>
      <c r="CL721" s="73"/>
      <c r="CM721" s="73"/>
      <c r="CN721" s="73"/>
      <c r="CO721" s="73"/>
      <c r="CP721" s="73"/>
      <c r="CQ721" s="73"/>
      <c r="CR721" s="73"/>
      <c r="CS721" s="73"/>
      <c r="CT721" s="73"/>
      <c r="CU721" s="73"/>
      <c r="CV721" s="73"/>
      <c r="CW721" s="73"/>
      <c r="CX721" s="73"/>
      <c r="CY721" s="73"/>
      <c r="CZ721" s="73"/>
      <c r="DA721" s="73"/>
      <c r="DB721" s="73"/>
      <c r="DC721" s="73"/>
      <c r="DD721" s="73"/>
      <c r="DE721" s="73"/>
      <c r="DF721" s="73"/>
      <c r="DG721" s="73"/>
      <c r="DH721" s="73"/>
      <c r="DI721" s="73"/>
      <c r="DJ721" s="73"/>
      <c r="DK721" s="73"/>
      <c r="DL721" s="73"/>
      <c r="DM721" s="73"/>
      <c r="DN721" s="73"/>
      <c r="DO721" s="73"/>
      <c r="DP721" s="73"/>
      <c r="DQ721" s="73"/>
      <c r="DR721" s="73"/>
      <c r="DS721" s="73"/>
      <c r="DT721" s="73"/>
      <c r="DU721" s="73"/>
      <c r="DV721" s="73"/>
      <c r="DW721" s="73"/>
      <c r="DX721" s="72"/>
      <c r="DY721" s="72"/>
      <c r="DZ721" s="73"/>
      <c r="EA721" s="73"/>
      <c r="EB721" s="73"/>
      <c r="EC721" s="73"/>
      <c r="ED721" s="73"/>
      <c r="EE721" s="73"/>
      <c r="EF721" s="73"/>
      <c r="EG721" s="73"/>
      <c r="EH721" s="73"/>
      <c r="EI721" s="73"/>
      <c r="EJ721" s="73"/>
      <c r="EK721" s="73"/>
      <c r="EL721" s="73"/>
      <c r="EM721" s="73"/>
      <c r="EN721" s="73"/>
      <c r="EO721" s="73"/>
      <c r="EP721" s="69"/>
      <c r="EQ721" s="69"/>
      <c r="ER721" s="69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  <c r="CI722" s="73"/>
      <c r="CJ722" s="73"/>
      <c r="CK722" s="73"/>
      <c r="CL722" s="73"/>
      <c r="CM722" s="73"/>
      <c r="CN722" s="73"/>
      <c r="CO722" s="73"/>
      <c r="CP722" s="73"/>
      <c r="CQ722" s="73"/>
      <c r="CR722" s="73"/>
      <c r="CS722" s="73"/>
      <c r="CT722" s="73"/>
      <c r="CU722" s="73"/>
      <c r="CV722" s="73"/>
      <c r="CW722" s="73"/>
      <c r="CX722" s="73"/>
      <c r="CY722" s="73"/>
      <c r="CZ722" s="73"/>
      <c r="DA722" s="73"/>
      <c r="DB722" s="73"/>
      <c r="DC722" s="73"/>
      <c r="DD722" s="73"/>
      <c r="DE722" s="73"/>
      <c r="DF722" s="73"/>
      <c r="DG722" s="73"/>
      <c r="DH722" s="73"/>
      <c r="DI722" s="73"/>
      <c r="DJ722" s="73"/>
      <c r="DK722" s="73"/>
      <c r="DL722" s="73"/>
      <c r="DM722" s="73"/>
      <c r="DN722" s="73"/>
      <c r="DO722" s="73"/>
      <c r="DP722" s="73"/>
      <c r="DQ722" s="73"/>
      <c r="DR722" s="73"/>
      <c r="DS722" s="73"/>
      <c r="DT722" s="73"/>
      <c r="DU722" s="73"/>
      <c r="DV722" s="73"/>
      <c r="DW722" s="73"/>
      <c r="DX722" s="72"/>
      <c r="DY722" s="72"/>
      <c r="DZ722" s="73"/>
      <c r="EA722" s="73"/>
      <c r="EB722" s="73"/>
      <c r="EC722" s="73"/>
      <c r="ED722" s="73"/>
      <c r="EE722" s="73"/>
      <c r="EF722" s="73"/>
      <c r="EG722" s="73"/>
      <c r="EH722" s="73"/>
      <c r="EI722" s="73"/>
      <c r="EJ722" s="73"/>
      <c r="EK722" s="73"/>
      <c r="EL722" s="73"/>
      <c r="EM722" s="73"/>
      <c r="EN722" s="73"/>
      <c r="EO722" s="73"/>
      <c r="EP722" s="69"/>
      <c r="EQ722" s="69"/>
      <c r="ER722" s="69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  <c r="CI723" s="73"/>
      <c r="CJ723" s="73"/>
      <c r="CK723" s="73"/>
      <c r="CL723" s="73"/>
      <c r="CM723" s="72"/>
      <c r="CN723" s="73"/>
      <c r="CO723" s="73"/>
      <c r="CP723" s="73"/>
      <c r="CQ723" s="73"/>
      <c r="CR723" s="73"/>
      <c r="CS723" s="73"/>
      <c r="CT723" s="73"/>
      <c r="CU723" s="73"/>
      <c r="CV723" s="73"/>
      <c r="CW723" s="73"/>
      <c r="CX723" s="73"/>
      <c r="CY723" s="73"/>
      <c r="CZ723" s="73"/>
      <c r="DA723" s="73"/>
      <c r="DB723" s="73"/>
      <c r="DC723" s="73"/>
      <c r="DD723" s="73"/>
      <c r="DE723" s="73"/>
      <c r="DF723" s="73"/>
      <c r="DG723" s="73"/>
      <c r="DH723" s="73"/>
      <c r="DI723" s="73"/>
      <c r="DJ723" s="73"/>
      <c r="DK723" s="73"/>
      <c r="DL723" s="73"/>
      <c r="DM723" s="73"/>
      <c r="DN723" s="73"/>
      <c r="DO723" s="73"/>
      <c r="DP723" s="73"/>
      <c r="DQ723" s="73"/>
      <c r="DR723" s="73"/>
      <c r="DS723" s="73"/>
      <c r="DT723" s="73"/>
      <c r="DU723" s="73"/>
      <c r="DV723" s="73"/>
      <c r="DW723" s="73"/>
      <c r="DX723" s="72"/>
      <c r="DY723" s="72"/>
      <c r="DZ723" s="73"/>
      <c r="EA723" s="73"/>
      <c r="EB723" s="73"/>
      <c r="EC723" s="73"/>
      <c r="ED723" s="73"/>
      <c r="EE723" s="73"/>
      <c r="EF723" s="73"/>
      <c r="EG723" s="73"/>
      <c r="EH723" s="73"/>
      <c r="EI723" s="73"/>
      <c r="EJ723" s="73"/>
      <c r="EK723" s="73"/>
      <c r="EL723" s="73"/>
      <c r="EM723" s="73"/>
      <c r="EN723" s="73"/>
      <c r="EO723" s="73"/>
      <c r="EP723" s="69"/>
      <c r="EQ723" s="69"/>
      <c r="ER723" s="69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  <c r="CI724" s="73"/>
      <c r="CJ724" s="73"/>
      <c r="CK724" s="73"/>
      <c r="CL724" s="73"/>
      <c r="CM724" s="72"/>
      <c r="CN724" s="73"/>
      <c r="CO724" s="73"/>
      <c r="CP724" s="73"/>
      <c r="CQ724" s="73"/>
      <c r="CR724" s="73"/>
      <c r="CS724" s="73"/>
      <c r="CT724" s="73"/>
      <c r="CU724" s="73"/>
      <c r="CV724" s="73"/>
      <c r="CW724" s="73"/>
      <c r="CX724" s="73"/>
      <c r="CY724" s="73"/>
      <c r="CZ724" s="73"/>
      <c r="DA724" s="73"/>
      <c r="DB724" s="73"/>
      <c r="DC724" s="73"/>
      <c r="DD724" s="73"/>
      <c r="DE724" s="73"/>
      <c r="DF724" s="73"/>
      <c r="DG724" s="73"/>
      <c r="DH724" s="73"/>
      <c r="DI724" s="73"/>
      <c r="DJ724" s="73"/>
      <c r="DK724" s="73"/>
      <c r="DL724" s="73"/>
      <c r="DM724" s="73"/>
      <c r="DN724" s="73"/>
      <c r="DO724" s="73"/>
      <c r="DP724" s="73"/>
      <c r="DQ724" s="73"/>
      <c r="DR724" s="73"/>
      <c r="DS724" s="73"/>
      <c r="DT724" s="73"/>
      <c r="DU724" s="73"/>
      <c r="DV724" s="73"/>
      <c r="DW724" s="73"/>
      <c r="DX724" s="72"/>
      <c r="DY724" s="72"/>
      <c r="DZ724" s="73"/>
      <c r="EA724" s="73"/>
      <c r="EB724" s="73"/>
      <c r="EC724" s="73"/>
      <c r="ED724" s="73"/>
      <c r="EE724" s="73"/>
      <c r="EF724" s="73"/>
      <c r="EG724" s="73"/>
      <c r="EH724" s="73"/>
      <c r="EI724" s="73"/>
      <c r="EJ724" s="73"/>
      <c r="EK724" s="73"/>
      <c r="EL724" s="73"/>
      <c r="EM724" s="73"/>
      <c r="EN724" s="73"/>
      <c r="EO724" s="73"/>
      <c r="EP724" s="69"/>
      <c r="EQ724" s="69"/>
      <c r="ER724" s="69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  <c r="CI725" s="73"/>
      <c r="CJ725" s="73"/>
      <c r="CK725" s="73"/>
      <c r="CL725" s="73"/>
      <c r="CM725" s="72"/>
      <c r="CN725" s="73"/>
      <c r="CO725" s="73"/>
      <c r="CP725" s="73"/>
      <c r="CQ725" s="73"/>
      <c r="CR725" s="73"/>
      <c r="CS725" s="73"/>
      <c r="CT725" s="73"/>
      <c r="CU725" s="73"/>
      <c r="CV725" s="73"/>
      <c r="CW725" s="73"/>
      <c r="CX725" s="73"/>
      <c r="CY725" s="73"/>
      <c r="CZ725" s="73"/>
      <c r="DA725" s="73"/>
      <c r="DB725" s="73"/>
      <c r="DC725" s="73"/>
      <c r="DD725" s="73"/>
      <c r="DE725" s="73"/>
      <c r="DF725" s="73"/>
      <c r="DG725" s="73"/>
      <c r="DH725" s="73"/>
      <c r="DI725" s="73"/>
      <c r="DJ725" s="73"/>
      <c r="DK725" s="73"/>
      <c r="DL725" s="73"/>
      <c r="DM725" s="73"/>
      <c r="DN725" s="73"/>
      <c r="DO725" s="73"/>
      <c r="DP725" s="73"/>
      <c r="DQ725" s="73"/>
      <c r="DR725" s="73"/>
      <c r="DS725" s="73"/>
      <c r="DT725" s="73"/>
      <c r="DU725" s="73"/>
      <c r="DV725" s="73"/>
      <c r="DW725" s="73"/>
      <c r="DX725" s="72"/>
      <c r="DY725" s="72"/>
      <c r="DZ725" s="73"/>
      <c r="EA725" s="73"/>
      <c r="EB725" s="73"/>
      <c r="EC725" s="73"/>
      <c r="ED725" s="73"/>
      <c r="EE725" s="73"/>
      <c r="EF725" s="73"/>
      <c r="EG725" s="73"/>
      <c r="EH725" s="73"/>
      <c r="EI725" s="73"/>
      <c r="EJ725" s="73"/>
      <c r="EK725" s="73"/>
      <c r="EL725" s="73"/>
      <c r="EM725" s="73"/>
      <c r="EN725" s="73"/>
      <c r="EO725" s="73"/>
      <c r="EP725" s="69"/>
      <c r="EQ725" s="69"/>
      <c r="ER725" s="69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  <c r="CI726" s="73"/>
      <c r="CJ726" s="73"/>
      <c r="CK726" s="73"/>
      <c r="CL726" s="73"/>
      <c r="CM726" s="73"/>
      <c r="CN726" s="73"/>
      <c r="CO726" s="73"/>
      <c r="CP726" s="73"/>
      <c r="CQ726" s="73"/>
      <c r="CR726" s="73"/>
      <c r="CS726" s="73"/>
      <c r="CT726" s="73"/>
      <c r="CU726" s="73"/>
      <c r="CV726" s="73"/>
      <c r="CW726" s="73"/>
      <c r="CX726" s="73"/>
      <c r="CY726" s="73"/>
      <c r="CZ726" s="73"/>
      <c r="DA726" s="73"/>
      <c r="DB726" s="73"/>
      <c r="DC726" s="73"/>
      <c r="DD726" s="73"/>
      <c r="DE726" s="73"/>
      <c r="DF726" s="73"/>
      <c r="DG726" s="73"/>
      <c r="DH726" s="73"/>
      <c r="DI726" s="73"/>
      <c r="DJ726" s="73"/>
      <c r="DK726" s="73"/>
      <c r="DL726" s="73"/>
      <c r="DM726" s="73"/>
      <c r="DN726" s="73"/>
      <c r="DO726" s="73"/>
      <c r="DP726" s="73"/>
      <c r="DQ726" s="73"/>
      <c r="DR726" s="73"/>
      <c r="DS726" s="73"/>
      <c r="DT726" s="73"/>
      <c r="DU726" s="73"/>
      <c r="DV726" s="73"/>
      <c r="DW726" s="73"/>
      <c r="DX726" s="72"/>
      <c r="DY726" s="72"/>
      <c r="DZ726" s="73"/>
      <c r="EA726" s="73"/>
      <c r="EB726" s="73"/>
      <c r="EC726" s="73"/>
      <c r="ED726" s="73"/>
      <c r="EE726" s="73"/>
      <c r="EF726" s="73"/>
      <c r="EG726" s="73"/>
      <c r="EH726" s="73"/>
      <c r="EI726" s="73"/>
      <c r="EJ726" s="73"/>
      <c r="EK726" s="73"/>
      <c r="EL726" s="73"/>
      <c r="EM726" s="73"/>
      <c r="EN726" s="73"/>
      <c r="EO726" s="73"/>
      <c r="EP726" s="69"/>
      <c r="EQ726" s="69"/>
      <c r="ER726" s="69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  <c r="CK727" s="73"/>
      <c r="CL727" s="73"/>
      <c r="CM727" s="73"/>
      <c r="CN727" s="73"/>
      <c r="CO727" s="73"/>
      <c r="CP727" s="73"/>
      <c r="CQ727" s="73"/>
      <c r="CR727" s="73"/>
      <c r="CS727" s="73"/>
      <c r="CT727" s="73"/>
      <c r="CU727" s="73"/>
      <c r="CV727" s="73"/>
      <c r="CW727" s="73"/>
      <c r="CX727" s="73"/>
      <c r="CY727" s="73"/>
      <c r="CZ727" s="73"/>
      <c r="DA727" s="73"/>
      <c r="DB727" s="73"/>
      <c r="DC727" s="73"/>
      <c r="DD727" s="73"/>
      <c r="DE727" s="73"/>
      <c r="DF727" s="73"/>
      <c r="DG727" s="73"/>
      <c r="DH727" s="73"/>
      <c r="DI727" s="73"/>
      <c r="DJ727" s="73"/>
      <c r="DK727" s="73"/>
      <c r="DL727" s="73"/>
      <c r="DM727" s="73"/>
      <c r="DN727" s="73"/>
      <c r="DO727" s="73"/>
      <c r="DP727" s="73"/>
      <c r="DQ727" s="73"/>
      <c r="DR727" s="73"/>
      <c r="DS727" s="73"/>
      <c r="DT727" s="73"/>
      <c r="DU727" s="73"/>
      <c r="DV727" s="73"/>
      <c r="DW727" s="73"/>
      <c r="DX727" s="72"/>
      <c r="DY727" s="72"/>
      <c r="DZ727" s="73"/>
      <c r="EA727" s="73"/>
      <c r="EB727" s="73"/>
      <c r="EC727" s="73"/>
      <c r="ED727" s="73"/>
      <c r="EE727" s="73"/>
      <c r="EF727" s="73"/>
      <c r="EG727" s="73"/>
      <c r="EH727" s="73"/>
      <c r="EI727" s="73"/>
      <c r="EJ727" s="73"/>
      <c r="EK727" s="73"/>
      <c r="EL727" s="73"/>
      <c r="EM727" s="73"/>
      <c r="EN727" s="73"/>
      <c r="EO727" s="73"/>
      <c r="EP727" s="69"/>
      <c r="EQ727" s="69"/>
      <c r="ER727" s="69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  <c r="CK728" s="73"/>
      <c r="CL728" s="73"/>
      <c r="CM728" s="73"/>
      <c r="CN728" s="73"/>
      <c r="CO728" s="73"/>
      <c r="CP728" s="73"/>
      <c r="CQ728" s="73"/>
      <c r="CR728" s="73"/>
      <c r="CS728" s="73"/>
      <c r="CT728" s="73"/>
      <c r="CU728" s="73"/>
      <c r="CV728" s="73"/>
      <c r="CW728" s="73"/>
      <c r="CX728" s="73"/>
      <c r="CY728" s="73"/>
      <c r="CZ728" s="73"/>
      <c r="DA728" s="73"/>
      <c r="DB728" s="73"/>
      <c r="DC728" s="73"/>
      <c r="DD728" s="73"/>
      <c r="DE728" s="73"/>
      <c r="DF728" s="73"/>
      <c r="DG728" s="73"/>
      <c r="DH728" s="73"/>
      <c r="DI728" s="73"/>
      <c r="DJ728" s="73"/>
      <c r="DK728" s="73"/>
      <c r="DL728" s="73"/>
      <c r="DM728" s="73"/>
      <c r="DN728" s="73"/>
      <c r="DO728" s="73"/>
      <c r="DP728" s="73"/>
      <c r="DQ728" s="73"/>
      <c r="DR728" s="73"/>
      <c r="DS728" s="73"/>
      <c r="DT728" s="73"/>
      <c r="DU728" s="73"/>
      <c r="DV728" s="73"/>
      <c r="DW728" s="73"/>
      <c r="DX728" s="72"/>
      <c r="DY728" s="72"/>
      <c r="DZ728" s="73"/>
      <c r="EA728" s="73"/>
      <c r="EB728" s="73"/>
      <c r="EC728" s="73"/>
      <c r="ED728" s="73"/>
      <c r="EE728" s="73"/>
      <c r="EF728" s="73"/>
      <c r="EG728" s="73"/>
      <c r="EH728" s="73"/>
      <c r="EI728" s="73"/>
      <c r="EJ728" s="73"/>
      <c r="EK728" s="73"/>
      <c r="EL728" s="73"/>
      <c r="EM728" s="73"/>
      <c r="EN728" s="73"/>
      <c r="EO728" s="73"/>
      <c r="EP728" s="69"/>
      <c r="EQ728" s="69"/>
      <c r="ER728" s="69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  <c r="CK729" s="73"/>
      <c r="CL729" s="73"/>
      <c r="CM729" s="73"/>
      <c r="CN729" s="73"/>
      <c r="CO729" s="73"/>
      <c r="CP729" s="73"/>
      <c r="CQ729" s="73"/>
      <c r="CR729" s="73"/>
      <c r="CS729" s="73"/>
      <c r="CT729" s="73"/>
      <c r="CU729" s="73"/>
      <c r="CV729" s="73"/>
      <c r="CW729" s="73"/>
      <c r="CX729" s="73"/>
      <c r="CY729" s="73"/>
      <c r="CZ729" s="73"/>
      <c r="DA729" s="73"/>
      <c r="DB729" s="73"/>
      <c r="DC729" s="73"/>
      <c r="DD729" s="73"/>
      <c r="DE729" s="73"/>
      <c r="DF729" s="73"/>
      <c r="DG729" s="73"/>
      <c r="DH729" s="73"/>
      <c r="DI729" s="73"/>
      <c r="DJ729" s="73"/>
      <c r="DK729" s="73"/>
      <c r="DL729" s="73"/>
      <c r="DM729" s="73"/>
      <c r="DN729" s="73"/>
      <c r="DO729" s="73"/>
      <c r="DP729" s="73"/>
      <c r="DQ729" s="73"/>
      <c r="DR729" s="73"/>
      <c r="DS729" s="73"/>
      <c r="DT729" s="73"/>
      <c r="DU729" s="73"/>
      <c r="DV729" s="73"/>
      <c r="DW729" s="73"/>
      <c r="DX729" s="72"/>
      <c r="DY729" s="72"/>
      <c r="DZ729" s="73"/>
      <c r="EA729" s="73"/>
      <c r="EB729" s="73"/>
      <c r="EC729" s="73"/>
      <c r="ED729" s="73"/>
      <c r="EE729" s="73"/>
      <c r="EF729" s="73"/>
      <c r="EG729" s="73"/>
      <c r="EH729" s="73"/>
      <c r="EI729" s="73"/>
      <c r="EJ729" s="73"/>
      <c r="EK729" s="73"/>
      <c r="EL729" s="73"/>
      <c r="EM729" s="73"/>
      <c r="EN729" s="73"/>
      <c r="EO729" s="73"/>
      <c r="EP729" s="69"/>
      <c r="EQ729" s="69"/>
      <c r="ER729" s="69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  <c r="CK730" s="73"/>
      <c r="CL730" s="73"/>
      <c r="CM730" s="73"/>
      <c r="CN730" s="73"/>
      <c r="CO730" s="73"/>
      <c r="CP730" s="73"/>
      <c r="CQ730" s="73"/>
      <c r="CR730" s="73"/>
      <c r="CS730" s="73"/>
      <c r="CT730" s="73"/>
      <c r="CU730" s="73"/>
      <c r="CV730" s="73"/>
      <c r="CW730" s="73"/>
      <c r="CX730" s="73"/>
      <c r="CY730" s="73"/>
      <c r="CZ730" s="73"/>
      <c r="DA730" s="73"/>
      <c r="DB730" s="73"/>
      <c r="DC730" s="73"/>
      <c r="DD730" s="73"/>
      <c r="DE730" s="73"/>
      <c r="DF730" s="73"/>
      <c r="DG730" s="73"/>
      <c r="DH730" s="73"/>
      <c r="DI730" s="73"/>
      <c r="DJ730" s="73"/>
      <c r="DK730" s="73"/>
      <c r="DL730" s="73"/>
      <c r="DM730" s="73"/>
      <c r="DN730" s="73"/>
      <c r="DO730" s="73"/>
      <c r="DP730" s="73"/>
      <c r="DQ730" s="73"/>
      <c r="DR730" s="73"/>
      <c r="DS730" s="73"/>
      <c r="DT730" s="73"/>
      <c r="DU730" s="73"/>
      <c r="DV730" s="73"/>
      <c r="DW730" s="73"/>
      <c r="DX730" s="72"/>
      <c r="DY730" s="72"/>
      <c r="DZ730" s="73"/>
      <c r="EA730" s="73"/>
      <c r="EB730" s="73"/>
      <c r="EC730" s="73"/>
      <c r="ED730" s="73"/>
      <c r="EE730" s="73"/>
      <c r="EF730" s="73"/>
      <c r="EG730" s="73"/>
      <c r="EH730" s="73"/>
      <c r="EI730" s="73"/>
      <c r="EJ730" s="73"/>
      <c r="EK730" s="73"/>
      <c r="EL730" s="73"/>
      <c r="EM730" s="73"/>
      <c r="EN730" s="73"/>
      <c r="EO730" s="73"/>
      <c r="EP730" s="69"/>
      <c r="EQ730" s="69"/>
      <c r="ER730" s="69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  <c r="CK731" s="73"/>
      <c r="CL731" s="73"/>
      <c r="CM731" s="73"/>
      <c r="CN731" s="73"/>
      <c r="CO731" s="73"/>
      <c r="CP731" s="73"/>
      <c r="CQ731" s="73"/>
      <c r="CR731" s="73"/>
      <c r="CS731" s="73"/>
      <c r="CT731" s="73"/>
      <c r="CU731" s="73"/>
      <c r="CV731" s="73"/>
      <c r="CW731" s="73"/>
      <c r="CX731" s="73"/>
      <c r="CY731" s="73"/>
      <c r="CZ731" s="73"/>
      <c r="DA731" s="73"/>
      <c r="DB731" s="73"/>
      <c r="DC731" s="73"/>
      <c r="DD731" s="73"/>
      <c r="DE731" s="73"/>
      <c r="DF731" s="73"/>
      <c r="DG731" s="73"/>
      <c r="DH731" s="73"/>
      <c r="DI731" s="73"/>
      <c r="DJ731" s="73"/>
      <c r="DK731" s="73"/>
      <c r="DL731" s="73"/>
      <c r="DM731" s="73"/>
      <c r="DN731" s="73"/>
      <c r="DO731" s="73"/>
      <c r="DP731" s="73"/>
      <c r="DQ731" s="73"/>
      <c r="DR731" s="73"/>
      <c r="DS731" s="73"/>
      <c r="DT731" s="73"/>
      <c r="DU731" s="73"/>
      <c r="DV731" s="73"/>
      <c r="DW731" s="73"/>
      <c r="DX731" s="72"/>
      <c r="DY731" s="72"/>
      <c r="DZ731" s="73"/>
      <c r="EA731" s="73"/>
      <c r="EB731" s="73"/>
      <c r="EC731" s="73"/>
      <c r="ED731" s="73"/>
      <c r="EE731" s="73"/>
      <c r="EF731" s="73"/>
      <c r="EG731" s="73"/>
      <c r="EH731" s="73"/>
      <c r="EI731" s="73"/>
      <c r="EJ731" s="73"/>
      <c r="EK731" s="73"/>
      <c r="EL731" s="73"/>
      <c r="EM731" s="73"/>
      <c r="EN731" s="73"/>
      <c r="EO731" s="73"/>
      <c r="EP731" s="69"/>
      <c r="EQ731" s="69"/>
      <c r="ER731" s="69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  <c r="CK732" s="73"/>
      <c r="CL732" s="73"/>
      <c r="CM732" s="73"/>
      <c r="CN732" s="73"/>
      <c r="CO732" s="73"/>
      <c r="CP732" s="73"/>
      <c r="CQ732" s="73"/>
      <c r="CR732" s="73"/>
      <c r="CS732" s="73"/>
      <c r="CT732" s="73"/>
      <c r="CU732" s="73"/>
      <c r="CV732" s="73"/>
      <c r="CW732" s="73"/>
      <c r="CX732" s="73"/>
      <c r="CY732" s="73"/>
      <c r="CZ732" s="73"/>
      <c r="DA732" s="73"/>
      <c r="DB732" s="73"/>
      <c r="DC732" s="73"/>
      <c r="DD732" s="73"/>
      <c r="DE732" s="73"/>
      <c r="DF732" s="73"/>
      <c r="DG732" s="73"/>
      <c r="DH732" s="73"/>
      <c r="DI732" s="73"/>
      <c r="DJ732" s="73"/>
      <c r="DK732" s="73"/>
      <c r="DL732" s="73"/>
      <c r="DM732" s="73"/>
      <c r="DN732" s="73"/>
      <c r="DO732" s="73"/>
      <c r="DP732" s="73"/>
      <c r="DQ732" s="73"/>
      <c r="DR732" s="73"/>
      <c r="DS732" s="73"/>
      <c r="DT732" s="73"/>
      <c r="DU732" s="73"/>
      <c r="DV732" s="73"/>
      <c r="DW732" s="73"/>
      <c r="DX732" s="72"/>
      <c r="DY732" s="72"/>
      <c r="DZ732" s="73"/>
      <c r="EA732" s="73"/>
      <c r="EB732" s="73"/>
      <c r="EC732" s="73"/>
      <c r="ED732" s="73"/>
      <c r="EE732" s="73"/>
      <c r="EF732" s="73"/>
      <c r="EG732" s="73"/>
      <c r="EH732" s="73"/>
      <c r="EI732" s="73"/>
      <c r="EJ732" s="73"/>
      <c r="EK732" s="73"/>
      <c r="EL732" s="73"/>
      <c r="EM732" s="73"/>
      <c r="EN732" s="73"/>
      <c r="EO732" s="73"/>
      <c r="EP732" s="69"/>
      <c r="EQ732" s="69"/>
      <c r="ER732" s="69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  <c r="CK733" s="73"/>
      <c r="CL733" s="73"/>
      <c r="CM733" s="73"/>
      <c r="CN733" s="73"/>
      <c r="CO733" s="73"/>
      <c r="CP733" s="73"/>
      <c r="CQ733" s="73"/>
      <c r="CR733" s="73"/>
      <c r="CS733" s="73"/>
      <c r="CT733" s="73"/>
      <c r="CU733" s="73"/>
      <c r="CV733" s="73"/>
      <c r="CW733" s="73"/>
      <c r="CX733" s="73"/>
      <c r="CY733" s="73"/>
      <c r="CZ733" s="73"/>
      <c r="DA733" s="73"/>
      <c r="DB733" s="73"/>
      <c r="DC733" s="73"/>
      <c r="DD733" s="73"/>
      <c r="DE733" s="73"/>
      <c r="DF733" s="73"/>
      <c r="DG733" s="73"/>
      <c r="DH733" s="73"/>
      <c r="DI733" s="73"/>
      <c r="DJ733" s="73"/>
      <c r="DK733" s="73"/>
      <c r="DL733" s="73"/>
      <c r="DM733" s="73"/>
      <c r="DN733" s="73"/>
      <c r="DO733" s="73"/>
      <c r="DP733" s="73"/>
      <c r="DQ733" s="73"/>
      <c r="DR733" s="73"/>
      <c r="DS733" s="73"/>
      <c r="DT733" s="73"/>
      <c r="DU733" s="73"/>
      <c r="DV733" s="73"/>
      <c r="DW733" s="73"/>
      <c r="DX733" s="72"/>
      <c r="DY733" s="72"/>
      <c r="DZ733" s="73"/>
      <c r="EA733" s="73"/>
      <c r="EB733" s="73"/>
      <c r="EC733" s="73"/>
      <c r="ED733" s="73"/>
      <c r="EE733" s="73"/>
      <c r="EF733" s="73"/>
      <c r="EG733" s="73"/>
      <c r="EH733" s="73"/>
      <c r="EI733" s="73"/>
      <c r="EJ733" s="73"/>
      <c r="EK733" s="73"/>
      <c r="EL733" s="73"/>
      <c r="EM733" s="73"/>
      <c r="EN733" s="73"/>
      <c r="EO733" s="73"/>
      <c r="EP733" s="69"/>
      <c r="EQ733" s="69"/>
      <c r="ER733" s="69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  <c r="CK734" s="73"/>
      <c r="CL734" s="73"/>
      <c r="CM734" s="72"/>
      <c r="CN734" s="73"/>
      <c r="CO734" s="73"/>
      <c r="CP734" s="73"/>
      <c r="CQ734" s="73"/>
      <c r="CR734" s="73"/>
      <c r="CS734" s="73"/>
      <c r="CT734" s="73"/>
      <c r="CU734" s="73"/>
      <c r="CV734" s="73"/>
      <c r="CW734" s="73"/>
      <c r="CX734" s="73"/>
      <c r="CY734" s="73"/>
      <c r="CZ734" s="73"/>
      <c r="DA734" s="73"/>
      <c r="DB734" s="73"/>
      <c r="DC734" s="73"/>
      <c r="DD734" s="73"/>
      <c r="DE734" s="73"/>
      <c r="DF734" s="73"/>
      <c r="DG734" s="73"/>
      <c r="DH734" s="73"/>
      <c r="DI734" s="73"/>
      <c r="DJ734" s="73"/>
      <c r="DK734" s="73"/>
      <c r="DL734" s="73"/>
      <c r="DM734" s="73"/>
      <c r="DN734" s="73"/>
      <c r="DO734" s="73"/>
      <c r="DP734" s="73"/>
      <c r="DQ734" s="73"/>
      <c r="DR734" s="73"/>
      <c r="DS734" s="73"/>
      <c r="DT734" s="73"/>
      <c r="DU734" s="73"/>
      <c r="DV734" s="73"/>
      <c r="DW734" s="73"/>
      <c r="DX734" s="72"/>
      <c r="DY734" s="72"/>
      <c r="DZ734" s="73"/>
      <c r="EA734" s="73"/>
      <c r="EB734" s="73"/>
      <c r="EC734" s="73"/>
      <c r="ED734" s="73"/>
      <c r="EE734" s="73"/>
      <c r="EF734" s="73"/>
      <c r="EG734" s="73"/>
      <c r="EH734" s="73"/>
      <c r="EI734" s="73"/>
      <c r="EJ734" s="73"/>
      <c r="EK734" s="73"/>
      <c r="EL734" s="73"/>
      <c r="EM734" s="73"/>
      <c r="EN734" s="73"/>
      <c r="EO734" s="73"/>
      <c r="EP734" s="69"/>
      <c r="EQ734" s="69"/>
      <c r="ER734" s="69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  <c r="CK735" s="73"/>
      <c r="CL735" s="73"/>
      <c r="CM735" s="73"/>
      <c r="CN735" s="73"/>
      <c r="CO735" s="73"/>
      <c r="CP735" s="73"/>
      <c r="CQ735" s="73"/>
      <c r="CR735" s="73"/>
      <c r="CS735" s="73"/>
      <c r="CT735" s="73"/>
      <c r="CU735" s="73"/>
      <c r="CV735" s="73"/>
      <c r="CW735" s="73"/>
      <c r="CX735" s="73"/>
      <c r="CY735" s="73"/>
      <c r="CZ735" s="73"/>
      <c r="DA735" s="73"/>
      <c r="DB735" s="73"/>
      <c r="DC735" s="73"/>
      <c r="DD735" s="73"/>
      <c r="DE735" s="73"/>
      <c r="DF735" s="73"/>
      <c r="DG735" s="73"/>
      <c r="DH735" s="73"/>
      <c r="DI735" s="73"/>
      <c r="DJ735" s="73"/>
      <c r="DK735" s="73"/>
      <c r="DL735" s="73"/>
      <c r="DM735" s="73"/>
      <c r="DN735" s="73"/>
      <c r="DO735" s="73"/>
      <c r="DP735" s="73"/>
      <c r="DQ735" s="73"/>
      <c r="DR735" s="73"/>
      <c r="DS735" s="73"/>
      <c r="DT735" s="73"/>
      <c r="DU735" s="73"/>
      <c r="DV735" s="73"/>
      <c r="DW735" s="73"/>
      <c r="DX735" s="72"/>
      <c r="DY735" s="72"/>
      <c r="DZ735" s="73"/>
      <c r="EA735" s="73"/>
      <c r="EB735" s="73"/>
      <c r="EC735" s="73"/>
      <c r="ED735" s="73"/>
      <c r="EE735" s="73"/>
      <c r="EF735" s="73"/>
      <c r="EG735" s="73"/>
      <c r="EH735" s="73"/>
      <c r="EI735" s="73"/>
      <c r="EJ735" s="73"/>
      <c r="EK735" s="73"/>
      <c r="EL735" s="73"/>
      <c r="EM735" s="73"/>
      <c r="EN735" s="73"/>
      <c r="EO735" s="73"/>
      <c r="EP735" s="69"/>
      <c r="EQ735" s="69"/>
      <c r="ER735" s="69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2"/>
      <c r="DY736" s="72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69"/>
      <c r="EQ736" s="69"/>
      <c r="ER736" s="69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2"/>
      <c r="DY737" s="72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69"/>
      <c r="EQ737" s="69"/>
      <c r="ER737" s="69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2"/>
      <c r="DY738" s="72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69"/>
      <c r="EQ738" s="69"/>
      <c r="ER738" s="69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2"/>
      <c r="DY739" s="72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69"/>
      <c r="EQ739" s="69"/>
      <c r="ER739" s="69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2"/>
      <c r="DY740" s="72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69"/>
      <c r="EQ740" s="69"/>
      <c r="ER740" s="69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2"/>
      <c r="DY741" s="72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69"/>
      <c r="EQ741" s="69"/>
      <c r="ER741" s="69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73"/>
      <c r="DD742" s="73"/>
      <c r="DE742" s="73"/>
      <c r="DF742" s="73"/>
      <c r="DG742" s="73"/>
      <c r="DH742" s="73"/>
      <c r="DI742" s="73"/>
      <c r="DJ742" s="73"/>
      <c r="DK742" s="73"/>
      <c r="DL742" s="73"/>
      <c r="DM742" s="73"/>
      <c r="DN742" s="73"/>
      <c r="DO742" s="73"/>
      <c r="DP742" s="73"/>
      <c r="DQ742" s="73"/>
      <c r="DR742" s="73"/>
      <c r="DS742" s="73"/>
      <c r="DT742" s="73"/>
      <c r="DU742" s="73"/>
      <c r="DV742" s="73"/>
      <c r="DW742" s="73"/>
      <c r="DX742" s="72"/>
      <c r="DY742" s="72"/>
      <c r="DZ742" s="73"/>
      <c r="EA742" s="73"/>
      <c r="EB742" s="73"/>
      <c r="EC742" s="73"/>
      <c r="ED742" s="73"/>
      <c r="EE742" s="73"/>
      <c r="EF742" s="73"/>
      <c r="EG742" s="73"/>
      <c r="EH742" s="73"/>
      <c r="EI742" s="73"/>
      <c r="EJ742" s="73"/>
      <c r="EK742" s="73"/>
      <c r="EL742" s="73"/>
      <c r="EM742" s="73"/>
      <c r="EN742" s="73"/>
      <c r="EO742" s="73"/>
      <c r="EP742" s="69"/>
      <c r="EQ742" s="69"/>
      <c r="ER742" s="69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  <c r="CI743" s="73"/>
      <c r="CJ743" s="73"/>
      <c r="CK743" s="73"/>
      <c r="CL743" s="73"/>
      <c r="CM743" s="73"/>
      <c r="CN743" s="73"/>
      <c r="CO743" s="73"/>
      <c r="CP743" s="73"/>
      <c r="CQ743" s="73"/>
      <c r="CR743" s="73"/>
      <c r="CS743" s="73"/>
      <c r="CT743" s="73"/>
      <c r="CU743" s="73"/>
      <c r="CV743" s="73"/>
      <c r="CW743" s="73"/>
      <c r="CX743" s="73"/>
      <c r="CY743" s="73"/>
      <c r="CZ743" s="73"/>
      <c r="DA743" s="73"/>
      <c r="DB743" s="73"/>
      <c r="DC743" s="73"/>
      <c r="DD743" s="73"/>
      <c r="DE743" s="73"/>
      <c r="DF743" s="73"/>
      <c r="DG743" s="73"/>
      <c r="DH743" s="73"/>
      <c r="DI743" s="73"/>
      <c r="DJ743" s="73"/>
      <c r="DK743" s="73"/>
      <c r="DL743" s="73"/>
      <c r="DM743" s="73"/>
      <c r="DN743" s="73"/>
      <c r="DO743" s="73"/>
      <c r="DP743" s="73"/>
      <c r="DQ743" s="73"/>
      <c r="DR743" s="73"/>
      <c r="DS743" s="73"/>
      <c r="DT743" s="73"/>
      <c r="DU743" s="73"/>
      <c r="DV743" s="73"/>
      <c r="DW743" s="73"/>
      <c r="DX743" s="73"/>
      <c r="DY743" s="73"/>
      <c r="DZ743" s="73"/>
      <c r="EA743" s="73"/>
      <c r="EB743" s="73"/>
      <c r="EC743" s="73"/>
      <c r="ED743" s="73"/>
      <c r="EE743" s="73"/>
      <c r="EF743" s="73"/>
      <c r="EG743" s="73"/>
      <c r="EH743" s="73"/>
      <c r="EI743" s="73"/>
      <c r="EJ743" s="73"/>
      <c r="EK743" s="73"/>
      <c r="EL743" s="73"/>
      <c r="EM743" s="73"/>
      <c r="EN743" s="73"/>
      <c r="EO743" s="73"/>
      <c r="EP743" s="69"/>
      <c r="EQ743" s="69"/>
      <c r="ER743" s="69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  <c r="CI744" s="73"/>
      <c r="CJ744" s="73"/>
      <c r="CK744" s="73"/>
      <c r="CL744" s="73"/>
      <c r="CM744" s="73"/>
      <c r="CN744" s="73"/>
      <c r="CO744" s="73"/>
      <c r="CP744" s="73"/>
      <c r="CQ744" s="73"/>
      <c r="CR744" s="73"/>
      <c r="CS744" s="73"/>
      <c r="CT744" s="73"/>
      <c r="CU744" s="73"/>
      <c r="CV744" s="73"/>
      <c r="CW744" s="73"/>
      <c r="CX744" s="73"/>
      <c r="CY744" s="73"/>
      <c r="CZ744" s="73"/>
      <c r="DA744" s="73"/>
      <c r="DB744" s="73"/>
      <c r="DC744" s="73"/>
      <c r="DD744" s="73"/>
      <c r="DE744" s="73"/>
      <c r="DF744" s="73"/>
      <c r="DG744" s="73"/>
      <c r="DH744" s="73"/>
      <c r="DI744" s="73"/>
      <c r="DJ744" s="73"/>
      <c r="DK744" s="73"/>
      <c r="DL744" s="73"/>
      <c r="DM744" s="73"/>
      <c r="DN744" s="73"/>
      <c r="DO744" s="73"/>
      <c r="DP744" s="73"/>
      <c r="DQ744" s="73"/>
      <c r="DR744" s="73"/>
      <c r="DS744" s="73"/>
      <c r="DT744" s="73"/>
      <c r="DU744" s="73"/>
      <c r="DV744" s="73"/>
      <c r="DW744" s="73"/>
      <c r="DX744" s="72"/>
      <c r="DY744" s="72"/>
      <c r="DZ744" s="73"/>
      <c r="EA744" s="73"/>
      <c r="EB744" s="73"/>
      <c r="EC744" s="73"/>
      <c r="ED744" s="73"/>
      <c r="EE744" s="73"/>
      <c r="EF744" s="73"/>
      <c r="EG744" s="73"/>
      <c r="EH744" s="73"/>
      <c r="EI744" s="73"/>
      <c r="EJ744" s="73"/>
      <c r="EK744" s="73"/>
      <c r="EL744" s="73"/>
      <c r="EM744" s="73"/>
      <c r="EN744" s="73"/>
      <c r="EO744" s="73"/>
      <c r="EP744" s="69"/>
      <c r="EQ744" s="69"/>
      <c r="ER744" s="69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  <c r="CI745" s="73"/>
      <c r="CJ745" s="73"/>
      <c r="CK745" s="73"/>
      <c r="CL745" s="73"/>
      <c r="CM745" s="73"/>
      <c r="CN745" s="73"/>
      <c r="CO745" s="73"/>
      <c r="CP745" s="73"/>
      <c r="CQ745" s="73"/>
      <c r="CR745" s="73"/>
      <c r="CS745" s="73"/>
      <c r="CT745" s="73"/>
      <c r="CU745" s="73"/>
      <c r="CV745" s="73"/>
      <c r="CW745" s="73"/>
      <c r="CX745" s="73"/>
      <c r="CY745" s="73"/>
      <c r="CZ745" s="73"/>
      <c r="DA745" s="73"/>
      <c r="DB745" s="73"/>
      <c r="DC745" s="73"/>
      <c r="DD745" s="73"/>
      <c r="DE745" s="73"/>
      <c r="DF745" s="73"/>
      <c r="DG745" s="73"/>
      <c r="DH745" s="73"/>
      <c r="DI745" s="73"/>
      <c r="DJ745" s="73"/>
      <c r="DK745" s="73"/>
      <c r="DL745" s="73"/>
      <c r="DM745" s="73"/>
      <c r="DN745" s="73"/>
      <c r="DO745" s="73"/>
      <c r="DP745" s="73"/>
      <c r="DQ745" s="73"/>
      <c r="DR745" s="73"/>
      <c r="DS745" s="73"/>
      <c r="DT745" s="73"/>
      <c r="DU745" s="73"/>
      <c r="DV745" s="73"/>
      <c r="DW745" s="73"/>
      <c r="DX745" s="72"/>
      <c r="DY745" s="72"/>
      <c r="DZ745" s="73"/>
      <c r="EA745" s="73"/>
      <c r="EB745" s="73"/>
      <c r="EC745" s="73"/>
      <c r="ED745" s="73"/>
      <c r="EE745" s="73"/>
      <c r="EF745" s="73"/>
      <c r="EG745" s="73"/>
      <c r="EH745" s="73"/>
      <c r="EI745" s="73"/>
      <c r="EJ745" s="73"/>
      <c r="EK745" s="73"/>
      <c r="EL745" s="73"/>
      <c r="EM745" s="73"/>
      <c r="EN745" s="73"/>
      <c r="EO745" s="73"/>
      <c r="EP745" s="69"/>
      <c r="EQ745" s="69"/>
      <c r="ER745" s="69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  <c r="CI746" s="73"/>
      <c r="CJ746" s="73"/>
      <c r="CK746" s="73"/>
      <c r="CL746" s="73"/>
      <c r="CM746" s="72"/>
      <c r="CN746" s="73"/>
      <c r="CO746" s="73"/>
      <c r="CP746" s="73"/>
      <c r="CQ746" s="73"/>
      <c r="CR746" s="73"/>
      <c r="CS746" s="73"/>
      <c r="CT746" s="73"/>
      <c r="CU746" s="73"/>
      <c r="CV746" s="73"/>
      <c r="CW746" s="73"/>
      <c r="CX746" s="73"/>
      <c r="CY746" s="73"/>
      <c r="CZ746" s="73"/>
      <c r="DA746" s="73"/>
      <c r="DB746" s="73"/>
      <c r="DC746" s="73"/>
      <c r="DD746" s="73"/>
      <c r="DE746" s="73"/>
      <c r="DF746" s="73"/>
      <c r="DG746" s="73"/>
      <c r="DH746" s="73"/>
      <c r="DI746" s="73"/>
      <c r="DJ746" s="73"/>
      <c r="DK746" s="73"/>
      <c r="DL746" s="73"/>
      <c r="DM746" s="73"/>
      <c r="DN746" s="73"/>
      <c r="DO746" s="73"/>
      <c r="DP746" s="73"/>
      <c r="DQ746" s="73"/>
      <c r="DR746" s="73"/>
      <c r="DS746" s="73"/>
      <c r="DT746" s="73"/>
      <c r="DU746" s="73"/>
      <c r="DV746" s="73"/>
      <c r="DW746" s="73"/>
      <c r="DX746" s="73"/>
      <c r="DY746" s="73"/>
      <c r="DZ746" s="73"/>
      <c r="EA746" s="73"/>
      <c r="EB746" s="73"/>
      <c r="EC746" s="73"/>
      <c r="ED746" s="73"/>
      <c r="EE746" s="73"/>
      <c r="EF746" s="73"/>
      <c r="EG746" s="73"/>
      <c r="EH746" s="73"/>
      <c r="EI746" s="73"/>
      <c r="EJ746" s="73"/>
      <c r="EK746" s="73"/>
      <c r="EL746" s="73"/>
      <c r="EM746" s="73"/>
      <c r="EN746" s="73"/>
      <c r="EO746" s="73"/>
      <c r="EP746" s="69"/>
      <c r="EQ746" s="69"/>
      <c r="ER746" s="69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  <c r="CK747" s="73"/>
      <c r="CL747" s="73"/>
      <c r="CM747" s="72"/>
      <c r="CN747" s="73"/>
      <c r="CO747" s="73"/>
      <c r="CP747" s="73"/>
      <c r="CQ747" s="73"/>
      <c r="CR747" s="73"/>
      <c r="CS747" s="73"/>
      <c r="CT747" s="73"/>
      <c r="CU747" s="73"/>
      <c r="CV747" s="73"/>
      <c r="CW747" s="73"/>
      <c r="CX747" s="73"/>
      <c r="CY747" s="73"/>
      <c r="CZ747" s="73"/>
      <c r="DA747" s="73"/>
      <c r="DB747" s="73"/>
      <c r="DC747" s="73"/>
      <c r="DD747" s="73"/>
      <c r="DE747" s="73"/>
      <c r="DF747" s="73"/>
      <c r="DG747" s="73"/>
      <c r="DH747" s="73"/>
      <c r="DI747" s="73"/>
      <c r="DJ747" s="73"/>
      <c r="DK747" s="73"/>
      <c r="DL747" s="73"/>
      <c r="DM747" s="73"/>
      <c r="DN747" s="73"/>
      <c r="DO747" s="73"/>
      <c r="DP747" s="73"/>
      <c r="DQ747" s="73"/>
      <c r="DR747" s="73"/>
      <c r="DS747" s="73"/>
      <c r="DT747" s="73"/>
      <c r="DU747" s="73"/>
      <c r="DV747" s="73"/>
      <c r="DW747" s="73"/>
      <c r="DX747" s="72"/>
      <c r="DY747" s="72"/>
      <c r="DZ747" s="73"/>
      <c r="EA747" s="73"/>
      <c r="EB747" s="73"/>
      <c r="EC747" s="73"/>
      <c r="ED747" s="73"/>
      <c r="EE747" s="73"/>
      <c r="EF747" s="73"/>
      <c r="EG747" s="73"/>
      <c r="EH747" s="73"/>
      <c r="EI747" s="73"/>
      <c r="EJ747" s="73"/>
      <c r="EK747" s="73"/>
      <c r="EL747" s="73"/>
      <c r="EM747" s="73"/>
      <c r="EN747" s="73"/>
      <c r="EO747" s="73"/>
      <c r="EP747" s="69"/>
      <c r="EQ747" s="69"/>
      <c r="ER747" s="69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  <c r="CK748" s="73"/>
      <c r="CL748" s="73"/>
      <c r="CM748" s="73"/>
      <c r="CN748" s="73"/>
      <c r="CO748" s="73"/>
      <c r="CP748" s="73"/>
      <c r="CQ748" s="73"/>
      <c r="CR748" s="73"/>
      <c r="CS748" s="73"/>
      <c r="CT748" s="73"/>
      <c r="CU748" s="73"/>
      <c r="CV748" s="73"/>
      <c r="CW748" s="73"/>
      <c r="CX748" s="73"/>
      <c r="CY748" s="73"/>
      <c r="CZ748" s="73"/>
      <c r="DA748" s="73"/>
      <c r="DB748" s="73"/>
      <c r="DC748" s="73"/>
      <c r="DD748" s="73"/>
      <c r="DE748" s="73"/>
      <c r="DF748" s="73"/>
      <c r="DG748" s="73"/>
      <c r="DH748" s="73"/>
      <c r="DI748" s="73"/>
      <c r="DJ748" s="73"/>
      <c r="DK748" s="73"/>
      <c r="DL748" s="73"/>
      <c r="DM748" s="73"/>
      <c r="DN748" s="73"/>
      <c r="DO748" s="73"/>
      <c r="DP748" s="73"/>
      <c r="DQ748" s="73"/>
      <c r="DR748" s="73"/>
      <c r="DS748" s="73"/>
      <c r="DT748" s="73"/>
      <c r="DU748" s="73"/>
      <c r="DV748" s="73"/>
      <c r="DW748" s="73"/>
      <c r="DX748" s="72"/>
      <c r="DY748" s="72"/>
      <c r="DZ748" s="73"/>
      <c r="EA748" s="73"/>
      <c r="EB748" s="73"/>
      <c r="EC748" s="73"/>
      <c r="ED748" s="73"/>
      <c r="EE748" s="73"/>
      <c r="EF748" s="73"/>
      <c r="EG748" s="73"/>
      <c r="EH748" s="73"/>
      <c r="EI748" s="73"/>
      <c r="EJ748" s="73"/>
      <c r="EK748" s="73"/>
      <c r="EL748" s="73"/>
      <c r="EM748" s="73"/>
      <c r="EN748" s="73"/>
      <c r="EO748" s="73"/>
      <c r="EP748" s="69"/>
      <c r="EQ748" s="69"/>
      <c r="ER748" s="69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  <c r="CK749" s="73"/>
      <c r="CL749" s="73"/>
      <c r="CM749" s="72"/>
      <c r="CN749" s="73"/>
      <c r="CO749" s="73"/>
      <c r="CP749" s="73"/>
      <c r="CQ749" s="73"/>
      <c r="CR749" s="73"/>
      <c r="CS749" s="73"/>
      <c r="CT749" s="73"/>
      <c r="CU749" s="73"/>
      <c r="CV749" s="73"/>
      <c r="CW749" s="73"/>
      <c r="CX749" s="73"/>
      <c r="CY749" s="73"/>
      <c r="CZ749" s="73"/>
      <c r="DA749" s="73"/>
      <c r="DB749" s="73"/>
      <c r="DC749" s="73"/>
      <c r="DD749" s="73"/>
      <c r="DE749" s="73"/>
      <c r="DF749" s="73"/>
      <c r="DG749" s="73"/>
      <c r="DH749" s="73"/>
      <c r="DI749" s="73"/>
      <c r="DJ749" s="73"/>
      <c r="DK749" s="73"/>
      <c r="DL749" s="73"/>
      <c r="DM749" s="73"/>
      <c r="DN749" s="73"/>
      <c r="DO749" s="73"/>
      <c r="DP749" s="73"/>
      <c r="DQ749" s="73"/>
      <c r="DR749" s="73"/>
      <c r="DS749" s="73"/>
      <c r="DT749" s="73"/>
      <c r="DU749" s="73"/>
      <c r="DV749" s="73"/>
      <c r="DW749" s="73"/>
      <c r="DX749" s="72"/>
      <c r="DY749" s="72"/>
      <c r="DZ749" s="73"/>
      <c r="EA749" s="73"/>
      <c r="EB749" s="73"/>
      <c r="EC749" s="73"/>
      <c r="ED749" s="73"/>
      <c r="EE749" s="73"/>
      <c r="EF749" s="73"/>
      <c r="EG749" s="73"/>
      <c r="EH749" s="73"/>
      <c r="EI749" s="73"/>
      <c r="EJ749" s="73"/>
      <c r="EK749" s="73"/>
      <c r="EL749" s="73"/>
      <c r="EM749" s="73"/>
      <c r="EN749" s="73"/>
      <c r="EO749" s="73"/>
      <c r="EP749" s="69"/>
      <c r="EQ749" s="69"/>
      <c r="ER749" s="69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  <c r="CK750" s="73"/>
      <c r="CL750" s="73"/>
      <c r="CM750" s="73"/>
      <c r="CN750" s="73"/>
      <c r="CO750" s="73"/>
      <c r="CP750" s="73"/>
      <c r="CQ750" s="73"/>
      <c r="CR750" s="73"/>
      <c r="CS750" s="73"/>
      <c r="CT750" s="73"/>
      <c r="CU750" s="73"/>
      <c r="CV750" s="73"/>
      <c r="CW750" s="73"/>
      <c r="CX750" s="73"/>
      <c r="CY750" s="73"/>
      <c r="CZ750" s="73"/>
      <c r="DA750" s="73"/>
      <c r="DB750" s="73"/>
      <c r="DC750" s="73"/>
      <c r="DD750" s="73"/>
      <c r="DE750" s="73"/>
      <c r="DF750" s="73"/>
      <c r="DG750" s="73"/>
      <c r="DH750" s="73"/>
      <c r="DI750" s="73"/>
      <c r="DJ750" s="73"/>
      <c r="DK750" s="73"/>
      <c r="DL750" s="73"/>
      <c r="DM750" s="73"/>
      <c r="DN750" s="73"/>
      <c r="DO750" s="73"/>
      <c r="DP750" s="73"/>
      <c r="DQ750" s="73"/>
      <c r="DR750" s="73"/>
      <c r="DS750" s="73"/>
      <c r="DT750" s="73"/>
      <c r="DU750" s="73"/>
      <c r="DV750" s="73"/>
      <c r="DW750" s="73"/>
      <c r="DX750" s="73"/>
      <c r="DY750" s="73"/>
      <c r="DZ750" s="73"/>
      <c r="EA750" s="73"/>
      <c r="EB750" s="73"/>
      <c r="EC750" s="73"/>
      <c r="ED750" s="73"/>
      <c r="EE750" s="73"/>
      <c r="EF750" s="73"/>
      <c r="EG750" s="73"/>
      <c r="EH750" s="73"/>
      <c r="EI750" s="73"/>
      <c r="EJ750" s="73"/>
      <c r="EK750" s="73"/>
      <c r="EL750" s="73"/>
      <c r="EM750" s="73"/>
      <c r="EN750" s="73"/>
      <c r="EO750" s="73"/>
      <c r="EP750" s="69"/>
      <c r="EQ750" s="69"/>
      <c r="ER750" s="69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  <c r="CK751" s="73"/>
      <c r="CL751" s="73"/>
      <c r="CM751" s="73"/>
      <c r="CN751" s="73"/>
      <c r="CO751" s="73"/>
      <c r="CP751" s="73"/>
      <c r="CQ751" s="73"/>
      <c r="CR751" s="73"/>
      <c r="CS751" s="73"/>
      <c r="CT751" s="73"/>
      <c r="CU751" s="73"/>
      <c r="CV751" s="73"/>
      <c r="CW751" s="73"/>
      <c r="CX751" s="73"/>
      <c r="CY751" s="73"/>
      <c r="CZ751" s="73"/>
      <c r="DA751" s="73"/>
      <c r="DB751" s="73"/>
      <c r="DC751" s="73"/>
      <c r="DD751" s="73"/>
      <c r="DE751" s="73"/>
      <c r="DF751" s="73"/>
      <c r="DG751" s="73"/>
      <c r="DH751" s="73"/>
      <c r="DI751" s="73"/>
      <c r="DJ751" s="73"/>
      <c r="DK751" s="73"/>
      <c r="DL751" s="73"/>
      <c r="DM751" s="73"/>
      <c r="DN751" s="73"/>
      <c r="DO751" s="73"/>
      <c r="DP751" s="73"/>
      <c r="DQ751" s="73"/>
      <c r="DR751" s="73"/>
      <c r="DS751" s="73"/>
      <c r="DT751" s="73"/>
      <c r="DU751" s="73"/>
      <c r="DV751" s="73"/>
      <c r="DW751" s="73"/>
      <c r="DX751" s="72"/>
      <c r="DY751" s="72"/>
      <c r="DZ751" s="73"/>
      <c r="EA751" s="73"/>
      <c r="EB751" s="73"/>
      <c r="EC751" s="73"/>
      <c r="ED751" s="73"/>
      <c r="EE751" s="73"/>
      <c r="EF751" s="73"/>
      <c r="EG751" s="73"/>
      <c r="EH751" s="73"/>
      <c r="EI751" s="73"/>
      <c r="EJ751" s="73"/>
      <c r="EK751" s="73"/>
      <c r="EL751" s="73"/>
      <c r="EM751" s="73"/>
      <c r="EN751" s="73"/>
      <c r="EO751" s="73"/>
      <c r="EP751" s="69"/>
      <c r="EQ751" s="69"/>
      <c r="ER751" s="69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  <c r="CK752" s="73"/>
      <c r="CL752" s="73"/>
      <c r="CM752" s="73"/>
      <c r="CN752" s="73"/>
      <c r="CO752" s="73"/>
      <c r="CP752" s="73"/>
      <c r="CQ752" s="73"/>
      <c r="CR752" s="73"/>
      <c r="CS752" s="73"/>
      <c r="CT752" s="73"/>
      <c r="CU752" s="73"/>
      <c r="CV752" s="73"/>
      <c r="CW752" s="73"/>
      <c r="CX752" s="73"/>
      <c r="CY752" s="73"/>
      <c r="CZ752" s="73"/>
      <c r="DA752" s="73"/>
      <c r="DB752" s="73"/>
      <c r="DC752" s="73"/>
      <c r="DD752" s="73"/>
      <c r="DE752" s="73"/>
      <c r="DF752" s="73"/>
      <c r="DG752" s="73"/>
      <c r="DH752" s="73"/>
      <c r="DI752" s="73"/>
      <c r="DJ752" s="73"/>
      <c r="DK752" s="73"/>
      <c r="DL752" s="73"/>
      <c r="DM752" s="73"/>
      <c r="DN752" s="73"/>
      <c r="DO752" s="73"/>
      <c r="DP752" s="73"/>
      <c r="DQ752" s="73"/>
      <c r="DR752" s="73"/>
      <c r="DS752" s="73"/>
      <c r="DT752" s="73"/>
      <c r="DU752" s="73"/>
      <c r="DV752" s="73"/>
      <c r="DW752" s="73"/>
      <c r="DX752" s="72"/>
      <c r="DY752" s="72"/>
      <c r="DZ752" s="73"/>
      <c r="EA752" s="73"/>
      <c r="EB752" s="73"/>
      <c r="EC752" s="73"/>
      <c r="ED752" s="73"/>
      <c r="EE752" s="73"/>
      <c r="EF752" s="73"/>
      <c r="EG752" s="73"/>
      <c r="EH752" s="73"/>
      <c r="EI752" s="73"/>
      <c r="EJ752" s="73"/>
      <c r="EK752" s="73"/>
      <c r="EL752" s="73"/>
      <c r="EM752" s="73"/>
      <c r="EN752" s="73"/>
      <c r="EO752" s="73"/>
      <c r="EP752" s="69"/>
      <c r="EQ752" s="69"/>
      <c r="ER752" s="69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  <c r="CK753" s="73"/>
      <c r="CL753" s="73"/>
      <c r="CM753" s="73"/>
      <c r="CN753" s="73"/>
      <c r="CO753" s="73"/>
      <c r="CP753" s="73"/>
      <c r="CQ753" s="73"/>
      <c r="CR753" s="73"/>
      <c r="CS753" s="73"/>
      <c r="CT753" s="73"/>
      <c r="CU753" s="73"/>
      <c r="CV753" s="73"/>
      <c r="CW753" s="73"/>
      <c r="CX753" s="73"/>
      <c r="CY753" s="73"/>
      <c r="CZ753" s="73"/>
      <c r="DA753" s="73"/>
      <c r="DB753" s="73"/>
      <c r="DC753" s="73"/>
      <c r="DD753" s="73"/>
      <c r="DE753" s="73"/>
      <c r="DF753" s="73"/>
      <c r="DG753" s="73"/>
      <c r="DH753" s="73"/>
      <c r="DI753" s="73"/>
      <c r="DJ753" s="73"/>
      <c r="DK753" s="73"/>
      <c r="DL753" s="73"/>
      <c r="DM753" s="73"/>
      <c r="DN753" s="73"/>
      <c r="DO753" s="73"/>
      <c r="DP753" s="73"/>
      <c r="DQ753" s="73"/>
      <c r="DR753" s="73"/>
      <c r="DS753" s="73"/>
      <c r="DT753" s="73"/>
      <c r="DU753" s="73"/>
      <c r="DV753" s="73"/>
      <c r="DW753" s="73"/>
      <c r="DX753" s="72"/>
      <c r="DY753" s="72"/>
      <c r="DZ753" s="73"/>
      <c r="EA753" s="73"/>
      <c r="EB753" s="73"/>
      <c r="EC753" s="73"/>
      <c r="ED753" s="73"/>
      <c r="EE753" s="73"/>
      <c r="EF753" s="73"/>
      <c r="EG753" s="73"/>
      <c r="EH753" s="73"/>
      <c r="EI753" s="73"/>
      <c r="EJ753" s="73"/>
      <c r="EK753" s="73"/>
      <c r="EL753" s="73"/>
      <c r="EM753" s="73"/>
      <c r="EN753" s="73"/>
      <c r="EO753" s="73"/>
      <c r="EP753" s="69"/>
      <c r="EQ753" s="69"/>
      <c r="ER753" s="69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  <c r="CK754" s="73"/>
      <c r="CL754" s="73"/>
      <c r="CM754" s="73"/>
      <c r="CN754" s="73"/>
      <c r="CO754" s="73"/>
      <c r="CP754" s="73"/>
      <c r="CQ754" s="73"/>
      <c r="CR754" s="73"/>
      <c r="CS754" s="73"/>
      <c r="CT754" s="73"/>
      <c r="CU754" s="73"/>
      <c r="CV754" s="73"/>
      <c r="CW754" s="73"/>
      <c r="CX754" s="73"/>
      <c r="CY754" s="73"/>
      <c r="CZ754" s="73"/>
      <c r="DA754" s="73"/>
      <c r="DB754" s="73"/>
      <c r="DC754" s="73"/>
      <c r="DD754" s="73"/>
      <c r="DE754" s="73"/>
      <c r="DF754" s="73"/>
      <c r="DG754" s="73"/>
      <c r="DH754" s="73"/>
      <c r="DI754" s="73"/>
      <c r="DJ754" s="73"/>
      <c r="DK754" s="73"/>
      <c r="DL754" s="73"/>
      <c r="DM754" s="73"/>
      <c r="DN754" s="73"/>
      <c r="DO754" s="73"/>
      <c r="DP754" s="73"/>
      <c r="DQ754" s="73"/>
      <c r="DR754" s="73"/>
      <c r="DS754" s="73"/>
      <c r="DT754" s="73"/>
      <c r="DU754" s="73"/>
      <c r="DV754" s="73"/>
      <c r="DW754" s="73"/>
      <c r="DX754" s="72"/>
      <c r="DY754" s="72"/>
      <c r="DZ754" s="73"/>
      <c r="EA754" s="73"/>
      <c r="EB754" s="73"/>
      <c r="EC754" s="73"/>
      <c r="ED754" s="73"/>
      <c r="EE754" s="73"/>
      <c r="EF754" s="73"/>
      <c r="EG754" s="73"/>
      <c r="EH754" s="73"/>
      <c r="EI754" s="73"/>
      <c r="EJ754" s="73"/>
      <c r="EK754" s="73"/>
      <c r="EL754" s="73"/>
      <c r="EM754" s="73"/>
      <c r="EN754" s="73"/>
      <c r="EO754" s="73"/>
      <c r="EP754" s="69"/>
      <c r="EQ754" s="69"/>
      <c r="ER754" s="69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  <c r="CK755" s="73"/>
      <c r="CL755" s="73"/>
      <c r="CM755" s="73"/>
      <c r="CN755" s="73"/>
      <c r="CO755" s="73"/>
      <c r="CP755" s="73"/>
      <c r="CQ755" s="73"/>
      <c r="CR755" s="73"/>
      <c r="CS755" s="73"/>
      <c r="CT755" s="73"/>
      <c r="CU755" s="73"/>
      <c r="CV755" s="73"/>
      <c r="CW755" s="73"/>
      <c r="CX755" s="73"/>
      <c r="CY755" s="73"/>
      <c r="CZ755" s="73"/>
      <c r="DA755" s="73"/>
      <c r="DB755" s="73"/>
      <c r="DC755" s="73"/>
      <c r="DD755" s="73"/>
      <c r="DE755" s="73"/>
      <c r="DF755" s="73"/>
      <c r="DG755" s="73"/>
      <c r="DH755" s="73"/>
      <c r="DI755" s="73"/>
      <c r="DJ755" s="73"/>
      <c r="DK755" s="73"/>
      <c r="DL755" s="73"/>
      <c r="DM755" s="73"/>
      <c r="DN755" s="73"/>
      <c r="DO755" s="73"/>
      <c r="DP755" s="73"/>
      <c r="DQ755" s="73"/>
      <c r="DR755" s="73"/>
      <c r="DS755" s="73"/>
      <c r="DT755" s="73"/>
      <c r="DU755" s="73"/>
      <c r="DV755" s="73"/>
      <c r="DW755" s="73"/>
      <c r="DX755" s="72"/>
      <c r="DY755" s="72"/>
      <c r="DZ755" s="73"/>
      <c r="EA755" s="73"/>
      <c r="EB755" s="73"/>
      <c r="EC755" s="73"/>
      <c r="ED755" s="73"/>
      <c r="EE755" s="73"/>
      <c r="EF755" s="73"/>
      <c r="EG755" s="73"/>
      <c r="EH755" s="73"/>
      <c r="EI755" s="73"/>
      <c r="EJ755" s="73"/>
      <c r="EK755" s="73"/>
      <c r="EL755" s="73"/>
      <c r="EM755" s="73"/>
      <c r="EN755" s="73"/>
      <c r="EO755" s="73"/>
      <c r="EP755" s="69"/>
      <c r="EQ755" s="69"/>
      <c r="ER755" s="69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  <c r="CK756" s="73"/>
      <c r="CL756" s="73"/>
      <c r="CM756" s="73"/>
      <c r="CN756" s="73"/>
      <c r="CO756" s="73"/>
      <c r="CP756" s="73"/>
      <c r="CQ756" s="73"/>
      <c r="CR756" s="73"/>
      <c r="CS756" s="73"/>
      <c r="CT756" s="73"/>
      <c r="CU756" s="73"/>
      <c r="CV756" s="73"/>
      <c r="CW756" s="73"/>
      <c r="CX756" s="73"/>
      <c r="CY756" s="73"/>
      <c r="CZ756" s="73"/>
      <c r="DA756" s="73"/>
      <c r="DB756" s="73"/>
      <c r="DC756" s="73"/>
      <c r="DD756" s="73"/>
      <c r="DE756" s="73"/>
      <c r="DF756" s="73"/>
      <c r="DG756" s="73"/>
      <c r="DH756" s="73"/>
      <c r="DI756" s="73"/>
      <c r="DJ756" s="73"/>
      <c r="DK756" s="73"/>
      <c r="DL756" s="73"/>
      <c r="DM756" s="73"/>
      <c r="DN756" s="73"/>
      <c r="DO756" s="73"/>
      <c r="DP756" s="73"/>
      <c r="DQ756" s="73"/>
      <c r="DR756" s="73"/>
      <c r="DS756" s="73"/>
      <c r="DT756" s="73"/>
      <c r="DU756" s="73"/>
      <c r="DV756" s="73"/>
      <c r="DW756" s="73"/>
      <c r="DX756" s="72"/>
      <c r="DY756" s="72"/>
      <c r="DZ756" s="73"/>
      <c r="EA756" s="73"/>
      <c r="EB756" s="73"/>
      <c r="EC756" s="73"/>
      <c r="ED756" s="73"/>
      <c r="EE756" s="73"/>
      <c r="EF756" s="73"/>
      <c r="EG756" s="73"/>
      <c r="EH756" s="73"/>
      <c r="EI756" s="73"/>
      <c r="EJ756" s="73"/>
      <c r="EK756" s="73"/>
      <c r="EL756" s="73"/>
      <c r="EM756" s="73"/>
      <c r="EN756" s="73"/>
      <c r="EO756" s="73"/>
      <c r="EP756" s="69"/>
      <c r="EQ756" s="69"/>
      <c r="ER756" s="69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  <c r="CK757" s="73"/>
      <c r="CL757" s="73"/>
      <c r="CM757" s="73"/>
      <c r="CN757" s="73"/>
      <c r="CO757" s="73"/>
      <c r="CP757" s="73"/>
      <c r="CQ757" s="73"/>
      <c r="CR757" s="73"/>
      <c r="CS757" s="73"/>
      <c r="CT757" s="73"/>
      <c r="CU757" s="73"/>
      <c r="CV757" s="73"/>
      <c r="CW757" s="73"/>
      <c r="CX757" s="73"/>
      <c r="CY757" s="73"/>
      <c r="CZ757" s="73"/>
      <c r="DA757" s="73"/>
      <c r="DB757" s="73"/>
      <c r="DC757" s="73"/>
      <c r="DD757" s="73"/>
      <c r="DE757" s="73"/>
      <c r="DF757" s="73"/>
      <c r="DG757" s="73"/>
      <c r="DH757" s="73"/>
      <c r="DI757" s="73"/>
      <c r="DJ757" s="73"/>
      <c r="DK757" s="73"/>
      <c r="DL757" s="73"/>
      <c r="DM757" s="73"/>
      <c r="DN757" s="73"/>
      <c r="DO757" s="73"/>
      <c r="DP757" s="73"/>
      <c r="DQ757" s="73"/>
      <c r="DR757" s="73"/>
      <c r="DS757" s="73"/>
      <c r="DT757" s="73"/>
      <c r="DU757" s="73"/>
      <c r="DV757" s="73"/>
      <c r="DW757" s="73"/>
      <c r="DX757" s="72"/>
      <c r="DY757" s="72"/>
      <c r="DZ757" s="73"/>
      <c r="EA757" s="73"/>
      <c r="EB757" s="73"/>
      <c r="EC757" s="73"/>
      <c r="ED757" s="73"/>
      <c r="EE757" s="73"/>
      <c r="EF757" s="73"/>
      <c r="EG757" s="73"/>
      <c r="EH757" s="73"/>
      <c r="EI757" s="73"/>
      <c r="EJ757" s="73"/>
      <c r="EK757" s="73"/>
      <c r="EL757" s="73"/>
      <c r="EM757" s="73"/>
      <c r="EN757" s="73"/>
      <c r="EO757" s="73"/>
      <c r="EP757" s="69"/>
      <c r="EQ757" s="69"/>
      <c r="ER757" s="69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  <c r="CK758" s="73"/>
      <c r="CL758" s="73"/>
      <c r="CM758" s="73"/>
      <c r="CN758" s="73"/>
      <c r="CO758" s="73"/>
      <c r="CP758" s="73"/>
      <c r="CQ758" s="73"/>
      <c r="CR758" s="73"/>
      <c r="CS758" s="73"/>
      <c r="CT758" s="73"/>
      <c r="CU758" s="73"/>
      <c r="CV758" s="73"/>
      <c r="CW758" s="73"/>
      <c r="CX758" s="73"/>
      <c r="CY758" s="73"/>
      <c r="CZ758" s="73"/>
      <c r="DA758" s="73"/>
      <c r="DB758" s="73"/>
      <c r="DC758" s="73"/>
      <c r="DD758" s="73"/>
      <c r="DE758" s="73"/>
      <c r="DF758" s="73"/>
      <c r="DG758" s="73"/>
      <c r="DH758" s="73"/>
      <c r="DI758" s="73"/>
      <c r="DJ758" s="73"/>
      <c r="DK758" s="73"/>
      <c r="DL758" s="73"/>
      <c r="DM758" s="73"/>
      <c r="DN758" s="73"/>
      <c r="DO758" s="73"/>
      <c r="DP758" s="73"/>
      <c r="DQ758" s="73"/>
      <c r="DR758" s="73"/>
      <c r="DS758" s="73"/>
      <c r="DT758" s="73"/>
      <c r="DU758" s="73"/>
      <c r="DV758" s="73"/>
      <c r="DW758" s="73"/>
      <c r="DX758" s="72"/>
      <c r="DY758" s="72"/>
      <c r="DZ758" s="73"/>
      <c r="EA758" s="73"/>
      <c r="EB758" s="73"/>
      <c r="EC758" s="73"/>
      <c r="ED758" s="73"/>
      <c r="EE758" s="73"/>
      <c r="EF758" s="73"/>
      <c r="EG758" s="73"/>
      <c r="EH758" s="73"/>
      <c r="EI758" s="73"/>
      <c r="EJ758" s="73"/>
      <c r="EK758" s="73"/>
      <c r="EL758" s="73"/>
      <c r="EM758" s="73"/>
      <c r="EN758" s="73"/>
      <c r="EO758" s="73"/>
      <c r="EP758" s="69"/>
      <c r="EQ758" s="69"/>
      <c r="ER758" s="69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  <c r="CK759" s="73"/>
      <c r="CL759" s="73"/>
      <c r="CM759" s="72"/>
      <c r="CN759" s="73"/>
      <c r="CO759" s="73"/>
      <c r="CP759" s="73"/>
      <c r="CQ759" s="73"/>
      <c r="CR759" s="73"/>
      <c r="CS759" s="73"/>
      <c r="CT759" s="73"/>
      <c r="CU759" s="73"/>
      <c r="CV759" s="73"/>
      <c r="CW759" s="73"/>
      <c r="CX759" s="73"/>
      <c r="CY759" s="73"/>
      <c r="CZ759" s="73"/>
      <c r="DA759" s="73"/>
      <c r="DB759" s="73"/>
      <c r="DC759" s="73"/>
      <c r="DD759" s="73"/>
      <c r="DE759" s="73"/>
      <c r="DF759" s="73"/>
      <c r="DG759" s="73"/>
      <c r="DH759" s="73"/>
      <c r="DI759" s="73"/>
      <c r="DJ759" s="73"/>
      <c r="DK759" s="73"/>
      <c r="DL759" s="73"/>
      <c r="DM759" s="73"/>
      <c r="DN759" s="73"/>
      <c r="DO759" s="73"/>
      <c r="DP759" s="73"/>
      <c r="DQ759" s="73"/>
      <c r="DR759" s="73"/>
      <c r="DS759" s="73"/>
      <c r="DT759" s="73"/>
      <c r="DU759" s="73"/>
      <c r="DV759" s="73"/>
      <c r="DW759" s="73"/>
      <c r="DX759" s="72"/>
      <c r="DY759" s="72"/>
      <c r="DZ759" s="73"/>
      <c r="EA759" s="73"/>
      <c r="EB759" s="73"/>
      <c r="EC759" s="73"/>
      <c r="ED759" s="73"/>
      <c r="EE759" s="73"/>
      <c r="EF759" s="73"/>
      <c r="EG759" s="73"/>
      <c r="EH759" s="73"/>
      <c r="EI759" s="73"/>
      <c r="EJ759" s="73"/>
      <c r="EK759" s="73"/>
      <c r="EL759" s="73"/>
      <c r="EM759" s="73"/>
      <c r="EN759" s="73"/>
      <c r="EO759" s="73"/>
      <c r="EP759" s="69"/>
      <c r="EQ759" s="69"/>
      <c r="ER759" s="69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  <c r="CK760" s="73"/>
      <c r="CL760" s="73"/>
      <c r="CM760" s="73"/>
      <c r="CN760" s="73"/>
      <c r="CO760" s="73"/>
      <c r="CP760" s="73"/>
      <c r="CQ760" s="73"/>
      <c r="CR760" s="73"/>
      <c r="CS760" s="73"/>
      <c r="CT760" s="73"/>
      <c r="CU760" s="73"/>
      <c r="CV760" s="73"/>
      <c r="CW760" s="73"/>
      <c r="CX760" s="73"/>
      <c r="CY760" s="73"/>
      <c r="CZ760" s="73"/>
      <c r="DA760" s="73"/>
      <c r="DB760" s="73"/>
      <c r="DC760" s="73"/>
      <c r="DD760" s="73"/>
      <c r="DE760" s="73"/>
      <c r="DF760" s="73"/>
      <c r="DG760" s="73"/>
      <c r="DH760" s="73"/>
      <c r="DI760" s="73"/>
      <c r="DJ760" s="73"/>
      <c r="DK760" s="73"/>
      <c r="DL760" s="73"/>
      <c r="DM760" s="73"/>
      <c r="DN760" s="73"/>
      <c r="DO760" s="73"/>
      <c r="DP760" s="73"/>
      <c r="DQ760" s="73"/>
      <c r="DR760" s="73"/>
      <c r="DS760" s="73"/>
      <c r="DT760" s="73"/>
      <c r="DU760" s="73"/>
      <c r="DV760" s="73"/>
      <c r="DW760" s="73"/>
      <c r="DX760" s="72"/>
      <c r="DY760" s="72"/>
      <c r="DZ760" s="73"/>
      <c r="EA760" s="73"/>
      <c r="EB760" s="73"/>
      <c r="EC760" s="73"/>
      <c r="ED760" s="73"/>
      <c r="EE760" s="73"/>
      <c r="EF760" s="73"/>
      <c r="EG760" s="73"/>
      <c r="EH760" s="73"/>
      <c r="EI760" s="73"/>
      <c r="EJ760" s="73"/>
      <c r="EK760" s="73"/>
      <c r="EL760" s="73"/>
      <c r="EM760" s="73"/>
      <c r="EN760" s="73"/>
      <c r="EO760" s="73"/>
      <c r="EP760" s="69"/>
      <c r="EQ760" s="69"/>
      <c r="ER760" s="69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  <c r="CK761" s="73"/>
      <c r="CL761" s="73"/>
      <c r="CM761" s="73"/>
      <c r="CN761" s="73"/>
      <c r="CO761" s="73"/>
      <c r="CP761" s="73"/>
      <c r="CQ761" s="73"/>
      <c r="CR761" s="73"/>
      <c r="CS761" s="73"/>
      <c r="CT761" s="73"/>
      <c r="CU761" s="73"/>
      <c r="CV761" s="73"/>
      <c r="CW761" s="73"/>
      <c r="CX761" s="73"/>
      <c r="CY761" s="73"/>
      <c r="CZ761" s="73"/>
      <c r="DA761" s="73"/>
      <c r="DB761" s="73"/>
      <c r="DC761" s="73"/>
      <c r="DD761" s="73"/>
      <c r="DE761" s="73"/>
      <c r="DF761" s="73"/>
      <c r="DG761" s="73"/>
      <c r="DH761" s="73"/>
      <c r="DI761" s="73"/>
      <c r="DJ761" s="73"/>
      <c r="DK761" s="73"/>
      <c r="DL761" s="73"/>
      <c r="DM761" s="73"/>
      <c r="DN761" s="73"/>
      <c r="DO761" s="73"/>
      <c r="DP761" s="73"/>
      <c r="DQ761" s="73"/>
      <c r="DR761" s="73"/>
      <c r="DS761" s="73"/>
      <c r="DT761" s="73"/>
      <c r="DU761" s="73"/>
      <c r="DV761" s="73"/>
      <c r="DW761" s="73"/>
      <c r="DX761" s="73"/>
      <c r="DY761" s="73"/>
      <c r="DZ761" s="73"/>
      <c r="EA761" s="73"/>
      <c r="EB761" s="73"/>
      <c r="EC761" s="73"/>
      <c r="ED761" s="73"/>
      <c r="EE761" s="73"/>
      <c r="EF761" s="73"/>
      <c r="EG761" s="73"/>
      <c r="EH761" s="73"/>
      <c r="EI761" s="73"/>
      <c r="EJ761" s="73"/>
      <c r="EK761" s="73"/>
      <c r="EL761" s="73"/>
      <c r="EM761" s="73"/>
      <c r="EN761" s="73"/>
      <c r="EO761" s="73"/>
      <c r="EP761" s="69"/>
      <c r="EQ761" s="69"/>
      <c r="ER761" s="69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  <c r="CK762" s="73"/>
      <c r="CL762" s="73"/>
      <c r="CM762" s="72"/>
      <c r="CN762" s="73"/>
      <c r="CO762" s="73"/>
      <c r="CP762" s="73"/>
      <c r="CQ762" s="73"/>
      <c r="CR762" s="73"/>
      <c r="CS762" s="73"/>
      <c r="CT762" s="73"/>
      <c r="CU762" s="73"/>
      <c r="CV762" s="73"/>
      <c r="CW762" s="73"/>
      <c r="CX762" s="73"/>
      <c r="CY762" s="73"/>
      <c r="CZ762" s="73"/>
      <c r="DA762" s="73"/>
      <c r="DB762" s="73"/>
      <c r="DC762" s="73"/>
      <c r="DD762" s="73"/>
      <c r="DE762" s="73"/>
      <c r="DF762" s="73"/>
      <c r="DG762" s="73"/>
      <c r="DH762" s="73"/>
      <c r="DI762" s="73"/>
      <c r="DJ762" s="73"/>
      <c r="DK762" s="73"/>
      <c r="DL762" s="73"/>
      <c r="DM762" s="73"/>
      <c r="DN762" s="73"/>
      <c r="DO762" s="73"/>
      <c r="DP762" s="73"/>
      <c r="DQ762" s="73"/>
      <c r="DR762" s="73"/>
      <c r="DS762" s="73"/>
      <c r="DT762" s="73"/>
      <c r="DU762" s="73"/>
      <c r="DV762" s="73"/>
      <c r="DW762" s="73"/>
      <c r="DX762" s="72"/>
      <c r="DY762" s="72"/>
      <c r="DZ762" s="73"/>
      <c r="EA762" s="73"/>
      <c r="EB762" s="73"/>
      <c r="EC762" s="73"/>
      <c r="ED762" s="73"/>
      <c r="EE762" s="73"/>
      <c r="EF762" s="73"/>
      <c r="EG762" s="73"/>
      <c r="EH762" s="73"/>
      <c r="EI762" s="73"/>
      <c r="EJ762" s="73"/>
      <c r="EK762" s="73"/>
      <c r="EL762" s="73"/>
      <c r="EM762" s="73"/>
      <c r="EN762" s="73"/>
      <c r="EO762" s="73"/>
      <c r="EP762" s="69"/>
      <c r="EQ762" s="69"/>
      <c r="ER762" s="69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  <c r="CK763" s="73"/>
      <c r="CL763" s="73"/>
      <c r="CM763" s="72"/>
      <c r="CN763" s="73"/>
      <c r="CO763" s="73"/>
      <c r="CP763" s="73"/>
      <c r="CQ763" s="73"/>
      <c r="CR763" s="73"/>
      <c r="CS763" s="73"/>
      <c r="CT763" s="73"/>
      <c r="CU763" s="73"/>
      <c r="CV763" s="73"/>
      <c r="CW763" s="73"/>
      <c r="CX763" s="73"/>
      <c r="CY763" s="73"/>
      <c r="CZ763" s="73"/>
      <c r="DA763" s="73"/>
      <c r="DB763" s="73"/>
      <c r="DC763" s="73"/>
      <c r="DD763" s="73"/>
      <c r="DE763" s="73"/>
      <c r="DF763" s="73"/>
      <c r="DG763" s="73"/>
      <c r="DH763" s="73"/>
      <c r="DI763" s="73"/>
      <c r="DJ763" s="73"/>
      <c r="DK763" s="73"/>
      <c r="DL763" s="73"/>
      <c r="DM763" s="73"/>
      <c r="DN763" s="73"/>
      <c r="DO763" s="73"/>
      <c r="DP763" s="73"/>
      <c r="DQ763" s="73"/>
      <c r="DR763" s="73"/>
      <c r="DS763" s="73"/>
      <c r="DT763" s="73"/>
      <c r="DU763" s="73"/>
      <c r="DV763" s="73"/>
      <c r="DW763" s="73"/>
      <c r="DX763" s="72"/>
      <c r="DY763" s="72"/>
      <c r="DZ763" s="73"/>
      <c r="EA763" s="73"/>
      <c r="EB763" s="73"/>
      <c r="EC763" s="73"/>
      <c r="ED763" s="73"/>
      <c r="EE763" s="73"/>
      <c r="EF763" s="73"/>
      <c r="EG763" s="73"/>
      <c r="EH763" s="73"/>
      <c r="EI763" s="73"/>
      <c r="EJ763" s="73"/>
      <c r="EK763" s="73"/>
      <c r="EL763" s="73"/>
      <c r="EM763" s="73"/>
      <c r="EN763" s="73"/>
      <c r="EO763" s="73"/>
      <c r="EP763" s="69"/>
      <c r="EQ763" s="69"/>
      <c r="ER763" s="69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  <c r="CK764" s="73"/>
      <c r="CL764" s="73"/>
      <c r="CM764" s="73"/>
      <c r="CN764" s="73"/>
      <c r="CO764" s="73"/>
      <c r="CP764" s="73"/>
      <c r="CQ764" s="73"/>
      <c r="CR764" s="73"/>
      <c r="CS764" s="73"/>
      <c r="CT764" s="73"/>
      <c r="CU764" s="73"/>
      <c r="CV764" s="73"/>
      <c r="CW764" s="73"/>
      <c r="CX764" s="73"/>
      <c r="CY764" s="73"/>
      <c r="CZ764" s="73"/>
      <c r="DA764" s="73"/>
      <c r="DB764" s="73"/>
      <c r="DC764" s="73"/>
      <c r="DD764" s="73"/>
      <c r="DE764" s="73"/>
      <c r="DF764" s="73"/>
      <c r="DG764" s="73"/>
      <c r="DH764" s="73"/>
      <c r="DI764" s="73"/>
      <c r="DJ764" s="73"/>
      <c r="DK764" s="73"/>
      <c r="DL764" s="73"/>
      <c r="DM764" s="73"/>
      <c r="DN764" s="73"/>
      <c r="DO764" s="73"/>
      <c r="DP764" s="73"/>
      <c r="DQ764" s="73"/>
      <c r="DR764" s="73"/>
      <c r="DS764" s="73"/>
      <c r="DT764" s="73"/>
      <c r="DU764" s="73"/>
      <c r="DV764" s="73"/>
      <c r="DW764" s="73"/>
      <c r="DX764" s="72"/>
      <c r="DY764" s="72"/>
      <c r="DZ764" s="73"/>
      <c r="EA764" s="73"/>
      <c r="EB764" s="73"/>
      <c r="EC764" s="73"/>
      <c r="ED764" s="73"/>
      <c r="EE764" s="73"/>
      <c r="EF764" s="73"/>
      <c r="EG764" s="73"/>
      <c r="EH764" s="73"/>
      <c r="EI764" s="73"/>
      <c r="EJ764" s="73"/>
      <c r="EK764" s="73"/>
      <c r="EL764" s="73"/>
      <c r="EM764" s="73"/>
      <c r="EN764" s="73"/>
      <c r="EO764" s="73"/>
      <c r="EP764" s="69"/>
      <c r="EQ764" s="69"/>
      <c r="ER764" s="69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  <c r="CK765" s="73"/>
      <c r="CL765" s="73"/>
      <c r="CM765" s="73"/>
      <c r="CN765" s="73"/>
      <c r="CO765" s="73"/>
      <c r="CP765" s="73"/>
      <c r="CQ765" s="73"/>
      <c r="CR765" s="73"/>
      <c r="CS765" s="73"/>
      <c r="CT765" s="73"/>
      <c r="CU765" s="73"/>
      <c r="CV765" s="73"/>
      <c r="CW765" s="73"/>
      <c r="CX765" s="73"/>
      <c r="CY765" s="73"/>
      <c r="CZ765" s="73"/>
      <c r="DA765" s="73"/>
      <c r="DB765" s="73"/>
      <c r="DC765" s="73"/>
      <c r="DD765" s="73"/>
      <c r="DE765" s="73"/>
      <c r="DF765" s="73"/>
      <c r="DG765" s="73"/>
      <c r="DH765" s="73"/>
      <c r="DI765" s="73"/>
      <c r="DJ765" s="73"/>
      <c r="DK765" s="73"/>
      <c r="DL765" s="73"/>
      <c r="DM765" s="73"/>
      <c r="DN765" s="73"/>
      <c r="DO765" s="73"/>
      <c r="DP765" s="73"/>
      <c r="DQ765" s="73"/>
      <c r="DR765" s="73"/>
      <c r="DS765" s="73"/>
      <c r="DT765" s="73"/>
      <c r="DU765" s="73"/>
      <c r="DV765" s="73"/>
      <c r="DW765" s="73"/>
      <c r="DX765" s="72"/>
      <c r="DY765" s="72"/>
      <c r="DZ765" s="73"/>
      <c r="EA765" s="73"/>
      <c r="EB765" s="73"/>
      <c r="EC765" s="73"/>
      <c r="ED765" s="73"/>
      <c r="EE765" s="73"/>
      <c r="EF765" s="73"/>
      <c r="EG765" s="73"/>
      <c r="EH765" s="73"/>
      <c r="EI765" s="73"/>
      <c r="EJ765" s="73"/>
      <c r="EK765" s="73"/>
      <c r="EL765" s="73"/>
      <c r="EM765" s="73"/>
      <c r="EN765" s="73"/>
      <c r="EO765" s="73"/>
      <c r="EP765" s="69"/>
      <c r="EQ765" s="69"/>
      <c r="ER765" s="69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  <c r="CK766" s="73"/>
      <c r="CL766" s="73"/>
      <c r="CM766" s="73"/>
      <c r="CN766" s="73"/>
      <c r="CO766" s="73"/>
      <c r="CP766" s="73"/>
      <c r="CQ766" s="73"/>
      <c r="CR766" s="73"/>
      <c r="CS766" s="73"/>
      <c r="CT766" s="73"/>
      <c r="CU766" s="73"/>
      <c r="CV766" s="73"/>
      <c r="CW766" s="73"/>
      <c r="CX766" s="73"/>
      <c r="CY766" s="73"/>
      <c r="CZ766" s="73"/>
      <c r="DA766" s="73"/>
      <c r="DB766" s="73"/>
      <c r="DC766" s="73"/>
      <c r="DD766" s="73"/>
      <c r="DE766" s="73"/>
      <c r="DF766" s="73"/>
      <c r="DG766" s="73"/>
      <c r="DH766" s="73"/>
      <c r="DI766" s="73"/>
      <c r="DJ766" s="73"/>
      <c r="DK766" s="73"/>
      <c r="DL766" s="73"/>
      <c r="DM766" s="73"/>
      <c r="DN766" s="73"/>
      <c r="DO766" s="73"/>
      <c r="DP766" s="73"/>
      <c r="DQ766" s="73"/>
      <c r="DR766" s="73"/>
      <c r="DS766" s="73"/>
      <c r="DT766" s="73"/>
      <c r="DU766" s="73"/>
      <c r="DV766" s="73"/>
      <c r="DW766" s="73"/>
      <c r="DX766" s="72"/>
      <c r="DY766" s="72"/>
      <c r="DZ766" s="73"/>
      <c r="EA766" s="73"/>
      <c r="EB766" s="73"/>
      <c r="EC766" s="73"/>
      <c r="ED766" s="73"/>
      <c r="EE766" s="73"/>
      <c r="EF766" s="73"/>
      <c r="EG766" s="73"/>
      <c r="EH766" s="73"/>
      <c r="EI766" s="73"/>
      <c r="EJ766" s="73"/>
      <c r="EK766" s="73"/>
      <c r="EL766" s="73"/>
      <c r="EM766" s="73"/>
      <c r="EN766" s="73"/>
      <c r="EO766" s="73"/>
      <c r="EP766" s="69"/>
      <c r="EQ766" s="69"/>
      <c r="ER766" s="69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  <c r="CK767" s="73"/>
      <c r="CL767" s="73"/>
      <c r="CM767" s="73"/>
      <c r="CN767" s="73"/>
      <c r="CO767" s="73"/>
      <c r="CP767" s="73"/>
      <c r="CQ767" s="73"/>
      <c r="CR767" s="73"/>
      <c r="CS767" s="73"/>
      <c r="CT767" s="73"/>
      <c r="CU767" s="73"/>
      <c r="CV767" s="73"/>
      <c r="CW767" s="73"/>
      <c r="CX767" s="73"/>
      <c r="CY767" s="73"/>
      <c r="CZ767" s="73"/>
      <c r="DA767" s="73"/>
      <c r="DB767" s="73"/>
      <c r="DC767" s="73"/>
      <c r="DD767" s="73"/>
      <c r="DE767" s="73"/>
      <c r="DF767" s="73"/>
      <c r="DG767" s="73"/>
      <c r="DH767" s="73"/>
      <c r="DI767" s="73"/>
      <c r="DJ767" s="73"/>
      <c r="DK767" s="73"/>
      <c r="DL767" s="73"/>
      <c r="DM767" s="73"/>
      <c r="DN767" s="73"/>
      <c r="DO767" s="73"/>
      <c r="DP767" s="73"/>
      <c r="DQ767" s="73"/>
      <c r="DR767" s="73"/>
      <c r="DS767" s="73"/>
      <c r="DT767" s="73"/>
      <c r="DU767" s="73"/>
      <c r="DV767" s="73"/>
      <c r="DW767" s="73"/>
      <c r="DX767" s="73"/>
      <c r="DY767" s="73"/>
      <c r="DZ767" s="73"/>
      <c r="EA767" s="73"/>
      <c r="EB767" s="73"/>
      <c r="EC767" s="73"/>
      <c r="ED767" s="73"/>
      <c r="EE767" s="73"/>
      <c r="EF767" s="73"/>
      <c r="EG767" s="73"/>
      <c r="EH767" s="73"/>
      <c r="EI767" s="73"/>
      <c r="EJ767" s="73"/>
      <c r="EK767" s="73"/>
      <c r="EL767" s="73"/>
      <c r="EM767" s="73"/>
      <c r="EN767" s="73"/>
      <c r="EO767" s="73"/>
      <c r="EP767" s="69"/>
      <c r="EQ767" s="69"/>
      <c r="ER767" s="69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  <c r="CK768" s="73"/>
      <c r="CL768" s="73"/>
      <c r="CM768" s="73"/>
      <c r="CN768" s="73"/>
      <c r="CO768" s="73"/>
      <c r="CP768" s="73"/>
      <c r="CQ768" s="73"/>
      <c r="CR768" s="73"/>
      <c r="CS768" s="73"/>
      <c r="CT768" s="73"/>
      <c r="CU768" s="73"/>
      <c r="CV768" s="73"/>
      <c r="CW768" s="73"/>
      <c r="CX768" s="73"/>
      <c r="CY768" s="73"/>
      <c r="CZ768" s="73"/>
      <c r="DA768" s="73"/>
      <c r="DB768" s="73"/>
      <c r="DC768" s="73"/>
      <c r="DD768" s="73"/>
      <c r="DE768" s="73"/>
      <c r="DF768" s="73"/>
      <c r="DG768" s="73"/>
      <c r="DH768" s="73"/>
      <c r="DI768" s="73"/>
      <c r="DJ768" s="73"/>
      <c r="DK768" s="73"/>
      <c r="DL768" s="73"/>
      <c r="DM768" s="73"/>
      <c r="DN768" s="73"/>
      <c r="DO768" s="73"/>
      <c r="DP768" s="73"/>
      <c r="DQ768" s="73"/>
      <c r="DR768" s="73"/>
      <c r="DS768" s="73"/>
      <c r="DT768" s="73"/>
      <c r="DU768" s="73"/>
      <c r="DV768" s="73"/>
      <c r="DW768" s="73"/>
      <c r="DX768" s="72"/>
      <c r="DY768" s="72"/>
      <c r="DZ768" s="73"/>
      <c r="EA768" s="73"/>
      <c r="EB768" s="73"/>
      <c r="EC768" s="73"/>
      <c r="ED768" s="73"/>
      <c r="EE768" s="73"/>
      <c r="EF768" s="73"/>
      <c r="EG768" s="73"/>
      <c r="EH768" s="73"/>
      <c r="EI768" s="73"/>
      <c r="EJ768" s="73"/>
      <c r="EK768" s="73"/>
      <c r="EL768" s="73"/>
      <c r="EM768" s="73"/>
      <c r="EN768" s="73"/>
      <c r="EO768" s="73"/>
      <c r="EP768" s="69"/>
      <c r="EQ768" s="69"/>
      <c r="ER768" s="69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  <c r="CK769" s="73"/>
      <c r="CL769" s="73"/>
      <c r="CM769" s="73"/>
      <c r="CN769" s="73"/>
      <c r="CO769" s="73"/>
      <c r="CP769" s="73"/>
      <c r="CQ769" s="73"/>
      <c r="CR769" s="73"/>
      <c r="CS769" s="73"/>
      <c r="CT769" s="73"/>
      <c r="CU769" s="73"/>
      <c r="CV769" s="73"/>
      <c r="CW769" s="73"/>
      <c r="CX769" s="73"/>
      <c r="CY769" s="73"/>
      <c r="CZ769" s="73"/>
      <c r="DA769" s="73"/>
      <c r="DB769" s="73"/>
      <c r="DC769" s="73"/>
      <c r="DD769" s="73"/>
      <c r="DE769" s="73"/>
      <c r="DF769" s="73"/>
      <c r="DG769" s="73"/>
      <c r="DH769" s="73"/>
      <c r="DI769" s="73"/>
      <c r="DJ769" s="73"/>
      <c r="DK769" s="73"/>
      <c r="DL769" s="73"/>
      <c r="DM769" s="73"/>
      <c r="DN769" s="73"/>
      <c r="DO769" s="73"/>
      <c r="DP769" s="73"/>
      <c r="DQ769" s="73"/>
      <c r="DR769" s="73"/>
      <c r="DS769" s="73"/>
      <c r="DT769" s="73"/>
      <c r="DU769" s="73"/>
      <c r="DV769" s="73"/>
      <c r="DW769" s="73"/>
      <c r="DX769" s="72"/>
      <c r="DY769" s="72"/>
      <c r="DZ769" s="73"/>
      <c r="EA769" s="73"/>
      <c r="EB769" s="73"/>
      <c r="EC769" s="73"/>
      <c r="ED769" s="73"/>
      <c r="EE769" s="73"/>
      <c r="EF769" s="73"/>
      <c r="EG769" s="73"/>
      <c r="EH769" s="73"/>
      <c r="EI769" s="73"/>
      <c r="EJ769" s="73"/>
      <c r="EK769" s="73"/>
      <c r="EL769" s="73"/>
      <c r="EM769" s="73"/>
      <c r="EN769" s="73"/>
      <c r="EO769" s="73"/>
      <c r="EP769" s="69"/>
      <c r="EQ769" s="69"/>
      <c r="ER769" s="69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  <c r="CK770" s="73"/>
      <c r="CL770" s="73"/>
      <c r="CM770" s="73"/>
      <c r="CN770" s="73"/>
      <c r="CO770" s="73"/>
      <c r="CP770" s="73"/>
      <c r="CQ770" s="73"/>
      <c r="CR770" s="73"/>
      <c r="CS770" s="73"/>
      <c r="CT770" s="73"/>
      <c r="CU770" s="73"/>
      <c r="CV770" s="73"/>
      <c r="CW770" s="73"/>
      <c r="CX770" s="73"/>
      <c r="CY770" s="73"/>
      <c r="CZ770" s="73"/>
      <c r="DA770" s="73"/>
      <c r="DB770" s="73"/>
      <c r="DC770" s="73"/>
      <c r="DD770" s="73"/>
      <c r="DE770" s="73"/>
      <c r="DF770" s="73"/>
      <c r="DG770" s="73"/>
      <c r="DH770" s="73"/>
      <c r="DI770" s="73"/>
      <c r="DJ770" s="73"/>
      <c r="DK770" s="73"/>
      <c r="DL770" s="73"/>
      <c r="DM770" s="73"/>
      <c r="DN770" s="73"/>
      <c r="DO770" s="73"/>
      <c r="DP770" s="73"/>
      <c r="DQ770" s="73"/>
      <c r="DR770" s="73"/>
      <c r="DS770" s="73"/>
      <c r="DT770" s="73"/>
      <c r="DU770" s="73"/>
      <c r="DV770" s="73"/>
      <c r="DW770" s="73"/>
      <c r="DX770" s="72"/>
      <c r="DY770" s="72"/>
      <c r="DZ770" s="73"/>
      <c r="EA770" s="73"/>
      <c r="EB770" s="73"/>
      <c r="EC770" s="73"/>
      <c r="ED770" s="73"/>
      <c r="EE770" s="73"/>
      <c r="EF770" s="73"/>
      <c r="EG770" s="73"/>
      <c r="EH770" s="73"/>
      <c r="EI770" s="73"/>
      <c r="EJ770" s="73"/>
      <c r="EK770" s="73"/>
      <c r="EL770" s="73"/>
      <c r="EM770" s="73"/>
      <c r="EN770" s="73"/>
      <c r="EO770" s="73"/>
      <c r="EP770" s="69"/>
      <c r="EQ770" s="69"/>
      <c r="ER770" s="69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  <c r="CK771" s="73"/>
      <c r="CL771" s="73"/>
      <c r="CM771" s="72"/>
      <c r="CN771" s="73"/>
      <c r="CO771" s="73"/>
      <c r="CP771" s="73"/>
      <c r="CQ771" s="73"/>
      <c r="CR771" s="73"/>
      <c r="CS771" s="73"/>
      <c r="CT771" s="73"/>
      <c r="CU771" s="73"/>
      <c r="CV771" s="73"/>
      <c r="CW771" s="73"/>
      <c r="CX771" s="73"/>
      <c r="CY771" s="73"/>
      <c r="CZ771" s="73"/>
      <c r="DA771" s="73"/>
      <c r="DB771" s="73"/>
      <c r="DC771" s="73"/>
      <c r="DD771" s="73"/>
      <c r="DE771" s="73"/>
      <c r="DF771" s="73"/>
      <c r="DG771" s="73"/>
      <c r="DH771" s="73"/>
      <c r="DI771" s="73"/>
      <c r="DJ771" s="73"/>
      <c r="DK771" s="73"/>
      <c r="DL771" s="73"/>
      <c r="DM771" s="73"/>
      <c r="DN771" s="73"/>
      <c r="DO771" s="73"/>
      <c r="DP771" s="73"/>
      <c r="DQ771" s="73"/>
      <c r="DR771" s="73"/>
      <c r="DS771" s="73"/>
      <c r="DT771" s="73"/>
      <c r="DU771" s="73"/>
      <c r="DV771" s="73"/>
      <c r="DW771" s="73"/>
      <c r="DX771" s="72"/>
      <c r="DY771" s="72"/>
      <c r="DZ771" s="73"/>
      <c r="EA771" s="73"/>
      <c r="EB771" s="73"/>
      <c r="EC771" s="73"/>
      <c r="ED771" s="73"/>
      <c r="EE771" s="73"/>
      <c r="EF771" s="73"/>
      <c r="EG771" s="73"/>
      <c r="EH771" s="73"/>
      <c r="EI771" s="73"/>
      <c r="EJ771" s="73"/>
      <c r="EK771" s="73"/>
      <c r="EL771" s="73"/>
      <c r="EM771" s="73"/>
      <c r="EN771" s="73"/>
      <c r="EO771" s="73"/>
      <c r="EP771" s="69"/>
      <c r="EQ771" s="69"/>
      <c r="ER771" s="69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  <c r="CI772" s="73"/>
      <c r="CJ772" s="73"/>
      <c r="CK772" s="73"/>
      <c r="CL772" s="73"/>
      <c r="CM772" s="72"/>
      <c r="CN772" s="73"/>
      <c r="CO772" s="73"/>
      <c r="CP772" s="73"/>
      <c r="CQ772" s="73"/>
      <c r="CR772" s="73"/>
      <c r="CS772" s="73"/>
      <c r="CT772" s="73"/>
      <c r="CU772" s="73"/>
      <c r="CV772" s="73"/>
      <c r="CW772" s="73"/>
      <c r="CX772" s="73"/>
      <c r="CY772" s="73"/>
      <c r="CZ772" s="73"/>
      <c r="DA772" s="73"/>
      <c r="DB772" s="73"/>
      <c r="DC772" s="73"/>
      <c r="DD772" s="73"/>
      <c r="DE772" s="73"/>
      <c r="DF772" s="73"/>
      <c r="DG772" s="73"/>
      <c r="DH772" s="73"/>
      <c r="DI772" s="73"/>
      <c r="DJ772" s="73"/>
      <c r="DK772" s="73"/>
      <c r="DL772" s="73"/>
      <c r="DM772" s="73"/>
      <c r="DN772" s="73"/>
      <c r="DO772" s="73"/>
      <c r="DP772" s="73"/>
      <c r="DQ772" s="73"/>
      <c r="DR772" s="73"/>
      <c r="DS772" s="73"/>
      <c r="DT772" s="73"/>
      <c r="DU772" s="73"/>
      <c r="DV772" s="73"/>
      <c r="DW772" s="73"/>
      <c r="DX772" s="72"/>
      <c r="DY772" s="72"/>
      <c r="DZ772" s="73"/>
      <c r="EA772" s="73"/>
      <c r="EB772" s="73"/>
      <c r="EC772" s="73"/>
      <c r="ED772" s="73"/>
      <c r="EE772" s="73"/>
      <c r="EF772" s="73"/>
      <c r="EG772" s="73"/>
      <c r="EH772" s="73"/>
      <c r="EI772" s="73"/>
      <c r="EJ772" s="73"/>
      <c r="EK772" s="73"/>
      <c r="EL772" s="73"/>
      <c r="EM772" s="73"/>
      <c r="EN772" s="73"/>
      <c r="EO772" s="73"/>
      <c r="EP772" s="69"/>
      <c r="EQ772" s="69"/>
      <c r="ER772" s="69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  <c r="CI773" s="73"/>
      <c r="CJ773" s="73"/>
      <c r="CK773" s="73"/>
      <c r="CL773" s="73"/>
      <c r="CM773" s="73"/>
      <c r="CN773" s="73"/>
      <c r="CO773" s="73"/>
      <c r="CP773" s="73"/>
      <c r="CQ773" s="73"/>
      <c r="CR773" s="73"/>
      <c r="CS773" s="73"/>
      <c r="CT773" s="73"/>
      <c r="CU773" s="73"/>
      <c r="CV773" s="73"/>
      <c r="CW773" s="73"/>
      <c r="CX773" s="73"/>
      <c r="CY773" s="73"/>
      <c r="CZ773" s="73"/>
      <c r="DA773" s="73"/>
      <c r="DB773" s="73"/>
      <c r="DC773" s="73"/>
      <c r="DD773" s="73"/>
      <c r="DE773" s="73"/>
      <c r="DF773" s="73"/>
      <c r="DG773" s="73"/>
      <c r="DH773" s="73"/>
      <c r="DI773" s="73"/>
      <c r="DJ773" s="73"/>
      <c r="DK773" s="73"/>
      <c r="DL773" s="73"/>
      <c r="DM773" s="73"/>
      <c r="DN773" s="73"/>
      <c r="DO773" s="73"/>
      <c r="DP773" s="73"/>
      <c r="DQ773" s="73"/>
      <c r="DR773" s="73"/>
      <c r="DS773" s="73"/>
      <c r="DT773" s="73"/>
      <c r="DU773" s="73"/>
      <c r="DV773" s="73"/>
      <c r="DW773" s="73"/>
      <c r="DX773" s="72"/>
      <c r="DY773" s="72"/>
      <c r="DZ773" s="73"/>
      <c r="EA773" s="73"/>
      <c r="EB773" s="73"/>
      <c r="EC773" s="73"/>
      <c r="ED773" s="73"/>
      <c r="EE773" s="73"/>
      <c r="EF773" s="73"/>
      <c r="EG773" s="73"/>
      <c r="EH773" s="73"/>
      <c r="EI773" s="73"/>
      <c r="EJ773" s="73"/>
      <c r="EK773" s="73"/>
      <c r="EL773" s="73"/>
      <c r="EM773" s="73"/>
      <c r="EN773" s="73"/>
      <c r="EO773" s="73"/>
      <c r="EP773" s="69"/>
      <c r="EQ773" s="69"/>
      <c r="ER773" s="69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  <c r="CI774" s="73"/>
      <c r="CJ774" s="73"/>
      <c r="CK774" s="73"/>
      <c r="CL774" s="73"/>
      <c r="CM774" s="72"/>
      <c r="CN774" s="73"/>
      <c r="CO774" s="73"/>
      <c r="CP774" s="73"/>
      <c r="CQ774" s="73"/>
      <c r="CR774" s="73"/>
      <c r="CS774" s="73"/>
      <c r="CT774" s="73"/>
      <c r="CU774" s="73"/>
      <c r="CV774" s="73"/>
      <c r="CW774" s="73"/>
      <c r="CX774" s="73"/>
      <c r="CY774" s="73"/>
      <c r="CZ774" s="73"/>
      <c r="DA774" s="73"/>
      <c r="DB774" s="73"/>
      <c r="DC774" s="73"/>
      <c r="DD774" s="73"/>
      <c r="DE774" s="73"/>
      <c r="DF774" s="73"/>
      <c r="DG774" s="73"/>
      <c r="DH774" s="73"/>
      <c r="DI774" s="73"/>
      <c r="DJ774" s="73"/>
      <c r="DK774" s="73"/>
      <c r="DL774" s="73"/>
      <c r="DM774" s="73"/>
      <c r="DN774" s="73"/>
      <c r="DO774" s="73"/>
      <c r="DP774" s="73"/>
      <c r="DQ774" s="73"/>
      <c r="DR774" s="73"/>
      <c r="DS774" s="73"/>
      <c r="DT774" s="73"/>
      <c r="DU774" s="73"/>
      <c r="DV774" s="73"/>
      <c r="DW774" s="73"/>
      <c r="DX774" s="72"/>
      <c r="DY774" s="72"/>
      <c r="DZ774" s="73"/>
      <c r="EA774" s="73"/>
      <c r="EB774" s="73"/>
      <c r="EC774" s="73"/>
      <c r="ED774" s="73"/>
      <c r="EE774" s="73"/>
      <c r="EF774" s="73"/>
      <c r="EG774" s="73"/>
      <c r="EH774" s="73"/>
      <c r="EI774" s="73"/>
      <c r="EJ774" s="73"/>
      <c r="EK774" s="73"/>
      <c r="EL774" s="73"/>
      <c r="EM774" s="73"/>
      <c r="EN774" s="73"/>
      <c r="EO774" s="73"/>
      <c r="EP774" s="69"/>
      <c r="EQ774" s="69"/>
      <c r="ER774" s="69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  <c r="CI775" s="73"/>
      <c r="CJ775" s="73"/>
      <c r="CK775" s="73"/>
      <c r="CL775" s="73"/>
      <c r="CM775" s="73"/>
      <c r="CN775" s="73"/>
      <c r="CO775" s="73"/>
      <c r="CP775" s="73"/>
      <c r="CQ775" s="73"/>
      <c r="CR775" s="73"/>
      <c r="CS775" s="73"/>
      <c r="CT775" s="73"/>
      <c r="CU775" s="73"/>
      <c r="CV775" s="73"/>
      <c r="CW775" s="73"/>
      <c r="CX775" s="73"/>
      <c r="CY775" s="73"/>
      <c r="CZ775" s="73"/>
      <c r="DA775" s="73"/>
      <c r="DB775" s="73"/>
      <c r="DC775" s="73"/>
      <c r="DD775" s="73"/>
      <c r="DE775" s="73"/>
      <c r="DF775" s="73"/>
      <c r="DG775" s="73"/>
      <c r="DH775" s="73"/>
      <c r="DI775" s="73"/>
      <c r="DJ775" s="73"/>
      <c r="DK775" s="73"/>
      <c r="DL775" s="73"/>
      <c r="DM775" s="73"/>
      <c r="DN775" s="73"/>
      <c r="DO775" s="73"/>
      <c r="DP775" s="73"/>
      <c r="DQ775" s="73"/>
      <c r="DR775" s="73"/>
      <c r="DS775" s="73"/>
      <c r="DT775" s="73"/>
      <c r="DU775" s="73"/>
      <c r="DV775" s="73"/>
      <c r="DW775" s="73"/>
      <c r="DX775" s="72"/>
      <c r="DY775" s="72"/>
      <c r="DZ775" s="73"/>
      <c r="EA775" s="73"/>
      <c r="EB775" s="73"/>
      <c r="EC775" s="73"/>
      <c r="ED775" s="73"/>
      <c r="EE775" s="73"/>
      <c r="EF775" s="73"/>
      <c r="EG775" s="73"/>
      <c r="EH775" s="73"/>
      <c r="EI775" s="73"/>
      <c r="EJ775" s="73"/>
      <c r="EK775" s="73"/>
      <c r="EL775" s="73"/>
      <c r="EM775" s="73"/>
      <c r="EN775" s="73"/>
      <c r="EO775" s="73"/>
      <c r="EP775" s="69"/>
      <c r="EQ775" s="69"/>
      <c r="ER775" s="69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  <c r="CI776" s="73"/>
      <c r="CJ776" s="73"/>
      <c r="CK776" s="73"/>
      <c r="CL776" s="73"/>
      <c r="CM776" s="73"/>
      <c r="CN776" s="73"/>
      <c r="CO776" s="73"/>
      <c r="CP776" s="73"/>
      <c r="CQ776" s="73"/>
      <c r="CR776" s="73"/>
      <c r="CS776" s="73"/>
      <c r="CT776" s="73"/>
      <c r="CU776" s="73"/>
      <c r="CV776" s="73"/>
      <c r="CW776" s="73"/>
      <c r="CX776" s="73"/>
      <c r="CY776" s="73"/>
      <c r="CZ776" s="73"/>
      <c r="DA776" s="73"/>
      <c r="DB776" s="73"/>
      <c r="DC776" s="73"/>
      <c r="DD776" s="73"/>
      <c r="DE776" s="73"/>
      <c r="DF776" s="73"/>
      <c r="DG776" s="73"/>
      <c r="DH776" s="73"/>
      <c r="DI776" s="73"/>
      <c r="DJ776" s="73"/>
      <c r="DK776" s="73"/>
      <c r="DL776" s="73"/>
      <c r="DM776" s="73"/>
      <c r="DN776" s="73"/>
      <c r="DO776" s="73"/>
      <c r="DP776" s="73"/>
      <c r="DQ776" s="73"/>
      <c r="DR776" s="73"/>
      <c r="DS776" s="73"/>
      <c r="DT776" s="73"/>
      <c r="DU776" s="73"/>
      <c r="DV776" s="73"/>
      <c r="DW776" s="73"/>
      <c r="DX776" s="72"/>
      <c r="DY776" s="72"/>
      <c r="DZ776" s="73"/>
      <c r="EA776" s="73"/>
      <c r="EB776" s="73"/>
      <c r="EC776" s="73"/>
      <c r="ED776" s="73"/>
      <c r="EE776" s="73"/>
      <c r="EF776" s="73"/>
      <c r="EG776" s="73"/>
      <c r="EH776" s="73"/>
      <c r="EI776" s="73"/>
      <c r="EJ776" s="73"/>
      <c r="EK776" s="73"/>
      <c r="EL776" s="73"/>
      <c r="EM776" s="73"/>
      <c r="EN776" s="73"/>
      <c r="EO776" s="73"/>
      <c r="EP776" s="69"/>
      <c r="EQ776" s="69"/>
      <c r="ER776" s="69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  <c r="CK777" s="73"/>
      <c r="CL777" s="73"/>
      <c r="CM777" s="73"/>
      <c r="CN777" s="73"/>
      <c r="CO777" s="73"/>
      <c r="CP777" s="73"/>
      <c r="CQ777" s="73"/>
      <c r="CR777" s="73"/>
      <c r="CS777" s="73"/>
      <c r="CT777" s="73"/>
      <c r="CU777" s="73"/>
      <c r="CV777" s="73"/>
      <c r="CW777" s="73"/>
      <c r="CX777" s="73"/>
      <c r="CY777" s="73"/>
      <c r="CZ777" s="73"/>
      <c r="DA777" s="73"/>
      <c r="DB777" s="73"/>
      <c r="DC777" s="73"/>
      <c r="DD777" s="73"/>
      <c r="DE777" s="73"/>
      <c r="DF777" s="73"/>
      <c r="DG777" s="73"/>
      <c r="DH777" s="73"/>
      <c r="DI777" s="73"/>
      <c r="DJ777" s="73"/>
      <c r="DK777" s="73"/>
      <c r="DL777" s="73"/>
      <c r="DM777" s="73"/>
      <c r="DN777" s="73"/>
      <c r="DO777" s="73"/>
      <c r="DP777" s="73"/>
      <c r="DQ777" s="73"/>
      <c r="DR777" s="73"/>
      <c r="DS777" s="73"/>
      <c r="DT777" s="73"/>
      <c r="DU777" s="73"/>
      <c r="DV777" s="73"/>
      <c r="DW777" s="73"/>
      <c r="DX777" s="72"/>
      <c r="DY777" s="72"/>
      <c r="DZ777" s="73"/>
      <c r="EA777" s="73"/>
      <c r="EB777" s="73"/>
      <c r="EC777" s="73"/>
      <c r="ED777" s="73"/>
      <c r="EE777" s="73"/>
      <c r="EF777" s="73"/>
      <c r="EG777" s="73"/>
      <c r="EH777" s="73"/>
      <c r="EI777" s="73"/>
      <c r="EJ777" s="73"/>
      <c r="EK777" s="73"/>
      <c r="EL777" s="73"/>
      <c r="EM777" s="73"/>
      <c r="EN777" s="73"/>
      <c r="EO777" s="73"/>
      <c r="EP777" s="69"/>
      <c r="EQ777" s="69"/>
      <c r="ER777" s="69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  <c r="CK778" s="73"/>
      <c r="CL778" s="73"/>
      <c r="CM778" s="73"/>
      <c r="CN778" s="73"/>
      <c r="CO778" s="73"/>
      <c r="CP778" s="73"/>
      <c r="CQ778" s="73"/>
      <c r="CR778" s="73"/>
      <c r="CS778" s="73"/>
      <c r="CT778" s="73"/>
      <c r="CU778" s="73"/>
      <c r="CV778" s="73"/>
      <c r="CW778" s="73"/>
      <c r="CX778" s="73"/>
      <c r="CY778" s="73"/>
      <c r="CZ778" s="73"/>
      <c r="DA778" s="73"/>
      <c r="DB778" s="73"/>
      <c r="DC778" s="73"/>
      <c r="DD778" s="73"/>
      <c r="DE778" s="73"/>
      <c r="DF778" s="73"/>
      <c r="DG778" s="73"/>
      <c r="DH778" s="73"/>
      <c r="DI778" s="73"/>
      <c r="DJ778" s="73"/>
      <c r="DK778" s="73"/>
      <c r="DL778" s="73"/>
      <c r="DM778" s="73"/>
      <c r="DN778" s="73"/>
      <c r="DO778" s="73"/>
      <c r="DP778" s="73"/>
      <c r="DQ778" s="73"/>
      <c r="DR778" s="73"/>
      <c r="DS778" s="73"/>
      <c r="DT778" s="73"/>
      <c r="DU778" s="73"/>
      <c r="DV778" s="73"/>
      <c r="DW778" s="73"/>
      <c r="DX778" s="73"/>
      <c r="DY778" s="73"/>
      <c r="DZ778" s="73"/>
      <c r="EA778" s="73"/>
      <c r="EB778" s="73"/>
      <c r="EC778" s="73"/>
      <c r="ED778" s="73"/>
      <c r="EE778" s="73"/>
      <c r="EF778" s="73"/>
      <c r="EG778" s="73"/>
      <c r="EH778" s="73"/>
      <c r="EI778" s="73"/>
      <c r="EJ778" s="73"/>
      <c r="EK778" s="73"/>
      <c r="EL778" s="73"/>
      <c r="EM778" s="73"/>
      <c r="EN778" s="73"/>
      <c r="EO778" s="73"/>
      <c r="EP778" s="69"/>
      <c r="EQ778" s="69"/>
      <c r="ER778" s="69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  <c r="CK779" s="73"/>
      <c r="CL779" s="73"/>
      <c r="CM779" s="73"/>
      <c r="CN779" s="73"/>
      <c r="CO779" s="73"/>
      <c r="CP779" s="73"/>
      <c r="CQ779" s="73"/>
      <c r="CR779" s="73"/>
      <c r="CS779" s="73"/>
      <c r="CT779" s="73"/>
      <c r="CU779" s="73"/>
      <c r="CV779" s="73"/>
      <c r="CW779" s="73"/>
      <c r="CX779" s="73"/>
      <c r="CY779" s="73"/>
      <c r="CZ779" s="73"/>
      <c r="DA779" s="73"/>
      <c r="DB779" s="73"/>
      <c r="DC779" s="73"/>
      <c r="DD779" s="73"/>
      <c r="DE779" s="73"/>
      <c r="DF779" s="73"/>
      <c r="DG779" s="73"/>
      <c r="DH779" s="73"/>
      <c r="DI779" s="73"/>
      <c r="DJ779" s="73"/>
      <c r="DK779" s="73"/>
      <c r="DL779" s="73"/>
      <c r="DM779" s="73"/>
      <c r="DN779" s="73"/>
      <c r="DO779" s="73"/>
      <c r="DP779" s="73"/>
      <c r="DQ779" s="73"/>
      <c r="DR779" s="73"/>
      <c r="DS779" s="73"/>
      <c r="DT779" s="73"/>
      <c r="DU779" s="73"/>
      <c r="DV779" s="73"/>
      <c r="DW779" s="73"/>
      <c r="DX779" s="72"/>
      <c r="DY779" s="72"/>
      <c r="DZ779" s="73"/>
      <c r="EA779" s="73"/>
      <c r="EB779" s="73"/>
      <c r="EC779" s="73"/>
      <c r="ED779" s="73"/>
      <c r="EE779" s="73"/>
      <c r="EF779" s="73"/>
      <c r="EG779" s="73"/>
      <c r="EH779" s="73"/>
      <c r="EI779" s="73"/>
      <c r="EJ779" s="73"/>
      <c r="EK779" s="73"/>
      <c r="EL779" s="73"/>
      <c r="EM779" s="73"/>
      <c r="EN779" s="73"/>
      <c r="EO779" s="73"/>
      <c r="EP779" s="69"/>
      <c r="EQ779" s="69"/>
      <c r="ER779" s="69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  <c r="CK780" s="73"/>
      <c r="CL780" s="73"/>
      <c r="CM780" s="72"/>
      <c r="CN780" s="73"/>
      <c r="CO780" s="73"/>
      <c r="CP780" s="73"/>
      <c r="CQ780" s="73"/>
      <c r="CR780" s="73"/>
      <c r="CS780" s="73"/>
      <c r="CT780" s="73"/>
      <c r="CU780" s="73"/>
      <c r="CV780" s="73"/>
      <c r="CW780" s="73"/>
      <c r="CX780" s="73"/>
      <c r="CY780" s="73"/>
      <c r="CZ780" s="73"/>
      <c r="DA780" s="73"/>
      <c r="DB780" s="73"/>
      <c r="DC780" s="73"/>
      <c r="DD780" s="73"/>
      <c r="DE780" s="73"/>
      <c r="DF780" s="73"/>
      <c r="DG780" s="73"/>
      <c r="DH780" s="73"/>
      <c r="DI780" s="73"/>
      <c r="DJ780" s="73"/>
      <c r="DK780" s="73"/>
      <c r="DL780" s="73"/>
      <c r="DM780" s="73"/>
      <c r="DN780" s="73"/>
      <c r="DO780" s="73"/>
      <c r="DP780" s="73"/>
      <c r="DQ780" s="73"/>
      <c r="DR780" s="73"/>
      <c r="DS780" s="73"/>
      <c r="DT780" s="73"/>
      <c r="DU780" s="73"/>
      <c r="DV780" s="73"/>
      <c r="DW780" s="73"/>
      <c r="DX780" s="72"/>
      <c r="DY780" s="72"/>
      <c r="DZ780" s="73"/>
      <c r="EA780" s="73"/>
      <c r="EB780" s="73"/>
      <c r="EC780" s="73"/>
      <c r="ED780" s="73"/>
      <c r="EE780" s="73"/>
      <c r="EF780" s="73"/>
      <c r="EG780" s="73"/>
      <c r="EH780" s="73"/>
      <c r="EI780" s="73"/>
      <c r="EJ780" s="73"/>
      <c r="EK780" s="73"/>
      <c r="EL780" s="73"/>
      <c r="EM780" s="73"/>
      <c r="EN780" s="73"/>
      <c r="EO780" s="73"/>
      <c r="EP780" s="69"/>
      <c r="EQ780" s="69"/>
      <c r="ER780" s="69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  <c r="CK781" s="73"/>
      <c r="CL781" s="73"/>
      <c r="CM781" s="72"/>
      <c r="CN781" s="73"/>
      <c r="CO781" s="73"/>
      <c r="CP781" s="73"/>
      <c r="CQ781" s="73"/>
      <c r="CR781" s="73"/>
      <c r="CS781" s="73"/>
      <c r="CT781" s="73"/>
      <c r="CU781" s="73"/>
      <c r="CV781" s="73"/>
      <c r="CW781" s="73"/>
      <c r="CX781" s="73"/>
      <c r="CY781" s="73"/>
      <c r="CZ781" s="73"/>
      <c r="DA781" s="73"/>
      <c r="DB781" s="73"/>
      <c r="DC781" s="73"/>
      <c r="DD781" s="73"/>
      <c r="DE781" s="73"/>
      <c r="DF781" s="73"/>
      <c r="DG781" s="73"/>
      <c r="DH781" s="73"/>
      <c r="DI781" s="73"/>
      <c r="DJ781" s="73"/>
      <c r="DK781" s="73"/>
      <c r="DL781" s="73"/>
      <c r="DM781" s="73"/>
      <c r="DN781" s="73"/>
      <c r="DO781" s="73"/>
      <c r="DP781" s="73"/>
      <c r="DQ781" s="73"/>
      <c r="DR781" s="73"/>
      <c r="DS781" s="73"/>
      <c r="DT781" s="73"/>
      <c r="DU781" s="73"/>
      <c r="DV781" s="73"/>
      <c r="DW781" s="73"/>
      <c r="DX781" s="72"/>
      <c r="DY781" s="72"/>
      <c r="DZ781" s="73"/>
      <c r="EA781" s="73"/>
      <c r="EB781" s="73"/>
      <c r="EC781" s="73"/>
      <c r="ED781" s="73"/>
      <c r="EE781" s="73"/>
      <c r="EF781" s="73"/>
      <c r="EG781" s="73"/>
      <c r="EH781" s="73"/>
      <c r="EI781" s="73"/>
      <c r="EJ781" s="73"/>
      <c r="EK781" s="73"/>
      <c r="EL781" s="73"/>
      <c r="EM781" s="73"/>
      <c r="EN781" s="73"/>
      <c r="EO781" s="73"/>
      <c r="EP781" s="69"/>
      <c r="EQ781" s="69"/>
      <c r="ER781" s="69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  <c r="CK782" s="73"/>
      <c r="CL782" s="73"/>
      <c r="CM782" s="73"/>
      <c r="CN782" s="73"/>
      <c r="CO782" s="73"/>
      <c r="CP782" s="73"/>
      <c r="CQ782" s="73"/>
      <c r="CR782" s="73"/>
      <c r="CS782" s="73"/>
      <c r="CT782" s="73"/>
      <c r="CU782" s="73"/>
      <c r="CV782" s="73"/>
      <c r="CW782" s="73"/>
      <c r="CX782" s="73"/>
      <c r="CY782" s="73"/>
      <c r="CZ782" s="73"/>
      <c r="DA782" s="73"/>
      <c r="DB782" s="73"/>
      <c r="DC782" s="73"/>
      <c r="DD782" s="73"/>
      <c r="DE782" s="73"/>
      <c r="DF782" s="73"/>
      <c r="DG782" s="73"/>
      <c r="DH782" s="73"/>
      <c r="DI782" s="73"/>
      <c r="DJ782" s="73"/>
      <c r="DK782" s="73"/>
      <c r="DL782" s="73"/>
      <c r="DM782" s="73"/>
      <c r="DN782" s="73"/>
      <c r="DO782" s="73"/>
      <c r="DP782" s="73"/>
      <c r="DQ782" s="73"/>
      <c r="DR782" s="73"/>
      <c r="DS782" s="73"/>
      <c r="DT782" s="73"/>
      <c r="DU782" s="73"/>
      <c r="DV782" s="73"/>
      <c r="DW782" s="73"/>
      <c r="DX782" s="72"/>
      <c r="DY782" s="72"/>
      <c r="DZ782" s="73"/>
      <c r="EA782" s="73"/>
      <c r="EB782" s="73"/>
      <c r="EC782" s="73"/>
      <c r="ED782" s="73"/>
      <c r="EE782" s="73"/>
      <c r="EF782" s="73"/>
      <c r="EG782" s="73"/>
      <c r="EH782" s="73"/>
      <c r="EI782" s="73"/>
      <c r="EJ782" s="73"/>
      <c r="EK782" s="73"/>
      <c r="EL782" s="73"/>
      <c r="EM782" s="73"/>
      <c r="EN782" s="73"/>
      <c r="EO782" s="73"/>
      <c r="EP782" s="69"/>
      <c r="EQ782" s="69"/>
      <c r="ER782" s="69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  <c r="CK783" s="73"/>
      <c r="CL783" s="73"/>
      <c r="CM783" s="73"/>
      <c r="CN783" s="73"/>
      <c r="CO783" s="73"/>
      <c r="CP783" s="73"/>
      <c r="CQ783" s="73"/>
      <c r="CR783" s="73"/>
      <c r="CS783" s="73"/>
      <c r="CT783" s="73"/>
      <c r="CU783" s="73"/>
      <c r="CV783" s="73"/>
      <c r="CW783" s="73"/>
      <c r="CX783" s="73"/>
      <c r="CY783" s="73"/>
      <c r="CZ783" s="73"/>
      <c r="DA783" s="73"/>
      <c r="DB783" s="73"/>
      <c r="DC783" s="73"/>
      <c r="DD783" s="73"/>
      <c r="DE783" s="73"/>
      <c r="DF783" s="73"/>
      <c r="DG783" s="73"/>
      <c r="DH783" s="73"/>
      <c r="DI783" s="73"/>
      <c r="DJ783" s="73"/>
      <c r="DK783" s="73"/>
      <c r="DL783" s="73"/>
      <c r="DM783" s="73"/>
      <c r="DN783" s="73"/>
      <c r="DO783" s="73"/>
      <c r="DP783" s="73"/>
      <c r="DQ783" s="73"/>
      <c r="DR783" s="73"/>
      <c r="DS783" s="73"/>
      <c r="DT783" s="73"/>
      <c r="DU783" s="73"/>
      <c r="DV783" s="73"/>
      <c r="DW783" s="73"/>
      <c r="DX783" s="72"/>
      <c r="DY783" s="72"/>
      <c r="DZ783" s="73"/>
      <c r="EA783" s="73"/>
      <c r="EB783" s="73"/>
      <c r="EC783" s="73"/>
      <c r="ED783" s="73"/>
      <c r="EE783" s="73"/>
      <c r="EF783" s="73"/>
      <c r="EG783" s="73"/>
      <c r="EH783" s="73"/>
      <c r="EI783" s="73"/>
      <c r="EJ783" s="73"/>
      <c r="EK783" s="73"/>
      <c r="EL783" s="73"/>
      <c r="EM783" s="73"/>
      <c r="EN783" s="73"/>
      <c r="EO783" s="73"/>
      <c r="EP783" s="69"/>
      <c r="EQ783" s="69"/>
      <c r="ER783" s="69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  <c r="CK784" s="73"/>
      <c r="CL784" s="73"/>
      <c r="CM784" s="72"/>
      <c r="CN784" s="73"/>
      <c r="CO784" s="73"/>
      <c r="CP784" s="73"/>
      <c r="CQ784" s="73"/>
      <c r="CR784" s="73"/>
      <c r="CS784" s="73"/>
      <c r="CT784" s="73"/>
      <c r="CU784" s="73"/>
      <c r="CV784" s="73"/>
      <c r="CW784" s="73"/>
      <c r="CX784" s="73"/>
      <c r="CY784" s="73"/>
      <c r="CZ784" s="73"/>
      <c r="DA784" s="73"/>
      <c r="DB784" s="73"/>
      <c r="DC784" s="73"/>
      <c r="DD784" s="73"/>
      <c r="DE784" s="73"/>
      <c r="DF784" s="73"/>
      <c r="DG784" s="73"/>
      <c r="DH784" s="73"/>
      <c r="DI784" s="73"/>
      <c r="DJ784" s="73"/>
      <c r="DK784" s="73"/>
      <c r="DL784" s="73"/>
      <c r="DM784" s="73"/>
      <c r="DN784" s="73"/>
      <c r="DO784" s="73"/>
      <c r="DP784" s="73"/>
      <c r="DQ784" s="73"/>
      <c r="DR784" s="73"/>
      <c r="DS784" s="73"/>
      <c r="DT784" s="73"/>
      <c r="DU784" s="73"/>
      <c r="DV784" s="73"/>
      <c r="DW784" s="73"/>
      <c r="DX784" s="72"/>
      <c r="DY784" s="72"/>
      <c r="DZ784" s="73"/>
      <c r="EA784" s="73"/>
      <c r="EB784" s="73"/>
      <c r="EC784" s="73"/>
      <c r="ED784" s="73"/>
      <c r="EE784" s="73"/>
      <c r="EF784" s="73"/>
      <c r="EG784" s="73"/>
      <c r="EH784" s="73"/>
      <c r="EI784" s="73"/>
      <c r="EJ784" s="73"/>
      <c r="EK784" s="73"/>
      <c r="EL784" s="73"/>
      <c r="EM784" s="73"/>
      <c r="EN784" s="73"/>
      <c r="EO784" s="73"/>
      <c r="EP784" s="69"/>
      <c r="EQ784" s="69"/>
      <c r="ER784" s="69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  <c r="CK785" s="73"/>
      <c r="CL785" s="73"/>
      <c r="CM785" s="73"/>
      <c r="CN785" s="73"/>
      <c r="CO785" s="73"/>
      <c r="CP785" s="73"/>
      <c r="CQ785" s="73"/>
      <c r="CR785" s="73"/>
      <c r="CS785" s="73"/>
      <c r="CT785" s="73"/>
      <c r="CU785" s="73"/>
      <c r="CV785" s="73"/>
      <c r="CW785" s="73"/>
      <c r="CX785" s="73"/>
      <c r="CY785" s="73"/>
      <c r="CZ785" s="73"/>
      <c r="DA785" s="73"/>
      <c r="DB785" s="73"/>
      <c r="DC785" s="73"/>
      <c r="DD785" s="73"/>
      <c r="DE785" s="73"/>
      <c r="DF785" s="73"/>
      <c r="DG785" s="73"/>
      <c r="DH785" s="73"/>
      <c r="DI785" s="73"/>
      <c r="DJ785" s="73"/>
      <c r="DK785" s="73"/>
      <c r="DL785" s="73"/>
      <c r="DM785" s="73"/>
      <c r="DN785" s="73"/>
      <c r="DO785" s="73"/>
      <c r="DP785" s="73"/>
      <c r="DQ785" s="73"/>
      <c r="DR785" s="73"/>
      <c r="DS785" s="73"/>
      <c r="DT785" s="73"/>
      <c r="DU785" s="73"/>
      <c r="DV785" s="73"/>
      <c r="DW785" s="73"/>
      <c r="DX785" s="72"/>
      <c r="DY785" s="72"/>
      <c r="DZ785" s="73"/>
      <c r="EA785" s="73"/>
      <c r="EB785" s="73"/>
      <c r="EC785" s="73"/>
      <c r="ED785" s="73"/>
      <c r="EE785" s="73"/>
      <c r="EF785" s="73"/>
      <c r="EG785" s="73"/>
      <c r="EH785" s="73"/>
      <c r="EI785" s="73"/>
      <c r="EJ785" s="73"/>
      <c r="EK785" s="73"/>
      <c r="EL785" s="73"/>
      <c r="EM785" s="73"/>
      <c r="EN785" s="73"/>
      <c r="EO785" s="73"/>
      <c r="EP785" s="69"/>
      <c r="EQ785" s="69"/>
      <c r="ER785" s="69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  <c r="CK786" s="73"/>
      <c r="CL786" s="73"/>
      <c r="CM786" s="73"/>
      <c r="CN786" s="73"/>
      <c r="CO786" s="73"/>
      <c r="CP786" s="73"/>
      <c r="CQ786" s="73"/>
      <c r="CR786" s="73"/>
      <c r="CS786" s="73"/>
      <c r="CT786" s="73"/>
      <c r="CU786" s="73"/>
      <c r="CV786" s="73"/>
      <c r="CW786" s="73"/>
      <c r="CX786" s="73"/>
      <c r="CY786" s="73"/>
      <c r="CZ786" s="73"/>
      <c r="DA786" s="73"/>
      <c r="DB786" s="73"/>
      <c r="DC786" s="73"/>
      <c r="DD786" s="73"/>
      <c r="DE786" s="73"/>
      <c r="DF786" s="73"/>
      <c r="DG786" s="73"/>
      <c r="DH786" s="73"/>
      <c r="DI786" s="73"/>
      <c r="DJ786" s="73"/>
      <c r="DK786" s="73"/>
      <c r="DL786" s="73"/>
      <c r="DM786" s="73"/>
      <c r="DN786" s="73"/>
      <c r="DO786" s="73"/>
      <c r="DP786" s="73"/>
      <c r="DQ786" s="73"/>
      <c r="DR786" s="73"/>
      <c r="DS786" s="73"/>
      <c r="DT786" s="73"/>
      <c r="DU786" s="73"/>
      <c r="DV786" s="73"/>
      <c r="DW786" s="73"/>
      <c r="DX786" s="72"/>
      <c r="DY786" s="72"/>
      <c r="DZ786" s="73"/>
      <c r="EA786" s="73"/>
      <c r="EB786" s="73"/>
      <c r="EC786" s="73"/>
      <c r="ED786" s="73"/>
      <c r="EE786" s="73"/>
      <c r="EF786" s="73"/>
      <c r="EG786" s="73"/>
      <c r="EH786" s="73"/>
      <c r="EI786" s="73"/>
      <c r="EJ786" s="73"/>
      <c r="EK786" s="73"/>
      <c r="EL786" s="73"/>
      <c r="EM786" s="73"/>
      <c r="EN786" s="73"/>
      <c r="EO786" s="73"/>
      <c r="EP786" s="69"/>
      <c r="EQ786" s="69"/>
      <c r="ER786" s="69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  <c r="CK787" s="73"/>
      <c r="CL787" s="73"/>
      <c r="CM787" s="73"/>
      <c r="CN787" s="73"/>
      <c r="CO787" s="73"/>
      <c r="CP787" s="73"/>
      <c r="CQ787" s="73"/>
      <c r="CR787" s="73"/>
      <c r="CS787" s="73"/>
      <c r="CT787" s="73"/>
      <c r="CU787" s="73"/>
      <c r="CV787" s="73"/>
      <c r="CW787" s="73"/>
      <c r="CX787" s="73"/>
      <c r="CY787" s="73"/>
      <c r="CZ787" s="73"/>
      <c r="DA787" s="73"/>
      <c r="DB787" s="73"/>
      <c r="DC787" s="73"/>
      <c r="DD787" s="73"/>
      <c r="DE787" s="73"/>
      <c r="DF787" s="73"/>
      <c r="DG787" s="73"/>
      <c r="DH787" s="73"/>
      <c r="DI787" s="73"/>
      <c r="DJ787" s="73"/>
      <c r="DK787" s="73"/>
      <c r="DL787" s="73"/>
      <c r="DM787" s="73"/>
      <c r="DN787" s="73"/>
      <c r="DO787" s="73"/>
      <c r="DP787" s="73"/>
      <c r="DQ787" s="73"/>
      <c r="DR787" s="73"/>
      <c r="DS787" s="73"/>
      <c r="DT787" s="73"/>
      <c r="DU787" s="73"/>
      <c r="DV787" s="73"/>
      <c r="DW787" s="73"/>
      <c r="DX787" s="72"/>
      <c r="DY787" s="72"/>
      <c r="DZ787" s="73"/>
      <c r="EA787" s="73"/>
      <c r="EB787" s="73"/>
      <c r="EC787" s="73"/>
      <c r="ED787" s="73"/>
      <c r="EE787" s="73"/>
      <c r="EF787" s="73"/>
      <c r="EG787" s="73"/>
      <c r="EH787" s="73"/>
      <c r="EI787" s="73"/>
      <c r="EJ787" s="73"/>
      <c r="EK787" s="73"/>
      <c r="EL787" s="73"/>
      <c r="EM787" s="73"/>
      <c r="EN787" s="73"/>
      <c r="EO787" s="73"/>
      <c r="EP787" s="69"/>
      <c r="EQ787" s="69"/>
      <c r="ER787" s="69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  <c r="CK788" s="73"/>
      <c r="CL788" s="73"/>
      <c r="CM788" s="73"/>
      <c r="CN788" s="73"/>
      <c r="CO788" s="73"/>
      <c r="CP788" s="73"/>
      <c r="CQ788" s="73"/>
      <c r="CR788" s="73"/>
      <c r="CS788" s="73"/>
      <c r="CT788" s="73"/>
      <c r="CU788" s="73"/>
      <c r="CV788" s="73"/>
      <c r="CW788" s="73"/>
      <c r="CX788" s="73"/>
      <c r="CY788" s="73"/>
      <c r="CZ788" s="73"/>
      <c r="DA788" s="73"/>
      <c r="DB788" s="73"/>
      <c r="DC788" s="73"/>
      <c r="DD788" s="73"/>
      <c r="DE788" s="73"/>
      <c r="DF788" s="73"/>
      <c r="DG788" s="73"/>
      <c r="DH788" s="73"/>
      <c r="DI788" s="73"/>
      <c r="DJ788" s="73"/>
      <c r="DK788" s="73"/>
      <c r="DL788" s="73"/>
      <c r="DM788" s="73"/>
      <c r="DN788" s="73"/>
      <c r="DO788" s="73"/>
      <c r="DP788" s="73"/>
      <c r="DQ788" s="73"/>
      <c r="DR788" s="73"/>
      <c r="DS788" s="73"/>
      <c r="DT788" s="73"/>
      <c r="DU788" s="73"/>
      <c r="DV788" s="73"/>
      <c r="DW788" s="73"/>
      <c r="DX788" s="72"/>
      <c r="DY788" s="72"/>
      <c r="DZ788" s="73"/>
      <c r="EA788" s="73"/>
      <c r="EB788" s="73"/>
      <c r="EC788" s="73"/>
      <c r="ED788" s="73"/>
      <c r="EE788" s="73"/>
      <c r="EF788" s="73"/>
      <c r="EG788" s="73"/>
      <c r="EH788" s="73"/>
      <c r="EI788" s="73"/>
      <c r="EJ788" s="73"/>
      <c r="EK788" s="73"/>
      <c r="EL788" s="73"/>
      <c r="EM788" s="73"/>
      <c r="EN788" s="73"/>
      <c r="EO788" s="73"/>
      <c r="EP788" s="69"/>
      <c r="EQ788" s="69"/>
      <c r="ER788" s="69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  <c r="CK789" s="73"/>
      <c r="CL789" s="73"/>
      <c r="CM789" s="73"/>
      <c r="CN789" s="73"/>
      <c r="CO789" s="73"/>
      <c r="CP789" s="73"/>
      <c r="CQ789" s="73"/>
      <c r="CR789" s="73"/>
      <c r="CS789" s="73"/>
      <c r="CT789" s="73"/>
      <c r="CU789" s="73"/>
      <c r="CV789" s="73"/>
      <c r="CW789" s="73"/>
      <c r="CX789" s="73"/>
      <c r="CY789" s="73"/>
      <c r="CZ789" s="73"/>
      <c r="DA789" s="73"/>
      <c r="DB789" s="73"/>
      <c r="DC789" s="73"/>
      <c r="DD789" s="73"/>
      <c r="DE789" s="73"/>
      <c r="DF789" s="73"/>
      <c r="DG789" s="73"/>
      <c r="DH789" s="73"/>
      <c r="DI789" s="73"/>
      <c r="DJ789" s="73"/>
      <c r="DK789" s="73"/>
      <c r="DL789" s="73"/>
      <c r="DM789" s="73"/>
      <c r="DN789" s="73"/>
      <c r="DO789" s="73"/>
      <c r="DP789" s="73"/>
      <c r="DQ789" s="73"/>
      <c r="DR789" s="73"/>
      <c r="DS789" s="73"/>
      <c r="DT789" s="73"/>
      <c r="DU789" s="73"/>
      <c r="DV789" s="73"/>
      <c r="DW789" s="73"/>
      <c r="DX789" s="72"/>
      <c r="DY789" s="72"/>
      <c r="DZ789" s="73"/>
      <c r="EA789" s="73"/>
      <c r="EB789" s="73"/>
      <c r="EC789" s="73"/>
      <c r="ED789" s="73"/>
      <c r="EE789" s="73"/>
      <c r="EF789" s="73"/>
      <c r="EG789" s="73"/>
      <c r="EH789" s="73"/>
      <c r="EI789" s="73"/>
      <c r="EJ789" s="73"/>
      <c r="EK789" s="73"/>
      <c r="EL789" s="73"/>
      <c r="EM789" s="73"/>
      <c r="EN789" s="73"/>
      <c r="EO789" s="73"/>
      <c r="EP789" s="69"/>
      <c r="EQ789" s="69"/>
      <c r="ER789" s="69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  <c r="CK790" s="73"/>
      <c r="CL790" s="73"/>
      <c r="CM790" s="73"/>
      <c r="CN790" s="73"/>
      <c r="CO790" s="73"/>
      <c r="CP790" s="73"/>
      <c r="CQ790" s="73"/>
      <c r="CR790" s="73"/>
      <c r="CS790" s="73"/>
      <c r="CT790" s="73"/>
      <c r="CU790" s="73"/>
      <c r="CV790" s="73"/>
      <c r="CW790" s="73"/>
      <c r="CX790" s="73"/>
      <c r="CY790" s="73"/>
      <c r="CZ790" s="73"/>
      <c r="DA790" s="73"/>
      <c r="DB790" s="73"/>
      <c r="DC790" s="73"/>
      <c r="DD790" s="73"/>
      <c r="DE790" s="73"/>
      <c r="DF790" s="73"/>
      <c r="DG790" s="73"/>
      <c r="DH790" s="73"/>
      <c r="DI790" s="73"/>
      <c r="DJ790" s="73"/>
      <c r="DK790" s="73"/>
      <c r="DL790" s="73"/>
      <c r="DM790" s="73"/>
      <c r="DN790" s="73"/>
      <c r="DO790" s="73"/>
      <c r="DP790" s="73"/>
      <c r="DQ790" s="73"/>
      <c r="DR790" s="73"/>
      <c r="DS790" s="73"/>
      <c r="DT790" s="73"/>
      <c r="DU790" s="73"/>
      <c r="DV790" s="73"/>
      <c r="DW790" s="73"/>
      <c r="DX790" s="72"/>
      <c r="DY790" s="72"/>
      <c r="DZ790" s="73"/>
      <c r="EA790" s="73"/>
      <c r="EB790" s="73"/>
      <c r="EC790" s="73"/>
      <c r="ED790" s="73"/>
      <c r="EE790" s="73"/>
      <c r="EF790" s="73"/>
      <c r="EG790" s="73"/>
      <c r="EH790" s="73"/>
      <c r="EI790" s="73"/>
      <c r="EJ790" s="73"/>
      <c r="EK790" s="73"/>
      <c r="EL790" s="73"/>
      <c r="EM790" s="73"/>
      <c r="EN790" s="73"/>
      <c r="EO790" s="73"/>
      <c r="EP790" s="69"/>
      <c r="EQ790" s="69"/>
      <c r="ER790" s="69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  <c r="CK791" s="73"/>
      <c r="CL791" s="73"/>
      <c r="CM791" s="72"/>
      <c r="CN791" s="73"/>
      <c r="CO791" s="73"/>
      <c r="CP791" s="73"/>
      <c r="CQ791" s="73"/>
      <c r="CR791" s="73"/>
      <c r="CS791" s="73"/>
      <c r="CT791" s="73"/>
      <c r="CU791" s="73"/>
      <c r="CV791" s="73"/>
      <c r="CW791" s="73"/>
      <c r="CX791" s="73"/>
      <c r="CY791" s="73"/>
      <c r="CZ791" s="73"/>
      <c r="DA791" s="73"/>
      <c r="DB791" s="73"/>
      <c r="DC791" s="73"/>
      <c r="DD791" s="73"/>
      <c r="DE791" s="73"/>
      <c r="DF791" s="73"/>
      <c r="DG791" s="73"/>
      <c r="DH791" s="73"/>
      <c r="DI791" s="73"/>
      <c r="DJ791" s="73"/>
      <c r="DK791" s="73"/>
      <c r="DL791" s="73"/>
      <c r="DM791" s="73"/>
      <c r="DN791" s="73"/>
      <c r="DO791" s="73"/>
      <c r="DP791" s="73"/>
      <c r="DQ791" s="73"/>
      <c r="DR791" s="73"/>
      <c r="DS791" s="73"/>
      <c r="DT791" s="73"/>
      <c r="DU791" s="73"/>
      <c r="DV791" s="73"/>
      <c r="DW791" s="73"/>
      <c r="DX791" s="72"/>
      <c r="DY791" s="72"/>
      <c r="DZ791" s="73"/>
      <c r="EA791" s="73"/>
      <c r="EB791" s="73"/>
      <c r="EC791" s="73"/>
      <c r="ED791" s="73"/>
      <c r="EE791" s="73"/>
      <c r="EF791" s="73"/>
      <c r="EG791" s="73"/>
      <c r="EH791" s="73"/>
      <c r="EI791" s="73"/>
      <c r="EJ791" s="73"/>
      <c r="EK791" s="73"/>
      <c r="EL791" s="73"/>
      <c r="EM791" s="73"/>
      <c r="EN791" s="73"/>
      <c r="EO791" s="73"/>
      <c r="EP791" s="69"/>
      <c r="EQ791" s="69"/>
      <c r="ER791" s="69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  <c r="CI792" s="73"/>
      <c r="CJ792" s="73"/>
      <c r="CK792" s="73"/>
      <c r="CL792" s="73"/>
      <c r="CM792" s="73"/>
      <c r="CN792" s="73"/>
      <c r="CO792" s="73"/>
      <c r="CP792" s="73"/>
      <c r="CQ792" s="73"/>
      <c r="CR792" s="73"/>
      <c r="CS792" s="73"/>
      <c r="CT792" s="73"/>
      <c r="CU792" s="73"/>
      <c r="CV792" s="73"/>
      <c r="CW792" s="73"/>
      <c r="CX792" s="73"/>
      <c r="CY792" s="73"/>
      <c r="CZ792" s="73"/>
      <c r="DA792" s="73"/>
      <c r="DB792" s="73"/>
      <c r="DC792" s="73"/>
      <c r="DD792" s="73"/>
      <c r="DE792" s="73"/>
      <c r="DF792" s="73"/>
      <c r="DG792" s="73"/>
      <c r="DH792" s="73"/>
      <c r="DI792" s="73"/>
      <c r="DJ792" s="73"/>
      <c r="DK792" s="73"/>
      <c r="DL792" s="73"/>
      <c r="DM792" s="73"/>
      <c r="DN792" s="73"/>
      <c r="DO792" s="73"/>
      <c r="DP792" s="73"/>
      <c r="DQ792" s="73"/>
      <c r="DR792" s="73"/>
      <c r="DS792" s="73"/>
      <c r="DT792" s="73"/>
      <c r="DU792" s="73"/>
      <c r="DV792" s="73"/>
      <c r="DW792" s="73"/>
      <c r="DX792" s="72"/>
      <c r="DY792" s="72"/>
      <c r="DZ792" s="73"/>
      <c r="EA792" s="73"/>
      <c r="EB792" s="73"/>
      <c r="EC792" s="73"/>
      <c r="ED792" s="73"/>
      <c r="EE792" s="73"/>
      <c r="EF792" s="73"/>
      <c r="EG792" s="73"/>
      <c r="EH792" s="73"/>
      <c r="EI792" s="73"/>
      <c r="EJ792" s="73"/>
      <c r="EK792" s="73"/>
      <c r="EL792" s="73"/>
      <c r="EM792" s="73"/>
      <c r="EN792" s="73"/>
      <c r="EO792" s="73"/>
      <c r="EP792" s="69"/>
      <c r="EQ792" s="69"/>
      <c r="ER792" s="69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  <c r="CI793" s="73"/>
      <c r="CJ793" s="73"/>
      <c r="CK793" s="73"/>
      <c r="CL793" s="73"/>
      <c r="CM793" s="73"/>
      <c r="CN793" s="73"/>
      <c r="CO793" s="73"/>
      <c r="CP793" s="73"/>
      <c r="CQ793" s="73"/>
      <c r="CR793" s="73"/>
      <c r="CS793" s="73"/>
      <c r="CT793" s="73"/>
      <c r="CU793" s="73"/>
      <c r="CV793" s="73"/>
      <c r="CW793" s="73"/>
      <c r="CX793" s="73"/>
      <c r="CY793" s="73"/>
      <c r="CZ793" s="73"/>
      <c r="DA793" s="73"/>
      <c r="DB793" s="73"/>
      <c r="DC793" s="73"/>
      <c r="DD793" s="73"/>
      <c r="DE793" s="73"/>
      <c r="DF793" s="73"/>
      <c r="DG793" s="73"/>
      <c r="DH793" s="73"/>
      <c r="DI793" s="73"/>
      <c r="DJ793" s="73"/>
      <c r="DK793" s="73"/>
      <c r="DL793" s="73"/>
      <c r="DM793" s="73"/>
      <c r="DN793" s="73"/>
      <c r="DO793" s="73"/>
      <c r="DP793" s="73"/>
      <c r="DQ793" s="73"/>
      <c r="DR793" s="73"/>
      <c r="DS793" s="73"/>
      <c r="DT793" s="73"/>
      <c r="DU793" s="73"/>
      <c r="DV793" s="73"/>
      <c r="DW793" s="73"/>
      <c r="DX793" s="72"/>
      <c r="DY793" s="72"/>
      <c r="DZ793" s="73"/>
      <c r="EA793" s="73"/>
      <c r="EB793" s="73"/>
      <c r="EC793" s="73"/>
      <c r="ED793" s="73"/>
      <c r="EE793" s="73"/>
      <c r="EF793" s="73"/>
      <c r="EG793" s="73"/>
      <c r="EH793" s="73"/>
      <c r="EI793" s="73"/>
      <c r="EJ793" s="73"/>
      <c r="EK793" s="73"/>
      <c r="EL793" s="73"/>
      <c r="EM793" s="73"/>
      <c r="EN793" s="73"/>
      <c r="EO793" s="73"/>
      <c r="EP793" s="69"/>
      <c r="EQ793" s="69"/>
      <c r="ER793" s="69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  <c r="CI794" s="73"/>
      <c r="CJ794" s="73"/>
      <c r="CK794" s="73"/>
      <c r="CL794" s="73"/>
      <c r="CM794" s="73"/>
      <c r="CN794" s="73"/>
      <c r="CO794" s="73"/>
      <c r="CP794" s="73"/>
      <c r="CQ794" s="73"/>
      <c r="CR794" s="73"/>
      <c r="CS794" s="73"/>
      <c r="CT794" s="73"/>
      <c r="CU794" s="73"/>
      <c r="CV794" s="73"/>
      <c r="CW794" s="73"/>
      <c r="CX794" s="73"/>
      <c r="CY794" s="73"/>
      <c r="CZ794" s="73"/>
      <c r="DA794" s="73"/>
      <c r="DB794" s="73"/>
      <c r="DC794" s="73"/>
      <c r="DD794" s="73"/>
      <c r="DE794" s="73"/>
      <c r="DF794" s="73"/>
      <c r="DG794" s="73"/>
      <c r="DH794" s="73"/>
      <c r="DI794" s="73"/>
      <c r="DJ794" s="73"/>
      <c r="DK794" s="73"/>
      <c r="DL794" s="73"/>
      <c r="DM794" s="73"/>
      <c r="DN794" s="73"/>
      <c r="DO794" s="73"/>
      <c r="DP794" s="73"/>
      <c r="DQ794" s="73"/>
      <c r="DR794" s="73"/>
      <c r="DS794" s="73"/>
      <c r="DT794" s="73"/>
      <c r="DU794" s="73"/>
      <c r="DV794" s="73"/>
      <c r="DW794" s="73"/>
      <c r="DX794" s="72"/>
      <c r="DY794" s="72"/>
      <c r="DZ794" s="73"/>
      <c r="EA794" s="73"/>
      <c r="EB794" s="73"/>
      <c r="EC794" s="73"/>
      <c r="ED794" s="73"/>
      <c r="EE794" s="73"/>
      <c r="EF794" s="73"/>
      <c r="EG794" s="73"/>
      <c r="EH794" s="73"/>
      <c r="EI794" s="73"/>
      <c r="EJ794" s="73"/>
      <c r="EK794" s="73"/>
      <c r="EL794" s="73"/>
      <c r="EM794" s="73"/>
      <c r="EN794" s="73"/>
      <c r="EO794" s="73"/>
      <c r="EP794" s="69"/>
      <c r="EQ794" s="69"/>
      <c r="ER794" s="69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  <c r="CI795" s="73"/>
      <c r="CJ795" s="73"/>
      <c r="CK795" s="73"/>
      <c r="CL795" s="73"/>
      <c r="CM795" s="73"/>
      <c r="CN795" s="73"/>
      <c r="CO795" s="73"/>
      <c r="CP795" s="73"/>
      <c r="CQ795" s="73"/>
      <c r="CR795" s="73"/>
      <c r="CS795" s="73"/>
      <c r="CT795" s="73"/>
      <c r="CU795" s="73"/>
      <c r="CV795" s="73"/>
      <c r="CW795" s="73"/>
      <c r="CX795" s="73"/>
      <c r="CY795" s="73"/>
      <c r="CZ795" s="73"/>
      <c r="DA795" s="73"/>
      <c r="DB795" s="73"/>
      <c r="DC795" s="73"/>
      <c r="DD795" s="73"/>
      <c r="DE795" s="73"/>
      <c r="DF795" s="73"/>
      <c r="DG795" s="73"/>
      <c r="DH795" s="73"/>
      <c r="DI795" s="73"/>
      <c r="DJ795" s="73"/>
      <c r="DK795" s="73"/>
      <c r="DL795" s="73"/>
      <c r="DM795" s="73"/>
      <c r="DN795" s="73"/>
      <c r="DO795" s="73"/>
      <c r="DP795" s="73"/>
      <c r="DQ795" s="73"/>
      <c r="DR795" s="73"/>
      <c r="DS795" s="73"/>
      <c r="DT795" s="73"/>
      <c r="DU795" s="73"/>
      <c r="DV795" s="73"/>
      <c r="DW795" s="73"/>
      <c r="DX795" s="73"/>
      <c r="DY795" s="73"/>
      <c r="DZ795" s="73"/>
      <c r="EA795" s="73"/>
      <c r="EB795" s="73"/>
      <c r="EC795" s="73"/>
      <c r="ED795" s="73"/>
      <c r="EE795" s="73"/>
      <c r="EF795" s="73"/>
      <c r="EG795" s="73"/>
      <c r="EH795" s="73"/>
      <c r="EI795" s="73"/>
      <c r="EJ795" s="73"/>
      <c r="EK795" s="73"/>
      <c r="EL795" s="73"/>
      <c r="EM795" s="73"/>
      <c r="EN795" s="73"/>
      <c r="EO795" s="73"/>
      <c r="EP795" s="69"/>
      <c r="EQ795" s="69"/>
      <c r="ER795" s="69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  <c r="CI796" s="73"/>
      <c r="CJ796" s="73"/>
      <c r="CK796" s="73"/>
      <c r="CL796" s="73"/>
      <c r="CM796" s="73"/>
      <c r="CN796" s="73"/>
      <c r="CO796" s="73"/>
      <c r="CP796" s="73"/>
      <c r="CQ796" s="73"/>
      <c r="CR796" s="73"/>
      <c r="CS796" s="73"/>
      <c r="CT796" s="73"/>
      <c r="CU796" s="73"/>
      <c r="CV796" s="73"/>
      <c r="CW796" s="73"/>
      <c r="CX796" s="73"/>
      <c r="CY796" s="73"/>
      <c r="CZ796" s="73"/>
      <c r="DA796" s="73"/>
      <c r="DB796" s="73"/>
      <c r="DC796" s="73"/>
      <c r="DD796" s="73"/>
      <c r="DE796" s="73"/>
      <c r="DF796" s="73"/>
      <c r="DG796" s="73"/>
      <c r="DH796" s="73"/>
      <c r="DI796" s="73"/>
      <c r="DJ796" s="73"/>
      <c r="DK796" s="73"/>
      <c r="DL796" s="73"/>
      <c r="DM796" s="73"/>
      <c r="DN796" s="73"/>
      <c r="DO796" s="73"/>
      <c r="DP796" s="73"/>
      <c r="DQ796" s="73"/>
      <c r="DR796" s="73"/>
      <c r="DS796" s="73"/>
      <c r="DT796" s="73"/>
      <c r="DU796" s="73"/>
      <c r="DV796" s="73"/>
      <c r="DW796" s="73"/>
      <c r="DX796" s="72"/>
      <c r="DY796" s="72"/>
      <c r="DZ796" s="73"/>
      <c r="EA796" s="73"/>
      <c r="EB796" s="73"/>
      <c r="EC796" s="73"/>
      <c r="ED796" s="73"/>
      <c r="EE796" s="73"/>
      <c r="EF796" s="73"/>
      <c r="EG796" s="73"/>
      <c r="EH796" s="73"/>
      <c r="EI796" s="73"/>
      <c r="EJ796" s="73"/>
      <c r="EK796" s="73"/>
      <c r="EL796" s="73"/>
      <c r="EM796" s="73"/>
      <c r="EN796" s="73"/>
      <c r="EO796" s="73"/>
      <c r="EP796" s="69"/>
      <c r="EQ796" s="69"/>
      <c r="ER796" s="69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  <c r="CI797" s="73"/>
      <c r="CJ797" s="73"/>
      <c r="CK797" s="73"/>
      <c r="CL797" s="73"/>
      <c r="CM797" s="73"/>
      <c r="CN797" s="73"/>
      <c r="CO797" s="73"/>
      <c r="CP797" s="73"/>
      <c r="CQ797" s="73"/>
      <c r="CR797" s="73"/>
      <c r="CS797" s="73"/>
      <c r="CT797" s="73"/>
      <c r="CU797" s="73"/>
      <c r="CV797" s="73"/>
      <c r="CW797" s="73"/>
      <c r="CX797" s="73"/>
      <c r="CY797" s="73"/>
      <c r="CZ797" s="73"/>
      <c r="DA797" s="73"/>
      <c r="DB797" s="73"/>
      <c r="DC797" s="73"/>
      <c r="DD797" s="73"/>
      <c r="DE797" s="73"/>
      <c r="DF797" s="73"/>
      <c r="DG797" s="73"/>
      <c r="DH797" s="73"/>
      <c r="DI797" s="73"/>
      <c r="DJ797" s="73"/>
      <c r="DK797" s="73"/>
      <c r="DL797" s="73"/>
      <c r="DM797" s="73"/>
      <c r="DN797" s="73"/>
      <c r="DO797" s="73"/>
      <c r="DP797" s="73"/>
      <c r="DQ797" s="73"/>
      <c r="DR797" s="73"/>
      <c r="DS797" s="73"/>
      <c r="DT797" s="73"/>
      <c r="DU797" s="73"/>
      <c r="DV797" s="73"/>
      <c r="DW797" s="73"/>
      <c r="DX797" s="72"/>
      <c r="DY797" s="72"/>
      <c r="DZ797" s="73"/>
      <c r="EA797" s="73"/>
      <c r="EB797" s="73"/>
      <c r="EC797" s="73"/>
      <c r="ED797" s="73"/>
      <c r="EE797" s="73"/>
      <c r="EF797" s="73"/>
      <c r="EG797" s="73"/>
      <c r="EH797" s="73"/>
      <c r="EI797" s="73"/>
      <c r="EJ797" s="73"/>
      <c r="EK797" s="73"/>
      <c r="EL797" s="73"/>
      <c r="EM797" s="73"/>
      <c r="EN797" s="73"/>
      <c r="EO797" s="73"/>
      <c r="EP797" s="69"/>
      <c r="EQ797" s="69"/>
      <c r="ER797" s="69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  <c r="CI798" s="73"/>
      <c r="CJ798" s="73"/>
      <c r="CK798" s="73"/>
      <c r="CL798" s="73"/>
      <c r="CM798" s="73"/>
      <c r="CN798" s="73"/>
      <c r="CO798" s="73"/>
      <c r="CP798" s="73"/>
      <c r="CQ798" s="73"/>
      <c r="CR798" s="73"/>
      <c r="CS798" s="73"/>
      <c r="CT798" s="73"/>
      <c r="CU798" s="73"/>
      <c r="CV798" s="73"/>
      <c r="CW798" s="73"/>
      <c r="CX798" s="73"/>
      <c r="CY798" s="73"/>
      <c r="CZ798" s="73"/>
      <c r="DA798" s="73"/>
      <c r="DB798" s="73"/>
      <c r="DC798" s="73"/>
      <c r="DD798" s="73"/>
      <c r="DE798" s="73"/>
      <c r="DF798" s="73"/>
      <c r="DG798" s="73"/>
      <c r="DH798" s="73"/>
      <c r="DI798" s="73"/>
      <c r="DJ798" s="73"/>
      <c r="DK798" s="73"/>
      <c r="DL798" s="73"/>
      <c r="DM798" s="73"/>
      <c r="DN798" s="73"/>
      <c r="DO798" s="73"/>
      <c r="DP798" s="73"/>
      <c r="DQ798" s="73"/>
      <c r="DR798" s="73"/>
      <c r="DS798" s="73"/>
      <c r="DT798" s="73"/>
      <c r="DU798" s="73"/>
      <c r="DV798" s="73"/>
      <c r="DW798" s="73"/>
      <c r="DX798" s="72"/>
      <c r="DY798" s="72"/>
      <c r="DZ798" s="73"/>
      <c r="EA798" s="73"/>
      <c r="EB798" s="73"/>
      <c r="EC798" s="73"/>
      <c r="ED798" s="73"/>
      <c r="EE798" s="73"/>
      <c r="EF798" s="73"/>
      <c r="EG798" s="73"/>
      <c r="EH798" s="73"/>
      <c r="EI798" s="73"/>
      <c r="EJ798" s="73"/>
      <c r="EK798" s="73"/>
      <c r="EL798" s="73"/>
      <c r="EM798" s="73"/>
      <c r="EN798" s="73"/>
      <c r="EO798" s="73"/>
      <c r="EP798" s="69"/>
      <c r="EQ798" s="69"/>
      <c r="ER798" s="69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  <c r="CI799" s="73"/>
      <c r="CJ799" s="73"/>
      <c r="CK799" s="73"/>
      <c r="CL799" s="73"/>
      <c r="CM799" s="73"/>
      <c r="CN799" s="73"/>
      <c r="CO799" s="73"/>
      <c r="CP799" s="73"/>
      <c r="CQ799" s="73"/>
      <c r="CR799" s="73"/>
      <c r="CS799" s="73"/>
      <c r="CT799" s="73"/>
      <c r="CU799" s="73"/>
      <c r="CV799" s="73"/>
      <c r="CW799" s="73"/>
      <c r="CX799" s="73"/>
      <c r="CY799" s="73"/>
      <c r="CZ799" s="73"/>
      <c r="DA799" s="73"/>
      <c r="DB799" s="73"/>
      <c r="DC799" s="73"/>
      <c r="DD799" s="73"/>
      <c r="DE799" s="73"/>
      <c r="DF799" s="73"/>
      <c r="DG799" s="73"/>
      <c r="DH799" s="73"/>
      <c r="DI799" s="73"/>
      <c r="DJ799" s="73"/>
      <c r="DK799" s="73"/>
      <c r="DL799" s="73"/>
      <c r="DM799" s="73"/>
      <c r="DN799" s="73"/>
      <c r="DO799" s="73"/>
      <c r="DP799" s="73"/>
      <c r="DQ799" s="73"/>
      <c r="DR799" s="73"/>
      <c r="DS799" s="73"/>
      <c r="DT799" s="73"/>
      <c r="DU799" s="73"/>
      <c r="DV799" s="73"/>
      <c r="DW799" s="73"/>
      <c r="DX799" s="72"/>
      <c r="DY799" s="72"/>
      <c r="DZ799" s="73"/>
      <c r="EA799" s="73"/>
      <c r="EB799" s="73"/>
      <c r="EC799" s="73"/>
      <c r="ED799" s="73"/>
      <c r="EE799" s="73"/>
      <c r="EF799" s="73"/>
      <c r="EG799" s="73"/>
      <c r="EH799" s="73"/>
      <c r="EI799" s="73"/>
      <c r="EJ799" s="73"/>
      <c r="EK799" s="73"/>
      <c r="EL799" s="73"/>
      <c r="EM799" s="73"/>
      <c r="EN799" s="73"/>
      <c r="EO799" s="73"/>
      <c r="EP799" s="69"/>
      <c r="EQ799" s="69"/>
      <c r="ER799" s="69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  <c r="CI800" s="73"/>
      <c r="CJ800" s="73"/>
      <c r="CK800" s="73"/>
      <c r="CL800" s="73"/>
      <c r="CM800" s="72"/>
      <c r="CN800" s="73"/>
      <c r="CO800" s="73"/>
      <c r="CP800" s="73"/>
      <c r="CQ800" s="73"/>
      <c r="CR800" s="73"/>
      <c r="CS800" s="73"/>
      <c r="CT800" s="73"/>
      <c r="CU800" s="73"/>
      <c r="CV800" s="73"/>
      <c r="CW800" s="73"/>
      <c r="CX800" s="73"/>
      <c r="CY800" s="73"/>
      <c r="CZ800" s="73"/>
      <c r="DA800" s="73"/>
      <c r="DB800" s="73"/>
      <c r="DC800" s="73"/>
      <c r="DD800" s="73"/>
      <c r="DE800" s="73"/>
      <c r="DF800" s="73"/>
      <c r="DG800" s="73"/>
      <c r="DH800" s="73"/>
      <c r="DI800" s="73"/>
      <c r="DJ800" s="73"/>
      <c r="DK800" s="73"/>
      <c r="DL800" s="73"/>
      <c r="DM800" s="73"/>
      <c r="DN800" s="73"/>
      <c r="DO800" s="73"/>
      <c r="DP800" s="73"/>
      <c r="DQ800" s="73"/>
      <c r="DR800" s="73"/>
      <c r="DS800" s="73"/>
      <c r="DT800" s="73"/>
      <c r="DU800" s="73"/>
      <c r="DV800" s="73"/>
      <c r="DW800" s="73"/>
      <c r="DX800" s="72"/>
      <c r="DY800" s="72"/>
      <c r="DZ800" s="73"/>
      <c r="EA800" s="73"/>
      <c r="EB800" s="73"/>
      <c r="EC800" s="73"/>
      <c r="ED800" s="73"/>
      <c r="EE800" s="73"/>
      <c r="EF800" s="73"/>
      <c r="EG800" s="73"/>
      <c r="EH800" s="73"/>
      <c r="EI800" s="73"/>
      <c r="EJ800" s="73"/>
      <c r="EK800" s="73"/>
      <c r="EL800" s="73"/>
      <c r="EM800" s="73"/>
      <c r="EN800" s="73"/>
      <c r="EO800" s="73"/>
      <c r="EP800" s="69"/>
      <c r="EQ800" s="69"/>
      <c r="ER800" s="69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  <c r="CI801" s="73"/>
      <c r="CJ801" s="73"/>
      <c r="CK801" s="73"/>
      <c r="CL801" s="73"/>
      <c r="CM801" s="73"/>
      <c r="CN801" s="73"/>
      <c r="CO801" s="73"/>
      <c r="CP801" s="73"/>
      <c r="CQ801" s="73"/>
      <c r="CR801" s="73"/>
      <c r="CS801" s="73"/>
      <c r="CT801" s="73"/>
      <c r="CU801" s="73"/>
      <c r="CV801" s="73"/>
      <c r="CW801" s="73"/>
      <c r="CX801" s="73"/>
      <c r="CY801" s="73"/>
      <c r="CZ801" s="73"/>
      <c r="DA801" s="73"/>
      <c r="DB801" s="73"/>
      <c r="DC801" s="73"/>
      <c r="DD801" s="73"/>
      <c r="DE801" s="73"/>
      <c r="DF801" s="73"/>
      <c r="DG801" s="73"/>
      <c r="DH801" s="73"/>
      <c r="DI801" s="73"/>
      <c r="DJ801" s="73"/>
      <c r="DK801" s="73"/>
      <c r="DL801" s="73"/>
      <c r="DM801" s="73"/>
      <c r="DN801" s="73"/>
      <c r="DO801" s="73"/>
      <c r="DP801" s="73"/>
      <c r="DQ801" s="73"/>
      <c r="DR801" s="73"/>
      <c r="DS801" s="73"/>
      <c r="DT801" s="73"/>
      <c r="DU801" s="73"/>
      <c r="DV801" s="73"/>
      <c r="DW801" s="73"/>
      <c r="DX801" s="72"/>
      <c r="DY801" s="72"/>
      <c r="DZ801" s="73"/>
      <c r="EA801" s="73"/>
      <c r="EB801" s="73"/>
      <c r="EC801" s="73"/>
      <c r="ED801" s="73"/>
      <c r="EE801" s="73"/>
      <c r="EF801" s="73"/>
      <c r="EG801" s="73"/>
      <c r="EH801" s="73"/>
      <c r="EI801" s="73"/>
      <c r="EJ801" s="73"/>
      <c r="EK801" s="73"/>
      <c r="EL801" s="73"/>
      <c r="EM801" s="73"/>
      <c r="EN801" s="73"/>
      <c r="EO801" s="73"/>
      <c r="EP801" s="69"/>
      <c r="EQ801" s="69"/>
      <c r="ER801" s="69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  <c r="CI802" s="73"/>
      <c r="CJ802" s="73"/>
      <c r="CK802" s="73"/>
      <c r="CL802" s="73"/>
      <c r="CM802" s="73"/>
      <c r="CN802" s="73"/>
      <c r="CO802" s="73"/>
      <c r="CP802" s="73"/>
      <c r="CQ802" s="73"/>
      <c r="CR802" s="73"/>
      <c r="CS802" s="73"/>
      <c r="CT802" s="73"/>
      <c r="CU802" s="73"/>
      <c r="CV802" s="73"/>
      <c r="CW802" s="73"/>
      <c r="CX802" s="73"/>
      <c r="CY802" s="73"/>
      <c r="CZ802" s="73"/>
      <c r="DA802" s="73"/>
      <c r="DB802" s="73"/>
      <c r="DC802" s="73"/>
      <c r="DD802" s="73"/>
      <c r="DE802" s="73"/>
      <c r="DF802" s="73"/>
      <c r="DG802" s="73"/>
      <c r="DH802" s="73"/>
      <c r="DI802" s="73"/>
      <c r="DJ802" s="73"/>
      <c r="DK802" s="73"/>
      <c r="DL802" s="73"/>
      <c r="DM802" s="73"/>
      <c r="DN802" s="73"/>
      <c r="DO802" s="73"/>
      <c r="DP802" s="73"/>
      <c r="DQ802" s="73"/>
      <c r="DR802" s="73"/>
      <c r="DS802" s="73"/>
      <c r="DT802" s="73"/>
      <c r="DU802" s="73"/>
      <c r="DV802" s="73"/>
      <c r="DW802" s="73"/>
      <c r="DX802" s="72"/>
      <c r="DY802" s="72"/>
      <c r="DZ802" s="73"/>
      <c r="EA802" s="73"/>
      <c r="EB802" s="73"/>
      <c r="EC802" s="73"/>
      <c r="ED802" s="73"/>
      <c r="EE802" s="73"/>
      <c r="EF802" s="73"/>
      <c r="EG802" s="73"/>
      <c r="EH802" s="73"/>
      <c r="EI802" s="73"/>
      <c r="EJ802" s="73"/>
      <c r="EK802" s="73"/>
      <c r="EL802" s="73"/>
      <c r="EM802" s="73"/>
      <c r="EN802" s="73"/>
      <c r="EO802" s="73"/>
      <c r="EP802" s="69"/>
      <c r="EQ802" s="69"/>
      <c r="ER802" s="69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  <c r="CI803" s="73"/>
      <c r="CJ803" s="73"/>
      <c r="CK803" s="73"/>
      <c r="CL803" s="73"/>
      <c r="CM803" s="73"/>
      <c r="CN803" s="73"/>
      <c r="CO803" s="73"/>
      <c r="CP803" s="73"/>
      <c r="CQ803" s="73"/>
      <c r="CR803" s="73"/>
      <c r="CS803" s="73"/>
      <c r="CT803" s="73"/>
      <c r="CU803" s="73"/>
      <c r="CV803" s="73"/>
      <c r="CW803" s="73"/>
      <c r="CX803" s="73"/>
      <c r="CY803" s="73"/>
      <c r="CZ803" s="73"/>
      <c r="DA803" s="73"/>
      <c r="DB803" s="73"/>
      <c r="DC803" s="73"/>
      <c r="DD803" s="73"/>
      <c r="DE803" s="73"/>
      <c r="DF803" s="73"/>
      <c r="DG803" s="73"/>
      <c r="DH803" s="73"/>
      <c r="DI803" s="73"/>
      <c r="DJ803" s="73"/>
      <c r="DK803" s="73"/>
      <c r="DL803" s="73"/>
      <c r="DM803" s="73"/>
      <c r="DN803" s="73"/>
      <c r="DO803" s="73"/>
      <c r="DP803" s="73"/>
      <c r="DQ803" s="73"/>
      <c r="DR803" s="73"/>
      <c r="DS803" s="73"/>
      <c r="DT803" s="73"/>
      <c r="DU803" s="73"/>
      <c r="DV803" s="73"/>
      <c r="DW803" s="73"/>
      <c r="DX803" s="72"/>
      <c r="DY803" s="72"/>
      <c r="DZ803" s="73"/>
      <c r="EA803" s="73"/>
      <c r="EB803" s="73"/>
      <c r="EC803" s="73"/>
      <c r="ED803" s="73"/>
      <c r="EE803" s="73"/>
      <c r="EF803" s="73"/>
      <c r="EG803" s="73"/>
      <c r="EH803" s="73"/>
      <c r="EI803" s="73"/>
      <c r="EJ803" s="73"/>
      <c r="EK803" s="73"/>
      <c r="EL803" s="73"/>
      <c r="EM803" s="73"/>
      <c r="EN803" s="73"/>
      <c r="EO803" s="73"/>
      <c r="EP803" s="69"/>
      <c r="EQ803" s="69"/>
      <c r="ER803" s="69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  <c r="CI804" s="73"/>
      <c r="CJ804" s="73"/>
      <c r="CK804" s="73"/>
      <c r="CL804" s="73"/>
      <c r="CM804" s="73"/>
      <c r="CN804" s="73"/>
      <c r="CO804" s="73"/>
      <c r="CP804" s="73"/>
      <c r="CQ804" s="73"/>
      <c r="CR804" s="73"/>
      <c r="CS804" s="73"/>
      <c r="CT804" s="73"/>
      <c r="CU804" s="73"/>
      <c r="CV804" s="73"/>
      <c r="CW804" s="73"/>
      <c r="CX804" s="73"/>
      <c r="CY804" s="73"/>
      <c r="CZ804" s="73"/>
      <c r="DA804" s="73"/>
      <c r="DB804" s="73"/>
      <c r="DC804" s="73"/>
      <c r="DD804" s="73"/>
      <c r="DE804" s="73"/>
      <c r="DF804" s="73"/>
      <c r="DG804" s="73"/>
      <c r="DH804" s="73"/>
      <c r="DI804" s="73"/>
      <c r="DJ804" s="73"/>
      <c r="DK804" s="73"/>
      <c r="DL804" s="73"/>
      <c r="DM804" s="73"/>
      <c r="DN804" s="73"/>
      <c r="DO804" s="73"/>
      <c r="DP804" s="73"/>
      <c r="DQ804" s="73"/>
      <c r="DR804" s="73"/>
      <c r="DS804" s="73"/>
      <c r="DT804" s="73"/>
      <c r="DU804" s="73"/>
      <c r="DV804" s="73"/>
      <c r="DW804" s="73"/>
      <c r="DX804" s="72"/>
      <c r="DY804" s="72"/>
      <c r="DZ804" s="73"/>
      <c r="EA804" s="73"/>
      <c r="EB804" s="73"/>
      <c r="EC804" s="73"/>
      <c r="ED804" s="73"/>
      <c r="EE804" s="73"/>
      <c r="EF804" s="73"/>
      <c r="EG804" s="73"/>
      <c r="EH804" s="73"/>
      <c r="EI804" s="73"/>
      <c r="EJ804" s="73"/>
      <c r="EK804" s="73"/>
      <c r="EL804" s="73"/>
      <c r="EM804" s="73"/>
      <c r="EN804" s="73"/>
      <c r="EO804" s="73"/>
      <c r="EP804" s="69"/>
      <c r="EQ804" s="69"/>
      <c r="ER804" s="69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  <c r="CI805" s="73"/>
      <c r="CJ805" s="73"/>
      <c r="CK805" s="73"/>
      <c r="CL805" s="73"/>
      <c r="CM805" s="73"/>
      <c r="CN805" s="73"/>
      <c r="CO805" s="73"/>
      <c r="CP805" s="73"/>
      <c r="CQ805" s="73"/>
      <c r="CR805" s="73"/>
      <c r="CS805" s="73"/>
      <c r="CT805" s="73"/>
      <c r="CU805" s="73"/>
      <c r="CV805" s="73"/>
      <c r="CW805" s="73"/>
      <c r="CX805" s="73"/>
      <c r="CY805" s="73"/>
      <c r="CZ805" s="73"/>
      <c r="DA805" s="73"/>
      <c r="DB805" s="73"/>
      <c r="DC805" s="73"/>
      <c r="DD805" s="73"/>
      <c r="DE805" s="73"/>
      <c r="DF805" s="73"/>
      <c r="DG805" s="73"/>
      <c r="DH805" s="73"/>
      <c r="DI805" s="73"/>
      <c r="DJ805" s="73"/>
      <c r="DK805" s="73"/>
      <c r="DL805" s="73"/>
      <c r="DM805" s="73"/>
      <c r="DN805" s="73"/>
      <c r="DO805" s="73"/>
      <c r="DP805" s="73"/>
      <c r="DQ805" s="73"/>
      <c r="DR805" s="73"/>
      <c r="DS805" s="73"/>
      <c r="DT805" s="73"/>
      <c r="DU805" s="73"/>
      <c r="DV805" s="73"/>
      <c r="DW805" s="73"/>
      <c r="DX805" s="73"/>
      <c r="DY805" s="73"/>
      <c r="DZ805" s="73"/>
      <c r="EA805" s="73"/>
      <c r="EB805" s="73"/>
      <c r="EC805" s="73"/>
      <c r="ED805" s="73"/>
      <c r="EE805" s="73"/>
      <c r="EF805" s="73"/>
      <c r="EG805" s="73"/>
      <c r="EH805" s="73"/>
      <c r="EI805" s="73"/>
      <c r="EJ805" s="73"/>
      <c r="EK805" s="73"/>
      <c r="EL805" s="73"/>
      <c r="EM805" s="73"/>
      <c r="EN805" s="73"/>
      <c r="EO805" s="73"/>
      <c r="EP805" s="69"/>
      <c r="EQ805" s="69"/>
      <c r="ER805" s="69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  <c r="CI806" s="73"/>
      <c r="CJ806" s="73"/>
      <c r="CK806" s="73"/>
      <c r="CL806" s="73"/>
      <c r="CM806" s="73"/>
      <c r="CN806" s="73"/>
      <c r="CO806" s="73"/>
      <c r="CP806" s="73"/>
      <c r="CQ806" s="73"/>
      <c r="CR806" s="73"/>
      <c r="CS806" s="73"/>
      <c r="CT806" s="73"/>
      <c r="CU806" s="73"/>
      <c r="CV806" s="73"/>
      <c r="CW806" s="73"/>
      <c r="CX806" s="73"/>
      <c r="CY806" s="73"/>
      <c r="CZ806" s="73"/>
      <c r="DA806" s="73"/>
      <c r="DB806" s="73"/>
      <c r="DC806" s="73"/>
      <c r="DD806" s="73"/>
      <c r="DE806" s="73"/>
      <c r="DF806" s="73"/>
      <c r="DG806" s="73"/>
      <c r="DH806" s="73"/>
      <c r="DI806" s="73"/>
      <c r="DJ806" s="73"/>
      <c r="DK806" s="73"/>
      <c r="DL806" s="73"/>
      <c r="DM806" s="73"/>
      <c r="DN806" s="73"/>
      <c r="DO806" s="73"/>
      <c r="DP806" s="73"/>
      <c r="DQ806" s="73"/>
      <c r="DR806" s="73"/>
      <c r="DS806" s="73"/>
      <c r="DT806" s="73"/>
      <c r="DU806" s="73"/>
      <c r="DV806" s="73"/>
      <c r="DW806" s="73"/>
      <c r="DX806" s="72"/>
      <c r="DY806" s="72"/>
      <c r="DZ806" s="73"/>
      <c r="EA806" s="73"/>
      <c r="EB806" s="73"/>
      <c r="EC806" s="73"/>
      <c r="ED806" s="73"/>
      <c r="EE806" s="73"/>
      <c r="EF806" s="73"/>
      <c r="EG806" s="73"/>
      <c r="EH806" s="73"/>
      <c r="EI806" s="73"/>
      <c r="EJ806" s="73"/>
      <c r="EK806" s="73"/>
      <c r="EL806" s="73"/>
      <c r="EM806" s="73"/>
      <c r="EN806" s="73"/>
      <c r="EO806" s="73"/>
      <c r="EP806" s="69"/>
      <c r="EQ806" s="69"/>
      <c r="ER806" s="69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  <c r="CI807" s="73"/>
      <c r="CJ807" s="73"/>
      <c r="CK807" s="73"/>
      <c r="CL807" s="73"/>
      <c r="CM807" s="72"/>
      <c r="CN807" s="73"/>
      <c r="CO807" s="73"/>
      <c r="CP807" s="73"/>
      <c r="CQ807" s="73"/>
      <c r="CR807" s="73"/>
      <c r="CS807" s="73"/>
      <c r="CT807" s="73"/>
      <c r="CU807" s="73"/>
      <c r="CV807" s="73"/>
      <c r="CW807" s="73"/>
      <c r="CX807" s="73"/>
      <c r="CY807" s="73"/>
      <c r="CZ807" s="73"/>
      <c r="DA807" s="73"/>
      <c r="DB807" s="73"/>
      <c r="DC807" s="73"/>
      <c r="DD807" s="73"/>
      <c r="DE807" s="73"/>
      <c r="DF807" s="73"/>
      <c r="DG807" s="73"/>
      <c r="DH807" s="73"/>
      <c r="DI807" s="73"/>
      <c r="DJ807" s="73"/>
      <c r="DK807" s="73"/>
      <c r="DL807" s="73"/>
      <c r="DM807" s="73"/>
      <c r="DN807" s="73"/>
      <c r="DO807" s="73"/>
      <c r="DP807" s="73"/>
      <c r="DQ807" s="73"/>
      <c r="DR807" s="73"/>
      <c r="DS807" s="73"/>
      <c r="DT807" s="73"/>
      <c r="DU807" s="73"/>
      <c r="DV807" s="73"/>
      <c r="DW807" s="73"/>
      <c r="DX807" s="72"/>
      <c r="DY807" s="72"/>
      <c r="DZ807" s="73"/>
      <c r="EA807" s="73"/>
      <c r="EB807" s="73"/>
      <c r="EC807" s="73"/>
      <c r="ED807" s="73"/>
      <c r="EE807" s="73"/>
      <c r="EF807" s="73"/>
      <c r="EG807" s="73"/>
      <c r="EH807" s="73"/>
      <c r="EI807" s="73"/>
      <c r="EJ807" s="73"/>
      <c r="EK807" s="73"/>
      <c r="EL807" s="73"/>
      <c r="EM807" s="73"/>
      <c r="EN807" s="73"/>
      <c r="EO807" s="73"/>
      <c r="EP807" s="69"/>
      <c r="EQ807" s="69"/>
      <c r="ER807" s="69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  <c r="CI808" s="73"/>
      <c r="CJ808" s="73"/>
      <c r="CK808" s="73"/>
      <c r="CL808" s="73"/>
      <c r="CM808" s="72"/>
      <c r="CN808" s="73"/>
      <c r="CO808" s="73"/>
      <c r="CP808" s="73"/>
      <c r="CQ808" s="73"/>
      <c r="CR808" s="73"/>
      <c r="CS808" s="73"/>
      <c r="CT808" s="73"/>
      <c r="CU808" s="73"/>
      <c r="CV808" s="73"/>
      <c r="CW808" s="73"/>
      <c r="CX808" s="73"/>
      <c r="CY808" s="73"/>
      <c r="CZ808" s="73"/>
      <c r="DA808" s="73"/>
      <c r="DB808" s="73"/>
      <c r="DC808" s="73"/>
      <c r="DD808" s="73"/>
      <c r="DE808" s="73"/>
      <c r="DF808" s="73"/>
      <c r="DG808" s="73"/>
      <c r="DH808" s="73"/>
      <c r="DI808" s="73"/>
      <c r="DJ808" s="73"/>
      <c r="DK808" s="73"/>
      <c r="DL808" s="73"/>
      <c r="DM808" s="73"/>
      <c r="DN808" s="73"/>
      <c r="DO808" s="73"/>
      <c r="DP808" s="73"/>
      <c r="DQ808" s="73"/>
      <c r="DR808" s="73"/>
      <c r="DS808" s="73"/>
      <c r="DT808" s="73"/>
      <c r="DU808" s="73"/>
      <c r="DV808" s="73"/>
      <c r="DW808" s="73"/>
      <c r="DX808" s="72"/>
      <c r="DY808" s="72"/>
      <c r="DZ808" s="73"/>
      <c r="EA808" s="73"/>
      <c r="EB808" s="73"/>
      <c r="EC808" s="73"/>
      <c r="ED808" s="73"/>
      <c r="EE808" s="73"/>
      <c r="EF808" s="73"/>
      <c r="EG808" s="73"/>
      <c r="EH808" s="73"/>
      <c r="EI808" s="73"/>
      <c r="EJ808" s="73"/>
      <c r="EK808" s="73"/>
      <c r="EL808" s="73"/>
      <c r="EM808" s="73"/>
      <c r="EN808" s="73"/>
      <c r="EO808" s="73"/>
      <c r="EP808" s="69"/>
      <c r="EQ808" s="69"/>
      <c r="ER808" s="69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  <c r="CI809" s="73"/>
      <c r="CJ809" s="73"/>
      <c r="CK809" s="73"/>
      <c r="CL809" s="73"/>
      <c r="CM809" s="73"/>
      <c r="CN809" s="73"/>
      <c r="CO809" s="73"/>
      <c r="CP809" s="73"/>
      <c r="CQ809" s="73"/>
      <c r="CR809" s="73"/>
      <c r="CS809" s="73"/>
      <c r="CT809" s="73"/>
      <c r="CU809" s="73"/>
      <c r="CV809" s="73"/>
      <c r="CW809" s="73"/>
      <c r="CX809" s="73"/>
      <c r="CY809" s="73"/>
      <c r="CZ809" s="73"/>
      <c r="DA809" s="73"/>
      <c r="DB809" s="73"/>
      <c r="DC809" s="73"/>
      <c r="DD809" s="73"/>
      <c r="DE809" s="73"/>
      <c r="DF809" s="73"/>
      <c r="DG809" s="73"/>
      <c r="DH809" s="73"/>
      <c r="DI809" s="73"/>
      <c r="DJ809" s="73"/>
      <c r="DK809" s="73"/>
      <c r="DL809" s="73"/>
      <c r="DM809" s="73"/>
      <c r="DN809" s="73"/>
      <c r="DO809" s="73"/>
      <c r="DP809" s="73"/>
      <c r="DQ809" s="73"/>
      <c r="DR809" s="73"/>
      <c r="DS809" s="73"/>
      <c r="DT809" s="73"/>
      <c r="DU809" s="73"/>
      <c r="DV809" s="73"/>
      <c r="DW809" s="73"/>
      <c r="DX809" s="72"/>
      <c r="DY809" s="72"/>
      <c r="DZ809" s="73"/>
      <c r="EA809" s="73"/>
      <c r="EB809" s="73"/>
      <c r="EC809" s="73"/>
      <c r="ED809" s="73"/>
      <c r="EE809" s="73"/>
      <c r="EF809" s="73"/>
      <c r="EG809" s="73"/>
      <c r="EH809" s="73"/>
      <c r="EI809" s="73"/>
      <c r="EJ809" s="73"/>
      <c r="EK809" s="73"/>
      <c r="EL809" s="73"/>
      <c r="EM809" s="73"/>
      <c r="EN809" s="73"/>
      <c r="EO809" s="73"/>
      <c r="EP809" s="69"/>
      <c r="EQ809" s="69"/>
      <c r="ER809" s="69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  <c r="CI810" s="73"/>
      <c r="CJ810" s="73"/>
      <c r="CK810" s="73"/>
      <c r="CL810" s="73"/>
      <c r="CM810" s="73"/>
      <c r="CN810" s="73"/>
      <c r="CO810" s="73"/>
      <c r="CP810" s="73"/>
      <c r="CQ810" s="73"/>
      <c r="CR810" s="73"/>
      <c r="CS810" s="73"/>
      <c r="CT810" s="73"/>
      <c r="CU810" s="73"/>
      <c r="CV810" s="73"/>
      <c r="CW810" s="73"/>
      <c r="CX810" s="73"/>
      <c r="CY810" s="73"/>
      <c r="CZ810" s="73"/>
      <c r="DA810" s="73"/>
      <c r="DB810" s="73"/>
      <c r="DC810" s="73"/>
      <c r="DD810" s="73"/>
      <c r="DE810" s="73"/>
      <c r="DF810" s="73"/>
      <c r="DG810" s="73"/>
      <c r="DH810" s="73"/>
      <c r="DI810" s="73"/>
      <c r="DJ810" s="73"/>
      <c r="DK810" s="73"/>
      <c r="DL810" s="73"/>
      <c r="DM810" s="73"/>
      <c r="DN810" s="73"/>
      <c r="DO810" s="73"/>
      <c r="DP810" s="73"/>
      <c r="DQ810" s="73"/>
      <c r="DR810" s="73"/>
      <c r="DS810" s="73"/>
      <c r="DT810" s="73"/>
      <c r="DU810" s="73"/>
      <c r="DV810" s="73"/>
      <c r="DW810" s="73"/>
      <c r="DX810" s="72"/>
      <c r="DY810" s="72"/>
      <c r="DZ810" s="73"/>
      <c r="EA810" s="73"/>
      <c r="EB810" s="73"/>
      <c r="EC810" s="73"/>
      <c r="ED810" s="73"/>
      <c r="EE810" s="73"/>
      <c r="EF810" s="73"/>
      <c r="EG810" s="73"/>
      <c r="EH810" s="73"/>
      <c r="EI810" s="73"/>
      <c r="EJ810" s="73"/>
      <c r="EK810" s="73"/>
      <c r="EL810" s="73"/>
      <c r="EM810" s="73"/>
      <c r="EN810" s="73"/>
      <c r="EO810" s="73"/>
      <c r="EP810" s="69"/>
      <c r="EQ810" s="69"/>
      <c r="ER810" s="69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  <c r="CI811" s="73"/>
      <c r="CJ811" s="73"/>
      <c r="CK811" s="73"/>
      <c r="CL811" s="73"/>
      <c r="CM811" s="73"/>
      <c r="CN811" s="73"/>
      <c r="CO811" s="73"/>
      <c r="CP811" s="73"/>
      <c r="CQ811" s="73"/>
      <c r="CR811" s="73"/>
      <c r="CS811" s="73"/>
      <c r="CT811" s="73"/>
      <c r="CU811" s="73"/>
      <c r="CV811" s="73"/>
      <c r="CW811" s="73"/>
      <c r="CX811" s="73"/>
      <c r="CY811" s="73"/>
      <c r="CZ811" s="73"/>
      <c r="DA811" s="73"/>
      <c r="DB811" s="73"/>
      <c r="DC811" s="73"/>
      <c r="DD811" s="73"/>
      <c r="DE811" s="73"/>
      <c r="DF811" s="73"/>
      <c r="DG811" s="73"/>
      <c r="DH811" s="73"/>
      <c r="DI811" s="73"/>
      <c r="DJ811" s="73"/>
      <c r="DK811" s="73"/>
      <c r="DL811" s="73"/>
      <c r="DM811" s="73"/>
      <c r="DN811" s="73"/>
      <c r="DO811" s="73"/>
      <c r="DP811" s="73"/>
      <c r="DQ811" s="73"/>
      <c r="DR811" s="73"/>
      <c r="DS811" s="73"/>
      <c r="DT811" s="73"/>
      <c r="DU811" s="73"/>
      <c r="DV811" s="73"/>
      <c r="DW811" s="73"/>
      <c r="DX811" s="72"/>
      <c r="DY811" s="72"/>
      <c r="DZ811" s="73"/>
      <c r="EA811" s="73"/>
      <c r="EB811" s="73"/>
      <c r="EC811" s="73"/>
      <c r="ED811" s="73"/>
      <c r="EE811" s="73"/>
      <c r="EF811" s="73"/>
      <c r="EG811" s="73"/>
      <c r="EH811" s="73"/>
      <c r="EI811" s="73"/>
      <c r="EJ811" s="73"/>
      <c r="EK811" s="73"/>
      <c r="EL811" s="73"/>
      <c r="EM811" s="73"/>
      <c r="EN811" s="73"/>
      <c r="EO811" s="73"/>
      <c r="EP811" s="69"/>
      <c r="EQ811" s="69"/>
      <c r="ER811" s="69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  <c r="CI812" s="73"/>
      <c r="CJ812" s="73"/>
      <c r="CK812" s="73"/>
      <c r="CL812" s="73"/>
      <c r="CM812" s="73"/>
      <c r="CN812" s="73"/>
      <c r="CO812" s="73"/>
      <c r="CP812" s="73"/>
      <c r="CQ812" s="73"/>
      <c r="CR812" s="73"/>
      <c r="CS812" s="73"/>
      <c r="CT812" s="73"/>
      <c r="CU812" s="73"/>
      <c r="CV812" s="73"/>
      <c r="CW812" s="73"/>
      <c r="CX812" s="73"/>
      <c r="CY812" s="73"/>
      <c r="CZ812" s="73"/>
      <c r="DA812" s="73"/>
      <c r="DB812" s="73"/>
      <c r="DC812" s="73"/>
      <c r="DD812" s="73"/>
      <c r="DE812" s="73"/>
      <c r="DF812" s="73"/>
      <c r="DG812" s="73"/>
      <c r="DH812" s="73"/>
      <c r="DI812" s="73"/>
      <c r="DJ812" s="73"/>
      <c r="DK812" s="73"/>
      <c r="DL812" s="73"/>
      <c r="DM812" s="73"/>
      <c r="DN812" s="73"/>
      <c r="DO812" s="73"/>
      <c r="DP812" s="73"/>
      <c r="DQ812" s="73"/>
      <c r="DR812" s="73"/>
      <c r="DS812" s="73"/>
      <c r="DT812" s="73"/>
      <c r="DU812" s="73"/>
      <c r="DV812" s="73"/>
      <c r="DW812" s="73"/>
      <c r="DX812" s="72"/>
      <c r="DY812" s="72"/>
      <c r="DZ812" s="73"/>
      <c r="EA812" s="73"/>
      <c r="EB812" s="73"/>
      <c r="EC812" s="73"/>
      <c r="ED812" s="73"/>
      <c r="EE812" s="73"/>
      <c r="EF812" s="73"/>
      <c r="EG812" s="73"/>
      <c r="EH812" s="73"/>
      <c r="EI812" s="73"/>
      <c r="EJ812" s="73"/>
      <c r="EK812" s="73"/>
      <c r="EL812" s="73"/>
      <c r="EM812" s="73"/>
      <c r="EN812" s="73"/>
      <c r="EO812" s="73"/>
      <c r="EP812" s="69"/>
      <c r="EQ812" s="69"/>
      <c r="ER812" s="69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  <c r="CI813" s="73"/>
      <c r="CJ813" s="73"/>
      <c r="CK813" s="73"/>
      <c r="CL813" s="73"/>
      <c r="CM813" s="73"/>
      <c r="CN813" s="73"/>
      <c r="CO813" s="73"/>
      <c r="CP813" s="73"/>
      <c r="CQ813" s="73"/>
      <c r="CR813" s="73"/>
      <c r="CS813" s="73"/>
      <c r="CT813" s="73"/>
      <c r="CU813" s="73"/>
      <c r="CV813" s="73"/>
      <c r="CW813" s="73"/>
      <c r="CX813" s="73"/>
      <c r="CY813" s="73"/>
      <c r="CZ813" s="73"/>
      <c r="DA813" s="73"/>
      <c r="DB813" s="73"/>
      <c r="DC813" s="73"/>
      <c r="DD813" s="73"/>
      <c r="DE813" s="73"/>
      <c r="DF813" s="73"/>
      <c r="DG813" s="73"/>
      <c r="DH813" s="73"/>
      <c r="DI813" s="73"/>
      <c r="DJ813" s="73"/>
      <c r="DK813" s="73"/>
      <c r="DL813" s="73"/>
      <c r="DM813" s="73"/>
      <c r="DN813" s="73"/>
      <c r="DO813" s="73"/>
      <c r="DP813" s="73"/>
      <c r="DQ813" s="73"/>
      <c r="DR813" s="73"/>
      <c r="DS813" s="73"/>
      <c r="DT813" s="73"/>
      <c r="DU813" s="73"/>
      <c r="DV813" s="73"/>
      <c r="DW813" s="73"/>
      <c r="DX813" s="73"/>
      <c r="DY813" s="73"/>
      <c r="DZ813" s="73"/>
      <c r="EA813" s="73"/>
      <c r="EB813" s="73"/>
      <c r="EC813" s="73"/>
      <c r="ED813" s="73"/>
      <c r="EE813" s="73"/>
      <c r="EF813" s="73"/>
      <c r="EG813" s="73"/>
      <c r="EH813" s="73"/>
      <c r="EI813" s="73"/>
      <c r="EJ813" s="73"/>
      <c r="EK813" s="73"/>
      <c r="EL813" s="73"/>
      <c r="EM813" s="73"/>
      <c r="EN813" s="73"/>
      <c r="EO813" s="73"/>
      <c r="EP813" s="69"/>
      <c r="EQ813" s="69"/>
      <c r="ER813" s="69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  <c r="CI814" s="73"/>
      <c r="CJ814" s="73"/>
      <c r="CK814" s="73"/>
      <c r="CL814" s="73"/>
      <c r="CM814" s="73"/>
      <c r="CN814" s="73"/>
      <c r="CO814" s="73"/>
      <c r="CP814" s="73"/>
      <c r="CQ814" s="73"/>
      <c r="CR814" s="73"/>
      <c r="CS814" s="73"/>
      <c r="CT814" s="73"/>
      <c r="CU814" s="73"/>
      <c r="CV814" s="73"/>
      <c r="CW814" s="73"/>
      <c r="CX814" s="73"/>
      <c r="CY814" s="73"/>
      <c r="CZ814" s="73"/>
      <c r="DA814" s="73"/>
      <c r="DB814" s="73"/>
      <c r="DC814" s="73"/>
      <c r="DD814" s="73"/>
      <c r="DE814" s="73"/>
      <c r="DF814" s="73"/>
      <c r="DG814" s="73"/>
      <c r="DH814" s="73"/>
      <c r="DI814" s="73"/>
      <c r="DJ814" s="73"/>
      <c r="DK814" s="73"/>
      <c r="DL814" s="73"/>
      <c r="DM814" s="73"/>
      <c r="DN814" s="73"/>
      <c r="DO814" s="73"/>
      <c r="DP814" s="73"/>
      <c r="DQ814" s="73"/>
      <c r="DR814" s="73"/>
      <c r="DS814" s="73"/>
      <c r="DT814" s="73"/>
      <c r="DU814" s="73"/>
      <c r="DV814" s="73"/>
      <c r="DW814" s="73"/>
      <c r="DX814" s="72"/>
      <c r="DY814" s="72"/>
      <c r="DZ814" s="73"/>
      <c r="EA814" s="73"/>
      <c r="EB814" s="73"/>
      <c r="EC814" s="73"/>
      <c r="ED814" s="73"/>
      <c r="EE814" s="73"/>
      <c r="EF814" s="73"/>
      <c r="EG814" s="73"/>
      <c r="EH814" s="73"/>
      <c r="EI814" s="73"/>
      <c r="EJ814" s="73"/>
      <c r="EK814" s="73"/>
      <c r="EL814" s="73"/>
      <c r="EM814" s="73"/>
      <c r="EN814" s="73"/>
      <c r="EO814" s="73"/>
      <c r="EP814" s="69"/>
      <c r="EQ814" s="69"/>
      <c r="ER814" s="69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  <c r="CI815" s="73"/>
      <c r="CJ815" s="73"/>
      <c r="CK815" s="73"/>
      <c r="CL815" s="73"/>
      <c r="CM815" s="73"/>
      <c r="CN815" s="73"/>
      <c r="CO815" s="73"/>
      <c r="CP815" s="73"/>
      <c r="CQ815" s="73"/>
      <c r="CR815" s="73"/>
      <c r="CS815" s="73"/>
      <c r="CT815" s="73"/>
      <c r="CU815" s="73"/>
      <c r="CV815" s="73"/>
      <c r="CW815" s="73"/>
      <c r="CX815" s="73"/>
      <c r="CY815" s="73"/>
      <c r="CZ815" s="73"/>
      <c r="DA815" s="73"/>
      <c r="DB815" s="73"/>
      <c r="DC815" s="73"/>
      <c r="DD815" s="73"/>
      <c r="DE815" s="73"/>
      <c r="DF815" s="73"/>
      <c r="DG815" s="73"/>
      <c r="DH815" s="73"/>
      <c r="DI815" s="73"/>
      <c r="DJ815" s="73"/>
      <c r="DK815" s="73"/>
      <c r="DL815" s="73"/>
      <c r="DM815" s="73"/>
      <c r="DN815" s="73"/>
      <c r="DO815" s="73"/>
      <c r="DP815" s="73"/>
      <c r="DQ815" s="73"/>
      <c r="DR815" s="73"/>
      <c r="DS815" s="73"/>
      <c r="DT815" s="73"/>
      <c r="DU815" s="73"/>
      <c r="DV815" s="73"/>
      <c r="DW815" s="73"/>
      <c r="DX815" s="72"/>
      <c r="DY815" s="72"/>
      <c r="DZ815" s="73"/>
      <c r="EA815" s="73"/>
      <c r="EB815" s="73"/>
      <c r="EC815" s="73"/>
      <c r="ED815" s="73"/>
      <c r="EE815" s="73"/>
      <c r="EF815" s="73"/>
      <c r="EG815" s="73"/>
      <c r="EH815" s="73"/>
      <c r="EI815" s="73"/>
      <c r="EJ815" s="73"/>
      <c r="EK815" s="73"/>
      <c r="EL815" s="73"/>
      <c r="EM815" s="73"/>
      <c r="EN815" s="73"/>
      <c r="EO815" s="73"/>
      <c r="EP815" s="69"/>
      <c r="EQ815" s="69"/>
      <c r="ER815" s="69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  <c r="CI816" s="73"/>
      <c r="CJ816" s="73"/>
      <c r="CK816" s="73"/>
      <c r="CL816" s="73"/>
      <c r="CM816" s="73"/>
      <c r="CN816" s="73"/>
      <c r="CO816" s="73"/>
      <c r="CP816" s="73"/>
      <c r="CQ816" s="73"/>
      <c r="CR816" s="73"/>
      <c r="CS816" s="73"/>
      <c r="CT816" s="73"/>
      <c r="CU816" s="73"/>
      <c r="CV816" s="73"/>
      <c r="CW816" s="73"/>
      <c r="CX816" s="73"/>
      <c r="CY816" s="73"/>
      <c r="CZ816" s="73"/>
      <c r="DA816" s="73"/>
      <c r="DB816" s="73"/>
      <c r="DC816" s="73"/>
      <c r="DD816" s="73"/>
      <c r="DE816" s="73"/>
      <c r="DF816" s="73"/>
      <c r="DG816" s="73"/>
      <c r="DH816" s="73"/>
      <c r="DI816" s="73"/>
      <c r="DJ816" s="73"/>
      <c r="DK816" s="73"/>
      <c r="DL816" s="73"/>
      <c r="DM816" s="73"/>
      <c r="DN816" s="73"/>
      <c r="DO816" s="73"/>
      <c r="DP816" s="73"/>
      <c r="DQ816" s="73"/>
      <c r="DR816" s="73"/>
      <c r="DS816" s="73"/>
      <c r="DT816" s="73"/>
      <c r="DU816" s="73"/>
      <c r="DV816" s="73"/>
      <c r="DW816" s="73"/>
      <c r="DX816" s="72"/>
      <c r="DY816" s="72"/>
      <c r="DZ816" s="73"/>
      <c r="EA816" s="73"/>
      <c r="EB816" s="73"/>
      <c r="EC816" s="73"/>
      <c r="ED816" s="73"/>
      <c r="EE816" s="73"/>
      <c r="EF816" s="73"/>
      <c r="EG816" s="73"/>
      <c r="EH816" s="73"/>
      <c r="EI816" s="73"/>
      <c r="EJ816" s="73"/>
      <c r="EK816" s="73"/>
      <c r="EL816" s="73"/>
      <c r="EM816" s="73"/>
      <c r="EN816" s="73"/>
      <c r="EO816" s="73"/>
      <c r="EP816" s="69"/>
      <c r="EQ816" s="69"/>
      <c r="ER816" s="69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  <c r="CI817" s="73"/>
      <c r="CJ817" s="73"/>
      <c r="CK817" s="73"/>
      <c r="CL817" s="73"/>
      <c r="CM817" s="73"/>
      <c r="CN817" s="73"/>
      <c r="CO817" s="73"/>
      <c r="CP817" s="73"/>
      <c r="CQ817" s="73"/>
      <c r="CR817" s="73"/>
      <c r="CS817" s="73"/>
      <c r="CT817" s="73"/>
      <c r="CU817" s="73"/>
      <c r="CV817" s="73"/>
      <c r="CW817" s="73"/>
      <c r="CX817" s="73"/>
      <c r="CY817" s="73"/>
      <c r="CZ817" s="73"/>
      <c r="DA817" s="73"/>
      <c r="DB817" s="73"/>
      <c r="DC817" s="73"/>
      <c r="DD817" s="73"/>
      <c r="DE817" s="73"/>
      <c r="DF817" s="73"/>
      <c r="DG817" s="73"/>
      <c r="DH817" s="73"/>
      <c r="DI817" s="73"/>
      <c r="DJ817" s="73"/>
      <c r="DK817" s="73"/>
      <c r="DL817" s="73"/>
      <c r="DM817" s="73"/>
      <c r="DN817" s="73"/>
      <c r="DO817" s="73"/>
      <c r="DP817" s="73"/>
      <c r="DQ817" s="73"/>
      <c r="DR817" s="73"/>
      <c r="DS817" s="73"/>
      <c r="DT817" s="73"/>
      <c r="DU817" s="73"/>
      <c r="DV817" s="73"/>
      <c r="DW817" s="73"/>
      <c r="DX817" s="73"/>
      <c r="DY817" s="73"/>
      <c r="DZ817" s="73"/>
      <c r="EA817" s="73"/>
      <c r="EB817" s="73"/>
      <c r="EC817" s="73"/>
      <c r="ED817" s="73"/>
      <c r="EE817" s="73"/>
      <c r="EF817" s="73"/>
      <c r="EG817" s="73"/>
      <c r="EH817" s="73"/>
      <c r="EI817" s="73"/>
      <c r="EJ817" s="73"/>
      <c r="EK817" s="73"/>
      <c r="EL817" s="73"/>
      <c r="EM817" s="73"/>
      <c r="EN817" s="73"/>
      <c r="EO817" s="73"/>
      <c r="EP817" s="69"/>
      <c r="EQ817" s="69"/>
      <c r="ER817" s="69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  <c r="CI818" s="73"/>
      <c r="CJ818" s="73"/>
      <c r="CK818" s="73"/>
      <c r="CL818" s="73"/>
      <c r="CM818" s="73"/>
      <c r="CN818" s="73"/>
      <c r="CO818" s="73"/>
      <c r="CP818" s="73"/>
      <c r="CQ818" s="73"/>
      <c r="CR818" s="73"/>
      <c r="CS818" s="73"/>
      <c r="CT818" s="73"/>
      <c r="CU818" s="73"/>
      <c r="CV818" s="73"/>
      <c r="CW818" s="73"/>
      <c r="CX818" s="73"/>
      <c r="CY818" s="73"/>
      <c r="CZ818" s="73"/>
      <c r="DA818" s="73"/>
      <c r="DB818" s="73"/>
      <c r="DC818" s="73"/>
      <c r="DD818" s="73"/>
      <c r="DE818" s="73"/>
      <c r="DF818" s="73"/>
      <c r="DG818" s="73"/>
      <c r="DH818" s="73"/>
      <c r="DI818" s="73"/>
      <c r="DJ818" s="73"/>
      <c r="DK818" s="73"/>
      <c r="DL818" s="73"/>
      <c r="DM818" s="73"/>
      <c r="DN818" s="73"/>
      <c r="DO818" s="73"/>
      <c r="DP818" s="73"/>
      <c r="DQ818" s="73"/>
      <c r="DR818" s="73"/>
      <c r="DS818" s="73"/>
      <c r="DT818" s="73"/>
      <c r="DU818" s="73"/>
      <c r="DV818" s="73"/>
      <c r="DW818" s="73"/>
      <c r="DX818" s="72"/>
      <c r="DY818" s="72"/>
      <c r="DZ818" s="73"/>
      <c r="EA818" s="73"/>
      <c r="EB818" s="73"/>
      <c r="EC818" s="73"/>
      <c r="ED818" s="73"/>
      <c r="EE818" s="73"/>
      <c r="EF818" s="73"/>
      <c r="EG818" s="73"/>
      <c r="EH818" s="73"/>
      <c r="EI818" s="73"/>
      <c r="EJ818" s="73"/>
      <c r="EK818" s="73"/>
      <c r="EL818" s="73"/>
      <c r="EM818" s="73"/>
      <c r="EN818" s="73"/>
      <c r="EO818" s="73"/>
      <c r="EP818" s="69"/>
      <c r="EQ818" s="69"/>
      <c r="ER818" s="69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  <c r="CI819" s="73"/>
      <c r="CJ819" s="73"/>
      <c r="CK819" s="73"/>
      <c r="CL819" s="73"/>
      <c r="CM819" s="73"/>
      <c r="CN819" s="73"/>
      <c r="CO819" s="73"/>
      <c r="CP819" s="73"/>
      <c r="CQ819" s="73"/>
      <c r="CR819" s="73"/>
      <c r="CS819" s="73"/>
      <c r="CT819" s="73"/>
      <c r="CU819" s="73"/>
      <c r="CV819" s="73"/>
      <c r="CW819" s="73"/>
      <c r="CX819" s="73"/>
      <c r="CY819" s="73"/>
      <c r="CZ819" s="73"/>
      <c r="DA819" s="73"/>
      <c r="DB819" s="73"/>
      <c r="DC819" s="73"/>
      <c r="DD819" s="73"/>
      <c r="DE819" s="73"/>
      <c r="DF819" s="73"/>
      <c r="DG819" s="73"/>
      <c r="DH819" s="73"/>
      <c r="DI819" s="73"/>
      <c r="DJ819" s="73"/>
      <c r="DK819" s="73"/>
      <c r="DL819" s="73"/>
      <c r="DM819" s="73"/>
      <c r="DN819" s="73"/>
      <c r="DO819" s="73"/>
      <c r="DP819" s="73"/>
      <c r="DQ819" s="73"/>
      <c r="DR819" s="73"/>
      <c r="DS819" s="73"/>
      <c r="DT819" s="73"/>
      <c r="DU819" s="73"/>
      <c r="DV819" s="73"/>
      <c r="DW819" s="73"/>
      <c r="DX819" s="72"/>
      <c r="DY819" s="72"/>
      <c r="DZ819" s="73"/>
      <c r="EA819" s="73"/>
      <c r="EB819" s="73"/>
      <c r="EC819" s="73"/>
      <c r="ED819" s="73"/>
      <c r="EE819" s="73"/>
      <c r="EF819" s="73"/>
      <c r="EG819" s="73"/>
      <c r="EH819" s="73"/>
      <c r="EI819" s="73"/>
      <c r="EJ819" s="73"/>
      <c r="EK819" s="73"/>
      <c r="EL819" s="73"/>
      <c r="EM819" s="73"/>
      <c r="EN819" s="73"/>
      <c r="EO819" s="73"/>
      <c r="EP819" s="69"/>
      <c r="EQ819" s="69"/>
      <c r="ER819" s="69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  <c r="CI820" s="73"/>
      <c r="CJ820" s="73"/>
      <c r="CK820" s="73"/>
      <c r="CL820" s="73"/>
      <c r="CM820" s="73"/>
      <c r="CN820" s="73"/>
      <c r="CO820" s="73"/>
      <c r="CP820" s="73"/>
      <c r="CQ820" s="73"/>
      <c r="CR820" s="73"/>
      <c r="CS820" s="73"/>
      <c r="CT820" s="73"/>
      <c r="CU820" s="73"/>
      <c r="CV820" s="73"/>
      <c r="CW820" s="73"/>
      <c r="CX820" s="73"/>
      <c r="CY820" s="73"/>
      <c r="CZ820" s="73"/>
      <c r="DA820" s="73"/>
      <c r="DB820" s="73"/>
      <c r="DC820" s="73"/>
      <c r="DD820" s="73"/>
      <c r="DE820" s="73"/>
      <c r="DF820" s="73"/>
      <c r="DG820" s="73"/>
      <c r="DH820" s="73"/>
      <c r="DI820" s="73"/>
      <c r="DJ820" s="73"/>
      <c r="DK820" s="73"/>
      <c r="DL820" s="73"/>
      <c r="DM820" s="73"/>
      <c r="DN820" s="73"/>
      <c r="DO820" s="73"/>
      <c r="DP820" s="73"/>
      <c r="DQ820" s="73"/>
      <c r="DR820" s="73"/>
      <c r="DS820" s="73"/>
      <c r="DT820" s="73"/>
      <c r="DU820" s="73"/>
      <c r="DV820" s="73"/>
      <c r="DW820" s="73"/>
      <c r="DX820" s="72"/>
      <c r="DY820" s="72"/>
      <c r="DZ820" s="73"/>
      <c r="EA820" s="73"/>
      <c r="EB820" s="73"/>
      <c r="EC820" s="73"/>
      <c r="ED820" s="73"/>
      <c r="EE820" s="73"/>
      <c r="EF820" s="73"/>
      <c r="EG820" s="73"/>
      <c r="EH820" s="73"/>
      <c r="EI820" s="73"/>
      <c r="EJ820" s="73"/>
      <c r="EK820" s="73"/>
      <c r="EL820" s="73"/>
      <c r="EM820" s="73"/>
      <c r="EN820" s="73"/>
      <c r="EO820" s="73"/>
      <c r="EP820" s="69"/>
      <c r="EQ820" s="69"/>
      <c r="ER820" s="69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  <c r="CI821" s="73"/>
      <c r="CJ821" s="73"/>
      <c r="CK821" s="73"/>
      <c r="CL821" s="73"/>
      <c r="CM821" s="73"/>
      <c r="CN821" s="73"/>
      <c r="CO821" s="73"/>
      <c r="CP821" s="73"/>
      <c r="CQ821" s="73"/>
      <c r="CR821" s="73"/>
      <c r="CS821" s="73"/>
      <c r="CT821" s="73"/>
      <c r="CU821" s="73"/>
      <c r="CV821" s="73"/>
      <c r="CW821" s="73"/>
      <c r="CX821" s="73"/>
      <c r="CY821" s="73"/>
      <c r="CZ821" s="73"/>
      <c r="DA821" s="73"/>
      <c r="DB821" s="73"/>
      <c r="DC821" s="73"/>
      <c r="DD821" s="73"/>
      <c r="DE821" s="73"/>
      <c r="DF821" s="73"/>
      <c r="DG821" s="73"/>
      <c r="DH821" s="73"/>
      <c r="DI821" s="73"/>
      <c r="DJ821" s="73"/>
      <c r="DK821" s="73"/>
      <c r="DL821" s="73"/>
      <c r="DM821" s="73"/>
      <c r="DN821" s="73"/>
      <c r="DO821" s="73"/>
      <c r="DP821" s="73"/>
      <c r="DQ821" s="73"/>
      <c r="DR821" s="73"/>
      <c r="DS821" s="73"/>
      <c r="DT821" s="73"/>
      <c r="DU821" s="73"/>
      <c r="DV821" s="73"/>
      <c r="DW821" s="73"/>
      <c r="DX821" s="72"/>
      <c r="DY821" s="72"/>
      <c r="DZ821" s="73"/>
      <c r="EA821" s="73"/>
      <c r="EB821" s="73"/>
      <c r="EC821" s="73"/>
      <c r="ED821" s="73"/>
      <c r="EE821" s="73"/>
      <c r="EF821" s="73"/>
      <c r="EG821" s="73"/>
      <c r="EH821" s="73"/>
      <c r="EI821" s="73"/>
      <c r="EJ821" s="73"/>
      <c r="EK821" s="73"/>
      <c r="EL821" s="73"/>
      <c r="EM821" s="73"/>
      <c r="EN821" s="73"/>
      <c r="EO821" s="73"/>
      <c r="EP821" s="69"/>
      <c r="EQ821" s="69"/>
      <c r="ER821" s="69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  <c r="CI822" s="73"/>
      <c r="CJ822" s="73"/>
      <c r="CK822" s="73"/>
      <c r="CL822" s="73"/>
      <c r="CM822" s="73"/>
      <c r="CN822" s="73"/>
      <c r="CO822" s="73"/>
      <c r="CP822" s="73"/>
      <c r="CQ822" s="73"/>
      <c r="CR822" s="73"/>
      <c r="CS822" s="73"/>
      <c r="CT822" s="73"/>
      <c r="CU822" s="73"/>
      <c r="CV822" s="73"/>
      <c r="CW822" s="73"/>
      <c r="CX822" s="73"/>
      <c r="CY822" s="73"/>
      <c r="CZ822" s="73"/>
      <c r="DA822" s="73"/>
      <c r="DB822" s="73"/>
      <c r="DC822" s="73"/>
      <c r="DD822" s="73"/>
      <c r="DE822" s="73"/>
      <c r="DF822" s="73"/>
      <c r="DG822" s="73"/>
      <c r="DH822" s="73"/>
      <c r="DI822" s="73"/>
      <c r="DJ822" s="73"/>
      <c r="DK822" s="73"/>
      <c r="DL822" s="73"/>
      <c r="DM822" s="73"/>
      <c r="DN822" s="73"/>
      <c r="DO822" s="73"/>
      <c r="DP822" s="73"/>
      <c r="DQ822" s="73"/>
      <c r="DR822" s="73"/>
      <c r="DS822" s="73"/>
      <c r="DT822" s="73"/>
      <c r="DU822" s="73"/>
      <c r="DV822" s="73"/>
      <c r="DW822" s="73"/>
      <c r="DX822" s="72"/>
      <c r="DY822" s="72"/>
      <c r="DZ822" s="73"/>
      <c r="EA822" s="73"/>
      <c r="EB822" s="73"/>
      <c r="EC822" s="73"/>
      <c r="ED822" s="73"/>
      <c r="EE822" s="73"/>
      <c r="EF822" s="73"/>
      <c r="EG822" s="73"/>
      <c r="EH822" s="73"/>
      <c r="EI822" s="73"/>
      <c r="EJ822" s="73"/>
      <c r="EK822" s="73"/>
      <c r="EL822" s="73"/>
      <c r="EM822" s="73"/>
      <c r="EN822" s="73"/>
      <c r="EO822" s="73"/>
      <c r="EP822" s="69"/>
      <c r="EQ822" s="69"/>
      <c r="ER822" s="69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  <c r="CI823" s="73"/>
      <c r="CJ823" s="73"/>
      <c r="CK823" s="73"/>
      <c r="CL823" s="73"/>
      <c r="CM823" s="73"/>
      <c r="CN823" s="73"/>
      <c r="CO823" s="73"/>
      <c r="CP823" s="73"/>
      <c r="CQ823" s="73"/>
      <c r="CR823" s="73"/>
      <c r="CS823" s="73"/>
      <c r="CT823" s="73"/>
      <c r="CU823" s="73"/>
      <c r="CV823" s="73"/>
      <c r="CW823" s="73"/>
      <c r="CX823" s="73"/>
      <c r="CY823" s="73"/>
      <c r="CZ823" s="73"/>
      <c r="DA823" s="73"/>
      <c r="DB823" s="73"/>
      <c r="DC823" s="73"/>
      <c r="DD823" s="73"/>
      <c r="DE823" s="73"/>
      <c r="DF823" s="73"/>
      <c r="DG823" s="73"/>
      <c r="DH823" s="73"/>
      <c r="DI823" s="73"/>
      <c r="DJ823" s="73"/>
      <c r="DK823" s="73"/>
      <c r="DL823" s="73"/>
      <c r="DM823" s="73"/>
      <c r="DN823" s="73"/>
      <c r="DO823" s="73"/>
      <c r="DP823" s="73"/>
      <c r="DQ823" s="73"/>
      <c r="DR823" s="73"/>
      <c r="DS823" s="73"/>
      <c r="DT823" s="73"/>
      <c r="DU823" s="73"/>
      <c r="DV823" s="73"/>
      <c r="DW823" s="73"/>
      <c r="DX823" s="72"/>
      <c r="DY823" s="72"/>
      <c r="DZ823" s="73"/>
      <c r="EA823" s="73"/>
      <c r="EB823" s="73"/>
      <c r="EC823" s="73"/>
      <c r="ED823" s="73"/>
      <c r="EE823" s="73"/>
      <c r="EF823" s="73"/>
      <c r="EG823" s="73"/>
      <c r="EH823" s="73"/>
      <c r="EI823" s="73"/>
      <c r="EJ823" s="73"/>
      <c r="EK823" s="73"/>
      <c r="EL823" s="73"/>
      <c r="EM823" s="73"/>
      <c r="EN823" s="73"/>
      <c r="EO823" s="73"/>
      <c r="EP823" s="69"/>
      <c r="EQ823" s="69"/>
      <c r="ER823" s="69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  <c r="CI824" s="73"/>
      <c r="CJ824" s="73"/>
      <c r="CK824" s="73"/>
      <c r="CL824" s="73"/>
      <c r="CM824" s="72"/>
      <c r="CN824" s="73"/>
      <c r="CO824" s="73"/>
      <c r="CP824" s="73"/>
      <c r="CQ824" s="73"/>
      <c r="CR824" s="73"/>
      <c r="CS824" s="73"/>
      <c r="CT824" s="73"/>
      <c r="CU824" s="73"/>
      <c r="CV824" s="73"/>
      <c r="CW824" s="73"/>
      <c r="CX824" s="73"/>
      <c r="CY824" s="73"/>
      <c r="CZ824" s="73"/>
      <c r="DA824" s="73"/>
      <c r="DB824" s="73"/>
      <c r="DC824" s="73"/>
      <c r="DD824" s="73"/>
      <c r="DE824" s="73"/>
      <c r="DF824" s="73"/>
      <c r="DG824" s="73"/>
      <c r="DH824" s="73"/>
      <c r="DI824" s="73"/>
      <c r="DJ824" s="73"/>
      <c r="DK824" s="73"/>
      <c r="DL824" s="73"/>
      <c r="DM824" s="73"/>
      <c r="DN824" s="73"/>
      <c r="DO824" s="73"/>
      <c r="DP824" s="73"/>
      <c r="DQ824" s="73"/>
      <c r="DR824" s="73"/>
      <c r="DS824" s="73"/>
      <c r="DT824" s="73"/>
      <c r="DU824" s="73"/>
      <c r="DV824" s="73"/>
      <c r="DW824" s="73"/>
      <c r="DX824" s="72"/>
      <c r="DY824" s="72"/>
      <c r="DZ824" s="73"/>
      <c r="EA824" s="73"/>
      <c r="EB824" s="73"/>
      <c r="EC824" s="73"/>
      <c r="ED824" s="73"/>
      <c r="EE824" s="73"/>
      <c r="EF824" s="73"/>
      <c r="EG824" s="73"/>
      <c r="EH824" s="73"/>
      <c r="EI824" s="73"/>
      <c r="EJ824" s="73"/>
      <c r="EK824" s="73"/>
      <c r="EL824" s="73"/>
      <c r="EM824" s="73"/>
      <c r="EN824" s="73"/>
      <c r="EO824" s="73"/>
      <c r="EP824" s="69"/>
      <c r="EQ824" s="69"/>
      <c r="ER824" s="69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  <c r="CI825" s="73"/>
      <c r="CJ825" s="73"/>
      <c r="CK825" s="73"/>
      <c r="CL825" s="73"/>
      <c r="CM825" s="73"/>
      <c r="CN825" s="73"/>
      <c r="CO825" s="73"/>
      <c r="CP825" s="73"/>
      <c r="CQ825" s="73"/>
      <c r="CR825" s="73"/>
      <c r="CS825" s="73"/>
      <c r="CT825" s="73"/>
      <c r="CU825" s="73"/>
      <c r="CV825" s="73"/>
      <c r="CW825" s="73"/>
      <c r="CX825" s="73"/>
      <c r="CY825" s="73"/>
      <c r="CZ825" s="73"/>
      <c r="DA825" s="73"/>
      <c r="DB825" s="73"/>
      <c r="DC825" s="73"/>
      <c r="DD825" s="73"/>
      <c r="DE825" s="73"/>
      <c r="DF825" s="73"/>
      <c r="DG825" s="73"/>
      <c r="DH825" s="73"/>
      <c r="DI825" s="73"/>
      <c r="DJ825" s="73"/>
      <c r="DK825" s="73"/>
      <c r="DL825" s="73"/>
      <c r="DM825" s="73"/>
      <c r="DN825" s="73"/>
      <c r="DO825" s="73"/>
      <c r="DP825" s="73"/>
      <c r="DQ825" s="73"/>
      <c r="DR825" s="73"/>
      <c r="DS825" s="73"/>
      <c r="DT825" s="73"/>
      <c r="DU825" s="73"/>
      <c r="DV825" s="73"/>
      <c r="DW825" s="73"/>
      <c r="DX825" s="72"/>
      <c r="DY825" s="72"/>
      <c r="DZ825" s="73"/>
      <c r="EA825" s="73"/>
      <c r="EB825" s="73"/>
      <c r="EC825" s="73"/>
      <c r="ED825" s="73"/>
      <c r="EE825" s="73"/>
      <c r="EF825" s="73"/>
      <c r="EG825" s="73"/>
      <c r="EH825" s="73"/>
      <c r="EI825" s="73"/>
      <c r="EJ825" s="73"/>
      <c r="EK825" s="73"/>
      <c r="EL825" s="73"/>
      <c r="EM825" s="73"/>
      <c r="EN825" s="73"/>
      <c r="EO825" s="73"/>
      <c r="EP825" s="69"/>
      <c r="EQ825" s="69"/>
      <c r="ER825" s="69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  <c r="CI826" s="73"/>
      <c r="CJ826" s="73"/>
      <c r="CK826" s="73"/>
      <c r="CL826" s="73"/>
      <c r="CM826" s="72"/>
      <c r="CN826" s="73"/>
      <c r="CO826" s="73"/>
      <c r="CP826" s="73"/>
      <c r="CQ826" s="73"/>
      <c r="CR826" s="73"/>
      <c r="CS826" s="73"/>
      <c r="CT826" s="73"/>
      <c r="CU826" s="73"/>
      <c r="CV826" s="73"/>
      <c r="CW826" s="73"/>
      <c r="CX826" s="73"/>
      <c r="CY826" s="73"/>
      <c r="CZ826" s="73"/>
      <c r="DA826" s="73"/>
      <c r="DB826" s="73"/>
      <c r="DC826" s="73"/>
      <c r="DD826" s="73"/>
      <c r="DE826" s="73"/>
      <c r="DF826" s="73"/>
      <c r="DG826" s="73"/>
      <c r="DH826" s="73"/>
      <c r="DI826" s="73"/>
      <c r="DJ826" s="73"/>
      <c r="DK826" s="73"/>
      <c r="DL826" s="73"/>
      <c r="DM826" s="73"/>
      <c r="DN826" s="73"/>
      <c r="DO826" s="73"/>
      <c r="DP826" s="73"/>
      <c r="DQ826" s="73"/>
      <c r="DR826" s="73"/>
      <c r="DS826" s="73"/>
      <c r="DT826" s="73"/>
      <c r="DU826" s="73"/>
      <c r="DV826" s="73"/>
      <c r="DW826" s="73"/>
      <c r="DX826" s="73"/>
      <c r="DY826" s="73"/>
      <c r="DZ826" s="73"/>
      <c r="EA826" s="73"/>
      <c r="EB826" s="73"/>
      <c r="EC826" s="73"/>
      <c r="ED826" s="73"/>
      <c r="EE826" s="73"/>
      <c r="EF826" s="73"/>
      <c r="EG826" s="73"/>
      <c r="EH826" s="73"/>
      <c r="EI826" s="73"/>
      <c r="EJ826" s="73"/>
      <c r="EK826" s="73"/>
      <c r="EL826" s="73"/>
      <c r="EM826" s="73"/>
      <c r="EN826" s="73"/>
      <c r="EO826" s="73"/>
      <c r="EP826" s="69"/>
      <c r="EQ826" s="69"/>
      <c r="ER826" s="69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  <c r="CI827" s="73"/>
      <c r="CJ827" s="73"/>
      <c r="CK827" s="73"/>
      <c r="CL827" s="73"/>
      <c r="CM827" s="73"/>
      <c r="CN827" s="73"/>
      <c r="CO827" s="73"/>
      <c r="CP827" s="73"/>
      <c r="CQ827" s="73"/>
      <c r="CR827" s="73"/>
      <c r="CS827" s="73"/>
      <c r="CT827" s="73"/>
      <c r="CU827" s="73"/>
      <c r="CV827" s="73"/>
      <c r="CW827" s="73"/>
      <c r="CX827" s="73"/>
      <c r="CY827" s="73"/>
      <c r="CZ827" s="73"/>
      <c r="DA827" s="73"/>
      <c r="DB827" s="73"/>
      <c r="DC827" s="73"/>
      <c r="DD827" s="73"/>
      <c r="DE827" s="73"/>
      <c r="DF827" s="73"/>
      <c r="DG827" s="73"/>
      <c r="DH827" s="73"/>
      <c r="DI827" s="73"/>
      <c r="DJ827" s="73"/>
      <c r="DK827" s="73"/>
      <c r="DL827" s="73"/>
      <c r="DM827" s="73"/>
      <c r="DN827" s="73"/>
      <c r="DO827" s="73"/>
      <c r="DP827" s="73"/>
      <c r="DQ827" s="73"/>
      <c r="DR827" s="73"/>
      <c r="DS827" s="73"/>
      <c r="DT827" s="73"/>
      <c r="DU827" s="73"/>
      <c r="DV827" s="73"/>
      <c r="DW827" s="73"/>
      <c r="DX827" s="72"/>
      <c r="DY827" s="72"/>
      <c r="DZ827" s="73"/>
      <c r="EA827" s="73"/>
      <c r="EB827" s="73"/>
      <c r="EC827" s="73"/>
      <c r="ED827" s="73"/>
      <c r="EE827" s="73"/>
      <c r="EF827" s="73"/>
      <c r="EG827" s="73"/>
      <c r="EH827" s="73"/>
      <c r="EI827" s="73"/>
      <c r="EJ827" s="73"/>
      <c r="EK827" s="73"/>
      <c r="EL827" s="73"/>
      <c r="EM827" s="73"/>
      <c r="EN827" s="73"/>
      <c r="EO827" s="73"/>
      <c r="EP827" s="69"/>
      <c r="EQ827" s="69"/>
      <c r="ER827" s="69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  <c r="CI828" s="73"/>
      <c r="CJ828" s="73"/>
      <c r="CK828" s="73"/>
      <c r="CL828" s="73"/>
      <c r="CM828" s="72"/>
      <c r="CN828" s="73"/>
      <c r="CO828" s="73"/>
      <c r="CP828" s="73"/>
      <c r="CQ828" s="73"/>
      <c r="CR828" s="73"/>
      <c r="CS828" s="73"/>
      <c r="CT828" s="73"/>
      <c r="CU828" s="73"/>
      <c r="CV828" s="73"/>
      <c r="CW828" s="73"/>
      <c r="CX828" s="73"/>
      <c r="CY828" s="73"/>
      <c r="CZ828" s="73"/>
      <c r="DA828" s="73"/>
      <c r="DB828" s="73"/>
      <c r="DC828" s="73"/>
      <c r="DD828" s="73"/>
      <c r="DE828" s="73"/>
      <c r="DF828" s="73"/>
      <c r="DG828" s="73"/>
      <c r="DH828" s="73"/>
      <c r="DI828" s="73"/>
      <c r="DJ828" s="73"/>
      <c r="DK828" s="73"/>
      <c r="DL828" s="73"/>
      <c r="DM828" s="73"/>
      <c r="DN828" s="73"/>
      <c r="DO828" s="73"/>
      <c r="DP828" s="73"/>
      <c r="DQ828" s="73"/>
      <c r="DR828" s="73"/>
      <c r="DS828" s="73"/>
      <c r="DT828" s="73"/>
      <c r="DU828" s="73"/>
      <c r="DV828" s="73"/>
      <c r="DW828" s="73"/>
      <c r="DX828" s="73"/>
      <c r="DY828" s="73"/>
      <c r="DZ828" s="73"/>
      <c r="EA828" s="73"/>
      <c r="EB828" s="73"/>
      <c r="EC828" s="73"/>
      <c r="ED828" s="73"/>
      <c r="EE828" s="73"/>
      <c r="EF828" s="73"/>
      <c r="EG828" s="73"/>
      <c r="EH828" s="73"/>
      <c r="EI828" s="73"/>
      <c r="EJ828" s="73"/>
      <c r="EK828" s="73"/>
      <c r="EL828" s="73"/>
      <c r="EM828" s="73"/>
      <c r="EN828" s="73"/>
      <c r="EO828" s="73"/>
      <c r="EP828" s="69"/>
      <c r="EQ828" s="69"/>
      <c r="ER828" s="69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  <c r="CI829" s="73"/>
      <c r="CJ829" s="73"/>
      <c r="CK829" s="73"/>
      <c r="CL829" s="73"/>
      <c r="CM829" s="73"/>
      <c r="CN829" s="73"/>
      <c r="CO829" s="73"/>
      <c r="CP829" s="73"/>
      <c r="CQ829" s="73"/>
      <c r="CR829" s="73"/>
      <c r="CS829" s="73"/>
      <c r="CT829" s="73"/>
      <c r="CU829" s="73"/>
      <c r="CV829" s="73"/>
      <c r="CW829" s="73"/>
      <c r="CX829" s="73"/>
      <c r="CY829" s="73"/>
      <c r="CZ829" s="73"/>
      <c r="DA829" s="73"/>
      <c r="DB829" s="73"/>
      <c r="DC829" s="73"/>
      <c r="DD829" s="73"/>
      <c r="DE829" s="73"/>
      <c r="DF829" s="73"/>
      <c r="DG829" s="73"/>
      <c r="DH829" s="73"/>
      <c r="DI829" s="73"/>
      <c r="DJ829" s="73"/>
      <c r="DK829" s="73"/>
      <c r="DL829" s="73"/>
      <c r="DM829" s="73"/>
      <c r="DN829" s="73"/>
      <c r="DO829" s="73"/>
      <c r="DP829" s="73"/>
      <c r="DQ829" s="73"/>
      <c r="DR829" s="73"/>
      <c r="DS829" s="73"/>
      <c r="DT829" s="73"/>
      <c r="DU829" s="73"/>
      <c r="DV829" s="73"/>
      <c r="DW829" s="73"/>
      <c r="DX829" s="72"/>
      <c r="DY829" s="72"/>
      <c r="DZ829" s="73"/>
      <c r="EA829" s="73"/>
      <c r="EB829" s="73"/>
      <c r="EC829" s="73"/>
      <c r="ED829" s="73"/>
      <c r="EE829" s="73"/>
      <c r="EF829" s="73"/>
      <c r="EG829" s="73"/>
      <c r="EH829" s="73"/>
      <c r="EI829" s="73"/>
      <c r="EJ829" s="73"/>
      <c r="EK829" s="73"/>
      <c r="EL829" s="73"/>
      <c r="EM829" s="73"/>
      <c r="EN829" s="73"/>
      <c r="EO829" s="73"/>
      <c r="EP829" s="69"/>
      <c r="EQ829" s="69"/>
      <c r="ER829" s="69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  <c r="CI830" s="73"/>
      <c r="CJ830" s="73"/>
      <c r="CK830" s="73"/>
      <c r="CL830" s="73"/>
      <c r="CM830" s="73"/>
      <c r="CN830" s="73"/>
      <c r="CO830" s="73"/>
      <c r="CP830" s="73"/>
      <c r="CQ830" s="73"/>
      <c r="CR830" s="73"/>
      <c r="CS830" s="73"/>
      <c r="CT830" s="73"/>
      <c r="CU830" s="73"/>
      <c r="CV830" s="73"/>
      <c r="CW830" s="73"/>
      <c r="CX830" s="73"/>
      <c r="CY830" s="73"/>
      <c r="CZ830" s="73"/>
      <c r="DA830" s="73"/>
      <c r="DB830" s="73"/>
      <c r="DC830" s="73"/>
      <c r="DD830" s="73"/>
      <c r="DE830" s="73"/>
      <c r="DF830" s="73"/>
      <c r="DG830" s="73"/>
      <c r="DH830" s="73"/>
      <c r="DI830" s="73"/>
      <c r="DJ830" s="73"/>
      <c r="DK830" s="73"/>
      <c r="DL830" s="73"/>
      <c r="DM830" s="73"/>
      <c r="DN830" s="73"/>
      <c r="DO830" s="73"/>
      <c r="DP830" s="73"/>
      <c r="DQ830" s="73"/>
      <c r="DR830" s="73"/>
      <c r="DS830" s="73"/>
      <c r="DT830" s="73"/>
      <c r="DU830" s="73"/>
      <c r="DV830" s="73"/>
      <c r="DW830" s="73"/>
      <c r="DX830" s="73"/>
      <c r="DY830" s="73"/>
      <c r="DZ830" s="73"/>
      <c r="EA830" s="73"/>
      <c r="EB830" s="73"/>
      <c r="EC830" s="73"/>
      <c r="ED830" s="73"/>
      <c r="EE830" s="73"/>
      <c r="EF830" s="73"/>
      <c r="EG830" s="73"/>
      <c r="EH830" s="73"/>
      <c r="EI830" s="73"/>
      <c r="EJ830" s="73"/>
      <c r="EK830" s="73"/>
      <c r="EL830" s="73"/>
      <c r="EM830" s="73"/>
      <c r="EN830" s="73"/>
      <c r="EO830" s="73"/>
      <c r="EP830" s="69"/>
      <c r="EQ830" s="69"/>
      <c r="ER830" s="69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  <c r="CI831" s="73"/>
      <c r="CJ831" s="73"/>
      <c r="CK831" s="73"/>
      <c r="CL831" s="73"/>
      <c r="CM831" s="73"/>
      <c r="CN831" s="73"/>
      <c r="CO831" s="73"/>
      <c r="CP831" s="73"/>
      <c r="CQ831" s="73"/>
      <c r="CR831" s="73"/>
      <c r="CS831" s="73"/>
      <c r="CT831" s="73"/>
      <c r="CU831" s="73"/>
      <c r="CV831" s="73"/>
      <c r="CW831" s="73"/>
      <c r="CX831" s="73"/>
      <c r="CY831" s="73"/>
      <c r="CZ831" s="73"/>
      <c r="DA831" s="73"/>
      <c r="DB831" s="73"/>
      <c r="DC831" s="73"/>
      <c r="DD831" s="73"/>
      <c r="DE831" s="73"/>
      <c r="DF831" s="73"/>
      <c r="DG831" s="73"/>
      <c r="DH831" s="73"/>
      <c r="DI831" s="73"/>
      <c r="DJ831" s="73"/>
      <c r="DK831" s="73"/>
      <c r="DL831" s="73"/>
      <c r="DM831" s="73"/>
      <c r="DN831" s="73"/>
      <c r="DO831" s="73"/>
      <c r="DP831" s="73"/>
      <c r="DQ831" s="73"/>
      <c r="DR831" s="73"/>
      <c r="DS831" s="73"/>
      <c r="DT831" s="73"/>
      <c r="DU831" s="73"/>
      <c r="DV831" s="73"/>
      <c r="DW831" s="73"/>
      <c r="DX831" s="72"/>
      <c r="DY831" s="72"/>
      <c r="DZ831" s="73"/>
      <c r="EA831" s="73"/>
      <c r="EB831" s="73"/>
      <c r="EC831" s="73"/>
      <c r="ED831" s="73"/>
      <c r="EE831" s="73"/>
      <c r="EF831" s="73"/>
      <c r="EG831" s="73"/>
      <c r="EH831" s="73"/>
      <c r="EI831" s="73"/>
      <c r="EJ831" s="73"/>
      <c r="EK831" s="73"/>
      <c r="EL831" s="73"/>
      <c r="EM831" s="73"/>
      <c r="EN831" s="73"/>
      <c r="EO831" s="73"/>
      <c r="EP831" s="69"/>
      <c r="EQ831" s="69"/>
      <c r="ER831" s="69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  <c r="CI832" s="73"/>
      <c r="CJ832" s="73"/>
      <c r="CK832" s="73"/>
      <c r="CL832" s="73"/>
      <c r="CM832" s="72"/>
      <c r="CN832" s="73"/>
      <c r="CO832" s="73"/>
      <c r="CP832" s="73"/>
      <c r="CQ832" s="73"/>
      <c r="CR832" s="73"/>
      <c r="CS832" s="73"/>
      <c r="CT832" s="73"/>
      <c r="CU832" s="73"/>
      <c r="CV832" s="73"/>
      <c r="CW832" s="73"/>
      <c r="CX832" s="73"/>
      <c r="CY832" s="73"/>
      <c r="CZ832" s="73"/>
      <c r="DA832" s="73"/>
      <c r="DB832" s="73"/>
      <c r="DC832" s="73"/>
      <c r="DD832" s="73"/>
      <c r="DE832" s="73"/>
      <c r="DF832" s="73"/>
      <c r="DG832" s="73"/>
      <c r="DH832" s="73"/>
      <c r="DI832" s="73"/>
      <c r="DJ832" s="73"/>
      <c r="DK832" s="73"/>
      <c r="DL832" s="73"/>
      <c r="DM832" s="73"/>
      <c r="DN832" s="73"/>
      <c r="DO832" s="73"/>
      <c r="DP832" s="73"/>
      <c r="DQ832" s="73"/>
      <c r="DR832" s="73"/>
      <c r="DS832" s="73"/>
      <c r="DT832" s="73"/>
      <c r="DU832" s="73"/>
      <c r="DV832" s="73"/>
      <c r="DW832" s="73"/>
      <c r="DX832" s="72"/>
      <c r="DY832" s="72"/>
      <c r="DZ832" s="73"/>
      <c r="EA832" s="73"/>
      <c r="EB832" s="73"/>
      <c r="EC832" s="73"/>
      <c r="ED832" s="73"/>
      <c r="EE832" s="73"/>
      <c r="EF832" s="73"/>
      <c r="EG832" s="73"/>
      <c r="EH832" s="73"/>
      <c r="EI832" s="73"/>
      <c r="EJ832" s="73"/>
      <c r="EK832" s="73"/>
      <c r="EL832" s="73"/>
      <c r="EM832" s="73"/>
      <c r="EN832" s="73"/>
      <c r="EO832" s="73"/>
      <c r="EP832" s="69"/>
      <c r="EQ832" s="69"/>
      <c r="ER832" s="69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  <c r="CI833" s="73"/>
      <c r="CJ833" s="73"/>
      <c r="CK833" s="73"/>
      <c r="CL833" s="73"/>
      <c r="CM833" s="72"/>
      <c r="CN833" s="73"/>
      <c r="CO833" s="73"/>
      <c r="CP833" s="73"/>
      <c r="CQ833" s="73"/>
      <c r="CR833" s="73"/>
      <c r="CS833" s="73"/>
      <c r="CT833" s="73"/>
      <c r="CU833" s="73"/>
      <c r="CV833" s="73"/>
      <c r="CW833" s="73"/>
      <c r="CX833" s="73"/>
      <c r="CY833" s="73"/>
      <c r="CZ833" s="73"/>
      <c r="DA833" s="73"/>
      <c r="DB833" s="73"/>
      <c r="DC833" s="73"/>
      <c r="DD833" s="73"/>
      <c r="DE833" s="73"/>
      <c r="DF833" s="73"/>
      <c r="DG833" s="73"/>
      <c r="DH833" s="73"/>
      <c r="DI833" s="73"/>
      <c r="DJ833" s="73"/>
      <c r="DK833" s="73"/>
      <c r="DL833" s="73"/>
      <c r="DM833" s="73"/>
      <c r="DN833" s="73"/>
      <c r="DO833" s="73"/>
      <c r="DP833" s="73"/>
      <c r="DQ833" s="73"/>
      <c r="DR833" s="73"/>
      <c r="DS833" s="73"/>
      <c r="DT833" s="73"/>
      <c r="DU833" s="73"/>
      <c r="DV833" s="73"/>
      <c r="DW833" s="73"/>
      <c r="DX833" s="72"/>
      <c r="DY833" s="72"/>
      <c r="DZ833" s="73"/>
      <c r="EA833" s="73"/>
      <c r="EB833" s="73"/>
      <c r="EC833" s="73"/>
      <c r="ED833" s="73"/>
      <c r="EE833" s="73"/>
      <c r="EF833" s="73"/>
      <c r="EG833" s="73"/>
      <c r="EH833" s="73"/>
      <c r="EI833" s="73"/>
      <c r="EJ833" s="73"/>
      <c r="EK833" s="73"/>
      <c r="EL833" s="73"/>
      <c r="EM833" s="73"/>
      <c r="EN833" s="73"/>
      <c r="EO833" s="73"/>
      <c r="EP833" s="69"/>
      <c r="EQ833" s="69"/>
      <c r="ER833" s="69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  <c r="CI834" s="73"/>
      <c r="CJ834" s="73"/>
      <c r="CK834" s="73"/>
      <c r="CL834" s="73"/>
      <c r="CM834" s="73"/>
      <c r="CN834" s="73"/>
      <c r="CO834" s="73"/>
      <c r="CP834" s="73"/>
      <c r="CQ834" s="73"/>
      <c r="CR834" s="73"/>
      <c r="CS834" s="73"/>
      <c r="CT834" s="73"/>
      <c r="CU834" s="73"/>
      <c r="CV834" s="73"/>
      <c r="CW834" s="73"/>
      <c r="CX834" s="73"/>
      <c r="CY834" s="73"/>
      <c r="CZ834" s="73"/>
      <c r="DA834" s="73"/>
      <c r="DB834" s="73"/>
      <c r="DC834" s="73"/>
      <c r="DD834" s="73"/>
      <c r="DE834" s="73"/>
      <c r="DF834" s="73"/>
      <c r="DG834" s="73"/>
      <c r="DH834" s="73"/>
      <c r="DI834" s="73"/>
      <c r="DJ834" s="73"/>
      <c r="DK834" s="73"/>
      <c r="DL834" s="73"/>
      <c r="DM834" s="73"/>
      <c r="DN834" s="73"/>
      <c r="DO834" s="73"/>
      <c r="DP834" s="73"/>
      <c r="DQ834" s="73"/>
      <c r="DR834" s="73"/>
      <c r="DS834" s="73"/>
      <c r="DT834" s="73"/>
      <c r="DU834" s="73"/>
      <c r="DV834" s="73"/>
      <c r="DW834" s="73"/>
      <c r="DX834" s="72"/>
      <c r="DY834" s="72"/>
      <c r="DZ834" s="73"/>
      <c r="EA834" s="73"/>
      <c r="EB834" s="73"/>
      <c r="EC834" s="73"/>
      <c r="ED834" s="73"/>
      <c r="EE834" s="73"/>
      <c r="EF834" s="73"/>
      <c r="EG834" s="73"/>
      <c r="EH834" s="73"/>
      <c r="EI834" s="73"/>
      <c r="EJ834" s="73"/>
      <c r="EK834" s="73"/>
      <c r="EL834" s="73"/>
      <c r="EM834" s="73"/>
      <c r="EN834" s="73"/>
      <c r="EO834" s="73"/>
      <c r="EP834" s="69"/>
      <c r="EQ834" s="69"/>
      <c r="ER834" s="69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  <c r="CI835" s="73"/>
      <c r="CJ835" s="73"/>
      <c r="CK835" s="73"/>
      <c r="CL835" s="73"/>
      <c r="CM835" s="72"/>
      <c r="CN835" s="73"/>
      <c r="CO835" s="73"/>
      <c r="CP835" s="73"/>
      <c r="CQ835" s="73"/>
      <c r="CR835" s="73"/>
      <c r="CS835" s="73"/>
      <c r="CT835" s="73"/>
      <c r="CU835" s="73"/>
      <c r="CV835" s="73"/>
      <c r="CW835" s="73"/>
      <c r="CX835" s="73"/>
      <c r="CY835" s="73"/>
      <c r="CZ835" s="73"/>
      <c r="DA835" s="73"/>
      <c r="DB835" s="73"/>
      <c r="DC835" s="73"/>
      <c r="DD835" s="73"/>
      <c r="DE835" s="73"/>
      <c r="DF835" s="73"/>
      <c r="DG835" s="73"/>
      <c r="DH835" s="73"/>
      <c r="DI835" s="73"/>
      <c r="DJ835" s="73"/>
      <c r="DK835" s="73"/>
      <c r="DL835" s="73"/>
      <c r="DM835" s="73"/>
      <c r="DN835" s="73"/>
      <c r="DO835" s="73"/>
      <c r="DP835" s="73"/>
      <c r="DQ835" s="73"/>
      <c r="DR835" s="73"/>
      <c r="DS835" s="73"/>
      <c r="DT835" s="73"/>
      <c r="DU835" s="73"/>
      <c r="DV835" s="73"/>
      <c r="DW835" s="73"/>
      <c r="DX835" s="72"/>
      <c r="DY835" s="72"/>
      <c r="DZ835" s="73"/>
      <c r="EA835" s="73"/>
      <c r="EB835" s="73"/>
      <c r="EC835" s="73"/>
      <c r="ED835" s="73"/>
      <c r="EE835" s="73"/>
      <c r="EF835" s="73"/>
      <c r="EG835" s="73"/>
      <c r="EH835" s="73"/>
      <c r="EI835" s="73"/>
      <c r="EJ835" s="73"/>
      <c r="EK835" s="73"/>
      <c r="EL835" s="73"/>
      <c r="EM835" s="73"/>
      <c r="EN835" s="73"/>
      <c r="EO835" s="73"/>
      <c r="EP835" s="69"/>
      <c r="EQ835" s="69"/>
      <c r="ER835" s="69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  <c r="CI836" s="73"/>
      <c r="CJ836" s="73"/>
      <c r="CK836" s="73"/>
      <c r="CL836" s="73"/>
      <c r="CM836" s="72"/>
      <c r="CN836" s="73"/>
      <c r="CO836" s="73"/>
      <c r="CP836" s="73"/>
      <c r="CQ836" s="73"/>
      <c r="CR836" s="73"/>
      <c r="CS836" s="73"/>
      <c r="CT836" s="73"/>
      <c r="CU836" s="73"/>
      <c r="CV836" s="73"/>
      <c r="CW836" s="73"/>
      <c r="CX836" s="73"/>
      <c r="CY836" s="73"/>
      <c r="CZ836" s="73"/>
      <c r="DA836" s="73"/>
      <c r="DB836" s="73"/>
      <c r="DC836" s="73"/>
      <c r="DD836" s="73"/>
      <c r="DE836" s="73"/>
      <c r="DF836" s="73"/>
      <c r="DG836" s="73"/>
      <c r="DH836" s="73"/>
      <c r="DI836" s="73"/>
      <c r="DJ836" s="73"/>
      <c r="DK836" s="73"/>
      <c r="DL836" s="73"/>
      <c r="DM836" s="73"/>
      <c r="DN836" s="73"/>
      <c r="DO836" s="73"/>
      <c r="DP836" s="73"/>
      <c r="DQ836" s="73"/>
      <c r="DR836" s="73"/>
      <c r="DS836" s="73"/>
      <c r="DT836" s="73"/>
      <c r="DU836" s="73"/>
      <c r="DV836" s="73"/>
      <c r="DW836" s="73"/>
      <c r="DX836" s="72"/>
      <c r="DY836" s="72"/>
      <c r="DZ836" s="73"/>
      <c r="EA836" s="73"/>
      <c r="EB836" s="73"/>
      <c r="EC836" s="73"/>
      <c r="ED836" s="73"/>
      <c r="EE836" s="73"/>
      <c r="EF836" s="73"/>
      <c r="EG836" s="73"/>
      <c r="EH836" s="73"/>
      <c r="EI836" s="73"/>
      <c r="EJ836" s="73"/>
      <c r="EK836" s="73"/>
      <c r="EL836" s="73"/>
      <c r="EM836" s="73"/>
      <c r="EN836" s="73"/>
      <c r="EO836" s="73"/>
      <c r="EP836" s="69"/>
      <c r="EQ836" s="69"/>
      <c r="ER836" s="69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  <c r="CI837" s="73"/>
      <c r="CJ837" s="73"/>
      <c r="CK837" s="73"/>
      <c r="CL837" s="73"/>
      <c r="CM837" s="73"/>
      <c r="CN837" s="73"/>
      <c r="CO837" s="73"/>
      <c r="CP837" s="73"/>
      <c r="CQ837" s="73"/>
      <c r="CR837" s="73"/>
      <c r="CS837" s="73"/>
      <c r="CT837" s="73"/>
      <c r="CU837" s="73"/>
      <c r="CV837" s="73"/>
      <c r="CW837" s="73"/>
      <c r="CX837" s="73"/>
      <c r="CY837" s="73"/>
      <c r="CZ837" s="73"/>
      <c r="DA837" s="73"/>
      <c r="DB837" s="73"/>
      <c r="DC837" s="73"/>
      <c r="DD837" s="73"/>
      <c r="DE837" s="73"/>
      <c r="DF837" s="73"/>
      <c r="DG837" s="73"/>
      <c r="DH837" s="73"/>
      <c r="DI837" s="73"/>
      <c r="DJ837" s="73"/>
      <c r="DK837" s="73"/>
      <c r="DL837" s="73"/>
      <c r="DM837" s="73"/>
      <c r="DN837" s="73"/>
      <c r="DO837" s="73"/>
      <c r="DP837" s="73"/>
      <c r="DQ837" s="73"/>
      <c r="DR837" s="73"/>
      <c r="DS837" s="73"/>
      <c r="DT837" s="73"/>
      <c r="DU837" s="73"/>
      <c r="DV837" s="73"/>
      <c r="DW837" s="73"/>
      <c r="DX837" s="72"/>
      <c r="DY837" s="72"/>
      <c r="DZ837" s="73"/>
      <c r="EA837" s="73"/>
      <c r="EB837" s="73"/>
      <c r="EC837" s="73"/>
      <c r="ED837" s="73"/>
      <c r="EE837" s="73"/>
      <c r="EF837" s="73"/>
      <c r="EG837" s="73"/>
      <c r="EH837" s="73"/>
      <c r="EI837" s="73"/>
      <c r="EJ837" s="73"/>
      <c r="EK837" s="73"/>
      <c r="EL837" s="73"/>
      <c r="EM837" s="73"/>
      <c r="EN837" s="73"/>
      <c r="EO837" s="73"/>
      <c r="EP837" s="69"/>
      <c r="EQ837" s="69"/>
      <c r="ER837" s="69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  <c r="CI838" s="73"/>
      <c r="CJ838" s="73"/>
      <c r="CK838" s="73"/>
      <c r="CL838" s="73"/>
      <c r="CM838" s="73"/>
      <c r="CN838" s="73"/>
      <c r="CO838" s="73"/>
      <c r="CP838" s="73"/>
      <c r="CQ838" s="73"/>
      <c r="CR838" s="73"/>
      <c r="CS838" s="73"/>
      <c r="CT838" s="73"/>
      <c r="CU838" s="73"/>
      <c r="CV838" s="73"/>
      <c r="CW838" s="73"/>
      <c r="CX838" s="73"/>
      <c r="CY838" s="73"/>
      <c r="CZ838" s="73"/>
      <c r="DA838" s="73"/>
      <c r="DB838" s="73"/>
      <c r="DC838" s="73"/>
      <c r="DD838" s="73"/>
      <c r="DE838" s="73"/>
      <c r="DF838" s="73"/>
      <c r="DG838" s="73"/>
      <c r="DH838" s="73"/>
      <c r="DI838" s="73"/>
      <c r="DJ838" s="73"/>
      <c r="DK838" s="73"/>
      <c r="DL838" s="73"/>
      <c r="DM838" s="73"/>
      <c r="DN838" s="73"/>
      <c r="DO838" s="73"/>
      <c r="DP838" s="73"/>
      <c r="DQ838" s="73"/>
      <c r="DR838" s="73"/>
      <c r="DS838" s="73"/>
      <c r="DT838" s="73"/>
      <c r="DU838" s="73"/>
      <c r="DV838" s="73"/>
      <c r="DW838" s="73"/>
      <c r="DX838" s="73"/>
      <c r="DY838" s="73"/>
      <c r="DZ838" s="73"/>
      <c r="EA838" s="73"/>
      <c r="EB838" s="73"/>
      <c r="EC838" s="73"/>
      <c r="ED838" s="73"/>
      <c r="EE838" s="73"/>
      <c r="EF838" s="73"/>
      <c r="EG838" s="73"/>
      <c r="EH838" s="73"/>
      <c r="EI838" s="73"/>
      <c r="EJ838" s="73"/>
      <c r="EK838" s="73"/>
      <c r="EL838" s="73"/>
      <c r="EM838" s="73"/>
      <c r="EN838" s="73"/>
      <c r="EO838" s="73"/>
      <c r="EP838" s="69"/>
      <c r="EQ838" s="69"/>
      <c r="ER838" s="69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  <c r="CI839" s="73"/>
      <c r="CJ839" s="73"/>
      <c r="CK839" s="73"/>
      <c r="CL839" s="73"/>
      <c r="CM839" s="73"/>
      <c r="CN839" s="73"/>
      <c r="CO839" s="73"/>
      <c r="CP839" s="73"/>
      <c r="CQ839" s="73"/>
      <c r="CR839" s="73"/>
      <c r="CS839" s="73"/>
      <c r="CT839" s="73"/>
      <c r="CU839" s="73"/>
      <c r="CV839" s="73"/>
      <c r="CW839" s="73"/>
      <c r="CX839" s="73"/>
      <c r="CY839" s="73"/>
      <c r="CZ839" s="73"/>
      <c r="DA839" s="73"/>
      <c r="DB839" s="73"/>
      <c r="DC839" s="73"/>
      <c r="DD839" s="73"/>
      <c r="DE839" s="73"/>
      <c r="DF839" s="73"/>
      <c r="DG839" s="73"/>
      <c r="DH839" s="73"/>
      <c r="DI839" s="73"/>
      <c r="DJ839" s="73"/>
      <c r="DK839" s="73"/>
      <c r="DL839" s="73"/>
      <c r="DM839" s="73"/>
      <c r="DN839" s="73"/>
      <c r="DO839" s="73"/>
      <c r="DP839" s="73"/>
      <c r="DQ839" s="73"/>
      <c r="DR839" s="73"/>
      <c r="DS839" s="73"/>
      <c r="DT839" s="73"/>
      <c r="DU839" s="73"/>
      <c r="DV839" s="73"/>
      <c r="DW839" s="73"/>
      <c r="DX839" s="72"/>
      <c r="DY839" s="72"/>
      <c r="DZ839" s="73"/>
      <c r="EA839" s="73"/>
      <c r="EB839" s="73"/>
      <c r="EC839" s="73"/>
      <c r="ED839" s="73"/>
      <c r="EE839" s="73"/>
      <c r="EF839" s="73"/>
      <c r="EG839" s="73"/>
      <c r="EH839" s="73"/>
      <c r="EI839" s="73"/>
      <c r="EJ839" s="73"/>
      <c r="EK839" s="73"/>
      <c r="EL839" s="73"/>
      <c r="EM839" s="73"/>
      <c r="EN839" s="73"/>
      <c r="EO839" s="73"/>
      <c r="EP839" s="69"/>
      <c r="EQ839" s="69"/>
      <c r="ER839" s="69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  <c r="CI840" s="73"/>
      <c r="CJ840" s="73"/>
      <c r="CK840" s="73"/>
      <c r="CL840" s="73"/>
      <c r="CM840" s="72"/>
      <c r="CN840" s="73"/>
      <c r="CO840" s="73"/>
      <c r="CP840" s="73"/>
      <c r="CQ840" s="73"/>
      <c r="CR840" s="73"/>
      <c r="CS840" s="73"/>
      <c r="CT840" s="73"/>
      <c r="CU840" s="73"/>
      <c r="CV840" s="73"/>
      <c r="CW840" s="73"/>
      <c r="CX840" s="73"/>
      <c r="CY840" s="73"/>
      <c r="CZ840" s="73"/>
      <c r="DA840" s="73"/>
      <c r="DB840" s="73"/>
      <c r="DC840" s="73"/>
      <c r="DD840" s="73"/>
      <c r="DE840" s="73"/>
      <c r="DF840" s="73"/>
      <c r="DG840" s="73"/>
      <c r="DH840" s="73"/>
      <c r="DI840" s="73"/>
      <c r="DJ840" s="73"/>
      <c r="DK840" s="73"/>
      <c r="DL840" s="73"/>
      <c r="DM840" s="73"/>
      <c r="DN840" s="73"/>
      <c r="DO840" s="73"/>
      <c r="DP840" s="73"/>
      <c r="DQ840" s="73"/>
      <c r="DR840" s="73"/>
      <c r="DS840" s="73"/>
      <c r="DT840" s="73"/>
      <c r="DU840" s="73"/>
      <c r="DV840" s="73"/>
      <c r="DW840" s="73"/>
      <c r="DX840" s="73"/>
      <c r="DY840" s="73"/>
      <c r="DZ840" s="73"/>
      <c r="EA840" s="73"/>
      <c r="EB840" s="73"/>
      <c r="EC840" s="73"/>
      <c r="ED840" s="73"/>
      <c r="EE840" s="73"/>
      <c r="EF840" s="73"/>
      <c r="EG840" s="73"/>
      <c r="EH840" s="73"/>
      <c r="EI840" s="73"/>
      <c r="EJ840" s="73"/>
      <c r="EK840" s="73"/>
      <c r="EL840" s="73"/>
      <c r="EM840" s="73"/>
      <c r="EN840" s="73"/>
      <c r="EO840" s="73"/>
      <c r="EP840" s="69"/>
      <c r="EQ840" s="69"/>
      <c r="ER840" s="69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  <c r="CI841" s="73"/>
      <c r="CJ841" s="73"/>
      <c r="CK841" s="73"/>
      <c r="CL841" s="73"/>
      <c r="CM841" s="72"/>
      <c r="CN841" s="73"/>
      <c r="CO841" s="73"/>
      <c r="CP841" s="73"/>
      <c r="CQ841" s="73"/>
      <c r="CR841" s="73"/>
      <c r="CS841" s="73"/>
      <c r="CT841" s="73"/>
      <c r="CU841" s="73"/>
      <c r="CV841" s="73"/>
      <c r="CW841" s="73"/>
      <c r="CX841" s="73"/>
      <c r="CY841" s="73"/>
      <c r="CZ841" s="73"/>
      <c r="DA841" s="73"/>
      <c r="DB841" s="73"/>
      <c r="DC841" s="73"/>
      <c r="DD841" s="73"/>
      <c r="DE841" s="73"/>
      <c r="DF841" s="73"/>
      <c r="DG841" s="73"/>
      <c r="DH841" s="73"/>
      <c r="DI841" s="73"/>
      <c r="DJ841" s="73"/>
      <c r="DK841" s="73"/>
      <c r="DL841" s="73"/>
      <c r="DM841" s="73"/>
      <c r="DN841" s="73"/>
      <c r="DO841" s="73"/>
      <c r="DP841" s="73"/>
      <c r="DQ841" s="73"/>
      <c r="DR841" s="73"/>
      <c r="DS841" s="73"/>
      <c r="DT841" s="73"/>
      <c r="DU841" s="73"/>
      <c r="DV841" s="73"/>
      <c r="DW841" s="73"/>
      <c r="DX841" s="72"/>
      <c r="DY841" s="72"/>
      <c r="DZ841" s="73"/>
      <c r="EA841" s="73"/>
      <c r="EB841" s="73"/>
      <c r="EC841" s="73"/>
      <c r="ED841" s="73"/>
      <c r="EE841" s="73"/>
      <c r="EF841" s="73"/>
      <c r="EG841" s="73"/>
      <c r="EH841" s="73"/>
      <c r="EI841" s="73"/>
      <c r="EJ841" s="73"/>
      <c r="EK841" s="73"/>
      <c r="EL841" s="73"/>
      <c r="EM841" s="73"/>
      <c r="EN841" s="73"/>
      <c r="EO841" s="73"/>
      <c r="EP841" s="69"/>
      <c r="EQ841" s="69"/>
      <c r="ER841" s="69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  <c r="CI842" s="73"/>
      <c r="CJ842" s="73"/>
      <c r="CK842" s="73"/>
      <c r="CL842" s="73"/>
      <c r="CM842" s="73"/>
      <c r="CN842" s="73"/>
      <c r="CO842" s="73"/>
      <c r="CP842" s="73"/>
      <c r="CQ842" s="73"/>
      <c r="CR842" s="73"/>
      <c r="CS842" s="73"/>
      <c r="CT842" s="73"/>
      <c r="CU842" s="73"/>
      <c r="CV842" s="73"/>
      <c r="CW842" s="73"/>
      <c r="CX842" s="73"/>
      <c r="CY842" s="73"/>
      <c r="CZ842" s="73"/>
      <c r="DA842" s="73"/>
      <c r="DB842" s="73"/>
      <c r="DC842" s="73"/>
      <c r="DD842" s="73"/>
      <c r="DE842" s="73"/>
      <c r="DF842" s="73"/>
      <c r="DG842" s="73"/>
      <c r="DH842" s="73"/>
      <c r="DI842" s="73"/>
      <c r="DJ842" s="73"/>
      <c r="DK842" s="73"/>
      <c r="DL842" s="73"/>
      <c r="DM842" s="73"/>
      <c r="DN842" s="73"/>
      <c r="DO842" s="73"/>
      <c r="DP842" s="73"/>
      <c r="DQ842" s="73"/>
      <c r="DR842" s="73"/>
      <c r="DS842" s="73"/>
      <c r="DT842" s="73"/>
      <c r="DU842" s="73"/>
      <c r="DV842" s="73"/>
      <c r="DW842" s="73"/>
      <c r="DX842" s="72"/>
      <c r="DY842" s="72"/>
      <c r="DZ842" s="73"/>
      <c r="EA842" s="73"/>
      <c r="EB842" s="73"/>
      <c r="EC842" s="73"/>
      <c r="ED842" s="73"/>
      <c r="EE842" s="73"/>
      <c r="EF842" s="73"/>
      <c r="EG842" s="73"/>
      <c r="EH842" s="73"/>
      <c r="EI842" s="73"/>
      <c r="EJ842" s="73"/>
      <c r="EK842" s="73"/>
      <c r="EL842" s="73"/>
      <c r="EM842" s="73"/>
      <c r="EN842" s="73"/>
      <c r="EO842" s="73"/>
      <c r="EP842" s="69"/>
      <c r="EQ842" s="69"/>
      <c r="ER842" s="69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  <c r="CI843" s="73"/>
      <c r="CJ843" s="73"/>
      <c r="CK843" s="73"/>
      <c r="CL843" s="73"/>
      <c r="CM843" s="72"/>
      <c r="CN843" s="73"/>
      <c r="CO843" s="73"/>
      <c r="CP843" s="73"/>
      <c r="CQ843" s="73"/>
      <c r="CR843" s="73"/>
      <c r="CS843" s="73"/>
      <c r="CT843" s="73"/>
      <c r="CU843" s="73"/>
      <c r="CV843" s="73"/>
      <c r="CW843" s="73"/>
      <c r="CX843" s="73"/>
      <c r="CY843" s="73"/>
      <c r="CZ843" s="73"/>
      <c r="DA843" s="73"/>
      <c r="DB843" s="73"/>
      <c r="DC843" s="73"/>
      <c r="DD843" s="73"/>
      <c r="DE843" s="73"/>
      <c r="DF843" s="73"/>
      <c r="DG843" s="73"/>
      <c r="DH843" s="73"/>
      <c r="DI843" s="73"/>
      <c r="DJ843" s="73"/>
      <c r="DK843" s="73"/>
      <c r="DL843" s="73"/>
      <c r="DM843" s="73"/>
      <c r="DN843" s="73"/>
      <c r="DO843" s="73"/>
      <c r="DP843" s="73"/>
      <c r="DQ843" s="73"/>
      <c r="DR843" s="73"/>
      <c r="DS843" s="73"/>
      <c r="DT843" s="73"/>
      <c r="DU843" s="73"/>
      <c r="DV843" s="73"/>
      <c r="DW843" s="73"/>
      <c r="DX843" s="72"/>
      <c r="DY843" s="72"/>
      <c r="DZ843" s="73"/>
      <c r="EA843" s="73"/>
      <c r="EB843" s="73"/>
      <c r="EC843" s="73"/>
      <c r="ED843" s="73"/>
      <c r="EE843" s="73"/>
      <c r="EF843" s="73"/>
      <c r="EG843" s="73"/>
      <c r="EH843" s="73"/>
      <c r="EI843" s="73"/>
      <c r="EJ843" s="73"/>
      <c r="EK843" s="73"/>
      <c r="EL843" s="73"/>
      <c r="EM843" s="73"/>
      <c r="EN843" s="73"/>
      <c r="EO843" s="73"/>
      <c r="EP843" s="69"/>
      <c r="EQ843" s="69"/>
      <c r="ER843" s="69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  <c r="CI844" s="73"/>
      <c r="CJ844" s="73"/>
      <c r="CK844" s="73"/>
      <c r="CL844" s="73"/>
      <c r="CM844" s="72"/>
      <c r="CN844" s="73"/>
      <c r="CO844" s="73"/>
      <c r="CP844" s="73"/>
      <c r="CQ844" s="73"/>
      <c r="CR844" s="73"/>
      <c r="CS844" s="73"/>
      <c r="CT844" s="73"/>
      <c r="CU844" s="73"/>
      <c r="CV844" s="73"/>
      <c r="CW844" s="73"/>
      <c r="CX844" s="73"/>
      <c r="CY844" s="73"/>
      <c r="CZ844" s="73"/>
      <c r="DA844" s="73"/>
      <c r="DB844" s="73"/>
      <c r="DC844" s="73"/>
      <c r="DD844" s="73"/>
      <c r="DE844" s="73"/>
      <c r="DF844" s="73"/>
      <c r="DG844" s="73"/>
      <c r="DH844" s="73"/>
      <c r="DI844" s="73"/>
      <c r="DJ844" s="73"/>
      <c r="DK844" s="73"/>
      <c r="DL844" s="73"/>
      <c r="DM844" s="73"/>
      <c r="DN844" s="73"/>
      <c r="DO844" s="73"/>
      <c r="DP844" s="73"/>
      <c r="DQ844" s="73"/>
      <c r="DR844" s="73"/>
      <c r="DS844" s="73"/>
      <c r="DT844" s="73"/>
      <c r="DU844" s="73"/>
      <c r="DV844" s="73"/>
      <c r="DW844" s="73"/>
      <c r="DX844" s="72"/>
      <c r="DY844" s="72"/>
      <c r="DZ844" s="73"/>
      <c r="EA844" s="73"/>
      <c r="EB844" s="73"/>
      <c r="EC844" s="73"/>
      <c r="ED844" s="73"/>
      <c r="EE844" s="73"/>
      <c r="EF844" s="73"/>
      <c r="EG844" s="73"/>
      <c r="EH844" s="73"/>
      <c r="EI844" s="73"/>
      <c r="EJ844" s="73"/>
      <c r="EK844" s="73"/>
      <c r="EL844" s="73"/>
      <c r="EM844" s="73"/>
      <c r="EN844" s="73"/>
      <c r="EO844" s="73"/>
      <c r="EP844" s="69"/>
      <c r="EQ844" s="69"/>
      <c r="ER844" s="69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  <c r="CI845" s="73"/>
      <c r="CJ845" s="73"/>
      <c r="CK845" s="73"/>
      <c r="CL845" s="73"/>
      <c r="CM845" s="73"/>
      <c r="CN845" s="73"/>
      <c r="CO845" s="73"/>
      <c r="CP845" s="73"/>
      <c r="CQ845" s="73"/>
      <c r="CR845" s="73"/>
      <c r="CS845" s="73"/>
      <c r="CT845" s="73"/>
      <c r="CU845" s="73"/>
      <c r="CV845" s="73"/>
      <c r="CW845" s="73"/>
      <c r="CX845" s="73"/>
      <c r="CY845" s="73"/>
      <c r="CZ845" s="73"/>
      <c r="DA845" s="73"/>
      <c r="DB845" s="73"/>
      <c r="DC845" s="73"/>
      <c r="DD845" s="73"/>
      <c r="DE845" s="73"/>
      <c r="DF845" s="73"/>
      <c r="DG845" s="73"/>
      <c r="DH845" s="73"/>
      <c r="DI845" s="73"/>
      <c r="DJ845" s="73"/>
      <c r="DK845" s="73"/>
      <c r="DL845" s="73"/>
      <c r="DM845" s="73"/>
      <c r="DN845" s="73"/>
      <c r="DO845" s="73"/>
      <c r="DP845" s="73"/>
      <c r="DQ845" s="73"/>
      <c r="DR845" s="73"/>
      <c r="DS845" s="73"/>
      <c r="DT845" s="73"/>
      <c r="DU845" s="73"/>
      <c r="DV845" s="73"/>
      <c r="DW845" s="73"/>
      <c r="DX845" s="72"/>
      <c r="DY845" s="72"/>
      <c r="DZ845" s="73"/>
      <c r="EA845" s="73"/>
      <c r="EB845" s="73"/>
      <c r="EC845" s="73"/>
      <c r="ED845" s="73"/>
      <c r="EE845" s="73"/>
      <c r="EF845" s="73"/>
      <c r="EG845" s="73"/>
      <c r="EH845" s="73"/>
      <c r="EI845" s="73"/>
      <c r="EJ845" s="73"/>
      <c r="EK845" s="73"/>
      <c r="EL845" s="73"/>
      <c r="EM845" s="73"/>
      <c r="EN845" s="73"/>
      <c r="EO845" s="73"/>
      <c r="EP845" s="69"/>
      <c r="EQ845" s="69"/>
      <c r="ER845" s="69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  <c r="CI846" s="73"/>
      <c r="CJ846" s="73"/>
      <c r="CK846" s="73"/>
      <c r="CL846" s="73"/>
      <c r="CM846" s="73"/>
      <c r="CN846" s="73"/>
      <c r="CO846" s="73"/>
      <c r="CP846" s="73"/>
      <c r="CQ846" s="73"/>
      <c r="CR846" s="73"/>
      <c r="CS846" s="73"/>
      <c r="CT846" s="73"/>
      <c r="CU846" s="73"/>
      <c r="CV846" s="73"/>
      <c r="CW846" s="73"/>
      <c r="CX846" s="73"/>
      <c r="CY846" s="73"/>
      <c r="CZ846" s="73"/>
      <c r="DA846" s="73"/>
      <c r="DB846" s="73"/>
      <c r="DC846" s="73"/>
      <c r="DD846" s="73"/>
      <c r="DE846" s="73"/>
      <c r="DF846" s="73"/>
      <c r="DG846" s="73"/>
      <c r="DH846" s="73"/>
      <c r="DI846" s="73"/>
      <c r="DJ846" s="73"/>
      <c r="DK846" s="73"/>
      <c r="DL846" s="73"/>
      <c r="DM846" s="73"/>
      <c r="DN846" s="73"/>
      <c r="DO846" s="73"/>
      <c r="DP846" s="73"/>
      <c r="DQ846" s="73"/>
      <c r="DR846" s="73"/>
      <c r="DS846" s="73"/>
      <c r="DT846" s="73"/>
      <c r="DU846" s="73"/>
      <c r="DV846" s="73"/>
      <c r="DW846" s="73"/>
      <c r="DX846" s="72"/>
      <c r="DY846" s="72"/>
      <c r="DZ846" s="73"/>
      <c r="EA846" s="73"/>
      <c r="EB846" s="73"/>
      <c r="EC846" s="73"/>
      <c r="ED846" s="73"/>
      <c r="EE846" s="73"/>
      <c r="EF846" s="73"/>
      <c r="EG846" s="73"/>
      <c r="EH846" s="73"/>
      <c r="EI846" s="73"/>
      <c r="EJ846" s="73"/>
      <c r="EK846" s="73"/>
      <c r="EL846" s="73"/>
      <c r="EM846" s="73"/>
      <c r="EN846" s="73"/>
      <c r="EO846" s="73"/>
      <c r="EP846" s="69"/>
      <c r="EQ846" s="69"/>
      <c r="ER846" s="69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  <c r="CI847" s="73"/>
      <c r="CJ847" s="73"/>
      <c r="CK847" s="73"/>
      <c r="CL847" s="73"/>
      <c r="CM847" s="73"/>
      <c r="CN847" s="73"/>
      <c r="CO847" s="73"/>
      <c r="CP847" s="73"/>
      <c r="CQ847" s="73"/>
      <c r="CR847" s="73"/>
      <c r="CS847" s="73"/>
      <c r="CT847" s="73"/>
      <c r="CU847" s="73"/>
      <c r="CV847" s="73"/>
      <c r="CW847" s="73"/>
      <c r="CX847" s="73"/>
      <c r="CY847" s="73"/>
      <c r="CZ847" s="73"/>
      <c r="DA847" s="73"/>
      <c r="DB847" s="73"/>
      <c r="DC847" s="73"/>
      <c r="DD847" s="73"/>
      <c r="DE847" s="73"/>
      <c r="DF847" s="73"/>
      <c r="DG847" s="73"/>
      <c r="DH847" s="73"/>
      <c r="DI847" s="73"/>
      <c r="DJ847" s="73"/>
      <c r="DK847" s="73"/>
      <c r="DL847" s="73"/>
      <c r="DM847" s="73"/>
      <c r="DN847" s="73"/>
      <c r="DO847" s="73"/>
      <c r="DP847" s="73"/>
      <c r="DQ847" s="73"/>
      <c r="DR847" s="73"/>
      <c r="DS847" s="73"/>
      <c r="DT847" s="73"/>
      <c r="DU847" s="73"/>
      <c r="DV847" s="73"/>
      <c r="DW847" s="73"/>
      <c r="DX847" s="72"/>
      <c r="DY847" s="72"/>
      <c r="DZ847" s="73"/>
      <c r="EA847" s="73"/>
      <c r="EB847" s="73"/>
      <c r="EC847" s="73"/>
      <c r="ED847" s="73"/>
      <c r="EE847" s="73"/>
      <c r="EF847" s="73"/>
      <c r="EG847" s="73"/>
      <c r="EH847" s="73"/>
      <c r="EI847" s="73"/>
      <c r="EJ847" s="73"/>
      <c r="EK847" s="73"/>
      <c r="EL847" s="73"/>
      <c r="EM847" s="73"/>
      <c r="EN847" s="73"/>
      <c r="EO847" s="73"/>
      <c r="EP847" s="69"/>
      <c r="EQ847" s="69"/>
      <c r="ER847" s="69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  <c r="CI848" s="73"/>
      <c r="CJ848" s="73"/>
      <c r="CK848" s="73"/>
      <c r="CL848" s="73"/>
      <c r="CM848" s="73"/>
      <c r="CN848" s="73"/>
      <c r="CO848" s="73"/>
      <c r="CP848" s="73"/>
      <c r="CQ848" s="73"/>
      <c r="CR848" s="73"/>
      <c r="CS848" s="73"/>
      <c r="CT848" s="73"/>
      <c r="CU848" s="73"/>
      <c r="CV848" s="73"/>
      <c r="CW848" s="73"/>
      <c r="CX848" s="73"/>
      <c r="CY848" s="73"/>
      <c r="CZ848" s="73"/>
      <c r="DA848" s="73"/>
      <c r="DB848" s="73"/>
      <c r="DC848" s="73"/>
      <c r="DD848" s="73"/>
      <c r="DE848" s="73"/>
      <c r="DF848" s="73"/>
      <c r="DG848" s="73"/>
      <c r="DH848" s="73"/>
      <c r="DI848" s="73"/>
      <c r="DJ848" s="73"/>
      <c r="DK848" s="73"/>
      <c r="DL848" s="73"/>
      <c r="DM848" s="73"/>
      <c r="DN848" s="73"/>
      <c r="DO848" s="73"/>
      <c r="DP848" s="73"/>
      <c r="DQ848" s="73"/>
      <c r="DR848" s="73"/>
      <c r="DS848" s="73"/>
      <c r="DT848" s="73"/>
      <c r="DU848" s="73"/>
      <c r="DV848" s="73"/>
      <c r="DW848" s="73"/>
      <c r="DX848" s="72"/>
      <c r="DY848" s="72"/>
      <c r="DZ848" s="73"/>
      <c r="EA848" s="73"/>
      <c r="EB848" s="73"/>
      <c r="EC848" s="73"/>
      <c r="ED848" s="73"/>
      <c r="EE848" s="73"/>
      <c r="EF848" s="73"/>
      <c r="EG848" s="73"/>
      <c r="EH848" s="73"/>
      <c r="EI848" s="73"/>
      <c r="EJ848" s="73"/>
      <c r="EK848" s="73"/>
      <c r="EL848" s="73"/>
      <c r="EM848" s="73"/>
      <c r="EN848" s="73"/>
      <c r="EO848" s="73"/>
      <c r="EP848" s="69"/>
      <c r="EQ848" s="69"/>
      <c r="ER848" s="69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  <c r="CI849" s="73"/>
      <c r="CJ849" s="73"/>
      <c r="CK849" s="73"/>
      <c r="CL849" s="73"/>
      <c r="CM849" s="73"/>
      <c r="CN849" s="73"/>
      <c r="CO849" s="73"/>
      <c r="CP849" s="73"/>
      <c r="CQ849" s="73"/>
      <c r="CR849" s="73"/>
      <c r="CS849" s="73"/>
      <c r="CT849" s="73"/>
      <c r="CU849" s="73"/>
      <c r="CV849" s="73"/>
      <c r="CW849" s="73"/>
      <c r="CX849" s="73"/>
      <c r="CY849" s="73"/>
      <c r="CZ849" s="73"/>
      <c r="DA849" s="73"/>
      <c r="DB849" s="73"/>
      <c r="DC849" s="73"/>
      <c r="DD849" s="73"/>
      <c r="DE849" s="73"/>
      <c r="DF849" s="73"/>
      <c r="DG849" s="73"/>
      <c r="DH849" s="73"/>
      <c r="DI849" s="73"/>
      <c r="DJ849" s="73"/>
      <c r="DK849" s="73"/>
      <c r="DL849" s="73"/>
      <c r="DM849" s="73"/>
      <c r="DN849" s="73"/>
      <c r="DO849" s="73"/>
      <c r="DP849" s="73"/>
      <c r="DQ849" s="73"/>
      <c r="DR849" s="73"/>
      <c r="DS849" s="73"/>
      <c r="DT849" s="73"/>
      <c r="DU849" s="73"/>
      <c r="DV849" s="73"/>
      <c r="DW849" s="73"/>
      <c r="DX849" s="72"/>
      <c r="DY849" s="72"/>
      <c r="DZ849" s="73"/>
      <c r="EA849" s="73"/>
      <c r="EB849" s="73"/>
      <c r="EC849" s="73"/>
      <c r="ED849" s="73"/>
      <c r="EE849" s="73"/>
      <c r="EF849" s="73"/>
      <c r="EG849" s="73"/>
      <c r="EH849" s="73"/>
      <c r="EI849" s="73"/>
      <c r="EJ849" s="73"/>
      <c r="EK849" s="73"/>
      <c r="EL849" s="73"/>
      <c r="EM849" s="73"/>
      <c r="EN849" s="73"/>
      <c r="EO849" s="73"/>
      <c r="EP849" s="69"/>
      <c r="EQ849" s="69"/>
      <c r="ER849" s="69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  <c r="CI850" s="73"/>
      <c r="CJ850" s="73"/>
      <c r="CK850" s="73"/>
      <c r="CL850" s="73"/>
      <c r="CM850" s="73"/>
      <c r="CN850" s="73"/>
      <c r="CO850" s="73"/>
      <c r="CP850" s="73"/>
      <c r="CQ850" s="73"/>
      <c r="CR850" s="73"/>
      <c r="CS850" s="73"/>
      <c r="CT850" s="73"/>
      <c r="CU850" s="73"/>
      <c r="CV850" s="73"/>
      <c r="CW850" s="73"/>
      <c r="CX850" s="73"/>
      <c r="CY850" s="73"/>
      <c r="CZ850" s="73"/>
      <c r="DA850" s="73"/>
      <c r="DB850" s="73"/>
      <c r="DC850" s="73"/>
      <c r="DD850" s="73"/>
      <c r="DE850" s="73"/>
      <c r="DF850" s="73"/>
      <c r="DG850" s="73"/>
      <c r="DH850" s="73"/>
      <c r="DI850" s="73"/>
      <c r="DJ850" s="73"/>
      <c r="DK850" s="73"/>
      <c r="DL850" s="73"/>
      <c r="DM850" s="73"/>
      <c r="DN850" s="73"/>
      <c r="DO850" s="73"/>
      <c r="DP850" s="73"/>
      <c r="DQ850" s="73"/>
      <c r="DR850" s="73"/>
      <c r="DS850" s="73"/>
      <c r="DT850" s="73"/>
      <c r="DU850" s="73"/>
      <c r="DV850" s="73"/>
      <c r="DW850" s="73"/>
      <c r="DX850" s="72"/>
      <c r="DY850" s="72"/>
      <c r="DZ850" s="73"/>
      <c r="EA850" s="73"/>
      <c r="EB850" s="73"/>
      <c r="EC850" s="73"/>
      <c r="ED850" s="73"/>
      <c r="EE850" s="73"/>
      <c r="EF850" s="73"/>
      <c r="EG850" s="73"/>
      <c r="EH850" s="73"/>
      <c r="EI850" s="73"/>
      <c r="EJ850" s="73"/>
      <c r="EK850" s="73"/>
      <c r="EL850" s="73"/>
      <c r="EM850" s="73"/>
      <c r="EN850" s="73"/>
      <c r="EO850" s="73"/>
      <c r="EP850" s="69"/>
      <c r="EQ850" s="69"/>
      <c r="ER850" s="69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  <c r="CI851" s="73"/>
      <c r="CJ851" s="73"/>
      <c r="CK851" s="73"/>
      <c r="CL851" s="73"/>
      <c r="CM851" s="72"/>
      <c r="CN851" s="73"/>
      <c r="CO851" s="73"/>
      <c r="CP851" s="73"/>
      <c r="CQ851" s="73"/>
      <c r="CR851" s="73"/>
      <c r="CS851" s="73"/>
      <c r="CT851" s="73"/>
      <c r="CU851" s="73"/>
      <c r="CV851" s="73"/>
      <c r="CW851" s="73"/>
      <c r="CX851" s="73"/>
      <c r="CY851" s="73"/>
      <c r="CZ851" s="73"/>
      <c r="DA851" s="73"/>
      <c r="DB851" s="73"/>
      <c r="DC851" s="73"/>
      <c r="DD851" s="73"/>
      <c r="DE851" s="73"/>
      <c r="DF851" s="73"/>
      <c r="DG851" s="73"/>
      <c r="DH851" s="73"/>
      <c r="DI851" s="73"/>
      <c r="DJ851" s="73"/>
      <c r="DK851" s="73"/>
      <c r="DL851" s="73"/>
      <c r="DM851" s="73"/>
      <c r="DN851" s="73"/>
      <c r="DO851" s="73"/>
      <c r="DP851" s="73"/>
      <c r="DQ851" s="73"/>
      <c r="DR851" s="73"/>
      <c r="DS851" s="73"/>
      <c r="DT851" s="73"/>
      <c r="DU851" s="73"/>
      <c r="DV851" s="73"/>
      <c r="DW851" s="73"/>
      <c r="DX851" s="72"/>
      <c r="DY851" s="72"/>
      <c r="DZ851" s="73"/>
      <c r="EA851" s="73"/>
      <c r="EB851" s="73"/>
      <c r="EC851" s="73"/>
      <c r="ED851" s="73"/>
      <c r="EE851" s="73"/>
      <c r="EF851" s="73"/>
      <c r="EG851" s="73"/>
      <c r="EH851" s="73"/>
      <c r="EI851" s="73"/>
      <c r="EJ851" s="73"/>
      <c r="EK851" s="73"/>
      <c r="EL851" s="73"/>
      <c r="EM851" s="73"/>
      <c r="EN851" s="73"/>
      <c r="EO851" s="73"/>
      <c r="EP851" s="69"/>
      <c r="EQ851" s="69"/>
      <c r="ER851" s="69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  <c r="CI852" s="73"/>
      <c r="CJ852" s="73"/>
      <c r="CK852" s="73"/>
      <c r="CL852" s="73"/>
      <c r="CM852" s="73"/>
      <c r="CN852" s="73"/>
      <c r="CO852" s="73"/>
      <c r="CP852" s="73"/>
      <c r="CQ852" s="73"/>
      <c r="CR852" s="73"/>
      <c r="CS852" s="73"/>
      <c r="CT852" s="73"/>
      <c r="CU852" s="73"/>
      <c r="CV852" s="73"/>
      <c r="CW852" s="73"/>
      <c r="CX852" s="73"/>
      <c r="CY852" s="73"/>
      <c r="CZ852" s="73"/>
      <c r="DA852" s="73"/>
      <c r="DB852" s="73"/>
      <c r="DC852" s="73"/>
      <c r="DD852" s="73"/>
      <c r="DE852" s="73"/>
      <c r="DF852" s="73"/>
      <c r="DG852" s="73"/>
      <c r="DH852" s="73"/>
      <c r="DI852" s="73"/>
      <c r="DJ852" s="73"/>
      <c r="DK852" s="73"/>
      <c r="DL852" s="73"/>
      <c r="DM852" s="73"/>
      <c r="DN852" s="73"/>
      <c r="DO852" s="73"/>
      <c r="DP852" s="73"/>
      <c r="DQ852" s="73"/>
      <c r="DR852" s="73"/>
      <c r="DS852" s="73"/>
      <c r="DT852" s="73"/>
      <c r="DU852" s="73"/>
      <c r="DV852" s="73"/>
      <c r="DW852" s="73"/>
      <c r="DX852" s="73"/>
      <c r="DY852" s="73"/>
      <c r="DZ852" s="73"/>
      <c r="EA852" s="73"/>
      <c r="EB852" s="73"/>
      <c r="EC852" s="73"/>
      <c r="ED852" s="73"/>
      <c r="EE852" s="73"/>
      <c r="EF852" s="73"/>
      <c r="EG852" s="73"/>
      <c r="EH852" s="73"/>
      <c r="EI852" s="73"/>
      <c r="EJ852" s="73"/>
      <c r="EK852" s="73"/>
      <c r="EL852" s="73"/>
      <c r="EM852" s="73"/>
      <c r="EN852" s="73"/>
      <c r="EO852" s="73"/>
      <c r="EP852" s="69"/>
      <c r="EQ852" s="69"/>
      <c r="ER852" s="69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  <c r="CI853" s="73"/>
      <c r="CJ853" s="73"/>
      <c r="CK853" s="73"/>
      <c r="CL853" s="73"/>
      <c r="CM853" s="73"/>
      <c r="CN853" s="73"/>
      <c r="CO853" s="73"/>
      <c r="CP853" s="73"/>
      <c r="CQ853" s="73"/>
      <c r="CR853" s="73"/>
      <c r="CS853" s="73"/>
      <c r="CT853" s="73"/>
      <c r="CU853" s="73"/>
      <c r="CV853" s="73"/>
      <c r="CW853" s="73"/>
      <c r="CX853" s="73"/>
      <c r="CY853" s="73"/>
      <c r="CZ853" s="73"/>
      <c r="DA853" s="73"/>
      <c r="DB853" s="73"/>
      <c r="DC853" s="73"/>
      <c r="DD853" s="73"/>
      <c r="DE853" s="73"/>
      <c r="DF853" s="73"/>
      <c r="DG853" s="73"/>
      <c r="DH853" s="73"/>
      <c r="DI853" s="73"/>
      <c r="DJ853" s="73"/>
      <c r="DK853" s="73"/>
      <c r="DL853" s="73"/>
      <c r="DM853" s="73"/>
      <c r="DN853" s="73"/>
      <c r="DO853" s="73"/>
      <c r="DP853" s="73"/>
      <c r="DQ853" s="73"/>
      <c r="DR853" s="73"/>
      <c r="DS853" s="73"/>
      <c r="DT853" s="73"/>
      <c r="DU853" s="73"/>
      <c r="DV853" s="73"/>
      <c r="DW853" s="73"/>
      <c r="DX853" s="72"/>
      <c r="DY853" s="72"/>
      <c r="DZ853" s="73"/>
      <c r="EA853" s="73"/>
      <c r="EB853" s="73"/>
      <c r="EC853" s="73"/>
      <c r="ED853" s="73"/>
      <c r="EE853" s="73"/>
      <c r="EF853" s="73"/>
      <c r="EG853" s="73"/>
      <c r="EH853" s="73"/>
      <c r="EI853" s="73"/>
      <c r="EJ853" s="73"/>
      <c r="EK853" s="73"/>
      <c r="EL853" s="73"/>
      <c r="EM853" s="73"/>
      <c r="EN853" s="73"/>
      <c r="EO853" s="73"/>
      <c r="EP853" s="69"/>
      <c r="EQ853" s="69"/>
      <c r="ER853" s="69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  <c r="CI854" s="73"/>
      <c r="CJ854" s="73"/>
      <c r="CK854" s="73"/>
      <c r="CL854" s="73"/>
      <c r="CM854" s="73"/>
      <c r="CN854" s="73"/>
      <c r="CO854" s="73"/>
      <c r="CP854" s="73"/>
      <c r="CQ854" s="73"/>
      <c r="CR854" s="73"/>
      <c r="CS854" s="73"/>
      <c r="CT854" s="73"/>
      <c r="CU854" s="73"/>
      <c r="CV854" s="73"/>
      <c r="CW854" s="73"/>
      <c r="CX854" s="73"/>
      <c r="CY854" s="73"/>
      <c r="CZ854" s="73"/>
      <c r="DA854" s="73"/>
      <c r="DB854" s="73"/>
      <c r="DC854" s="73"/>
      <c r="DD854" s="73"/>
      <c r="DE854" s="73"/>
      <c r="DF854" s="73"/>
      <c r="DG854" s="73"/>
      <c r="DH854" s="73"/>
      <c r="DI854" s="73"/>
      <c r="DJ854" s="73"/>
      <c r="DK854" s="73"/>
      <c r="DL854" s="73"/>
      <c r="DM854" s="73"/>
      <c r="DN854" s="73"/>
      <c r="DO854" s="73"/>
      <c r="DP854" s="73"/>
      <c r="DQ854" s="73"/>
      <c r="DR854" s="73"/>
      <c r="DS854" s="73"/>
      <c r="DT854" s="73"/>
      <c r="DU854" s="73"/>
      <c r="DV854" s="73"/>
      <c r="DW854" s="73"/>
      <c r="DX854" s="72"/>
      <c r="DY854" s="72"/>
      <c r="DZ854" s="73"/>
      <c r="EA854" s="73"/>
      <c r="EB854" s="73"/>
      <c r="EC854" s="73"/>
      <c r="ED854" s="73"/>
      <c r="EE854" s="73"/>
      <c r="EF854" s="73"/>
      <c r="EG854" s="73"/>
      <c r="EH854" s="73"/>
      <c r="EI854" s="73"/>
      <c r="EJ854" s="73"/>
      <c r="EK854" s="73"/>
      <c r="EL854" s="73"/>
      <c r="EM854" s="73"/>
      <c r="EN854" s="73"/>
      <c r="EO854" s="73"/>
      <c r="EP854" s="69"/>
      <c r="EQ854" s="69"/>
      <c r="ER854" s="69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  <c r="CI855" s="73"/>
      <c r="CJ855" s="73"/>
      <c r="CK855" s="73"/>
      <c r="CL855" s="73"/>
      <c r="CM855" s="72"/>
      <c r="CN855" s="73"/>
      <c r="CO855" s="73"/>
      <c r="CP855" s="73"/>
      <c r="CQ855" s="73"/>
      <c r="CR855" s="73"/>
      <c r="CS855" s="73"/>
      <c r="CT855" s="73"/>
      <c r="CU855" s="73"/>
      <c r="CV855" s="73"/>
      <c r="CW855" s="73"/>
      <c r="CX855" s="73"/>
      <c r="CY855" s="73"/>
      <c r="CZ855" s="73"/>
      <c r="DA855" s="73"/>
      <c r="DB855" s="73"/>
      <c r="DC855" s="73"/>
      <c r="DD855" s="73"/>
      <c r="DE855" s="73"/>
      <c r="DF855" s="73"/>
      <c r="DG855" s="73"/>
      <c r="DH855" s="73"/>
      <c r="DI855" s="73"/>
      <c r="DJ855" s="73"/>
      <c r="DK855" s="73"/>
      <c r="DL855" s="73"/>
      <c r="DM855" s="73"/>
      <c r="DN855" s="73"/>
      <c r="DO855" s="73"/>
      <c r="DP855" s="73"/>
      <c r="DQ855" s="73"/>
      <c r="DR855" s="73"/>
      <c r="DS855" s="73"/>
      <c r="DT855" s="73"/>
      <c r="DU855" s="73"/>
      <c r="DV855" s="73"/>
      <c r="DW855" s="73"/>
      <c r="DX855" s="72"/>
      <c r="DY855" s="72"/>
      <c r="DZ855" s="73"/>
      <c r="EA855" s="73"/>
      <c r="EB855" s="73"/>
      <c r="EC855" s="73"/>
      <c r="ED855" s="73"/>
      <c r="EE855" s="73"/>
      <c r="EF855" s="73"/>
      <c r="EG855" s="73"/>
      <c r="EH855" s="73"/>
      <c r="EI855" s="73"/>
      <c r="EJ855" s="73"/>
      <c r="EK855" s="73"/>
      <c r="EL855" s="73"/>
      <c r="EM855" s="73"/>
      <c r="EN855" s="73"/>
      <c r="EO855" s="73"/>
      <c r="EP855" s="69"/>
      <c r="EQ855" s="69"/>
      <c r="ER855" s="69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  <c r="CI856" s="73"/>
      <c r="CJ856" s="73"/>
      <c r="CK856" s="73"/>
      <c r="CL856" s="73"/>
      <c r="CM856" s="73"/>
      <c r="CN856" s="73"/>
      <c r="CO856" s="73"/>
      <c r="CP856" s="73"/>
      <c r="CQ856" s="73"/>
      <c r="CR856" s="73"/>
      <c r="CS856" s="73"/>
      <c r="CT856" s="73"/>
      <c r="CU856" s="73"/>
      <c r="CV856" s="73"/>
      <c r="CW856" s="73"/>
      <c r="CX856" s="73"/>
      <c r="CY856" s="73"/>
      <c r="CZ856" s="73"/>
      <c r="DA856" s="73"/>
      <c r="DB856" s="73"/>
      <c r="DC856" s="73"/>
      <c r="DD856" s="73"/>
      <c r="DE856" s="73"/>
      <c r="DF856" s="73"/>
      <c r="DG856" s="73"/>
      <c r="DH856" s="73"/>
      <c r="DI856" s="73"/>
      <c r="DJ856" s="73"/>
      <c r="DK856" s="73"/>
      <c r="DL856" s="73"/>
      <c r="DM856" s="73"/>
      <c r="DN856" s="73"/>
      <c r="DO856" s="73"/>
      <c r="DP856" s="73"/>
      <c r="DQ856" s="73"/>
      <c r="DR856" s="73"/>
      <c r="DS856" s="73"/>
      <c r="DT856" s="73"/>
      <c r="DU856" s="73"/>
      <c r="DV856" s="73"/>
      <c r="DW856" s="73"/>
      <c r="DX856" s="72"/>
      <c r="DY856" s="72"/>
      <c r="DZ856" s="73"/>
      <c r="EA856" s="73"/>
      <c r="EB856" s="73"/>
      <c r="EC856" s="73"/>
      <c r="ED856" s="73"/>
      <c r="EE856" s="73"/>
      <c r="EF856" s="73"/>
      <c r="EG856" s="73"/>
      <c r="EH856" s="73"/>
      <c r="EI856" s="73"/>
      <c r="EJ856" s="73"/>
      <c r="EK856" s="73"/>
      <c r="EL856" s="73"/>
      <c r="EM856" s="73"/>
      <c r="EN856" s="73"/>
      <c r="EO856" s="73"/>
      <c r="EP856" s="69"/>
      <c r="EQ856" s="69"/>
      <c r="ER856" s="69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  <c r="CI857" s="73"/>
      <c r="CJ857" s="73"/>
      <c r="CK857" s="73"/>
      <c r="CL857" s="73"/>
      <c r="CM857" s="72"/>
      <c r="CN857" s="73"/>
      <c r="CO857" s="73"/>
      <c r="CP857" s="73"/>
      <c r="CQ857" s="73"/>
      <c r="CR857" s="73"/>
      <c r="CS857" s="73"/>
      <c r="CT857" s="73"/>
      <c r="CU857" s="73"/>
      <c r="CV857" s="73"/>
      <c r="CW857" s="73"/>
      <c r="CX857" s="73"/>
      <c r="CY857" s="73"/>
      <c r="CZ857" s="73"/>
      <c r="DA857" s="73"/>
      <c r="DB857" s="73"/>
      <c r="DC857" s="73"/>
      <c r="DD857" s="73"/>
      <c r="DE857" s="73"/>
      <c r="DF857" s="73"/>
      <c r="DG857" s="73"/>
      <c r="DH857" s="73"/>
      <c r="DI857" s="73"/>
      <c r="DJ857" s="73"/>
      <c r="DK857" s="73"/>
      <c r="DL857" s="73"/>
      <c r="DM857" s="73"/>
      <c r="DN857" s="73"/>
      <c r="DO857" s="73"/>
      <c r="DP857" s="73"/>
      <c r="DQ857" s="73"/>
      <c r="DR857" s="73"/>
      <c r="DS857" s="73"/>
      <c r="DT857" s="73"/>
      <c r="DU857" s="73"/>
      <c r="DV857" s="73"/>
      <c r="DW857" s="73"/>
      <c r="DX857" s="72"/>
      <c r="DY857" s="72"/>
      <c r="DZ857" s="73"/>
      <c r="EA857" s="73"/>
      <c r="EB857" s="73"/>
      <c r="EC857" s="73"/>
      <c r="ED857" s="73"/>
      <c r="EE857" s="73"/>
      <c r="EF857" s="73"/>
      <c r="EG857" s="73"/>
      <c r="EH857" s="73"/>
      <c r="EI857" s="73"/>
      <c r="EJ857" s="73"/>
      <c r="EK857" s="73"/>
      <c r="EL857" s="73"/>
      <c r="EM857" s="73"/>
      <c r="EN857" s="73"/>
      <c r="EO857" s="73"/>
      <c r="EP857" s="69"/>
      <c r="EQ857" s="69"/>
      <c r="ER857" s="69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  <c r="CI858" s="73"/>
      <c r="CJ858" s="73"/>
      <c r="CK858" s="73"/>
      <c r="CL858" s="73"/>
      <c r="CM858" s="73"/>
      <c r="CN858" s="73"/>
      <c r="CO858" s="73"/>
      <c r="CP858" s="73"/>
      <c r="CQ858" s="73"/>
      <c r="CR858" s="73"/>
      <c r="CS858" s="73"/>
      <c r="CT858" s="73"/>
      <c r="CU858" s="73"/>
      <c r="CV858" s="73"/>
      <c r="CW858" s="73"/>
      <c r="CX858" s="73"/>
      <c r="CY858" s="73"/>
      <c r="CZ858" s="73"/>
      <c r="DA858" s="73"/>
      <c r="DB858" s="73"/>
      <c r="DC858" s="73"/>
      <c r="DD858" s="73"/>
      <c r="DE858" s="73"/>
      <c r="DF858" s="73"/>
      <c r="DG858" s="73"/>
      <c r="DH858" s="73"/>
      <c r="DI858" s="73"/>
      <c r="DJ858" s="73"/>
      <c r="DK858" s="73"/>
      <c r="DL858" s="73"/>
      <c r="DM858" s="73"/>
      <c r="DN858" s="73"/>
      <c r="DO858" s="73"/>
      <c r="DP858" s="73"/>
      <c r="DQ858" s="73"/>
      <c r="DR858" s="73"/>
      <c r="DS858" s="73"/>
      <c r="DT858" s="73"/>
      <c r="DU858" s="73"/>
      <c r="DV858" s="73"/>
      <c r="DW858" s="73"/>
      <c r="DX858" s="72"/>
      <c r="DY858" s="72"/>
      <c r="DZ858" s="73"/>
      <c r="EA858" s="73"/>
      <c r="EB858" s="73"/>
      <c r="EC858" s="73"/>
      <c r="ED858" s="73"/>
      <c r="EE858" s="73"/>
      <c r="EF858" s="73"/>
      <c r="EG858" s="73"/>
      <c r="EH858" s="73"/>
      <c r="EI858" s="73"/>
      <c r="EJ858" s="73"/>
      <c r="EK858" s="73"/>
      <c r="EL858" s="73"/>
      <c r="EM858" s="73"/>
      <c r="EN858" s="73"/>
      <c r="EO858" s="73"/>
      <c r="EP858" s="69"/>
      <c r="EQ858" s="69"/>
      <c r="ER858" s="69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  <c r="CI859" s="73"/>
      <c r="CJ859" s="73"/>
      <c r="CK859" s="73"/>
      <c r="CL859" s="73"/>
      <c r="CM859" s="73"/>
      <c r="CN859" s="73"/>
      <c r="CO859" s="73"/>
      <c r="CP859" s="73"/>
      <c r="CQ859" s="73"/>
      <c r="CR859" s="73"/>
      <c r="CS859" s="73"/>
      <c r="CT859" s="73"/>
      <c r="CU859" s="73"/>
      <c r="CV859" s="73"/>
      <c r="CW859" s="73"/>
      <c r="CX859" s="73"/>
      <c r="CY859" s="73"/>
      <c r="CZ859" s="73"/>
      <c r="DA859" s="73"/>
      <c r="DB859" s="73"/>
      <c r="DC859" s="73"/>
      <c r="DD859" s="73"/>
      <c r="DE859" s="73"/>
      <c r="DF859" s="73"/>
      <c r="DG859" s="73"/>
      <c r="DH859" s="73"/>
      <c r="DI859" s="73"/>
      <c r="DJ859" s="73"/>
      <c r="DK859" s="73"/>
      <c r="DL859" s="73"/>
      <c r="DM859" s="73"/>
      <c r="DN859" s="73"/>
      <c r="DO859" s="73"/>
      <c r="DP859" s="73"/>
      <c r="DQ859" s="73"/>
      <c r="DR859" s="73"/>
      <c r="DS859" s="73"/>
      <c r="DT859" s="73"/>
      <c r="DU859" s="73"/>
      <c r="DV859" s="73"/>
      <c r="DW859" s="73"/>
      <c r="DX859" s="72"/>
      <c r="DY859" s="72"/>
      <c r="DZ859" s="73"/>
      <c r="EA859" s="73"/>
      <c r="EB859" s="73"/>
      <c r="EC859" s="73"/>
      <c r="ED859" s="73"/>
      <c r="EE859" s="73"/>
      <c r="EF859" s="73"/>
      <c r="EG859" s="73"/>
      <c r="EH859" s="73"/>
      <c r="EI859" s="73"/>
      <c r="EJ859" s="73"/>
      <c r="EK859" s="73"/>
      <c r="EL859" s="73"/>
      <c r="EM859" s="73"/>
      <c r="EN859" s="73"/>
      <c r="EO859" s="73"/>
      <c r="EP859" s="69"/>
      <c r="EQ859" s="69"/>
      <c r="ER859" s="69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  <c r="CI860" s="73"/>
      <c r="CJ860" s="73"/>
      <c r="CK860" s="73"/>
      <c r="CL860" s="73"/>
      <c r="CM860" s="73"/>
      <c r="CN860" s="73"/>
      <c r="CO860" s="73"/>
      <c r="CP860" s="73"/>
      <c r="CQ860" s="73"/>
      <c r="CR860" s="73"/>
      <c r="CS860" s="73"/>
      <c r="CT860" s="73"/>
      <c r="CU860" s="73"/>
      <c r="CV860" s="73"/>
      <c r="CW860" s="73"/>
      <c r="CX860" s="73"/>
      <c r="CY860" s="73"/>
      <c r="CZ860" s="73"/>
      <c r="DA860" s="73"/>
      <c r="DB860" s="73"/>
      <c r="DC860" s="73"/>
      <c r="DD860" s="73"/>
      <c r="DE860" s="73"/>
      <c r="DF860" s="73"/>
      <c r="DG860" s="73"/>
      <c r="DH860" s="73"/>
      <c r="DI860" s="73"/>
      <c r="DJ860" s="73"/>
      <c r="DK860" s="73"/>
      <c r="DL860" s="73"/>
      <c r="DM860" s="73"/>
      <c r="DN860" s="73"/>
      <c r="DO860" s="73"/>
      <c r="DP860" s="73"/>
      <c r="DQ860" s="73"/>
      <c r="DR860" s="73"/>
      <c r="DS860" s="73"/>
      <c r="DT860" s="73"/>
      <c r="DU860" s="73"/>
      <c r="DV860" s="73"/>
      <c r="DW860" s="73"/>
      <c r="DX860" s="72"/>
      <c r="DY860" s="72"/>
      <c r="DZ860" s="73"/>
      <c r="EA860" s="73"/>
      <c r="EB860" s="73"/>
      <c r="EC860" s="73"/>
      <c r="ED860" s="73"/>
      <c r="EE860" s="73"/>
      <c r="EF860" s="73"/>
      <c r="EG860" s="73"/>
      <c r="EH860" s="73"/>
      <c r="EI860" s="73"/>
      <c r="EJ860" s="73"/>
      <c r="EK860" s="73"/>
      <c r="EL860" s="73"/>
      <c r="EM860" s="73"/>
      <c r="EN860" s="73"/>
      <c r="EO860" s="73"/>
      <c r="EP860" s="69"/>
      <c r="EQ860" s="69"/>
      <c r="ER860" s="69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  <c r="CI861" s="73"/>
      <c r="CJ861" s="73"/>
      <c r="CK861" s="73"/>
      <c r="CL861" s="73"/>
      <c r="CM861" s="73"/>
      <c r="CN861" s="73"/>
      <c r="CO861" s="73"/>
      <c r="CP861" s="73"/>
      <c r="CQ861" s="73"/>
      <c r="CR861" s="73"/>
      <c r="CS861" s="73"/>
      <c r="CT861" s="73"/>
      <c r="CU861" s="73"/>
      <c r="CV861" s="73"/>
      <c r="CW861" s="73"/>
      <c r="CX861" s="73"/>
      <c r="CY861" s="73"/>
      <c r="CZ861" s="73"/>
      <c r="DA861" s="73"/>
      <c r="DB861" s="73"/>
      <c r="DC861" s="73"/>
      <c r="DD861" s="73"/>
      <c r="DE861" s="73"/>
      <c r="DF861" s="73"/>
      <c r="DG861" s="73"/>
      <c r="DH861" s="73"/>
      <c r="DI861" s="73"/>
      <c r="DJ861" s="73"/>
      <c r="DK861" s="73"/>
      <c r="DL861" s="73"/>
      <c r="DM861" s="73"/>
      <c r="DN861" s="73"/>
      <c r="DO861" s="73"/>
      <c r="DP861" s="73"/>
      <c r="DQ861" s="73"/>
      <c r="DR861" s="73"/>
      <c r="DS861" s="73"/>
      <c r="DT861" s="73"/>
      <c r="DU861" s="73"/>
      <c r="DV861" s="73"/>
      <c r="DW861" s="73"/>
      <c r="DX861" s="72"/>
      <c r="DY861" s="72"/>
      <c r="DZ861" s="73"/>
      <c r="EA861" s="73"/>
      <c r="EB861" s="73"/>
      <c r="EC861" s="73"/>
      <c r="ED861" s="73"/>
      <c r="EE861" s="73"/>
      <c r="EF861" s="73"/>
      <c r="EG861" s="73"/>
      <c r="EH861" s="73"/>
      <c r="EI861" s="73"/>
      <c r="EJ861" s="73"/>
      <c r="EK861" s="73"/>
      <c r="EL861" s="73"/>
      <c r="EM861" s="73"/>
      <c r="EN861" s="73"/>
      <c r="EO861" s="73"/>
      <c r="EP861" s="69"/>
      <c r="EQ861" s="69"/>
      <c r="ER861" s="69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  <c r="CI862" s="73"/>
      <c r="CJ862" s="73"/>
      <c r="CK862" s="73"/>
      <c r="CL862" s="73"/>
      <c r="CM862" s="73"/>
      <c r="CN862" s="73"/>
      <c r="CO862" s="73"/>
      <c r="CP862" s="73"/>
      <c r="CQ862" s="73"/>
      <c r="CR862" s="73"/>
      <c r="CS862" s="73"/>
      <c r="CT862" s="73"/>
      <c r="CU862" s="73"/>
      <c r="CV862" s="73"/>
      <c r="CW862" s="73"/>
      <c r="CX862" s="73"/>
      <c r="CY862" s="73"/>
      <c r="CZ862" s="73"/>
      <c r="DA862" s="73"/>
      <c r="DB862" s="73"/>
      <c r="DC862" s="73"/>
      <c r="DD862" s="73"/>
      <c r="DE862" s="73"/>
      <c r="DF862" s="73"/>
      <c r="DG862" s="73"/>
      <c r="DH862" s="73"/>
      <c r="DI862" s="73"/>
      <c r="DJ862" s="73"/>
      <c r="DK862" s="73"/>
      <c r="DL862" s="73"/>
      <c r="DM862" s="73"/>
      <c r="DN862" s="73"/>
      <c r="DO862" s="73"/>
      <c r="DP862" s="73"/>
      <c r="DQ862" s="73"/>
      <c r="DR862" s="73"/>
      <c r="DS862" s="73"/>
      <c r="DT862" s="73"/>
      <c r="DU862" s="73"/>
      <c r="DV862" s="73"/>
      <c r="DW862" s="73"/>
      <c r="DX862" s="72"/>
      <c r="DY862" s="72"/>
      <c r="DZ862" s="73"/>
      <c r="EA862" s="73"/>
      <c r="EB862" s="73"/>
      <c r="EC862" s="73"/>
      <c r="ED862" s="73"/>
      <c r="EE862" s="73"/>
      <c r="EF862" s="73"/>
      <c r="EG862" s="73"/>
      <c r="EH862" s="73"/>
      <c r="EI862" s="73"/>
      <c r="EJ862" s="73"/>
      <c r="EK862" s="73"/>
      <c r="EL862" s="73"/>
      <c r="EM862" s="73"/>
      <c r="EN862" s="73"/>
      <c r="EO862" s="73"/>
      <c r="EP862" s="69"/>
      <c r="EQ862" s="69"/>
      <c r="ER862" s="69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  <c r="CI863" s="73"/>
      <c r="CJ863" s="73"/>
      <c r="CK863" s="73"/>
      <c r="CL863" s="73"/>
      <c r="CM863" s="73"/>
      <c r="CN863" s="73"/>
      <c r="CO863" s="73"/>
      <c r="CP863" s="73"/>
      <c r="CQ863" s="73"/>
      <c r="CR863" s="73"/>
      <c r="CS863" s="73"/>
      <c r="CT863" s="73"/>
      <c r="CU863" s="73"/>
      <c r="CV863" s="73"/>
      <c r="CW863" s="73"/>
      <c r="CX863" s="73"/>
      <c r="CY863" s="73"/>
      <c r="CZ863" s="73"/>
      <c r="DA863" s="73"/>
      <c r="DB863" s="73"/>
      <c r="DC863" s="73"/>
      <c r="DD863" s="73"/>
      <c r="DE863" s="73"/>
      <c r="DF863" s="73"/>
      <c r="DG863" s="73"/>
      <c r="DH863" s="73"/>
      <c r="DI863" s="73"/>
      <c r="DJ863" s="73"/>
      <c r="DK863" s="73"/>
      <c r="DL863" s="73"/>
      <c r="DM863" s="73"/>
      <c r="DN863" s="73"/>
      <c r="DO863" s="73"/>
      <c r="DP863" s="73"/>
      <c r="DQ863" s="73"/>
      <c r="DR863" s="73"/>
      <c r="DS863" s="73"/>
      <c r="DT863" s="73"/>
      <c r="DU863" s="73"/>
      <c r="DV863" s="73"/>
      <c r="DW863" s="73"/>
      <c r="DX863" s="72"/>
      <c r="DY863" s="72"/>
      <c r="DZ863" s="73"/>
      <c r="EA863" s="73"/>
      <c r="EB863" s="73"/>
      <c r="EC863" s="73"/>
      <c r="ED863" s="73"/>
      <c r="EE863" s="73"/>
      <c r="EF863" s="73"/>
      <c r="EG863" s="73"/>
      <c r="EH863" s="73"/>
      <c r="EI863" s="73"/>
      <c r="EJ863" s="73"/>
      <c r="EK863" s="73"/>
      <c r="EL863" s="73"/>
      <c r="EM863" s="73"/>
      <c r="EN863" s="73"/>
      <c r="EO863" s="73"/>
      <c r="EP863" s="69"/>
      <c r="EQ863" s="69"/>
      <c r="ER863" s="69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  <c r="CI864" s="73"/>
      <c r="CJ864" s="73"/>
      <c r="CK864" s="73"/>
      <c r="CL864" s="73"/>
      <c r="CM864" s="73"/>
      <c r="CN864" s="73"/>
      <c r="CO864" s="73"/>
      <c r="CP864" s="73"/>
      <c r="CQ864" s="73"/>
      <c r="CR864" s="73"/>
      <c r="CS864" s="73"/>
      <c r="CT864" s="73"/>
      <c r="CU864" s="73"/>
      <c r="CV864" s="73"/>
      <c r="CW864" s="73"/>
      <c r="CX864" s="73"/>
      <c r="CY864" s="73"/>
      <c r="CZ864" s="73"/>
      <c r="DA864" s="73"/>
      <c r="DB864" s="73"/>
      <c r="DC864" s="73"/>
      <c r="DD864" s="73"/>
      <c r="DE864" s="73"/>
      <c r="DF864" s="73"/>
      <c r="DG864" s="73"/>
      <c r="DH864" s="73"/>
      <c r="DI864" s="73"/>
      <c r="DJ864" s="73"/>
      <c r="DK864" s="73"/>
      <c r="DL864" s="73"/>
      <c r="DM864" s="73"/>
      <c r="DN864" s="73"/>
      <c r="DO864" s="73"/>
      <c r="DP864" s="73"/>
      <c r="DQ864" s="73"/>
      <c r="DR864" s="73"/>
      <c r="DS864" s="73"/>
      <c r="DT864" s="73"/>
      <c r="DU864" s="73"/>
      <c r="DV864" s="73"/>
      <c r="DW864" s="73"/>
      <c r="DX864" s="72"/>
      <c r="DY864" s="72"/>
      <c r="DZ864" s="73"/>
      <c r="EA864" s="73"/>
      <c r="EB864" s="73"/>
      <c r="EC864" s="73"/>
      <c r="ED864" s="73"/>
      <c r="EE864" s="73"/>
      <c r="EF864" s="73"/>
      <c r="EG864" s="73"/>
      <c r="EH864" s="73"/>
      <c r="EI864" s="73"/>
      <c r="EJ864" s="73"/>
      <c r="EK864" s="73"/>
      <c r="EL864" s="73"/>
      <c r="EM864" s="73"/>
      <c r="EN864" s="73"/>
      <c r="EO864" s="73"/>
      <c r="EP864" s="69"/>
      <c r="EQ864" s="69"/>
      <c r="ER864" s="69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  <c r="CI865" s="73"/>
      <c r="CJ865" s="73"/>
      <c r="CK865" s="73"/>
      <c r="CL865" s="73"/>
      <c r="CM865" s="73"/>
      <c r="CN865" s="73"/>
      <c r="CO865" s="73"/>
      <c r="CP865" s="73"/>
      <c r="CQ865" s="73"/>
      <c r="CR865" s="73"/>
      <c r="CS865" s="73"/>
      <c r="CT865" s="73"/>
      <c r="CU865" s="73"/>
      <c r="CV865" s="73"/>
      <c r="CW865" s="73"/>
      <c r="CX865" s="73"/>
      <c r="CY865" s="73"/>
      <c r="CZ865" s="73"/>
      <c r="DA865" s="73"/>
      <c r="DB865" s="73"/>
      <c r="DC865" s="73"/>
      <c r="DD865" s="73"/>
      <c r="DE865" s="73"/>
      <c r="DF865" s="73"/>
      <c r="DG865" s="73"/>
      <c r="DH865" s="73"/>
      <c r="DI865" s="73"/>
      <c r="DJ865" s="73"/>
      <c r="DK865" s="73"/>
      <c r="DL865" s="73"/>
      <c r="DM865" s="73"/>
      <c r="DN865" s="73"/>
      <c r="DO865" s="73"/>
      <c r="DP865" s="73"/>
      <c r="DQ865" s="73"/>
      <c r="DR865" s="73"/>
      <c r="DS865" s="73"/>
      <c r="DT865" s="73"/>
      <c r="DU865" s="73"/>
      <c r="DV865" s="73"/>
      <c r="DW865" s="73"/>
      <c r="DX865" s="73"/>
      <c r="DY865" s="73"/>
      <c r="DZ865" s="73"/>
      <c r="EA865" s="73"/>
      <c r="EB865" s="73"/>
      <c r="EC865" s="73"/>
      <c r="ED865" s="73"/>
      <c r="EE865" s="73"/>
      <c r="EF865" s="73"/>
      <c r="EG865" s="73"/>
      <c r="EH865" s="73"/>
      <c r="EI865" s="73"/>
      <c r="EJ865" s="73"/>
      <c r="EK865" s="73"/>
      <c r="EL865" s="73"/>
      <c r="EM865" s="73"/>
      <c r="EN865" s="73"/>
      <c r="EO865" s="73"/>
      <c r="EP865" s="69"/>
      <c r="EQ865" s="69"/>
      <c r="ER865" s="69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  <c r="CI866" s="73"/>
      <c r="CJ866" s="73"/>
      <c r="CK866" s="73"/>
      <c r="CL866" s="73"/>
      <c r="CM866" s="72"/>
      <c r="CN866" s="73"/>
      <c r="CO866" s="73"/>
      <c r="CP866" s="73"/>
      <c r="CQ866" s="73"/>
      <c r="CR866" s="73"/>
      <c r="CS866" s="73"/>
      <c r="CT866" s="73"/>
      <c r="CU866" s="73"/>
      <c r="CV866" s="73"/>
      <c r="CW866" s="73"/>
      <c r="CX866" s="73"/>
      <c r="CY866" s="73"/>
      <c r="CZ866" s="73"/>
      <c r="DA866" s="73"/>
      <c r="DB866" s="73"/>
      <c r="DC866" s="73"/>
      <c r="DD866" s="73"/>
      <c r="DE866" s="73"/>
      <c r="DF866" s="73"/>
      <c r="DG866" s="73"/>
      <c r="DH866" s="73"/>
      <c r="DI866" s="73"/>
      <c r="DJ866" s="73"/>
      <c r="DK866" s="73"/>
      <c r="DL866" s="73"/>
      <c r="DM866" s="73"/>
      <c r="DN866" s="73"/>
      <c r="DO866" s="73"/>
      <c r="DP866" s="73"/>
      <c r="DQ866" s="73"/>
      <c r="DR866" s="73"/>
      <c r="DS866" s="73"/>
      <c r="DT866" s="73"/>
      <c r="DU866" s="73"/>
      <c r="DV866" s="73"/>
      <c r="DW866" s="73"/>
      <c r="DX866" s="72"/>
      <c r="DY866" s="72"/>
      <c r="DZ866" s="73"/>
      <c r="EA866" s="73"/>
      <c r="EB866" s="73"/>
      <c r="EC866" s="73"/>
      <c r="ED866" s="73"/>
      <c r="EE866" s="73"/>
      <c r="EF866" s="73"/>
      <c r="EG866" s="73"/>
      <c r="EH866" s="73"/>
      <c r="EI866" s="73"/>
      <c r="EJ866" s="73"/>
      <c r="EK866" s="73"/>
      <c r="EL866" s="73"/>
      <c r="EM866" s="73"/>
      <c r="EN866" s="73"/>
      <c r="EO866" s="73"/>
      <c r="EP866" s="69"/>
      <c r="EQ866" s="69"/>
      <c r="ER866" s="69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  <c r="CI867" s="73"/>
      <c r="CJ867" s="73"/>
      <c r="CK867" s="73"/>
      <c r="CL867" s="73"/>
      <c r="CM867" s="72"/>
      <c r="CN867" s="73"/>
      <c r="CO867" s="73"/>
      <c r="CP867" s="73"/>
      <c r="CQ867" s="73"/>
      <c r="CR867" s="73"/>
      <c r="CS867" s="73"/>
      <c r="CT867" s="73"/>
      <c r="CU867" s="73"/>
      <c r="CV867" s="73"/>
      <c r="CW867" s="73"/>
      <c r="CX867" s="73"/>
      <c r="CY867" s="73"/>
      <c r="CZ867" s="73"/>
      <c r="DA867" s="73"/>
      <c r="DB867" s="73"/>
      <c r="DC867" s="73"/>
      <c r="DD867" s="73"/>
      <c r="DE867" s="73"/>
      <c r="DF867" s="73"/>
      <c r="DG867" s="73"/>
      <c r="DH867" s="73"/>
      <c r="DI867" s="73"/>
      <c r="DJ867" s="73"/>
      <c r="DK867" s="73"/>
      <c r="DL867" s="73"/>
      <c r="DM867" s="73"/>
      <c r="DN867" s="73"/>
      <c r="DO867" s="73"/>
      <c r="DP867" s="73"/>
      <c r="DQ867" s="73"/>
      <c r="DR867" s="73"/>
      <c r="DS867" s="73"/>
      <c r="DT867" s="73"/>
      <c r="DU867" s="73"/>
      <c r="DV867" s="73"/>
      <c r="DW867" s="73"/>
      <c r="DX867" s="72"/>
      <c r="DY867" s="72"/>
      <c r="DZ867" s="73"/>
      <c r="EA867" s="73"/>
      <c r="EB867" s="73"/>
      <c r="EC867" s="73"/>
      <c r="ED867" s="73"/>
      <c r="EE867" s="73"/>
      <c r="EF867" s="73"/>
      <c r="EG867" s="73"/>
      <c r="EH867" s="73"/>
      <c r="EI867" s="73"/>
      <c r="EJ867" s="73"/>
      <c r="EK867" s="73"/>
      <c r="EL867" s="73"/>
      <c r="EM867" s="73"/>
      <c r="EN867" s="73"/>
      <c r="EO867" s="73"/>
      <c r="EP867" s="69"/>
      <c r="EQ867" s="69"/>
      <c r="ER867" s="69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  <c r="CI868" s="73"/>
      <c r="CJ868" s="73"/>
      <c r="CK868" s="73"/>
      <c r="CL868" s="73"/>
      <c r="CM868" s="73"/>
      <c r="CN868" s="73"/>
      <c r="CO868" s="73"/>
      <c r="CP868" s="73"/>
      <c r="CQ868" s="73"/>
      <c r="CR868" s="73"/>
      <c r="CS868" s="73"/>
      <c r="CT868" s="73"/>
      <c r="CU868" s="73"/>
      <c r="CV868" s="73"/>
      <c r="CW868" s="73"/>
      <c r="CX868" s="73"/>
      <c r="CY868" s="73"/>
      <c r="CZ868" s="73"/>
      <c r="DA868" s="73"/>
      <c r="DB868" s="73"/>
      <c r="DC868" s="73"/>
      <c r="DD868" s="73"/>
      <c r="DE868" s="73"/>
      <c r="DF868" s="73"/>
      <c r="DG868" s="73"/>
      <c r="DH868" s="73"/>
      <c r="DI868" s="73"/>
      <c r="DJ868" s="73"/>
      <c r="DK868" s="73"/>
      <c r="DL868" s="73"/>
      <c r="DM868" s="73"/>
      <c r="DN868" s="73"/>
      <c r="DO868" s="73"/>
      <c r="DP868" s="73"/>
      <c r="DQ868" s="73"/>
      <c r="DR868" s="73"/>
      <c r="DS868" s="73"/>
      <c r="DT868" s="73"/>
      <c r="DU868" s="73"/>
      <c r="DV868" s="73"/>
      <c r="DW868" s="73"/>
      <c r="DX868" s="73"/>
      <c r="DY868" s="73"/>
      <c r="DZ868" s="73"/>
      <c r="EA868" s="73"/>
      <c r="EB868" s="73"/>
      <c r="EC868" s="73"/>
      <c r="ED868" s="73"/>
      <c r="EE868" s="73"/>
      <c r="EF868" s="73"/>
      <c r="EG868" s="73"/>
      <c r="EH868" s="73"/>
      <c r="EI868" s="73"/>
      <c r="EJ868" s="73"/>
      <c r="EK868" s="73"/>
      <c r="EL868" s="73"/>
      <c r="EM868" s="73"/>
      <c r="EN868" s="73"/>
      <c r="EO868" s="73"/>
      <c r="EP868" s="69"/>
      <c r="EQ868" s="69"/>
      <c r="ER868" s="69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  <c r="CI869" s="73"/>
      <c r="CJ869" s="73"/>
      <c r="CK869" s="73"/>
      <c r="CL869" s="73"/>
      <c r="CM869" s="73"/>
      <c r="CN869" s="73"/>
      <c r="CO869" s="73"/>
      <c r="CP869" s="73"/>
      <c r="CQ869" s="73"/>
      <c r="CR869" s="73"/>
      <c r="CS869" s="73"/>
      <c r="CT869" s="73"/>
      <c r="CU869" s="73"/>
      <c r="CV869" s="73"/>
      <c r="CW869" s="73"/>
      <c r="CX869" s="73"/>
      <c r="CY869" s="73"/>
      <c r="CZ869" s="73"/>
      <c r="DA869" s="73"/>
      <c r="DB869" s="73"/>
      <c r="DC869" s="73"/>
      <c r="DD869" s="73"/>
      <c r="DE869" s="73"/>
      <c r="DF869" s="73"/>
      <c r="DG869" s="73"/>
      <c r="DH869" s="73"/>
      <c r="DI869" s="73"/>
      <c r="DJ869" s="73"/>
      <c r="DK869" s="73"/>
      <c r="DL869" s="73"/>
      <c r="DM869" s="73"/>
      <c r="DN869" s="73"/>
      <c r="DO869" s="73"/>
      <c r="DP869" s="73"/>
      <c r="DQ869" s="73"/>
      <c r="DR869" s="73"/>
      <c r="DS869" s="73"/>
      <c r="DT869" s="73"/>
      <c r="DU869" s="73"/>
      <c r="DV869" s="73"/>
      <c r="DW869" s="73"/>
      <c r="DX869" s="72"/>
      <c r="DY869" s="72"/>
      <c r="DZ869" s="73"/>
      <c r="EA869" s="73"/>
      <c r="EB869" s="73"/>
      <c r="EC869" s="73"/>
      <c r="ED869" s="73"/>
      <c r="EE869" s="73"/>
      <c r="EF869" s="73"/>
      <c r="EG869" s="73"/>
      <c r="EH869" s="73"/>
      <c r="EI869" s="73"/>
      <c r="EJ869" s="73"/>
      <c r="EK869" s="73"/>
      <c r="EL869" s="73"/>
      <c r="EM869" s="73"/>
      <c r="EN869" s="73"/>
      <c r="EO869" s="73"/>
      <c r="EP869" s="69"/>
      <c r="EQ869" s="69"/>
      <c r="ER869" s="69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  <c r="CI870" s="73"/>
      <c r="CJ870" s="73"/>
      <c r="CK870" s="73"/>
      <c r="CL870" s="73"/>
      <c r="CM870" s="73"/>
      <c r="CN870" s="73"/>
      <c r="CO870" s="73"/>
      <c r="CP870" s="73"/>
      <c r="CQ870" s="73"/>
      <c r="CR870" s="73"/>
      <c r="CS870" s="73"/>
      <c r="CT870" s="73"/>
      <c r="CU870" s="73"/>
      <c r="CV870" s="73"/>
      <c r="CW870" s="73"/>
      <c r="CX870" s="73"/>
      <c r="CY870" s="73"/>
      <c r="CZ870" s="73"/>
      <c r="DA870" s="73"/>
      <c r="DB870" s="73"/>
      <c r="DC870" s="73"/>
      <c r="DD870" s="73"/>
      <c r="DE870" s="73"/>
      <c r="DF870" s="73"/>
      <c r="DG870" s="73"/>
      <c r="DH870" s="73"/>
      <c r="DI870" s="73"/>
      <c r="DJ870" s="73"/>
      <c r="DK870" s="73"/>
      <c r="DL870" s="73"/>
      <c r="DM870" s="73"/>
      <c r="DN870" s="73"/>
      <c r="DO870" s="73"/>
      <c r="DP870" s="73"/>
      <c r="DQ870" s="73"/>
      <c r="DR870" s="73"/>
      <c r="DS870" s="73"/>
      <c r="DT870" s="73"/>
      <c r="DU870" s="73"/>
      <c r="DV870" s="73"/>
      <c r="DW870" s="73"/>
      <c r="DX870" s="72"/>
      <c r="DY870" s="72"/>
      <c r="DZ870" s="73"/>
      <c r="EA870" s="73"/>
      <c r="EB870" s="73"/>
      <c r="EC870" s="73"/>
      <c r="ED870" s="73"/>
      <c r="EE870" s="73"/>
      <c r="EF870" s="73"/>
      <c r="EG870" s="73"/>
      <c r="EH870" s="73"/>
      <c r="EI870" s="73"/>
      <c r="EJ870" s="73"/>
      <c r="EK870" s="73"/>
      <c r="EL870" s="73"/>
      <c r="EM870" s="73"/>
      <c r="EN870" s="73"/>
      <c r="EO870" s="73"/>
      <c r="EP870" s="69"/>
      <c r="EQ870" s="69"/>
      <c r="ER870" s="69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  <c r="CI871" s="73"/>
      <c r="CJ871" s="73"/>
      <c r="CK871" s="73"/>
      <c r="CL871" s="73"/>
      <c r="CM871" s="73"/>
      <c r="CN871" s="73"/>
      <c r="CO871" s="73"/>
      <c r="CP871" s="73"/>
      <c r="CQ871" s="73"/>
      <c r="CR871" s="73"/>
      <c r="CS871" s="73"/>
      <c r="CT871" s="73"/>
      <c r="CU871" s="73"/>
      <c r="CV871" s="73"/>
      <c r="CW871" s="73"/>
      <c r="CX871" s="73"/>
      <c r="CY871" s="73"/>
      <c r="CZ871" s="73"/>
      <c r="DA871" s="73"/>
      <c r="DB871" s="73"/>
      <c r="DC871" s="73"/>
      <c r="DD871" s="73"/>
      <c r="DE871" s="73"/>
      <c r="DF871" s="73"/>
      <c r="DG871" s="73"/>
      <c r="DH871" s="73"/>
      <c r="DI871" s="73"/>
      <c r="DJ871" s="73"/>
      <c r="DK871" s="73"/>
      <c r="DL871" s="73"/>
      <c r="DM871" s="73"/>
      <c r="DN871" s="73"/>
      <c r="DO871" s="73"/>
      <c r="DP871" s="73"/>
      <c r="DQ871" s="73"/>
      <c r="DR871" s="73"/>
      <c r="DS871" s="73"/>
      <c r="DT871" s="73"/>
      <c r="DU871" s="73"/>
      <c r="DV871" s="73"/>
      <c r="DW871" s="73"/>
      <c r="DX871" s="72"/>
      <c r="DY871" s="72"/>
      <c r="DZ871" s="73"/>
      <c r="EA871" s="73"/>
      <c r="EB871" s="73"/>
      <c r="EC871" s="73"/>
      <c r="ED871" s="73"/>
      <c r="EE871" s="73"/>
      <c r="EF871" s="73"/>
      <c r="EG871" s="73"/>
      <c r="EH871" s="73"/>
      <c r="EI871" s="73"/>
      <c r="EJ871" s="73"/>
      <c r="EK871" s="73"/>
      <c r="EL871" s="73"/>
      <c r="EM871" s="73"/>
      <c r="EN871" s="73"/>
      <c r="EO871" s="73"/>
      <c r="EP871" s="69"/>
      <c r="EQ871" s="69"/>
      <c r="ER871" s="69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  <c r="CI872" s="73"/>
      <c r="CJ872" s="73"/>
      <c r="CK872" s="73"/>
      <c r="CL872" s="73"/>
      <c r="CM872" s="73"/>
      <c r="CN872" s="73"/>
      <c r="CO872" s="73"/>
      <c r="CP872" s="73"/>
      <c r="CQ872" s="73"/>
      <c r="CR872" s="73"/>
      <c r="CS872" s="73"/>
      <c r="CT872" s="73"/>
      <c r="CU872" s="73"/>
      <c r="CV872" s="73"/>
      <c r="CW872" s="73"/>
      <c r="CX872" s="73"/>
      <c r="CY872" s="73"/>
      <c r="CZ872" s="73"/>
      <c r="DA872" s="73"/>
      <c r="DB872" s="73"/>
      <c r="DC872" s="73"/>
      <c r="DD872" s="73"/>
      <c r="DE872" s="73"/>
      <c r="DF872" s="73"/>
      <c r="DG872" s="73"/>
      <c r="DH872" s="73"/>
      <c r="DI872" s="73"/>
      <c r="DJ872" s="73"/>
      <c r="DK872" s="73"/>
      <c r="DL872" s="73"/>
      <c r="DM872" s="73"/>
      <c r="DN872" s="73"/>
      <c r="DO872" s="73"/>
      <c r="DP872" s="73"/>
      <c r="DQ872" s="73"/>
      <c r="DR872" s="73"/>
      <c r="DS872" s="73"/>
      <c r="DT872" s="73"/>
      <c r="DU872" s="73"/>
      <c r="DV872" s="73"/>
      <c r="DW872" s="73"/>
      <c r="DX872" s="72"/>
      <c r="DY872" s="72"/>
      <c r="DZ872" s="73"/>
      <c r="EA872" s="73"/>
      <c r="EB872" s="73"/>
      <c r="EC872" s="73"/>
      <c r="ED872" s="73"/>
      <c r="EE872" s="73"/>
      <c r="EF872" s="73"/>
      <c r="EG872" s="73"/>
      <c r="EH872" s="73"/>
      <c r="EI872" s="73"/>
      <c r="EJ872" s="73"/>
      <c r="EK872" s="73"/>
      <c r="EL872" s="73"/>
      <c r="EM872" s="73"/>
      <c r="EN872" s="73"/>
      <c r="EO872" s="73"/>
      <c r="EP872" s="69"/>
      <c r="EQ872" s="69"/>
      <c r="ER872" s="69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  <c r="CI873" s="73"/>
      <c r="CJ873" s="73"/>
      <c r="CK873" s="73"/>
      <c r="CL873" s="73"/>
      <c r="CM873" s="73"/>
      <c r="CN873" s="73"/>
      <c r="CO873" s="73"/>
      <c r="CP873" s="73"/>
      <c r="CQ873" s="73"/>
      <c r="CR873" s="73"/>
      <c r="CS873" s="73"/>
      <c r="CT873" s="73"/>
      <c r="CU873" s="73"/>
      <c r="CV873" s="73"/>
      <c r="CW873" s="73"/>
      <c r="CX873" s="73"/>
      <c r="CY873" s="73"/>
      <c r="CZ873" s="73"/>
      <c r="DA873" s="73"/>
      <c r="DB873" s="73"/>
      <c r="DC873" s="73"/>
      <c r="DD873" s="73"/>
      <c r="DE873" s="73"/>
      <c r="DF873" s="73"/>
      <c r="DG873" s="73"/>
      <c r="DH873" s="73"/>
      <c r="DI873" s="73"/>
      <c r="DJ873" s="73"/>
      <c r="DK873" s="73"/>
      <c r="DL873" s="73"/>
      <c r="DM873" s="73"/>
      <c r="DN873" s="73"/>
      <c r="DO873" s="73"/>
      <c r="DP873" s="73"/>
      <c r="DQ873" s="73"/>
      <c r="DR873" s="73"/>
      <c r="DS873" s="73"/>
      <c r="DT873" s="73"/>
      <c r="DU873" s="73"/>
      <c r="DV873" s="73"/>
      <c r="DW873" s="73"/>
      <c r="DX873" s="72"/>
      <c r="DY873" s="72"/>
      <c r="DZ873" s="73"/>
      <c r="EA873" s="73"/>
      <c r="EB873" s="73"/>
      <c r="EC873" s="73"/>
      <c r="ED873" s="73"/>
      <c r="EE873" s="73"/>
      <c r="EF873" s="73"/>
      <c r="EG873" s="73"/>
      <c r="EH873" s="73"/>
      <c r="EI873" s="73"/>
      <c r="EJ873" s="73"/>
      <c r="EK873" s="73"/>
      <c r="EL873" s="73"/>
      <c r="EM873" s="73"/>
      <c r="EN873" s="73"/>
      <c r="EO873" s="73"/>
      <c r="EP873" s="69"/>
      <c r="EQ873" s="69"/>
      <c r="ER873" s="69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  <c r="CI874" s="73"/>
      <c r="CJ874" s="73"/>
      <c r="CK874" s="73"/>
      <c r="CL874" s="73"/>
      <c r="CM874" s="73"/>
      <c r="CN874" s="73"/>
      <c r="CO874" s="73"/>
      <c r="CP874" s="73"/>
      <c r="CQ874" s="73"/>
      <c r="CR874" s="73"/>
      <c r="CS874" s="73"/>
      <c r="CT874" s="73"/>
      <c r="CU874" s="73"/>
      <c r="CV874" s="73"/>
      <c r="CW874" s="73"/>
      <c r="CX874" s="73"/>
      <c r="CY874" s="73"/>
      <c r="CZ874" s="73"/>
      <c r="DA874" s="73"/>
      <c r="DB874" s="73"/>
      <c r="DC874" s="73"/>
      <c r="DD874" s="73"/>
      <c r="DE874" s="73"/>
      <c r="DF874" s="73"/>
      <c r="DG874" s="73"/>
      <c r="DH874" s="73"/>
      <c r="DI874" s="73"/>
      <c r="DJ874" s="73"/>
      <c r="DK874" s="73"/>
      <c r="DL874" s="73"/>
      <c r="DM874" s="73"/>
      <c r="DN874" s="73"/>
      <c r="DO874" s="73"/>
      <c r="DP874" s="73"/>
      <c r="DQ874" s="73"/>
      <c r="DR874" s="73"/>
      <c r="DS874" s="73"/>
      <c r="DT874" s="73"/>
      <c r="DU874" s="73"/>
      <c r="DV874" s="73"/>
      <c r="DW874" s="73"/>
      <c r="DX874" s="72"/>
      <c r="DY874" s="72"/>
      <c r="DZ874" s="73"/>
      <c r="EA874" s="73"/>
      <c r="EB874" s="73"/>
      <c r="EC874" s="73"/>
      <c r="ED874" s="73"/>
      <c r="EE874" s="73"/>
      <c r="EF874" s="73"/>
      <c r="EG874" s="73"/>
      <c r="EH874" s="73"/>
      <c r="EI874" s="73"/>
      <c r="EJ874" s="73"/>
      <c r="EK874" s="73"/>
      <c r="EL874" s="73"/>
      <c r="EM874" s="73"/>
      <c r="EN874" s="73"/>
      <c r="EO874" s="73"/>
      <c r="EP874" s="69"/>
      <c r="EQ874" s="69"/>
      <c r="ER874" s="69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  <c r="CI875" s="73"/>
      <c r="CJ875" s="73"/>
      <c r="CK875" s="73"/>
      <c r="CL875" s="73"/>
      <c r="CM875" s="73"/>
      <c r="CN875" s="73"/>
      <c r="CO875" s="73"/>
      <c r="CP875" s="73"/>
      <c r="CQ875" s="73"/>
      <c r="CR875" s="73"/>
      <c r="CS875" s="73"/>
      <c r="CT875" s="73"/>
      <c r="CU875" s="73"/>
      <c r="CV875" s="73"/>
      <c r="CW875" s="73"/>
      <c r="CX875" s="73"/>
      <c r="CY875" s="73"/>
      <c r="CZ875" s="73"/>
      <c r="DA875" s="73"/>
      <c r="DB875" s="73"/>
      <c r="DC875" s="73"/>
      <c r="DD875" s="73"/>
      <c r="DE875" s="73"/>
      <c r="DF875" s="73"/>
      <c r="DG875" s="73"/>
      <c r="DH875" s="73"/>
      <c r="DI875" s="73"/>
      <c r="DJ875" s="73"/>
      <c r="DK875" s="73"/>
      <c r="DL875" s="73"/>
      <c r="DM875" s="73"/>
      <c r="DN875" s="73"/>
      <c r="DO875" s="73"/>
      <c r="DP875" s="73"/>
      <c r="DQ875" s="73"/>
      <c r="DR875" s="73"/>
      <c r="DS875" s="73"/>
      <c r="DT875" s="73"/>
      <c r="DU875" s="73"/>
      <c r="DV875" s="73"/>
      <c r="DW875" s="73"/>
      <c r="DX875" s="72"/>
      <c r="DY875" s="72"/>
      <c r="DZ875" s="73"/>
      <c r="EA875" s="73"/>
      <c r="EB875" s="73"/>
      <c r="EC875" s="73"/>
      <c r="ED875" s="73"/>
      <c r="EE875" s="73"/>
      <c r="EF875" s="73"/>
      <c r="EG875" s="73"/>
      <c r="EH875" s="73"/>
      <c r="EI875" s="73"/>
      <c r="EJ875" s="73"/>
      <c r="EK875" s="73"/>
      <c r="EL875" s="73"/>
      <c r="EM875" s="73"/>
      <c r="EN875" s="73"/>
      <c r="EO875" s="73"/>
      <c r="EP875" s="69"/>
      <c r="EQ875" s="69"/>
      <c r="ER875" s="69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  <c r="CI876" s="73"/>
      <c r="CJ876" s="73"/>
      <c r="CK876" s="73"/>
      <c r="CL876" s="73"/>
      <c r="CM876" s="73"/>
      <c r="CN876" s="73"/>
      <c r="CO876" s="73"/>
      <c r="CP876" s="73"/>
      <c r="CQ876" s="73"/>
      <c r="CR876" s="73"/>
      <c r="CS876" s="73"/>
      <c r="CT876" s="73"/>
      <c r="CU876" s="73"/>
      <c r="CV876" s="73"/>
      <c r="CW876" s="73"/>
      <c r="CX876" s="73"/>
      <c r="CY876" s="73"/>
      <c r="CZ876" s="73"/>
      <c r="DA876" s="73"/>
      <c r="DB876" s="73"/>
      <c r="DC876" s="73"/>
      <c r="DD876" s="73"/>
      <c r="DE876" s="73"/>
      <c r="DF876" s="73"/>
      <c r="DG876" s="73"/>
      <c r="DH876" s="73"/>
      <c r="DI876" s="73"/>
      <c r="DJ876" s="73"/>
      <c r="DK876" s="73"/>
      <c r="DL876" s="73"/>
      <c r="DM876" s="73"/>
      <c r="DN876" s="73"/>
      <c r="DO876" s="73"/>
      <c r="DP876" s="73"/>
      <c r="DQ876" s="73"/>
      <c r="DR876" s="73"/>
      <c r="DS876" s="73"/>
      <c r="DT876" s="73"/>
      <c r="DU876" s="73"/>
      <c r="DV876" s="73"/>
      <c r="DW876" s="73"/>
      <c r="DX876" s="73"/>
      <c r="DY876" s="73"/>
      <c r="DZ876" s="73"/>
      <c r="EA876" s="73"/>
      <c r="EB876" s="73"/>
      <c r="EC876" s="73"/>
      <c r="ED876" s="73"/>
      <c r="EE876" s="73"/>
      <c r="EF876" s="73"/>
      <c r="EG876" s="73"/>
      <c r="EH876" s="73"/>
      <c r="EI876" s="73"/>
      <c r="EJ876" s="73"/>
      <c r="EK876" s="73"/>
      <c r="EL876" s="73"/>
      <c r="EM876" s="73"/>
      <c r="EN876" s="73"/>
      <c r="EO876" s="73"/>
      <c r="EP876" s="69"/>
      <c r="EQ876" s="69"/>
      <c r="ER876" s="69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  <c r="CI877" s="73"/>
      <c r="CJ877" s="73"/>
      <c r="CK877" s="73"/>
      <c r="CL877" s="73"/>
      <c r="CM877" s="73"/>
      <c r="CN877" s="73"/>
      <c r="CO877" s="73"/>
      <c r="CP877" s="73"/>
      <c r="CQ877" s="73"/>
      <c r="CR877" s="73"/>
      <c r="CS877" s="73"/>
      <c r="CT877" s="73"/>
      <c r="CU877" s="73"/>
      <c r="CV877" s="73"/>
      <c r="CW877" s="73"/>
      <c r="CX877" s="73"/>
      <c r="CY877" s="73"/>
      <c r="CZ877" s="73"/>
      <c r="DA877" s="73"/>
      <c r="DB877" s="73"/>
      <c r="DC877" s="73"/>
      <c r="DD877" s="73"/>
      <c r="DE877" s="73"/>
      <c r="DF877" s="73"/>
      <c r="DG877" s="73"/>
      <c r="DH877" s="73"/>
      <c r="DI877" s="73"/>
      <c r="DJ877" s="73"/>
      <c r="DK877" s="73"/>
      <c r="DL877" s="73"/>
      <c r="DM877" s="73"/>
      <c r="DN877" s="73"/>
      <c r="DO877" s="73"/>
      <c r="DP877" s="73"/>
      <c r="DQ877" s="73"/>
      <c r="DR877" s="73"/>
      <c r="DS877" s="73"/>
      <c r="DT877" s="73"/>
      <c r="DU877" s="73"/>
      <c r="DV877" s="73"/>
      <c r="DW877" s="73"/>
      <c r="DX877" s="72"/>
      <c r="DY877" s="72"/>
      <c r="DZ877" s="73"/>
      <c r="EA877" s="73"/>
      <c r="EB877" s="73"/>
      <c r="EC877" s="73"/>
      <c r="ED877" s="73"/>
      <c r="EE877" s="73"/>
      <c r="EF877" s="73"/>
      <c r="EG877" s="73"/>
      <c r="EH877" s="73"/>
      <c r="EI877" s="73"/>
      <c r="EJ877" s="73"/>
      <c r="EK877" s="73"/>
      <c r="EL877" s="73"/>
      <c r="EM877" s="73"/>
      <c r="EN877" s="73"/>
      <c r="EO877" s="73"/>
      <c r="EP877" s="69"/>
      <c r="EQ877" s="69"/>
      <c r="ER877" s="69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  <c r="CI878" s="73"/>
      <c r="CJ878" s="73"/>
      <c r="CK878" s="73"/>
      <c r="CL878" s="73"/>
      <c r="CM878" s="73"/>
      <c r="CN878" s="73"/>
      <c r="CO878" s="73"/>
      <c r="CP878" s="73"/>
      <c r="CQ878" s="73"/>
      <c r="CR878" s="73"/>
      <c r="CS878" s="73"/>
      <c r="CT878" s="73"/>
      <c r="CU878" s="73"/>
      <c r="CV878" s="73"/>
      <c r="CW878" s="73"/>
      <c r="CX878" s="73"/>
      <c r="CY878" s="73"/>
      <c r="CZ878" s="73"/>
      <c r="DA878" s="73"/>
      <c r="DB878" s="73"/>
      <c r="DC878" s="73"/>
      <c r="DD878" s="73"/>
      <c r="DE878" s="73"/>
      <c r="DF878" s="73"/>
      <c r="DG878" s="73"/>
      <c r="DH878" s="73"/>
      <c r="DI878" s="73"/>
      <c r="DJ878" s="73"/>
      <c r="DK878" s="73"/>
      <c r="DL878" s="73"/>
      <c r="DM878" s="73"/>
      <c r="DN878" s="73"/>
      <c r="DO878" s="73"/>
      <c r="DP878" s="73"/>
      <c r="DQ878" s="73"/>
      <c r="DR878" s="73"/>
      <c r="DS878" s="73"/>
      <c r="DT878" s="73"/>
      <c r="DU878" s="73"/>
      <c r="DV878" s="73"/>
      <c r="DW878" s="73"/>
      <c r="DX878" s="73"/>
      <c r="DY878" s="73"/>
      <c r="DZ878" s="73"/>
      <c r="EA878" s="73"/>
      <c r="EB878" s="73"/>
      <c r="EC878" s="73"/>
      <c r="ED878" s="73"/>
      <c r="EE878" s="73"/>
      <c r="EF878" s="73"/>
      <c r="EG878" s="73"/>
      <c r="EH878" s="73"/>
      <c r="EI878" s="73"/>
      <c r="EJ878" s="73"/>
      <c r="EK878" s="73"/>
      <c r="EL878" s="73"/>
      <c r="EM878" s="73"/>
      <c r="EN878" s="73"/>
      <c r="EO878" s="73"/>
      <c r="EP878" s="69"/>
      <c r="EQ878" s="69"/>
      <c r="ER878" s="69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  <c r="CI879" s="73"/>
      <c r="CJ879" s="73"/>
      <c r="CK879" s="73"/>
      <c r="CL879" s="73"/>
      <c r="CM879" s="73"/>
      <c r="CN879" s="73"/>
      <c r="CO879" s="73"/>
      <c r="CP879" s="73"/>
      <c r="CQ879" s="73"/>
      <c r="CR879" s="73"/>
      <c r="CS879" s="73"/>
      <c r="CT879" s="73"/>
      <c r="CU879" s="73"/>
      <c r="CV879" s="73"/>
      <c r="CW879" s="73"/>
      <c r="CX879" s="73"/>
      <c r="CY879" s="73"/>
      <c r="CZ879" s="73"/>
      <c r="DA879" s="73"/>
      <c r="DB879" s="73"/>
      <c r="DC879" s="73"/>
      <c r="DD879" s="73"/>
      <c r="DE879" s="73"/>
      <c r="DF879" s="73"/>
      <c r="DG879" s="73"/>
      <c r="DH879" s="73"/>
      <c r="DI879" s="73"/>
      <c r="DJ879" s="73"/>
      <c r="DK879" s="73"/>
      <c r="DL879" s="73"/>
      <c r="DM879" s="73"/>
      <c r="DN879" s="73"/>
      <c r="DO879" s="73"/>
      <c r="DP879" s="73"/>
      <c r="DQ879" s="73"/>
      <c r="DR879" s="73"/>
      <c r="DS879" s="73"/>
      <c r="DT879" s="73"/>
      <c r="DU879" s="73"/>
      <c r="DV879" s="73"/>
      <c r="DW879" s="73"/>
      <c r="DX879" s="72"/>
      <c r="DY879" s="72"/>
      <c r="DZ879" s="73"/>
      <c r="EA879" s="73"/>
      <c r="EB879" s="73"/>
      <c r="EC879" s="73"/>
      <c r="ED879" s="73"/>
      <c r="EE879" s="73"/>
      <c r="EF879" s="73"/>
      <c r="EG879" s="73"/>
      <c r="EH879" s="73"/>
      <c r="EI879" s="73"/>
      <c r="EJ879" s="73"/>
      <c r="EK879" s="73"/>
      <c r="EL879" s="73"/>
      <c r="EM879" s="73"/>
      <c r="EN879" s="73"/>
      <c r="EO879" s="73"/>
      <c r="EP879" s="69"/>
      <c r="EQ879" s="69"/>
      <c r="ER879" s="69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  <c r="CI880" s="73"/>
      <c r="CJ880" s="73"/>
      <c r="CK880" s="73"/>
      <c r="CL880" s="73"/>
      <c r="CM880" s="72"/>
      <c r="CN880" s="73"/>
      <c r="CO880" s="73"/>
      <c r="CP880" s="73"/>
      <c r="CQ880" s="73"/>
      <c r="CR880" s="73"/>
      <c r="CS880" s="73"/>
      <c r="CT880" s="73"/>
      <c r="CU880" s="73"/>
      <c r="CV880" s="73"/>
      <c r="CW880" s="73"/>
      <c r="CX880" s="73"/>
      <c r="CY880" s="73"/>
      <c r="CZ880" s="73"/>
      <c r="DA880" s="73"/>
      <c r="DB880" s="73"/>
      <c r="DC880" s="73"/>
      <c r="DD880" s="73"/>
      <c r="DE880" s="73"/>
      <c r="DF880" s="73"/>
      <c r="DG880" s="73"/>
      <c r="DH880" s="73"/>
      <c r="DI880" s="73"/>
      <c r="DJ880" s="73"/>
      <c r="DK880" s="73"/>
      <c r="DL880" s="73"/>
      <c r="DM880" s="73"/>
      <c r="DN880" s="73"/>
      <c r="DO880" s="73"/>
      <c r="DP880" s="73"/>
      <c r="DQ880" s="73"/>
      <c r="DR880" s="73"/>
      <c r="DS880" s="73"/>
      <c r="DT880" s="73"/>
      <c r="DU880" s="73"/>
      <c r="DV880" s="73"/>
      <c r="DW880" s="73"/>
      <c r="DX880" s="72"/>
      <c r="DY880" s="72"/>
      <c r="DZ880" s="73"/>
      <c r="EA880" s="73"/>
      <c r="EB880" s="73"/>
      <c r="EC880" s="73"/>
      <c r="ED880" s="73"/>
      <c r="EE880" s="73"/>
      <c r="EF880" s="73"/>
      <c r="EG880" s="73"/>
      <c r="EH880" s="73"/>
      <c r="EI880" s="73"/>
      <c r="EJ880" s="73"/>
      <c r="EK880" s="73"/>
      <c r="EL880" s="73"/>
      <c r="EM880" s="73"/>
      <c r="EN880" s="73"/>
      <c r="EO880" s="73"/>
      <c r="EP880" s="69"/>
      <c r="EQ880" s="69"/>
      <c r="ER880" s="69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  <c r="CI881" s="73"/>
      <c r="CJ881" s="73"/>
      <c r="CK881" s="73"/>
      <c r="CL881" s="73"/>
      <c r="CM881" s="73"/>
      <c r="CN881" s="73"/>
      <c r="CO881" s="73"/>
      <c r="CP881" s="73"/>
      <c r="CQ881" s="73"/>
      <c r="CR881" s="73"/>
      <c r="CS881" s="73"/>
      <c r="CT881" s="73"/>
      <c r="CU881" s="73"/>
      <c r="CV881" s="73"/>
      <c r="CW881" s="73"/>
      <c r="CX881" s="73"/>
      <c r="CY881" s="73"/>
      <c r="CZ881" s="73"/>
      <c r="DA881" s="73"/>
      <c r="DB881" s="73"/>
      <c r="DC881" s="73"/>
      <c r="DD881" s="73"/>
      <c r="DE881" s="73"/>
      <c r="DF881" s="73"/>
      <c r="DG881" s="73"/>
      <c r="DH881" s="73"/>
      <c r="DI881" s="73"/>
      <c r="DJ881" s="73"/>
      <c r="DK881" s="73"/>
      <c r="DL881" s="73"/>
      <c r="DM881" s="73"/>
      <c r="DN881" s="73"/>
      <c r="DO881" s="73"/>
      <c r="DP881" s="73"/>
      <c r="DQ881" s="73"/>
      <c r="DR881" s="73"/>
      <c r="DS881" s="73"/>
      <c r="DT881" s="73"/>
      <c r="DU881" s="73"/>
      <c r="DV881" s="73"/>
      <c r="DW881" s="73"/>
      <c r="DX881" s="72"/>
      <c r="DY881" s="72"/>
      <c r="DZ881" s="73"/>
      <c r="EA881" s="73"/>
      <c r="EB881" s="73"/>
      <c r="EC881" s="73"/>
      <c r="ED881" s="73"/>
      <c r="EE881" s="73"/>
      <c r="EF881" s="73"/>
      <c r="EG881" s="73"/>
      <c r="EH881" s="73"/>
      <c r="EI881" s="73"/>
      <c r="EJ881" s="73"/>
      <c r="EK881" s="73"/>
      <c r="EL881" s="73"/>
      <c r="EM881" s="73"/>
      <c r="EN881" s="73"/>
      <c r="EO881" s="73"/>
      <c r="EP881" s="69"/>
      <c r="EQ881" s="69"/>
      <c r="ER881" s="69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  <c r="CI882" s="73"/>
      <c r="CJ882" s="73"/>
      <c r="CK882" s="73"/>
      <c r="CL882" s="73"/>
      <c r="CM882" s="72"/>
      <c r="CN882" s="73"/>
      <c r="CO882" s="73"/>
      <c r="CP882" s="73"/>
      <c r="CQ882" s="73"/>
      <c r="CR882" s="73"/>
      <c r="CS882" s="73"/>
      <c r="CT882" s="73"/>
      <c r="CU882" s="73"/>
      <c r="CV882" s="73"/>
      <c r="CW882" s="73"/>
      <c r="CX882" s="73"/>
      <c r="CY882" s="73"/>
      <c r="CZ882" s="73"/>
      <c r="DA882" s="73"/>
      <c r="DB882" s="73"/>
      <c r="DC882" s="73"/>
      <c r="DD882" s="73"/>
      <c r="DE882" s="73"/>
      <c r="DF882" s="73"/>
      <c r="DG882" s="73"/>
      <c r="DH882" s="73"/>
      <c r="DI882" s="73"/>
      <c r="DJ882" s="73"/>
      <c r="DK882" s="73"/>
      <c r="DL882" s="73"/>
      <c r="DM882" s="73"/>
      <c r="DN882" s="73"/>
      <c r="DO882" s="73"/>
      <c r="DP882" s="73"/>
      <c r="DQ882" s="73"/>
      <c r="DR882" s="73"/>
      <c r="DS882" s="73"/>
      <c r="DT882" s="73"/>
      <c r="DU882" s="73"/>
      <c r="DV882" s="73"/>
      <c r="DW882" s="73"/>
      <c r="DX882" s="72"/>
      <c r="DY882" s="72"/>
      <c r="DZ882" s="73"/>
      <c r="EA882" s="73"/>
      <c r="EB882" s="73"/>
      <c r="EC882" s="73"/>
      <c r="ED882" s="73"/>
      <c r="EE882" s="73"/>
      <c r="EF882" s="73"/>
      <c r="EG882" s="73"/>
      <c r="EH882" s="73"/>
      <c r="EI882" s="73"/>
      <c r="EJ882" s="73"/>
      <c r="EK882" s="73"/>
      <c r="EL882" s="73"/>
      <c r="EM882" s="73"/>
      <c r="EN882" s="73"/>
      <c r="EO882" s="73"/>
      <c r="EP882" s="69"/>
      <c r="EQ882" s="69"/>
      <c r="ER882" s="69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  <c r="CK883" s="73"/>
      <c r="CL883" s="73"/>
      <c r="CM883" s="73"/>
      <c r="CN883" s="73"/>
      <c r="CO883" s="73"/>
      <c r="CP883" s="73"/>
      <c r="CQ883" s="73"/>
      <c r="CR883" s="73"/>
      <c r="CS883" s="73"/>
      <c r="CT883" s="73"/>
      <c r="CU883" s="73"/>
      <c r="CV883" s="73"/>
      <c r="CW883" s="73"/>
      <c r="CX883" s="73"/>
      <c r="CY883" s="73"/>
      <c r="CZ883" s="73"/>
      <c r="DA883" s="73"/>
      <c r="DB883" s="73"/>
      <c r="DC883" s="73"/>
      <c r="DD883" s="73"/>
      <c r="DE883" s="73"/>
      <c r="DF883" s="73"/>
      <c r="DG883" s="73"/>
      <c r="DH883" s="73"/>
      <c r="DI883" s="73"/>
      <c r="DJ883" s="73"/>
      <c r="DK883" s="73"/>
      <c r="DL883" s="73"/>
      <c r="DM883" s="73"/>
      <c r="DN883" s="73"/>
      <c r="DO883" s="73"/>
      <c r="DP883" s="73"/>
      <c r="DQ883" s="73"/>
      <c r="DR883" s="73"/>
      <c r="DS883" s="73"/>
      <c r="DT883" s="73"/>
      <c r="DU883" s="73"/>
      <c r="DV883" s="73"/>
      <c r="DW883" s="73"/>
      <c r="DX883" s="72"/>
      <c r="DY883" s="72"/>
      <c r="DZ883" s="73"/>
      <c r="EA883" s="73"/>
      <c r="EB883" s="73"/>
      <c r="EC883" s="73"/>
      <c r="ED883" s="73"/>
      <c r="EE883" s="73"/>
      <c r="EF883" s="73"/>
      <c r="EG883" s="73"/>
      <c r="EH883" s="73"/>
      <c r="EI883" s="73"/>
      <c r="EJ883" s="73"/>
      <c r="EK883" s="73"/>
      <c r="EL883" s="73"/>
      <c r="EM883" s="73"/>
      <c r="EN883" s="73"/>
      <c r="EO883" s="73"/>
      <c r="EP883" s="69"/>
      <c r="EQ883" s="69"/>
      <c r="ER883" s="69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  <c r="CI884" s="73"/>
      <c r="CJ884" s="73"/>
      <c r="CK884" s="73"/>
      <c r="CL884" s="73"/>
      <c r="CM884" s="73"/>
      <c r="CN884" s="73"/>
      <c r="CO884" s="73"/>
      <c r="CP884" s="73"/>
      <c r="CQ884" s="73"/>
      <c r="CR884" s="73"/>
      <c r="CS884" s="73"/>
      <c r="CT884" s="73"/>
      <c r="CU884" s="73"/>
      <c r="CV884" s="73"/>
      <c r="CW884" s="73"/>
      <c r="CX884" s="73"/>
      <c r="CY884" s="73"/>
      <c r="CZ884" s="73"/>
      <c r="DA884" s="73"/>
      <c r="DB884" s="73"/>
      <c r="DC884" s="73"/>
      <c r="DD884" s="73"/>
      <c r="DE884" s="73"/>
      <c r="DF884" s="73"/>
      <c r="DG884" s="73"/>
      <c r="DH884" s="73"/>
      <c r="DI884" s="73"/>
      <c r="DJ884" s="73"/>
      <c r="DK884" s="73"/>
      <c r="DL884" s="73"/>
      <c r="DM884" s="73"/>
      <c r="DN884" s="73"/>
      <c r="DO884" s="73"/>
      <c r="DP884" s="73"/>
      <c r="DQ884" s="73"/>
      <c r="DR884" s="73"/>
      <c r="DS884" s="73"/>
      <c r="DT884" s="73"/>
      <c r="DU884" s="73"/>
      <c r="DV884" s="73"/>
      <c r="DW884" s="73"/>
      <c r="DX884" s="72"/>
      <c r="DY884" s="72"/>
      <c r="DZ884" s="73"/>
      <c r="EA884" s="73"/>
      <c r="EB884" s="73"/>
      <c r="EC884" s="73"/>
      <c r="ED884" s="73"/>
      <c r="EE884" s="73"/>
      <c r="EF884" s="73"/>
      <c r="EG884" s="73"/>
      <c r="EH884" s="73"/>
      <c r="EI884" s="73"/>
      <c r="EJ884" s="73"/>
      <c r="EK884" s="73"/>
      <c r="EL884" s="73"/>
      <c r="EM884" s="73"/>
      <c r="EN884" s="73"/>
      <c r="EO884" s="73"/>
      <c r="EP884" s="69"/>
      <c r="EQ884" s="69"/>
      <c r="ER884" s="69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  <c r="CI885" s="73"/>
      <c r="CJ885" s="73"/>
      <c r="CK885" s="73"/>
      <c r="CL885" s="73"/>
      <c r="CM885" s="73"/>
      <c r="CN885" s="73"/>
      <c r="CO885" s="73"/>
      <c r="CP885" s="73"/>
      <c r="CQ885" s="73"/>
      <c r="CR885" s="73"/>
      <c r="CS885" s="73"/>
      <c r="CT885" s="73"/>
      <c r="CU885" s="73"/>
      <c r="CV885" s="73"/>
      <c r="CW885" s="73"/>
      <c r="CX885" s="73"/>
      <c r="CY885" s="73"/>
      <c r="CZ885" s="73"/>
      <c r="DA885" s="73"/>
      <c r="DB885" s="73"/>
      <c r="DC885" s="73"/>
      <c r="DD885" s="73"/>
      <c r="DE885" s="73"/>
      <c r="DF885" s="73"/>
      <c r="DG885" s="73"/>
      <c r="DH885" s="73"/>
      <c r="DI885" s="73"/>
      <c r="DJ885" s="73"/>
      <c r="DK885" s="73"/>
      <c r="DL885" s="73"/>
      <c r="DM885" s="73"/>
      <c r="DN885" s="73"/>
      <c r="DO885" s="73"/>
      <c r="DP885" s="73"/>
      <c r="DQ885" s="73"/>
      <c r="DR885" s="73"/>
      <c r="DS885" s="73"/>
      <c r="DT885" s="73"/>
      <c r="DU885" s="73"/>
      <c r="DV885" s="73"/>
      <c r="DW885" s="73"/>
      <c r="DX885" s="72"/>
      <c r="DY885" s="72"/>
      <c r="DZ885" s="73"/>
      <c r="EA885" s="73"/>
      <c r="EB885" s="73"/>
      <c r="EC885" s="73"/>
      <c r="ED885" s="73"/>
      <c r="EE885" s="73"/>
      <c r="EF885" s="73"/>
      <c r="EG885" s="73"/>
      <c r="EH885" s="73"/>
      <c r="EI885" s="73"/>
      <c r="EJ885" s="73"/>
      <c r="EK885" s="73"/>
      <c r="EL885" s="73"/>
      <c r="EM885" s="73"/>
      <c r="EN885" s="73"/>
      <c r="EO885" s="73"/>
      <c r="EP885" s="69"/>
      <c r="EQ885" s="69"/>
      <c r="ER885" s="69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  <c r="CI886" s="73"/>
      <c r="CJ886" s="73"/>
      <c r="CK886" s="73"/>
      <c r="CL886" s="73"/>
      <c r="CM886" s="73"/>
      <c r="CN886" s="73"/>
      <c r="CO886" s="73"/>
      <c r="CP886" s="73"/>
      <c r="CQ886" s="73"/>
      <c r="CR886" s="73"/>
      <c r="CS886" s="73"/>
      <c r="CT886" s="73"/>
      <c r="CU886" s="73"/>
      <c r="CV886" s="73"/>
      <c r="CW886" s="73"/>
      <c r="CX886" s="73"/>
      <c r="CY886" s="73"/>
      <c r="CZ886" s="73"/>
      <c r="DA886" s="73"/>
      <c r="DB886" s="73"/>
      <c r="DC886" s="73"/>
      <c r="DD886" s="73"/>
      <c r="DE886" s="73"/>
      <c r="DF886" s="73"/>
      <c r="DG886" s="73"/>
      <c r="DH886" s="73"/>
      <c r="DI886" s="73"/>
      <c r="DJ886" s="73"/>
      <c r="DK886" s="73"/>
      <c r="DL886" s="73"/>
      <c r="DM886" s="73"/>
      <c r="DN886" s="73"/>
      <c r="DO886" s="73"/>
      <c r="DP886" s="73"/>
      <c r="DQ886" s="73"/>
      <c r="DR886" s="73"/>
      <c r="DS886" s="73"/>
      <c r="DT886" s="73"/>
      <c r="DU886" s="73"/>
      <c r="DV886" s="73"/>
      <c r="DW886" s="73"/>
      <c r="DX886" s="72"/>
      <c r="DY886" s="72"/>
      <c r="DZ886" s="73"/>
      <c r="EA886" s="73"/>
      <c r="EB886" s="73"/>
      <c r="EC886" s="73"/>
      <c r="ED886" s="73"/>
      <c r="EE886" s="73"/>
      <c r="EF886" s="73"/>
      <c r="EG886" s="73"/>
      <c r="EH886" s="73"/>
      <c r="EI886" s="73"/>
      <c r="EJ886" s="73"/>
      <c r="EK886" s="73"/>
      <c r="EL886" s="73"/>
      <c r="EM886" s="73"/>
      <c r="EN886" s="73"/>
      <c r="EO886" s="73"/>
      <c r="EP886" s="69"/>
      <c r="EQ886" s="69"/>
      <c r="ER886" s="69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  <c r="CI887" s="73"/>
      <c r="CJ887" s="73"/>
      <c r="CK887" s="73"/>
      <c r="CL887" s="73"/>
      <c r="CM887" s="73"/>
      <c r="CN887" s="73"/>
      <c r="CO887" s="73"/>
      <c r="CP887" s="73"/>
      <c r="CQ887" s="73"/>
      <c r="CR887" s="73"/>
      <c r="CS887" s="73"/>
      <c r="CT887" s="73"/>
      <c r="CU887" s="73"/>
      <c r="CV887" s="73"/>
      <c r="CW887" s="73"/>
      <c r="CX887" s="73"/>
      <c r="CY887" s="73"/>
      <c r="CZ887" s="73"/>
      <c r="DA887" s="73"/>
      <c r="DB887" s="73"/>
      <c r="DC887" s="73"/>
      <c r="DD887" s="73"/>
      <c r="DE887" s="73"/>
      <c r="DF887" s="73"/>
      <c r="DG887" s="73"/>
      <c r="DH887" s="73"/>
      <c r="DI887" s="73"/>
      <c r="DJ887" s="73"/>
      <c r="DK887" s="73"/>
      <c r="DL887" s="73"/>
      <c r="DM887" s="73"/>
      <c r="DN887" s="73"/>
      <c r="DO887" s="73"/>
      <c r="DP887" s="73"/>
      <c r="DQ887" s="73"/>
      <c r="DR887" s="73"/>
      <c r="DS887" s="73"/>
      <c r="DT887" s="73"/>
      <c r="DU887" s="73"/>
      <c r="DV887" s="73"/>
      <c r="DW887" s="73"/>
      <c r="DX887" s="73"/>
      <c r="DY887" s="73"/>
      <c r="DZ887" s="73"/>
      <c r="EA887" s="73"/>
      <c r="EB887" s="73"/>
      <c r="EC887" s="73"/>
      <c r="ED887" s="73"/>
      <c r="EE887" s="73"/>
      <c r="EF887" s="73"/>
      <c r="EG887" s="73"/>
      <c r="EH887" s="73"/>
      <c r="EI887" s="73"/>
      <c r="EJ887" s="73"/>
      <c r="EK887" s="73"/>
      <c r="EL887" s="73"/>
      <c r="EM887" s="73"/>
      <c r="EN887" s="73"/>
      <c r="EO887" s="73"/>
      <c r="EP887" s="69"/>
      <c r="EQ887" s="69"/>
      <c r="ER887" s="69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  <c r="CI888" s="73"/>
      <c r="CJ888" s="73"/>
      <c r="CK888" s="73"/>
      <c r="CL888" s="73"/>
      <c r="CM888" s="73"/>
      <c r="CN888" s="73"/>
      <c r="CO888" s="73"/>
      <c r="CP888" s="73"/>
      <c r="CQ888" s="73"/>
      <c r="CR888" s="73"/>
      <c r="CS888" s="73"/>
      <c r="CT888" s="73"/>
      <c r="CU888" s="73"/>
      <c r="CV888" s="73"/>
      <c r="CW888" s="73"/>
      <c r="CX888" s="73"/>
      <c r="CY888" s="73"/>
      <c r="CZ888" s="73"/>
      <c r="DA888" s="73"/>
      <c r="DB888" s="73"/>
      <c r="DC888" s="73"/>
      <c r="DD888" s="73"/>
      <c r="DE888" s="73"/>
      <c r="DF888" s="73"/>
      <c r="DG888" s="73"/>
      <c r="DH888" s="73"/>
      <c r="DI888" s="73"/>
      <c r="DJ888" s="73"/>
      <c r="DK888" s="73"/>
      <c r="DL888" s="73"/>
      <c r="DM888" s="73"/>
      <c r="DN888" s="73"/>
      <c r="DO888" s="73"/>
      <c r="DP888" s="73"/>
      <c r="DQ888" s="73"/>
      <c r="DR888" s="73"/>
      <c r="DS888" s="73"/>
      <c r="DT888" s="73"/>
      <c r="DU888" s="73"/>
      <c r="DV888" s="73"/>
      <c r="DW888" s="73"/>
      <c r="DX888" s="72"/>
      <c r="DY888" s="72"/>
      <c r="DZ888" s="73"/>
      <c r="EA888" s="73"/>
      <c r="EB888" s="73"/>
      <c r="EC888" s="73"/>
      <c r="ED888" s="73"/>
      <c r="EE888" s="73"/>
      <c r="EF888" s="73"/>
      <c r="EG888" s="73"/>
      <c r="EH888" s="73"/>
      <c r="EI888" s="73"/>
      <c r="EJ888" s="73"/>
      <c r="EK888" s="73"/>
      <c r="EL888" s="73"/>
      <c r="EM888" s="73"/>
      <c r="EN888" s="73"/>
      <c r="EO888" s="73"/>
      <c r="EP888" s="69"/>
      <c r="EQ888" s="69"/>
      <c r="ER888" s="69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  <c r="CI889" s="73"/>
      <c r="CJ889" s="73"/>
      <c r="CK889" s="73"/>
      <c r="CL889" s="73"/>
      <c r="CM889" s="72"/>
      <c r="CN889" s="73"/>
      <c r="CO889" s="73"/>
      <c r="CP889" s="73"/>
      <c r="CQ889" s="73"/>
      <c r="CR889" s="73"/>
      <c r="CS889" s="73"/>
      <c r="CT889" s="73"/>
      <c r="CU889" s="73"/>
      <c r="CV889" s="73"/>
      <c r="CW889" s="73"/>
      <c r="CX889" s="73"/>
      <c r="CY889" s="73"/>
      <c r="CZ889" s="73"/>
      <c r="DA889" s="73"/>
      <c r="DB889" s="73"/>
      <c r="DC889" s="73"/>
      <c r="DD889" s="73"/>
      <c r="DE889" s="73"/>
      <c r="DF889" s="73"/>
      <c r="DG889" s="73"/>
      <c r="DH889" s="73"/>
      <c r="DI889" s="73"/>
      <c r="DJ889" s="73"/>
      <c r="DK889" s="73"/>
      <c r="DL889" s="73"/>
      <c r="DM889" s="73"/>
      <c r="DN889" s="73"/>
      <c r="DO889" s="73"/>
      <c r="DP889" s="73"/>
      <c r="DQ889" s="73"/>
      <c r="DR889" s="73"/>
      <c r="DS889" s="73"/>
      <c r="DT889" s="73"/>
      <c r="DU889" s="73"/>
      <c r="DV889" s="73"/>
      <c r="DW889" s="73"/>
      <c r="DX889" s="72"/>
      <c r="DY889" s="72"/>
      <c r="DZ889" s="73"/>
      <c r="EA889" s="73"/>
      <c r="EB889" s="73"/>
      <c r="EC889" s="73"/>
      <c r="ED889" s="73"/>
      <c r="EE889" s="73"/>
      <c r="EF889" s="73"/>
      <c r="EG889" s="73"/>
      <c r="EH889" s="73"/>
      <c r="EI889" s="73"/>
      <c r="EJ889" s="73"/>
      <c r="EK889" s="73"/>
      <c r="EL889" s="73"/>
      <c r="EM889" s="73"/>
      <c r="EN889" s="73"/>
      <c r="EO889" s="73"/>
      <c r="EP889" s="69"/>
      <c r="EQ889" s="69"/>
      <c r="ER889" s="69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  <c r="CI890" s="73"/>
      <c r="CJ890" s="73"/>
      <c r="CK890" s="73"/>
      <c r="CL890" s="73"/>
      <c r="CM890" s="73"/>
      <c r="CN890" s="73"/>
      <c r="CO890" s="73"/>
      <c r="CP890" s="73"/>
      <c r="CQ890" s="73"/>
      <c r="CR890" s="73"/>
      <c r="CS890" s="73"/>
      <c r="CT890" s="73"/>
      <c r="CU890" s="73"/>
      <c r="CV890" s="73"/>
      <c r="CW890" s="73"/>
      <c r="CX890" s="73"/>
      <c r="CY890" s="73"/>
      <c r="CZ890" s="73"/>
      <c r="DA890" s="73"/>
      <c r="DB890" s="73"/>
      <c r="DC890" s="73"/>
      <c r="DD890" s="73"/>
      <c r="DE890" s="73"/>
      <c r="DF890" s="73"/>
      <c r="DG890" s="73"/>
      <c r="DH890" s="73"/>
      <c r="DI890" s="73"/>
      <c r="DJ890" s="73"/>
      <c r="DK890" s="73"/>
      <c r="DL890" s="73"/>
      <c r="DM890" s="73"/>
      <c r="DN890" s="73"/>
      <c r="DO890" s="73"/>
      <c r="DP890" s="73"/>
      <c r="DQ890" s="73"/>
      <c r="DR890" s="73"/>
      <c r="DS890" s="73"/>
      <c r="DT890" s="73"/>
      <c r="DU890" s="73"/>
      <c r="DV890" s="73"/>
      <c r="DW890" s="73"/>
      <c r="DX890" s="72"/>
      <c r="DY890" s="72"/>
      <c r="DZ890" s="73"/>
      <c r="EA890" s="73"/>
      <c r="EB890" s="73"/>
      <c r="EC890" s="73"/>
      <c r="ED890" s="73"/>
      <c r="EE890" s="73"/>
      <c r="EF890" s="73"/>
      <c r="EG890" s="73"/>
      <c r="EH890" s="73"/>
      <c r="EI890" s="73"/>
      <c r="EJ890" s="73"/>
      <c r="EK890" s="73"/>
      <c r="EL890" s="73"/>
      <c r="EM890" s="73"/>
      <c r="EN890" s="73"/>
      <c r="EO890" s="73"/>
      <c r="EP890" s="69"/>
      <c r="EQ890" s="69"/>
      <c r="ER890" s="69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  <c r="CI891" s="73"/>
      <c r="CJ891" s="73"/>
      <c r="CK891" s="73"/>
      <c r="CL891" s="73"/>
      <c r="CM891" s="73"/>
      <c r="CN891" s="73"/>
      <c r="CO891" s="73"/>
      <c r="CP891" s="73"/>
      <c r="CQ891" s="73"/>
      <c r="CR891" s="73"/>
      <c r="CS891" s="73"/>
      <c r="CT891" s="73"/>
      <c r="CU891" s="73"/>
      <c r="CV891" s="73"/>
      <c r="CW891" s="73"/>
      <c r="CX891" s="73"/>
      <c r="CY891" s="73"/>
      <c r="CZ891" s="73"/>
      <c r="DA891" s="73"/>
      <c r="DB891" s="73"/>
      <c r="DC891" s="73"/>
      <c r="DD891" s="73"/>
      <c r="DE891" s="73"/>
      <c r="DF891" s="73"/>
      <c r="DG891" s="73"/>
      <c r="DH891" s="73"/>
      <c r="DI891" s="73"/>
      <c r="DJ891" s="73"/>
      <c r="DK891" s="73"/>
      <c r="DL891" s="73"/>
      <c r="DM891" s="73"/>
      <c r="DN891" s="73"/>
      <c r="DO891" s="73"/>
      <c r="DP891" s="73"/>
      <c r="DQ891" s="73"/>
      <c r="DR891" s="73"/>
      <c r="DS891" s="73"/>
      <c r="DT891" s="73"/>
      <c r="DU891" s="73"/>
      <c r="DV891" s="73"/>
      <c r="DW891" s="73"/>
      <c r="DX891" s="72"/>
      <c r="DY891" s="72"/>
      <c r="DZ891" s="73"/>
      <c r="EA891" s="73"/>
      <c r="EB891" s="73"/>
      <c r="EC891" s="73"/>
      <c r="ED891" s="73"/>
      <c r="EE891" s="73"/>
      <c r="EF891" s="73"/>
      <c r="EG891" s="73"/>
      <c r="EH891" s="73"/>
      <c r="EI891" s="73"/>
      <c r="EJ891" s="73"/>
      <c r="EK891" s="73"/>
      <c r="EL891" s="73"/>
      <c r="EM891" s="73"/>
      <c r="EN891" s="73"/>
      <c r="EO891" s="73"/>
      <c r="EP891" s="69"/>
      <c r="EQ891" s="69"/>
      <c r="ER891" s="69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  <c r="CI892" s="73"/>
      <c r="CJ892" s="73"/>
      <c r="CK892" s="73"/>
      <c r="CL892" s="73"/>
      <c r="CM892" s="73"/>
      <c r="CN892" s="73"/>
      <c r="CO892" s="73"/>
      <c r="CP892" s="73"/>
      <c r="CQ892" s="73"/>
      <c r="CR892" s="73"/>
      <c r="CS892" s="73"/>
      <c r="CT892" s="73"/>
      <c r="CU892" s="73"/>
      <c r="CV892" s="73"/>
      <c r="CW892" s="73"/>
      <c r="CX892" s="73"/>
      <c r="CY892" s="73"/>
      <c r="CZ892" s="73"/>
      <c r="DA892" s="73"/>
      <c r="DB892" s="73"/>
      <c r="DC892" s="73"/>
      <c r="DD892" s="73"/>
      <c r="DE892" s="73"/>
      <c r="DF892" s="73"/>
      <c r="DG892" s="73"/>
      <c r="DH892" s="73"/>
      <c r="DI892" s="73"/>
      <c r="DJ892" s="73"/>
      <c r="DK892" s="73"/>
      <c r="DL892" s="73"/>
      <c r="DM892" s="73"/>
      <c r="DN892" s="73"/>
      <c r="DO892" s="73"/>
      <c r="DP892" s="73"/>
      <c r="DQ892" s="73"/>
      <c r="DR892" s="73"/>
      <c r="DS892" s="73"/>
      <c r="DT892" s="73"/>
      <c r="DU892" s="73"/>
      <c r="DV892" s="73"/>
      <c r="DW892" s="73"/>
      <c r="DX892" s="72"/>
      <c r="DY892" s="72"/>
      <c r="DZ892" s="73"/>
      <c r="EA892" s="73"/>
      <c r="EB892" s="73"/>
      <c r="EC892" s="73"/>
      <c r="ED892" s="73"/>
      <c r="EE892" s="73"/>
      <c r="EF892" s="73"/>
      <c r="EG892" s="73"/>
      <c r="EH892" s="73"/>
      <c r="EI892" s="73"/>
      <c r="EJ892" s="73"/>
      <c r="EK892" s="73"/>
      <c r="EL892" s="73"/>
      <c r="EM892" s="73"/>
      <c r="EN892" s="73"/>
      <c r="EO892" s="73"/>
      <c r="EP892" s="69"/>
      <c r="EQ892" s="69"/>
      <c r="ER892" s="69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  <c r="CI893" s="73"/>
      <c r="CJ893" s="73"/>
      <c r="CK893" s="73"/>
      <c r="CL893" s="73"/>
      <c r="CM893" s="73"/>
      <c r="CN893" s="73"/>
      <c r="CO893" s="73"/>
      <c r="CP893" s="73"/>
      <c r="CQ893" s="73"/>
      <c r="CR893" s="73"/>
      <c r="CS893" s="73"/>
      <c r="CT893" s="73"/>
      <c r="CU893" s="73"/>
      <c r="CV893" s="73"/>
      <c r="CW893" s="73"/>
      <c r="CX893" s="73"/>
      <c r="CY893" s="73"/>
      <c r="CZ893" s="73"/>
      <c r="DA893" s="73"/>
      <c r="DB893" s="73"/>
      <c r="DC893" s="73"/>
      <c r="DD893" s="73"/>
      <c r="DE893" s="73"/>
      <c r="DF893" s="73"/>
      <c r="DG893" s="73"/>
      <c r="DH893" s="73"/>
      <c r="DI893" s="73"/>
      <c r="DJ893" s="73"/>
      <c r="DK893" s="73"/>
      <c r="DL893" s="73"/>
      <c r="DM893" s="73"/>
      <c r="DN893" s="73"/>
      <c r="DO893" s="73"/>
      <c r="DP893" s="73"/>
      <c r="DQ893" s="73"/>
      <c r="DR893" s="73"/>
      <c r="DS893" s="73"/>
      <c r="DT893" s="73"/>
      <c r="DU893" s="73"/>
      <c r="DV893" s="73"/>
      <c r="DW893" s="73"/>
      <c r="DX893" s="72"/>
      <c r="DY893" s="72"/>
      <c r="DZ893" s="73"/>
      <c r="EA893" s="73"/>
      <c r="EB893" s="73"/>
      <c r="EC893" s="73"/>
      <c r="ED893" s="73"/>
      <c r="EE893" s="73"/>
      <c r="EF893" s="73"/>
      <c r="EG893" s="73"/>
      <c r="EH893" s="73"/>
      <c r="EI893" s="73"/>
      <c r="EJ893" s="73"/>
      <c r="EK893" s="73"/>
      <c r="EL893" s="73"/>
      <c r="EM893" s="73"/>
      <c r="EN893" s="73"/>
      <c r="EO893" s="73"/>
      <c r="EP893" s="69"/>
      <c r="EQ893" s="69"/>
      <c r="ER893" s="69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  <c r="CI894" s="73"/>
      <c r="CJ894" s="73"/>
      <c r="CK894" s="73"/>
      <c r="CL894" s="73"/>
      <c r="CM894" s="73"/>
      <c r="CN894" s="73"/>
      <c r="CO894" s="73"/>
      <c r="CP894" s="73"/>
      <c r="CQ894" s="73"/>
      <c r="CR894" s="73"/>
      <c r="CS894" s="73"/>
      <c r="CT894" s="73"/>
      <c r="CU894" s="73"/>
      <c r="CV894" s="73"/>
      <c r="CW894" s="73"/>
      <c r="CX894" s="73"/>
      <c r="CY894" s="73"/>
      <c r="CZ894" s="73"/>
      <c r="DA894" s="73"/>
      <c r="DB894" s="73"/>
      <c r="DC894" s="73"/>
      <c r="DD894" s="73"/>
      <c r="DE894" s="73"/>
      <c r="DF894" s="73"/>
      <c r="DG894" s="73"/>
      <c r="DH894" s="73"/>
      <c r="DI894" s="73"/>
      <c r="DJ894" s="73"/>
      <c r="DK894" s="73"/>
      <c r="DL894" s="73"/>
      <c r="DM894" s="73"/>
      <c r="DN894" s="73"/>
      <c r="DO894" s="73"/>
      <c r="DP894" s="73"/>
      <c r="DQ894" s="73"/>
      <c r="DR894" s="73"/>
      <c r="DS894" s="73"/>
      <c r="DT894" s="73"/>
      <c r="DU894" s="73"/>
      <c r="DV894" s="73"/>
      <c r="DW894" s="73"/>
      <c r="DX894" s="72"/>
      <c r="DY894" s="72"/>
      <c r="DZ894" s="73"/>
      <c r="EA894" s="73"/>
      <c r="EB894" s="73"/>
      <c r="EC894" s="73"/>
      <c r="ED894" s="73"/>
      <c r="EE894" s="73"/>
      <c r="EF894" s="73"/>
      <c r="EG894" s="73"/>
      <c r="EH894" s="73"/>
      <c r="EI894" s="73"/>
      <c r="EJ894" s="73"/>
      <c r="EK894" s="73"/>
      <c r="EL894" s="73"/>
      <c r="EM894" s="73"/>
      <c r="EN894" s="73"/>
      <c r="EO894" s="73"/>
      <c r="EP894" s="69"/>
      <c r="EQ894" s="69"/>
      <c r="ER894" s="69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  <c r="CI895" s="73"/>
      <c r="CJ895" s="73"/>
      <c r="CK895" s="73"/>
      <c r="CL895" s="73"/>
      <c r="CM895" s="73"/>
      <c r="CN895" s="73"/>
      <c r="CO895" s="73"/>
      <c r="CP895" s="73"/>
      <c r="CQ895" s="73"/>
      <c r="CR895" s="73"/>
      <c r="CS895" s="73"/>
      <c r="CT895" s="73"/>
      <c r="CU895" s="73"/>
      <c r="CV895" s="73"/>
      <c r="CW895" s="73"/>
      <c r="CX895" s="73"/>
      <c r="CY895" s="73"/>
      <c r="CZ895" s="73"/>
      <c r="DA895" s="73"/>
      <c r="DB895" s="73"/>
      <c r="DC895" s="73"/>
      <c r="DD895" s="73"/>
      <c r="DE895" s="73"/>
      <c r="DF895" s="73"/>
      <c r="DG895" s="73"/>
      <c r="DH895" s="73"/>
      <c r="DI895" s="73"/>
      <c r="DJ895" s="73"/>
      <c r="DK895" s="73"/>
      <c r="DL895" s="73"/>
      <c r="DM895" s="73"/>
      <c r="DN895" s="73"/>
      <c r="DO895" s="73"/>
      <c r="DP895" s="73"/>
      <c r="DQ895" s="73"/>
      <c r="DR895" s="73"/>
      <c r="DS895" s="73"/>
      <c r="DT895" s="73"/>
      <c r="DU895" s="73"/>
      <c r="DV895" s="73"/>
      <c r="DW895" s="73"/>
      <c r="DX895" s="72"/>
      <c r="DY895" s="72"/>
      <c r="DZ895" s="73"/>
      <c r="EA895" s="73"/>
      <c r="EB895" s="73"/>
      <c r="EC895" s="73"/>
      <c r="ED895" s="73"/>
      <c r="EE895" s="73"/>
      <c r="EF895" s="73"/>
      <c r="EG895" s="73"/>
      <c r="EH895" s="73"/>
      <c r="EI895" s="73"/>
      <c r="EJ895" s="73"/>
      <c r="EK895" s="73"/>
      <c r="EL895" s="73"/>
      <c r="EM895" s="73"/>
      <c r="EN895" s="73"/>
      <c r="EO895" s="73"/>
      <c r="EP895" s="69"/>
      <c r="EQ895" s="69"/>
      <c r="ER895" s="69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  <c r="CI896" s="73"/>
      <c r="CJ896" s="73"/>
      <c r="CK896" s="73"/>
      <c r="CL896" s="73"/>
      <c r="CM896" s="72"/>
      <c r="CN896" s="73"/>
      <c r="CO896" s="73"/>
      <c r="CP896" s="73"/>
      <c r="CQ896" s="73"/>
      <c r="CR896" s="73"/>
      <c r="CS896" s="73"/>
      <c r="CT896" s="73"/>
      <c r="CU896" s="73"/>
      <c r="CV896" s="73"/>
      <c r="CW896" s="73"/>
      <c r="CX896" s="73"/>
      <c r="CY896" s="73"/>
      <c r="CZ896" s="73"/>
      <c r="DA896" s="73"/>
      <c r="DB896" s="73"/>
      <c r="DC896" s="73"/>
      <c r="DD896" s="73"/>
      <c r="DE896" s="73"/>
      <c r="DF896" s="73"/>
      <c r="DG896" s="73"/>
      <c r="DH896" s="73"/>
      <c r="DI896" s="73"/>
      <c r="DJ896" s="73"/>
      <c r="DK896" s="73"/>
      <c r="DL896" s="73"/>
      <c r="DM896" s="73"/>
      <c r="DN896" s="73"/>
      <c r="DO896" s="73"/>
      <c r="DP896" s="73"/>
      <c r="DQ896" s="73"/>
      <c r="DR896" s="73"/>
      <c r="DS896" s="73"/>
      <c r="DT896" s="73"/>
      <c r="DU896" s="73"/>
      <c r="DV896" s="73"/>
      <c r="DW896" s="73"/>
      <c r="DX896" s="72"/>
      <c r="DY896" s="72"/>
      <c r="DZ896" s="73"/>
      <c r="EA896" s="73"/>
      <c r="EB896" s="73"/>
      <c r="EC896" s="73"/>
      <c r="ED896" s="73"/>
      <c r="EE896" s="73"/>
      <c r="EF896" s="73"/>
      <c r="EG896" s="73"/>
      <c r="EH896" s="73"/>
      <c r="EI896" s="73"/>
      <c r="EJ896" s="73"/>
      <c r="EK896" s="73"/>
      <c r="EL896" s="73"/>
      <c r="EM896" s="73"/>
      <c r="EN896" s="73"/>
      <c r="EO896" s="73"/>
      <c r="EP896" s="69"/>
      <c r="EQ896" s="69"/>
      <c r="ER896" s="69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  <c r="CI897" s="73"/>
      <c r="CJ897" s="73"/>
      <c r="CK897" s="73"/>
      <c r="CL897" s="73"/>
      <c r="CM897" s="73"/>
      <c r="CN897" s="73"/>
      <c r="CO897" s="73"/>
      <c r="CP897" s="73"/>
      <c r="CQ897" s="73"/>
      <c r="CR897" s="73"/>
      <c r="CS897" s="73"/>
      <c r="CT897" s="73"/>
      <c r="CU897" s="73"/>
      <c r="CV897" s="73"/>
      <c r="CW897" s="73"/>
      <c r="CX897" s="73"/>
      <c r="CY897" s="73"/>
      <c r="CZ897" s="73"/>
      <c r="DA897" s="73"/>
      <c r="DB897" s="73"/>
      <c r="DC897" s="73"/>
      <c r="DD897" s="73"/>
      <c r="DE897" s="73"/>
      <c r="DF897" s="73"/>
      <c r="DG897" s="73"/>
      <c r="DH897" s="73"/>
      <c r="DI897" s="73"/>
      <c r="DJ897" s="73"/>
      <c r="DK897" s="73"/>
      <c r="DL897" s="73"/>
      <c r="DM897" s="73"/>
      <c r="DN897" s="73"/>
      <c r="DO897" s="73"/>
      <c r="DP897" s="73"/>
      <c r="DQ897" s="73"/>
      <c r="DR897" s="73"/>
      <c r="DS897" s="73"/>
      <c r="DT897" s="73"/>
      <c r="DU897" s="73"/>
      <c r="DV897" s="73"/>
      <c r="DW897" s="73"/>
      <c r="DX897" s="72"/>
      <c r="DY897" s="72"/>
      <c r="DZ897" s="73"/>
      <c r="EA897" s="73"/>
      <c r="EB897" s="73"/>
      <c r="EC897" s="73"/>
      <c r="ED897" s="73"/>
      <c r="EE897" s="73"/>
      <c r="EF897" s="73"/>
      <c r="EG897" s="73"/>
      <c r="EH897" s="73"/>
      <c r="EI897" s="73"/>
      <c r="EJ897" s="73"/>
      <c r="EK897" s="73"/>
      <c r="EL897" s="73"/>
      <c r="EM897" s="73"/>
      <c r="EN897" s="73"/>
      <c r="EO897" s="73"/>
      <c r="EP897" s="69"/>
      <c r="EQ897" s="69"/>
      <c r="ER897" s="69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  <c r="CI898" s="73"/>
      <c r="CJ898" s="73"/>
      <c r="CK898" s="73"/>
      <c r="CL898" s="73"/>
      <c r="CM898" s="73"/>
      <c r="CN898" s="73"/>
      <c r="CO898" s="73"/>
      <c r="CP898" s="73"/>
      <c r="CQ898" s="73"/>
      <c r="CR898" s="73"/>
      <c r="CS898" s="73"/>
      <c r="CT898" s="73"/>
      <c r="CU898" s="73"/>
      <c r="CV898" s="73"/>
      <c r="CW898" s="73"/>
      <c r="CX898" s="73"/>
      <c r="CY898" s="73"/>
      <c r="CZ898" s="73"/>
      <c r="DA898" s="73"/>
      <c r="DB898" s="73"/>
      <c r="DC898" s="73"/>
      <c r="DD898" s="73"/>
      <c r="DE898" s="73"/>
      <c r="DF898" s="73"/>
      <c r="DG898" s="73"/>
      <c r="DH898" s="73"/>
      <c r="DI898" s="73"/>
      <c r="DJ898" s="73"/>
      <c r="DK898" s="73"/>
      <c r="DL898" s="73"/>
      <c r="DM898" s="73"/>
      <c r="DN898" s="73"/>
      <c r="DO898" s="73"/>
      <c r="DP898" s="73"/>
      <c r="DQ898" s="73"/>
      <c r="DR898" s="73"/>
      <c r="DS898" s="73"/>
      <c r="DT898" s="73"/>
      <c r="DU898" s="73"/>
      <c r="DV898" s="73"/>
      <c r="DW898" s="73"/>
      <c r="DX898" s="73"/>
      <c r="DY898" s="73"/>
      <c r="DZ898" s="73"/>
      <c r="EA898" s="73"/>
      <c r="EB898" s="73"/>
      <c r="EC898" s="73"/>
      <c r="ED898" s="73"/>
      <c r="EE898" s="73"/>
      <c r="EF898" s="73"/>
      <c r="EG898" s="73"/>
      <c r="EH898" s="73"/>
      <c r="EI898" s="73"/>
      <c r="EJ898" s="73"/>
      <c r="EK898" s="73"/>
      <c r="EL898" s="73"/>
      <c r="EM898" s="73"/>
      <c r="EN898" s="73"/>
      <c r="EO898" s="73"/>
      <c r="EP898" s="69"/>
      <c r="EQ898" s="69"/>
      <c r="ER898" s="69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  <c r="CI899" s="73"/>
      <c r="CJ899" s="73"/>
      <c r="CK899" s="73"/>
      <c r="CL899" s="73"/>
      <c r="CM899" s="73"/>
      <c r="CN899" s="73"/>
      <c r="CO899" s="73"/>
      <c r="CP899" s="73"/>
      <c r="CQ899" s="73"/>
      <c r="CR899" s="73"/>
      <c r="CS899" s="73"/>
      <c r="CT899" s="73"/>
      <c r="CU899" s="73"/>
      <c r="CV899" s="73"/>
      <c r="CW899" s="73"/>
      <c r="CX899" s="73"/>
      <c r="CY899" s="73"/>
      <c r="CZ899" s="73"/>
      <c r="DA899" s="73"/>
      <c r="DB899" s="73"/>
      <c r="DC899" s="73"/>
      <c r="DD899" s="73"/>
      <c r="DE899" s="73"/>
      <c r="DF899" s="73"/>
      <c r="DG899" s="73"/>
      <c r="DH899" s="73"/>
      <c r="DI899" s="73"/>
      <c r="DJ899" s="73"/>
      <c r="DK899" s="73"/>
      <c r="DL899" s="73"/>
      <c r="DM899" s="73"/>
      <c r="DN899" s="73"/>
      <c r="DO899" s="73"/>
      <c r="DP899" s="73"/>
      <c r="DQ899" s="73"/>
      <c r="DR899" s="73"/>
      <c r="DS899" s="73"/>
      <c r="DT899" s="73"/>
      <c r="DU899" s="73"/>
      <c r="DV899" s="73"/>
      <c r="DW899" s="73"/>
      <c r="DX899" s="72"/>
      <c r="DY899" s="72"/>
      <c r="DZ899" s="73"/>
      <c r="EA899" s="73"/>
      <c r="EB899" s="73"/>
      <c r="EC899" s="73"/>
      <c r="ED899" s="73"/>
      <c r="EE899" s="73"/>
      <c r="EF899" s="73"/>
      <c r="EG899" s="73"/>
      <c r="EH899" s="73"/>
      <c r="EI899" s="73"/>
      <c r="EJ899" s="73"/>
      <c r="EK899" s="73"/>
      <c r="EL899" s="73"/>
      <c r="EM899" s="73"/>
      <c r="EN899" s="73"/>
      <c r="EO899" s="73"/>
      <c r="EP899" s="69"/>
      <c r="EQ899" s="69"/>
      <c r="ER899" s="69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  <c r="CI900" s="73"/>
      <c r="CJ900" s="73"/>
      <c r="CK900" s="73"/>
      <c r="CL900" s="73"/>
      <c r="CM900" s="73"/>
      <c r="CN900" s="73"/>
      <c r="CO900" s="73"/>
      <c r="CP900" s="73"/>
      <c r="CQ900" s="73"/>
      <c r="CR900" s="73"/>
      <c r="CS900" s="73"/>
      <c r="CT900" s="73"/>
      <c r="CU900" s="73"/>
      <c r="CV900" s="73"/>
      <c r="CW900" s="73"/>
      <c r="CX900" s="73"/>
      <c r="CY900" s="73"/>
      <c r="CZ900" s="73"/>
      <c r="DA900" s="73"/>
      <c r="DB900" s="73"/>
      <c r="DC900" s="73"/>
      <c r="DD900" s="73"/>
      <c r="DE900" s="73"/>
      <c r="DF900" s="73"/>
      <c r="DG900" s="73"/>
      <c r="DH900" s="73"/>
      <c r="DI900" s="73"/>
      <c r="DJ900" s="73"/>
      <c r="DK900" s="73"/>
      <c r="DL900" s="73"/>
      <c r="DM900" s="73"/>
      <c r="DN900" s="73"/>
      <c r="DO900" s="73"/>
      <c r="DP900" s="73"/>
      <c r="DQ900" s="73"/>
      <c r="DR900" s="73"/>
      <c r="DS900" s="73"/>
      <c r="DT900" s="73"/>
      <c r="DU900" s="73"/>
      <c r="DV900" s="73"/>
      <c r="DW900" s="73"/>
      <c r="DX900" s="72"/>
      <c r="DY900" s="72"/>
      <c r="DZ900" s="73"/>
      <c r="EA900" s="73"/>
      <c r="EB900" s="73"/>
      <c r="EC900" s="73"/>
      <c r="ED900" s="73"/>
      <c r="EE900" s="73"/>
      <c r="EF900" s="73"/>
      <c r="EG900" s="73"/>
      <c r="EH900" s="73"/>
      <c r="EI900" s="73"/>
      <c r="EJ900" s="73"/>
      <c r="EK900" s="73"/>
      <c r="EL900" s="73"/>
      <c r="EM900" s="73"/>
      <c r="EN900" s="73"/>
      <c r="EO900" s="73"/>
      <c r="EP900" s="69"/>
      <c r="EQ900" s="69"/>
      <c r="ER900" s="69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  <c r="CI901" s="73"/>
      <c r="CJ901" s="73"/>
      <c r="CK901" s="73"/>
      <c r="CL901" s="73"/>
      <c r="CM901" s="73"/>
      <c r="CN901" s="73"/>
      <c r="CO901" s="73"/>
      <c r="CP901" s="73"/>
      <c r="CQ901" s="73"/>
      <c r="CR901" s="73"/>
      <c r="CS901" s="73"/>
      <c r="CT901" s="73"/>
      <c r="CU901" s="73"/>
      <c r="CV901" s="73"/>
      <c r="CW901" s="73"/>
      <c r="CX901" s="73"/>
      <c r="CY901" s="73"/>
      <c r="CZ901" s="73"/>
      <c r="DA901" s="73"/>
      <c r="DB901" s="73"/>
      <c r="DC901" s="73"/>
      <c r="DD901" s="73"/>
      <c r="DE901" s="73"/>
      <c r="DF901" s="73"/>
      <c r="DG901" s="73"/>
      <c r="DH901" s="73"/>
      <c r="DI901" s="73"/>
      <c r="DJ901" s="73"/>
      <c r="DK901" s="73"/>
      <c r="DL901" s="73"/>
      <c r="DM901" s="73"/>
      <c r="DN901" s="73"/>
      <c r="DO901" s="73"/>
      <c r="DP901" s="73"/>
      <c r="DQ901" s="73"/>
      <c r="DR901" s="73"/>
      <c r="DS901" s="73"/>
      <c r="DT901" s="73"/>
      <c r="DU901" s="73"/>
      <c r="DV901" s="73"/>
      <c r="DW901" s="73"/>
      <c r="DX901" s="72"/>
      <c r="DY901" s="72"/>
      <c r="DZ901" s="73"/>
      <c r="EA901" s="73"/>
      <c r="EB901" s="73"/>
      <c r="EC901" s="73"/>
      <c r="ED901" s="73"/>
      <c r="EE901" s="73"/>
      <c r="EF901" s="73"/>
      <c r="EG901" s="73"/>
      <c r="EH901" s="73"/>
      <c r="EI901" s="73"/>
      <c r="EJ901" s="73"/>
      <c r="EK901" s="73"/>
      <c r="EL901" s="73"/>
      <c r="EM901" s="73"/>
      <c r="EN901" s="73"/>
      <c r="EO901" s="73"/>
      <c r="EP901" s="69"/>
      <c r="EQ901" s="69"/>
      <c r="ER901" s="69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  <c r="CI902" s="73"/>
      <c r="CJ902" s="73"/>
      <c r="CK902" s="73"/>
      <c r="CL902" s="73"/>
      <c r="CM902" s="73"/>
      <c r="CN902" s="73"/>
      <c r="CO902" s="73"/>
      <c r="CP902" s="73"/>
      <c r="CQ902" s="73"/>
      <c r="CR902" s="73"/>
      <c r="CS902" s="73"/>
      <c r="CT902" s="73"/>
      <c r="CU902" s="73"/>
      <c r="CV902" s="73"/>
      <c r="CW902" s="73"/>
      <c r="CX902" s="73"/>
      <c r="CY902" s="73"/>
      <c r="CZ902" s="73"/>
      <c r="DA902" s="73"/>
      <c r="DB902" s="73"/>
      <c r="DC902" s="73"/>
      <c r="DD902" s="73"/>
      <c r="DE902" s="73"/>
      <c r="DF902" s="73"/>
      <c r="DG902" s="73"/>
      <c r="DH902" s="73"/>
      <c r="DI902" s="73"/>
      <c r="DJ902" s="73"/>
      <c r="DK902" s="73"/>
      <c r="DL902" s="73"/>
      <c r="DM902" s="73"/>
      <c r="DN902" s="73"/>
      <c r="DO902" s="73"/>
      <c r="DP902" s="73"/>
      <c r="DQ902" s="73"/>
      <c r="DR902" s="73"/>
      <c r="DS902" s="73"/>
      <c r="DT902" s="73"/>
      <c r="DU902" s="73"/>
      <c r="DV902" s="73"/>
      <c r="DW902" s="73"/>
      <c r="DX902" s="72"/>
      <c r="DY902" s="72"/>
      <c r="DZ902" s="73"/>
      <c r="EA902" s="73"/>
      <c r="EB902" s="73"/>
      <c r="EC902" s="73"/>
      <c r="ED902" s="73"/>
      <c r="EE902" s="73"/>
      <c r="EF902" s="73"/>
      <c r="EG902" s="73"/>
      <c r="EH902" s="73"/>
      <c r="EI902" s="73"/>
      <c r="EJ902" s="73"/>
      <c r="EK902" s="73"/>
      <c r="EL902" s="73"/>
      <c r="EM902" s="73"/>
      <c r="EN902" s="73"/>
      <c r="EO902" s="73"/>
      <c r="EP902" s="69"/>
      <c r="EQ902" s="69"/>
      <c r="ER902" s="69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  <c r="CI903" s="73"/>
      <c r="CJ903" s="73"/>
      <c r="CK903" s="73"/>
      <c r="CL903" s="73"/>
      <c r="CM903" s="73"/>
      <c r="CN903" s="73"/>
      <c r="CO903" s="73"/>
      <c r="CP903" s="73"/>
      <c r="CQ903" s="73"/>
      <c r="CR903" s="73"/>
      <c r="CS903" s="73"/>
      <c r="CT903" s="73"/>
      <c r="CU903" s="73"/>
      <c r="CV903" s="73"/>
      <c r="CW903" s="73"/>
      <c r="CX903" s="73"/>
      <c r="CY903" s="73"/>
      <c r="CZ903" s="73"/>
      <c r="DA903" s="73"/>
      <c r="DB903" s="73"/>
      <c r="DC903" s="73"/>
      <c r="DD903" s="73"/>
      <c r="DE903" s="73"/>
      <c r="DF903" s="73"/>
      <c r="DG903" s="73"/>
      <c r="DH903" s="73"/>
      <c r="DI903" s="73"/>
      <c r="DJ903" s="73"/>
      <c r="DK903" s="73"/>
      <c r="DL903" s="73"/>
      <c r="DM903" s="73"/>
      <c r="DN903" s="73"/>
      <c r="DO903" s="73"/>
      <c r="DP903" s="73"/>
      <c r="DQ903" s="73"/>
      <c r="DR903" s="73"/>
      <c r="DS903" s="73"/>
      <c r="DT903" s="73"/>
      <c r="DU903" s="73"/>
      <c r="DV903" s="73"/>
      <c r="DW903" s="73"/>
      <c r="DX903" s="72"/>
      <c r="DY903" s="72"/>
      <c r="DZ903" s="73"/>
      <c r="EA903" s="73"/>
      <c r="EB903" s="73"/>
      <c r="EC903" s="73"/>
      <c r="ED903" s="73"/>
      <c r="EE903" s="73"/>
      <c r="EF903" s="73"/>
      <c r="EG903" s="73"/>
      <c r="EH903" s="73"/>
      <c r="EI903" s="73"/>
      <c r="EJ903" s="73"/>
      <c r="EK903" s="73"/>
      <c r="EL903" s="73"/>
      <c r="EM903" s="73"/>
      <c r="EN903" s="73"/>
      <c r="EO903" s="73"/>
      <c r="EP903" s="69"/>
      <c r="EQ903" s="69"/>
      <c r="ER903" s="69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  <c r="CI904" s="73"/>
      <c r="CJ904" s="73"/>
      <c r="CK904" s="73"/>
      <c r="CL904" s="73"/>
      <c r="CM904" s="73"/>
      <c r="CN904" s="73"/>
      <c r="CO904" s="73"/>
      <c r="CP904" s="73"/>
      <c r="CQ904" s="73"/>
      <c r="CR904" s="73"/>
      <c r="CS904" s="73"/>
      <c r="CT904" s="73"/>
      <c r="CU904" s="73"/>
      <c r="CV904" s="73"/>
      <c r="CW904" s="73"/>
      <c r="CX904" s="73"/>
      <c r="CY904" s="73"/>
      <c r="CZ904" s="73"/>
      <c r="DA904" s="73"/>
      <c r="DB904" s="73"/>
      <c r="DC904" s="73"/>
      <c r="DD904" s="73"/>
      <c r="DE904" s="73"/>
      <c r="DF904" s="73"/>
      <c r="DG904" s="73"/>
      <c r="DH904" s="73"/>
      <c r="DI904" s="73"/>
      <c r="DJ904" s="73"/>
      <c r="DK904" s="73"/>
      <c r="DL904" s="73"/>
      <c r="DM904" s="73"/>
      <c r="DN904" s="73"/>
      <c r="DO904" s="73"/>
      <c r="DP904" s="73"/>
      <c r="DQ904" s="73"/>
      <c r="DR904" s="73"/>
      <c r="DS904" s="73"/>
      <c r="DT904" s="73"/>
      <c r="DU904" s="73"/>
      <c r="DV904" s="73"/>
      <c r="DW904" s="73"/>
      <c r="DX904" s="72"/>
      <c r="DY904" s="72"/>
      <c r="DZ904" s="73"/>
      <c r="EA904" s="73"/>
      <c r="EB904" s="73"/>
      <c r="EC904" s="73"/>
      <c r="ED904" s="73"/>
      <c r="EE904" s="73"/>
      <c r="EF904" s="73"/>
      <c r="EG904" s="73"/>
      <c r="EH904" s="73"/>
      <c r="EI904" s="73"/>
      <c r="EJ904" s="73"/>
      <c r="EK904" s="73"/>
      <c r="EL904" s="73"/>
      <c r="EM904" s="73"/>
      <c r="EN904" s="73"/>
      <c r="EO904" s="73"/>
      <c r="EP904" s="69"/>
      <c r="EQ904" s="69"/>
      <c r="ER904" s="69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  <c r="CI905" s="73"/>
      <c r="CJ905" s="73"/>
      <c r="CK905" s="73"/>
      <c r="CL905" s="73"/>
      <c r="CM905" s="73"/>
      <c r="CN905" s="73"/>
      <c r="CO905" s="73"/>
      <c r="CP905" s="73"/>
      <c r="CQ905" s="73"/>
      <c r="CR905" s="73"/>
      <c r="CS905" s="73"/>
      <c r="CT905" s="73"/>
      <c r="CU905" s="73"/>
      <c r="CV905" s="73"/>
      <c r="CW905" s="73"/>
      <c r="CX905" s="73"/>
      <c r="CY905" s="73"/>
      <c r="CZ905" s="73"/>
      <c r="DA905" s="73"/>
      <c r="DB905" s="73"/>
      <c r="DC905" s="73"/>
      <c r="DD905" s="73"/>
      <c r="DE905" s="73"/>
      <c r="DF905" s="73"/>
      <c r="DG905" s="73"/>
      <c r="DH905" s="73"/>
      <c r="DI905" s="73"/>
      <c r="DJ905" s="73"/>
      <c r="DK905" s="73"/>
      <c r="DL905" s="73"/>
      <c r="DM905" s="73"/>
      <c r="DN905" s="73"/>
      <c r="DO905" s="73"/>
      <c r="DP905" s="73"/>
      <c r="DQ905" s="73"/>
      <c r="DR905" s="73"/>
      <c r="DS905" s="73"/>
      <c r="DT905" s="73"/>
      <c r="DU905" s="73"/>
      <c r="DV905" s="73"/>
      <c r="DW905" s="73"/>
      <c r="DX905" s="73"/>
      <c r="DY905" s="73"/>
      <c r="DZ905" s="73"/>
      <c r="EA905" s="73"/>
      <c r="EB905" s="73"/>
      <c r="EC905" s="73"/>
      <c r="ED905" s="73"/>
      <c r="EE905" s="73"/>
      <c r="EF905" s="73"/>
      <c r="EG905" s="73"/>
      <c r="EH905" s="73"/>
      <c r="EI905" s="73"/>
      <c r="EJ905" s="73"/>
      <c r="EK905" s="73"/>
      <c r="EL905" s="73"/>
      <c r="EM905" s="73"/>
      <c r="EN905" s="73"/>
      <c r="EO905" s="73"/>
      <c r="EP905" s="69"/>
      <c r="EQ905" s="69"/>
      <c r="ER905" s="69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  <c r="CI906" s="73"/>
      <c r="CJ906" s="73"/>
      <c r="CK906" s="73"/>
      <c r="CL906" s="73"/>
      <c r="CM906" s="73"/>
      <c r="CN906" s="73"/>
      <c r="CO906" s="73"/>
      <c r="CP906" s="73"/>
      <c r="CQ906" s="73"/>
      <c r="CR906" s="73"/>
      <c r="CS906" s="73"/>
      <c r="CT906" s="73"/>
      <c r="CU906" s="73"/>
      <c r="CV906" s="73"/>
      <c r="CW906" s="73"/>
      <c r="CX906" s="73"/>
      <c r="CY906" s="73"/>
      <c r="CZ906" s="73"/>
      <c r="DA906" s="73"/>
      <c r="DB906" s="73"/>
      <c r="DC906" s="73"/>
      <c r="DD906" s="73"/>
      <c r="DE906" s="73"/>
      <c r="DF906" s="73"/>
      <c r="DG906" s="73"/>
      <c r="DH906" s="73"/>
      <c r="DI906" s="73"/>
      <c r="DJ906" s="73"/>
      <c r="DK906" s="73"/>
      <c r="DL906" s="73"/>
      <c r="DM906" s="73"/>
      <c r="DN906" s="73"/>
      <c r="DO906" s="73"/>
      <c r="DP906" s="73"/>
      <c r="DQ906" s="73"/>
      <c r="DR906" s="73"/>
      <c r="DS906" s="73"/>
      <c r="DT906" s="73"/>
      <c r="DU906" s="73"/>
      <c r="DV906" s="73"/>
      <c r="DW906" s="73"/>
      <c r="DX906" s="72"/>
      <c r="DY906" s="72"/>
      <c r="DZ906" s="73"/>
      <c r="EA906" s="73"/>
      <c r="EB906" s="73"/>
      <c r="EC906" s="73"/>
      <c r="ED906" s="73"/>
      <c r="EE906" s="73"/>
      <c r="EF906" s="73"/>
      <c r="EG906" s="73"/>
      <c r="EH906" s="73"/>
      <c r="EI906" s="73"/>
      <c r="EJ906" s="73"/>
      <c r="EK906" s="73"/>
      <c r="EL906" s="73"/>
      <c r="EM906" s="73"/>
      <c r="EN906" s="73"/>
      <c r="EO906" s="73"/>
      <c r="EP906" s="69"/>
      <c r="EQ906" s="69"/>
      <c r="ER906" s="69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  <c r="CI907" s="73"/>
      <c r="CJ907" s="73"/>
      <c r="CK907" s="73"/>
      <c r="CL907" s="73"/>
      <c r="CM907" s="73"/>
      <c r="CN907" s="73"/>
      <c r="CO907" s="73"/>
      <c r="CP907" s="73"/>
      <c r="CQ907" s="73"/>
      <c r="CR907" s="73"/>
      <c r="CS907" s="73"/>
      <c r="CT907" s="73"/>
      <c r="CU907" s="73"/>
      <c r="CV907" s="73"/>
      <c r="CW907" s="73"/>
      <c r="CX907" s="73"/>
      <c r="CY907" s="73"/>
      <c r="CZ907" s="73"/>
      <c r="DA907" s="73"/>
      <c r="DB907" s="73"/>
      <c r="DC907" s="73"/>
      <c r="DD907" s="73"/>
      <c r="DE907" s="73"/>
      <c r="DF907" s="73"/>
      <c r="DG907" s="73"/>
      <c r="DH907" s="73"/>
      <c r="DI907" s="73"/>
      <c r="DJ907" s="73"/>
      <c r="DK907" s="73"/>
      <c r="DL907" s="73"/>
      <c r="DM907" s="73"/>
      <c r="DN907" s="73"/>
      <c r="DO907" s="73"/>
      <c r="DP907" s="73"/>
      <c r="DQ907" s="73"/>
      <c r="DR907" s="73"/>
      <c r="DS907" s="73"/>
      <c r="DT907" s="73"/>
      <c r="DU907" s="73"/>
      <c r="DV907" s="73"/>
      <c r="DW907" s="73"/>
      <c r="DX907" s="72"/>
      <c r="DY907" s="72"/>
      <c r="DZ907" s="73"/>
      <c r="EA907" s="73"/>
      <c r="EB907" s="73"/>
      <c r="EC907" s="73"/>
      <c r="ED907" s="73"/>
      <c r="EE907" s="73"/>
      <c r="EF907" s="73"/>
      <c r="EG907" s="73"/>
      <c r="EH907" s="73"/>
      <c r="EI907" s="73"/>
      <c r="EJ907" s="73"/>
      <c r="EK907" s="73"/>
      <c r="EL907" s="73"/>
      <c r="EM907" s="73"/>
      <c r="EN907" s="73"/>
      <c r="EO907" s="73"/>
      <c r="EP907" s="69"/>
      <c r="EQ907" s="69"/>
      <c r="ER907" s="69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  <c r="CI908" s="73"/>
      <c r="CJ908" s="73"/>
      <c r="CK908" s="73"/>
      <c r="CL908" s="73"/>
      <c r="CM908" s="73"/>
      <c r="CN908" s="73"/>
      <c r="CO908" s="73"/>
      <c r="CP908" s="73"/>
      <c r="CQ908" s="73"/>
      <c r="CR908" s="73"/>
      <c r="CS908" s="73"/>
      <c r="CT908" s="73"/>
      <c r="CU908" s="73"/>
      <c r="CV908" s="73"/>
      <c r="CW908" s="73"/>
      <c r="CX908" s="73"/>
      <c r="CY908" s="73"/>
      <c r="CZ908" s="73"/>
      <c r="DA908" s="73"/>
      <c r="DB908" s="73"/>
      <c r="DC908" s="73"/>
      <c r="DD908" s="73"/>
      <c r="DE908" s="73"/>
      <c r="DF908" s="73"/>
      <c r="DG908" s="73"/>
      <c r="DH908" s="73"/>
      <c r="DI908" s="73"/>
      <c r="DJ908" s="73"/>
      <c r="DK908" s="73"/>
      <c r="DL908" s="73"/>
      <c r="DM908" s="73"/>
      <c r="DN908" s="73"/>
      <c r="DO908" s="73"/>
      <c r="DP908" s="73"/>
      <c r="DQ908" s="73"/>
      <c r="DR908" s="73"/>
      <c r="DS908" s="73"/>
      <c r="DT908" s="73"/>
      <c r="DU908" s="73"/>
      <c r="DV908" s="73"/>
      <c r="DW908" s="73"/>
      <c r="DX908" s="73"/>
      <c r="DY908" s="73"/>
      <c r="DZ908" s="73"/>
      <c r="EA908" s="73"/>
      <c r="EB908" s="73"/>
      <c r="EC908" s="73"/>
      <c r="ED908" s="73"/>
      <c r="EE908" s="73"/>
      <c r="EF908" s="73"/>
      <c r="EG908" s="73"/>
      <c r="EH908" s="73"/>
      <c r="EI908" s="73"/>
      <c r="EJ908" s="73"/>
      <c r="EK908" s="73"/>
      <c r="EL908" s="73"/>
      <c r="EM908" s="73"/>
      <c r="EN908" s="73"/>
      <c r="EO908" s="73"/>
      <c r="EP908" s="69"/>
      <c r="EQ908" s="69"/>
      <c r="ER908" s="69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  <c r="CI909" s="73"/>
      <c r="CJ909" s="73"/>
      <c r="CK909" s="73"/>
      <c r="CL909" s="73"/>
      <c r="CM909" s="73"/>
      <c r="CN909" s="73"/>
      <c r="CO909" s="73"/>
      <c r="CP909" s="73"/>
      <c r="CQ909" s="73"/>
      <c r="CR909" s="73"/>
      <c r="CS909" s="73"/>
      <c r="CT909" s="73"/>
      <c r="CU909" s="73"/>
      <c r="CV909" s="73"/>
      <c r="CW909" s="73"/>
      <c r="CX909" s="73"/>
      <c r="CY909" s="73"/>
      <c r="CZ909" s="73"/>
      <c r="DA909" s="73"/>
      <c r="DB909" s="73"/>
      <c r="DC909" s="73"/>
      <c r="DD909" s="73"/>
      <c r="DE909" s="73"/>
      <c r="DF909" s="73"/>
      <c r="DG909" s="73"/>
      <c r="DH909" s="73"/>
      <c r="DI909" s="73"/>
      <c r="DJ909" s="73"/>
      <c r="DK909" s="73"/>
      <c r="DL909" s="73"/>
      <c r="DM909" s="73"/>
      <c r="DN909" s="73"/>
      <c r="DO909" s="73"/>
      <c r="DP909" s="73"/>
      <c r="DQ909" s="73"/>
      <c r="DR909" s="73"/>
      <c r="DS909" s="73"/>
      <c r="DT909" s="73"/>
      <c r="DU909" s="73"/>
      <c r="DV909" s="73"/>
      <c r="DW909" s="73"/>
      <c r="DX909" s="72"/>
      <c r="DY909" s="72"/>
      <c r="DZ909" s="73"/>
      <c r="EA909" s="73"/>
      <c r="EB909" s="73"/>
      <c r="EC909" s="73"/>
      <c r="ED909" s="73"/>
      <c r="EE909" s="73"/>
      <c r="EF909" s="73"/>
      <c r="EG909" s="73"/>
      <c r="EH909" s="73"/>
      <c r="EI909" s="73"/>
      <c r="EJ909" s="73"/>
      <c r="EK909" s="73"/>
      <c r="EL909" s="73"/>
      <c r="EM909" s="73"/>
      <c r="EN909" s="73"/>
      <c r="EO909" s="73"/>
      <c r="EP909" s="69"/>
      <c r="EQ909" s="69"/>
      <c r="ER909" s="69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  <c r="CI910" s="73"/>
      <c r="CJ910" s="73"/>
      <c r="CK910" s="73"/>
      <c r="CL910" s="73"/>
      <c r="CM910" s="72"/>
      <c r="CN910" s="73"/>
      <c r="CO910" s="73"/>
      <c r="CP910" s="73"/>
      <c r="CQ910" s="73"/>
      <c r="CR910" s="73"/>
      <c r="CS910" s="73"/>
      <c r="CT910" s="73"/>
      <c r="CU910" s="73"/>
      <c r="CV910" s="73"/>
      <c r="CW910" s="73"/>
      <c r="CX910" s="73"/>
      <c r="CY910" s="73"/>
      <c r="CZ910" s="73"/>
      <c r="DA910" s="73"/>
      <c r="DB910" s="73"/>
      <c r="DC910" s="73"/>
      <c r="DD910" s="73"/>
      <c r="DE910" s="73"/>
      <c r="DF910" s="73"/>
      <c r="DG910" s="73"/>
      <c r="DH910" s="73"/>
      <c r="DI910" s="73"/>
      <c r="DJ910" s="73"/>
      <c r="DK910" s="73"/>
      <c r="DL910" s="73"/>
      <c r="DM910" s="73"/>
      <c r="DN910" s="73"/>
      <c r="DO910" s="73"/>
      <c r="DP910" s="73"/>
      <c r="DQ910" s="73"/>
      <c r="DR910" s="73"/>
      <c r="DS910" s="73"/>
      <c r="DT910" s="73"/>
      <c r="DU910" s="73"/>
      <c r="DV910" s="73"/>
      <c r="DW910" s="73"/>
      <c r="DX910" s="72"/>
      <c r="DY910" s="72"/>
      <c r="DZ910" s="73"/>
      <c r="EA910" s="73"/>
      <c r="EB910" s="73"/>
      <c r="EC910" s="73"/>
      <c r="ED910" s="73"/>
      <c r="EE910" s="73"/>
      <c r="EF910" s="73"/>
      <c r="EG910" s="73"/>
      <c r="EH910" s="73"/>
      <c r="EI910" s="73"/>
      <c r="EJ910" s="73"/>
      <c r="EK910" s="73"/>
      <c r="EL910" s="73"/>
      <c r="EM910" s="73"/>
      <c r="EN910" s="73"/>
      <c r="EO910" s="73"/>
      <c r="EP910" s="69"/>
      <c r="EQ910" s="69"/>
      <c r="ER910" s="69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  <c r="CI911" s="73"/>
      <c r="CJ911" s="73"/>
      <c r="CK911" s="73"/>
      <c r="CL911" s="73"/>
      <c r="CM911" s="73"/>
      <c r="CN911" s="73"/>
      <c r="CO911" s="73"/>
      <c r="CP911" s="73"/>
      <c r="CQ911" s="73"/>
      <c r="CR911" s="73"/>
      <c r="CS911" s="73"/>
      <c r="CT911" s="73"/>
      <c r="CU911" s="73"/>
      <c r="CV911" s="73"/>
      <c r="CW911" s="73"/>
      <c r="CX911" s="73"/>
      <c r="CY911" s="73"/>
      <c r="CZ911" s="73"/>
      <c r="DA911" s="73"/>
      <c r="DB911" s="73"/>
      <c r="DC911" s="73"/>
      <c r="DD911" s="73"/>
      <c r="DE911" s="73"/>
      <c r="DF911" s="73"/>
      <c r="DG911" s="73"/>
      <c r="DH911" s="73"/>
      <c r="DI911" s="73"/>
      <c r="DJ911" s="73"/>
      <c r="DK911" s="73"/>
      <c r="DL911" s="73"/>
      <c r="DM911" s="73"/>
      <c r="DN911" s="73"/>
      <c r="DO911" s="73"/>
      <c r="DP911" s="73"/>
      <c r="DQ911" s="73"/>
      <c r="DR911" s="73"/>
      <c r="DS911" s="73"/>
      <c r="DT911" s="73"/>
      <c r="DU911" s="73"/>
      <c r="DV911" s="73"/>
      <c r="DW911" s="73"/>
      <c r="DX911" s="72"/>
      <c r="DY911" s="72"/>
      <c r="DZ911" s="73"/>
      <c r="EA911" s="73"/>
      <c r="EB911" s="73"/>
      <c r="EC911" s="73"/>
      <c r="ED911" s="73"/>
      <c r="EE911" s="73"/>
      <c r="EF911" s="73"/>
      <c r="EG911" s="73"/>
      <c r="EH911" s="73"/>
      <c r="EI911" s="73"/>
      <c r="EJ911" s="73"/>
      <c r="EK911" s="73"/>
      <c r="EL911" s="73"/>
      <c r="EM911" s="73"/>
      <c r="EN911" s="73"/>
      <c r="EO911" s="73"/>
      <c r="EP911" s="69"/>
      <c r="EQ911" s="69"/>
      <c r="ER911" s="69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  <c r="CI912" s="73"/>
      <c r="CJ912" s="73"/>
      <c r="CK912" s="73"/>
      <c r="CL912" s="73"/>
      <c r="CM912" s="72"/>
      <c r="CN912" s="73"/>
      <c r="CO912" s="73"/>
      <c r="CP912" s="73"/>
      <c r="CQ912" s="73"/>
      <c r="CR912" s="73"/>
      <c r="CS912" s="73"/>
      <c r="CT912" s="73"/>
      <c r="CU912" s="73"/>
      <c r="CV912" s="73"/>
      <c r="CW912" s="73"/>
      <c r="CX912" s="73"/>
      <c r="CY912" s="73"/>
      <c r="CZ912" s="73"/>
      <c r="DA912" s="73"/>
      <c r="DB912" s="73"/>
      <c r="DC912" s="73"/>
      <c r="DD912" s="73"/>
      <c r="DE912" s="73"/>
      <c r="DF912" s="73"/>
      <c r="DG912" s="73"/>
      <c r="DH912" s="73"/>
      <c r="DI912" s="73"/>
      <c r="DJ912" s="73"/>
      <c r="DK912" s="73"/>
      <c r="DL912" s="73"/>
      <c r="DM912" s="73"/>
      <c r="DN912" s="73"/>
      <c r="DO912" s="73"/>
      <c r="DP912" s="73"/>
      <c r="DQ912" s="73"/>
      <c r="DR912" s="73"/>
      <c r="DS912" s="73"/>
      <c r="DT912" s="73"/>
      <c r="DU912" s="73"/>
      <c r="DV912" s="73"/>
      <c r="DW912" s="73"/>
      <c r="DX912" s="72"/>
      <c r="DY912" s="72"/>
      <c r="DZ912" s="73"/>
      <c r="EA912" s="73"/>
      <c r="EB912" s="73"/>
      <c r="EC912" s="73"/>
      <c r="ED912" s="73"/>
      <c r="EE912" s="73"/>
      <c r="EF912" s="73"/>
      <c r="EG912" s="73"/>
      <c r="EH912" s="73"/>
      <c r="EI912" s="73"/>
      <c r="EJ912" s="73"/>
      <c r="EK912" s="73"/>
      <c r="EL912" s="73"/>
      <c r="EM912" s="73"/>
      <c r="EN912" s="73"/>
      <c r="EO912" s="73"/>
      <c r="EP912" s="69"/>
      <c r="EQ912" s="69"/>
      <c r="ER912" s="69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  <c r="CI913" s="73"/>
      <c r="CJ913" s="73"/>
      <c r="CK913" s="73"/>
      <c r="CL913" s="73"/>
      <c r="CM913" s="72"/>
      <c r="CN913" s="73"/>
      <c r="CO913" s="73"/>
      <c r="CP913" s="73"/>
      <c r="CQ913" s="73"/>
      <c r="CR913" s="73"/>
      <c r="CS913" s="73"/>
      <c r="CT913" s="73"/>
      <c r="CU913" s="73"/>
      <c r="CV913" s="73"/>
      <c r="CW913" s="73"/>
      <c r="CX913" s="73"/>
      <c r="CY913" s="73"/>
      <c r="CZ913" s="73"/>
      <c r="DA913" s="73"/>
      <c r="DB913" s="73"/>
      <c r="DC913" s="73"/>
      <c r="DD913" s="73"/>
      <c r="DE913" s="73"/>
      <c r="DF913" s="73"/>
      <c r="DG913" s="73"/>
      <c r="DH913" s="73"/>
      <c r="DI913" s="73"/>
      <c r="DJ913" s="73"/>
      <c r="DK913" s="73"/>
      <c r="DL913" s="73"/>
      <c r="DM913" s="73"/>
      <c r="DN913" s="73"/>
      <c r="DO913" s="73"/>
      <c r="DP913" s="73"/>
      <c r="DQ913" s="73"/>
      <c r="DR913" s="73"/>
      <c r="DS913" s="73"/>
      <c r="DT913" s="73"/>
      <c r="DU913" s="73"/>
      <c r="DV913" s="73"/>
      <c r="DW913" s="73"/>
      <c r="DX913" s="72"/>
      <c r="DY913" s="72"/>
      <c r="DZ913" s="73"/>
      <c r="EA913" s="73"/>
      <c r="EB913" s="73"/>
      <c r="EC913" s="73"/>
      <c r="ED913" s="73"/>
      <c r="EE913" s="73"/>
      <c r="EF913" s="73"/>
      <c r="EG913" s="73"/>
      <c r="EH913" s="73"/>
      <c r="EI913" s="73"/>
      <c r="EJ913" s="73"/>
      <c r="EK913" s="73"/>
      <c r="EL913" s="73"/>
      <c r="EM913" s="73"/>
      <c r="EN913" s="73"/>
      <c r="EO913" s="73"/>
      <c r="EP913" s="69"/>
      <c r="EQ913" s="69"/>
      <c r="ER913" s="69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  <c r="CI914" s="73"/>
      <c r="CJ914" s="73"/>
      <c r="CK914" s="73"/>
      <c r="CL914" s="73"/>
      <c r="CM914" s="73"/>
      <c r="CN914" s="73"/>
      <c r="CO914" s="73"/>
      <c r="CP914" s="73"/>
      <c r="CQ914" s="73"/>
      <c r="CR914" s="73"/>
      <c r="CS914" s="73"/>
      <c r="CT914" s="73"/>
      <c r="CU914" s="73"/>
      <c r="CV914" s="73"/>
      <c r="CW914" s="73"/>
      <c r="CX914" s="73"/>
      <c r="CY914" s="73"/>
      <c r="CZ914" s="73"/>
      <c r="DA914" s="73"/>
      <c r="DB914" s="73"/>
      <c r="DC914" s="73"/>
      <c r="DD914" s="73"/>
      <c r="DE914" s="73"/>
      <c r="DF914" s="73"/>
      <c r="DG914" s="73"/>
      <c r="DH914" s="73"/>
      <c r="DI914" s="73"/>
      <c r="DJ914" s="73"/>
      <c r="DK914" s="73"/>
      <c r="DL914" s="73"/>
      <c r="DM914" s="73"/>
      <c r="DN914" s="73"/>
      <c r="DO914" s="73"/>
      <c r="DP914" s="73"/>
      <c r="DQ914" s="73"/>
      <c r="DR914" s="73"/>
      <c r="DS914" s="73"/>
      <c r="DT914" s="73"/>
      <c r="DU914" s="73"/>
      <c r="DV914" s="73"/>
      <c r="DW914" s="73"/>
      <c r="DX914" s="72"/>
      <c r="DY914" s="72"/>
      <c r="DZ914" s="73"/>
      <c r="EA914" s="73"/>
      <c r="EB914" s="73"/>
      <c r="EC914" s="73"/>
      <c r="ED914" s="73"/>
      <c r="EE914" s="73"/>
      <c r="EF914" s="73"/>
      <c r="EG914" s="73"/>
      <c r="EH914" s="73"/>
      <c r="EI914" s="73"/>
      <c r="EJ914" s="73"/>
      <c r="EK914" s="73"/>
      <c r="EL914" s="73"/>
      <c r="EM914" s="73"/>
      <c r="EN914" s="73"/>
      <c r="EO914" s="73"/>
      <c r="EP914" s="69"/>
      <c r="EQ914" s="69"/>
      <c r="ER914" s="69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  <c r="CI915" s="73"/>
      <c r="CJ915" s="73"/>
      <c r="CK915" s="73"/>
      <c r="CL915" s="73"/>
      <c r="CM915" s="73"/>
      <c r="CN915" s="73"/>
      <c r="CO915" s="73"/>
      <c r="CP915" s="73"/>
      <c r="CQ915" s="73"/>
      <c r="CR915" s="73"/>
      <c r="CS915" s="73"/>
      <c r="CT915" s="73"/>
      <c r="CU915" s="73"/>
      <c r="CV915" s="73"/>
      <c r="CW915" s="73"/>
      <c r="CX915" s="73"/>
      <c r="CY915" s="73"/>
      <c r="CZ915" s="73"/>
      <c r="DA915" s="73"/>
      <c r="DB915" s="73"/>
      <c r="DC915" s="73"/>
      <c r="DD915" s="73"/>
      <c r="DE915" s="73"/>
      <c r="DF915" s="73"/>
      <c r="DG915" s="73"/>
      <c r="DH915" s="73"/>
      <c r="DI915" s="73"/>
      <c r="DJ915" s="73"/>
      <c r="DK915" s="73"/>
      <c r="DL915" s="73"/>
      <c r="DM915" s="73"/>
      <c r="DN915" s="73"/>
      <c r="DO915" s="73"/>
      <c r="DP915" s="73"/>
      <c r="DQ915" s="73"/>
      <c r="DR915" s="73"/>
      <c r="DS915" s="73"/>
      <c r="DT915" s="73"/>
      <c r="DU915" s="73"/>
      <c r="DV915" s="73"/>
      <c r="DW915" s="73"/>
      <c r="DX915" s="72"/>
      <c r="DY915" s="72"/>
      <c r="DZ915" s="73"/>
      <c r="EA915" s="73"/>
      <c r="EB915" s="73"/>
      <c r="EC915" s="73"/>
      <c r="ED915" s="73"/>
      <c r="EE915" s="73"/>
      <c r="EF915" s="73"/>
      <c r="EG915" s="73"/>
      <c r="EH915" s="73"/>
      <c r="EI915" s="73"/>
      <c r="EJ915" s="73"/>
      <c r="EK915" s="73"/>
      <c r="EL915" s="73"/>
      <c r="EM915" s="73"/>
      <c r="EN915" s="73"/>
      <c r="EO915" s="73"/>
      <c r="EP915" s="69"/>
      <c r="EQ915" s="69"/>
      <c r="ER915" s="69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  <c r="CI916" s="73"/>
      <c r="CJ916" s="73"/>
      <c r="CK916" s="73"/>
      <c r="CL916" s="73"/>
      <c r="CM916" s="73"/>
      <c r="CN916" s="73"/>
      <c r="CO916" s="73"/>
      <c r="CP916" s="73"/>
      <c r="CQ916" s="73"/>
      <c r="CR916" s="73"/>
      <c r="CS916" s="73"/>
      <c r="CT916" s="73"/>
      <c r="CU916" s="73"/>
      <c r="CV916" s="73"/>
      <c r="CW916" s="73"/>
      <c r="CX916" s="73"/>
      <c r="CY916" s="73"/>
      <c r="CZ916" s="73"/>
      <c r="DA916" s="73"/>
      <c r="DB916" s="73"/>
      <c r="DC916" s="73"/>
      <c r="DD916" s="73"/>
      <c r="DE916" s="73"/>
      <c r="DF916" s="73"/>
      <c r="DG916" s="73"/>
      <c r="DH916" s="73"/>
      <c r="DI916" s="73"/>
      <c r="DJ916" s="73"/>
      <c r="DK916" s="73"/>
      <c r="DL916" s="73"/>
      <c r="DM916" s="73"/>
      <c r="DN916" s="73"/>
      <c r="DO916" s="73"/>
      <c r="DP916" s="73"/>
      <c r="DQ916" s="73"/>
      <c r="DR916" s="73"/>
      <c r="DS916" s="73"/>
      <c r="DT916" s="73"/>
      <c r="DU916" s="73"/>
      <c r="DV916" s="73"/>
      <c r="DW916" s="73"/>
      <c r="DX916" s="73"/>
      <c r="DY916" s="73"/>
      <c r="DZ916" s="73"/>
      <c r="EA916" s="73"/>
      <c r="EB916" s="73"/>
      <c r="EC916" s="73"/>
      <c r="ED916" s="73"/>
      <c r="EE916" s="73"/>
      <c r="EF916" s="73"/>
      <c r="EG916" s="73"/>
      <c r="EH916" s="73"/>
      <c r="EI916" s="73"/>
      <c r="EJ916" s="73"/>
      <c r="EK916" s="73"/>
      <c r="EL916" s="73"/>
      <c r="EM916" s="73"/>
      <c r="EN916" s="73"/>
      <c r="EO916" s="73"/>
      <c r="EP916" s="69"/>
      <c r="EQ916" s="69"/>
      <c r="ER916" s="69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  <c r="CI917" s="73"/>
      <c r="CJ917" s="73"/>
      <c r="CK917" s="73"/>
      <c r="CL917" s="73"/>
      <c r="CM917" s="72"/>
      <c r="CN917" s="73"/>
      <c r="CO917" s="73"/>
      <c r="CP917" s="73"/>
      <c r="CQ917" s="73"/>
      <c r="CR917" s="73"/>
      <c r="CS917" s="73"/>
      <c r="CT917" s="73"/>
      <c r="CU917" s="73"/>
      <c r="CV917" s="73"/>
      <c r="CW917" s="73"/>
      <c r="CX917" s="73"/>
      <c r="CY917" s="73"/>
      <c r="CZ917" s="73"/>
      <c r="DA917" s="73"/>
      <c r="DB917" s="73"/>
      <c r="DC917" s="73"/>
      <c r="DD917" s="73"/>
      <c r="DE917" s="73"/>
      <c r="DF917" s="73"/>
      <c r="DG917" s="73"/>
      <c r="DH917" s="73"/>
      <c r="DI917" s="73"/>
      <c r="DJ917" s="73"/>
      <c r="DK917" s="73"/>
      <c r="DL917" s="73"/>
      <c r="DM917" s="73"/>
      <c r="DN917" s="73"/>
      <c r="DO917" s="73"/>
      <c r="DP917" s="73"/>
      <c r="DQ917" s="73"/>
      <c r="DR917" s="73"/>
      <c r="DS917" s="73"/>
      <c r="DT917" s="73"/>
      <c r="DU917" s="73"/>
      <c r="DV917" s="73"/>
      <c r="DW917" s="73"/>
      <c r="DX917" s="72"/>
      <c r="DY917" s="72"/>
      <c r="DZ917" s="73"/>
      <c r="EA917" s="73"/>
      <c r="EB917" s="73"/>
      <c r="EC917" s="73"/>
      <c r="ED917" s="73"/>
      <c r="EE917" s="73"/>
      <c r="EF917" s="73"/>
      <c r="EG917" s="73"/>
      <c r="EH917" s="73"/>
      <c r="EI917" s="73"/>
      <c r="EJ917" s="73"/>
      <c r="EK917" s="73"/>
      <c r="EL917" s="73"/>
      <c r="EM917" s="73"/>
      <c r="EN917" s="73"/>
      <c r="EO917" s="73"/>
      <c r="EP917" s="69"/>
      <c r="EQ917" s="69"/>
      <c r="ER917" s="69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  <c r="CI918" s="73"/>
      <c r="CJ918" s="73"/>
      <c r="CK918" s="73"/>
      <c r="CL918" s="73"/>
      <c r="CM918" s="72"/>
      <c r="CN918" s="73"/>
      <c r="CO918" s="73"/>
      <c r="CP918" s="73"/>
      <c r="CQ918" s="73"/>
      <c r="CR918" s="73"/>
      <c r="CS918" s="73"/>
      <c r="CT918" s="73"/>
      <c r="CU918" s="73"/>
      <c r="CV918" s="73"/>
      <c r="CW918" s="73"/>
      <c r="CX918" s="73"/>
      <c r="CY918" s="73"/>
      <c r="CZ918" s="73"/>
      <c r="DA918" s="73"/>
      <c r="DB918" s="73"/>
      <c r="DC918" s="73"/>
      <c r="DD918" s="73"/>
      <c r="DE918" s="73"/>
      <c r="DF918" s="73"/>
      <c r="DG918" s="73"/>
      <c r="DH918" s="73"/>
      <c r="DI918" s="73"/>
      <c r="DJ918" s="73"/>
      <c r="DK918" s="73"/>
      <c r="DL918" s="73"/>
      <c r="DM918" s="73"/>
      <c r="DN918" s="73"/>
      <c r="DO918" s="73"/>
      <c r="DP918" s="73"/>
      <c r="DQ918" s="73"/>
      <c r="DR918" s="73"/>
      <c r="DS918" s="73"/>
      <c r="DT918" s="73"/>
      <c r="DU918" s="73"/>
      <c r="DV918" s="73"/>
      <c r="DW918" s="73"/>
      <c r="DX918" s="72"/>
      <c r="DY918" s="72"/>
      <c r="DZ918" s="73"/>
      <c r="EA918" s="73"/>
      <c r="EB918" s="73"/>
      <c r="EC918" s="73"/>
      <c r="ED918" s="73"/>
      <c r="EE918" s="73"/>
      <c r="EF918" s="73"/>
      <c r="EG918" s="73"/>
      <c r="EH918" s="73"/>
      <c r="EI918" s="73"/>
      <c r="EJ918" s="73"/>
      <c r="EK918" s="73"/>
      <c r="EL918" s="73"/>
      <c r="EM918" s="73"/>
      <c r="EN918" s="73"/>
      <c r="EO918" s="73"/>
      <c r="EP918" s="69"/>
      <c r="EQ918" s="69"/>
      <c r="ER918" s="69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  <c r="CI919" s="73"/>
      <c r="CJ919" s="73"/>
      <c r="CK919" s="73"/>
      <c r="CL919" s="73"/>
      <c r="CM919" s="73"/>
      <c r="CN919" s="73"/>
      <c r="CO919" s="73"/>
      <c r="CP919" s="73"/>
      <c r="CQ919" s="73"/>
      <c r="CR919" s="73"/>
      <c r="CS919" s="73"/>
      <c r="CT919" s="73"/>
      <c r="CU919" s="73"/>
      <c r="CV919" s="73"/>
      <c r="CW919" s="73"/>
      <c r="CX919" s="73"/>
      <c r="CY919" s="73"/>
      <c r="CZ919" s="73"/>
      <c r="DA919" s="73"/>
      <c r="DB919" s="73"/>
      <c r="DC919" s="73"/>
      <c r="DD919" s="73"/>
      <c r="DE919" s="73"/>
      <c r="DF919" s="73"/>
      <c r="DG919" s="73"/>
      <c r="DH919" s="73"/>
      <c r="DI919" s="73"/>
      <c r="DJ919" s="73"/>
      <c r="DK919" s="73"/>
      <c r="DL919" s="73"/>
      <c r="DM919" s="73"/>
      <c r="DN919" s="73"/>
      <c r="DO919" s="73"/>
      <c r="DP919" s="73"/>
      <c r="DQ919" s="73"/>
      <c r="DR919" s="73"/>
      <c r="DS919" s="73"/>
      <c r="DT919" s="73"/>
      <c r="DU919" s="73"/>
      <c r="DV919" s="73"/>
      <c r="DW919" s="73"/>
      <c r="DX919" s="73"/>
      <c r="DY919" s="73"/>
      <c r="DZ919" s="73"/>
      <c r="EA919" s="73"/>
      <c r="EB919" s="73"/>
      <c r="EC919" s="73"/>
      <c r="ED919" s="73"/>
      <c r="EE919" s="73"/>
      <c r="EF919" s="73"/>
      <c r="EG919" s="73"/>
      <c r="EH919" s="73"/>
      <c r="EI919" s="73"/>
      <c r="EJ919" s="73"/>
      <c r="EK919" s="73"/>
      <c r="EL919" s="73"/>
      <c r="EM919" s="73"/>
      <c r="EN919" s="73"/>
      <c r="EO919" s="73"/>
      <c r="EP919" s="69"/>
      <c r="EQ919" s="69"/>
      <c r="ER919" s="69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  <c r="CI920" s="73"/>
      <c r="CJ920" s="73"/>
      <c r="CK920" s="73"/>
      <c r="CL920" s="73"/>
      <c r="CM920" s="73"/>
      <c r="CN920" s="73"/>
      <c r="CO920" s="73"/>
      <c r="CP920" s="73"/>
      <c r="CQ920" s="73"/>
      <c r="CR920" s="73"/>
      <c r="CS920" s="73"/>
      <c r="CT920" s="73"/>
      <c r="CU920" s="73"/>
      <c r="CV920" s="73"/>
      <c r="CW920" s="73"/>
      <c r="CX920" s="73"/>
      <c r="CY920" s="73"/>
      <c r="CZ920" s="73"/>
      <c r="DA920" s="73"/>
      <c r="DB920" s="73"/>
      <c r="DC920" s="73"/>
      <c r="DD920" s="73"/>
      <c r="DE920" s="73"/>
      <c r="DF920" s="73"/>
      <c r="DG920" s="73"/>
      <c r="DH920" s="73"/>
      <c r="DI920" s="73"/>
      <c r="DJ920" s="73"/>
      <c r="DK920" s="73"/>
      <c r="DL920" s="73"/>
      <c r="DM920" s="73"/>
      <c r="DN920" s="73"/>
      <c r="DO920" s="73"/>
      <c r="DP920" s="73"/>
      <c r="DQ920" s="73"/>
      <c r="DR920" s="73"/>
      <c r="DS920" s="73"/>
      <c r="DT920" s="73"/>
      <c r="DU920" s="73"/>
      <c r="DV920" s="73"/>
      <c r="DW920" s="73"/>
      <c r="DX920" s="72"/>
      <c r="DY920" s="72"/>
      <c r="DZ920" s="73"/>
      <c r="EA920" s="73"/>
      <c r="EB920" s="73"/>
      <c r="EC920" s="73"/>
      <c r="ED920" s="73"/>
      <c r="EE920" s="73"/>
      <c r="EF920" s="73"/>
      <c r="EG920" s="73"/>
      <c r="EH920" s="73"/>
      <c r="EI920" s="73"/>
      <c r="EJ920" s="73"/>
      <c r="EK920" s="73"/>
      <c r="EL920" s="73"/>
      <c r="EM920" s="73"/>
      <c r="EN920" s="73"/>
      <c r="EO920" s="73"/>
      <c r="EP920" s="69"/>
      <c r="EQ920" s="69"/>
      <c r="ER920" s="69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  <c r="CI921" s="73"/>
      <c r="CJ921" s="73"/>
      <c r="CK921" s="73"/>
      <c r="CL921" s="73"/>
      <c r="CM921" s="73"/>
      <c r="CN921" s="73"/>
      <c r="CO921" s="73"/>
      <c r="CP921" s="73"/>
      <c r="CQ921" s="73"/>
      <c r="CR921" s="73"/>
      <c r="CS921" s="73"/>
      <c r="CT921" s="73"/>
      <c r="CU921" s="73"/>
      <c r="CV921" s="73"/>
      <c r="CW921" s="73"/>
      <c r="CX921" s="73"/>
      <c r="CY921" s="73"/>
      <c r="CZ921" s="73"/>
      <c r="DA921" s="73"/>
      <c r="DB921" s="73"/>
      <c r="DC921" s="73"/>
      <c r="DD921" s="73"/>
      <c r="DE921" s="73"/>
      <c r="DF921" s="73"/>
      <c r="DG921" s="73"/>
      <c r="DH921" s="73"/>
      <c r="DI921" s="73"/>
      <c r="DJ921" s="73"/>
      <c r="DK921" s="73"/>
      <c r="DL921" s="73"/>
      <c r="DM921" s="73"/>
      <c r="DN921" s="73"/>
      <c r="DO921" s="73"/>
      <c r="DP921" s="73"/>
      <c r="DQ921" s="73"/>
      <c r="DR921" s="73"/>
      <c r="DS921" s="73"/>
      <c r="DT921" s="73"/>
      <c r="DU921" s="73"/>
      <c r="DV921" s="73"/>
      <c r="DW921" s="73"/>
      <c r="DX921" s="72"/>
      <c r="DY921" s="72"/>
      <c r="DZ921" s="73"/>
      <c r="EA921" s="73"/>
      <c r="EB921" s="73"/>
      <c r="EC921" s="73"/>
      <c r="ED921" s="73"/>
      <c r="EE921" s="73"/>
      <c r="EF921" s="73"/>
      <c r="EG921" s="73"/>
      <c r="EH921" s="73"/>
      <c r="EI921" s="73"/>
      <c r="EJ921" s="73"/>
      <c r="EK921" s="73"/>
      <c r="EL921" s="73"/>
      <c r="EM921" s="73"/>
      <c r="EN921" s="73"/>
      <c r="EO921" s="73"/>
      <c r="EP921" s="69"/>
      <c r="EQ921" s="69"/>
      <c r="ER921" s="69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  <c r="CI922" s="73"/>
      <c r="CJ922" s="73"/>
      <c r="CK922" s="73"/>
      <c r="CL922" s="73"/>
      <c r="CM922" s="73"/>
      <c r="CN922" s="73"/>
      <c r="CO922" s="73"/>
      <c r="CP922" s="73"/>
      <c r="CQ922" s="73"/>
      <c r="CR922" s="73"/>
      <c r="CS922" s="73"/>
      <c r="CT922" s="73"/>
      <c r="CU922" s="73"/>
      <c r="CV922" s="73"/>
      <c r="CW922" s="73"/>
      <c r="CX922" s="73"/>
      <c r="CY922" s="73"/>
      <c r="CZ922" s="73"/>
      <c r="DA922" s="73"/>
      <c r="DB922" s="73"/>
      <c r="DC922" s="73"/>
      <c r="DD922" s="73"/>
      <c r="DE922" s="73"/>
      <c r="DF922" s="73"/>
      <c r="DG922" s="73"/>
      <c r="DH922" s="73"/>
      <c r="DI922" s="73"/>
      <c r="DJ922" s="73"/>
      <c r="DK922" s="73"/>
      <c r="DL922" s="73"/>
      <c r="DM922" s="73"/>
      <c r="DN922" s="73"/>
      <c r="DO922" s="73"/>
      <c r="DP922" s="73"/>
      <c r="DQ922" s="73"/>
      <c r="DR922" s="73"/>
      <c r="DS922" s="73"/>
      <c r="DT922" s="73"/>
      <c r="DU922" s="73"/>
      <c r="DV922" s="73"/>
      <c r="DW922" s="73"/>
      <c r="DX922" s="72"/>
      <c r="DY922" s="72"/>
      <c r="DZ922" s="73"/>
      <c r="EA922" s="73"/>
      <c r="EB922" s="73"/>
      <c r="EC922" s="73"/>
      <c r="ED922" s="73"/>
      <c r="EE922" s="73"/>
      <c r="EF922" s="73"/>
      <c r="EG922" s="73"/>
      <c r="EH922" s="73"/>
      <c r="EI922" s="73"/>
      <c r="EJ922" s="73"/>
      <c r="EK922" s="73"/>
      <c r="EL922" s="73"/>
      <c r="EM922" s="73"/>
      <c r="EN922" s="73"/>
      <c r="EO922" s="73"/>
      <c r="EP922" s="69"/>
      <c r="EQ922" s="69"/>
      <c r="ER922" s="69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  <c r="CI923" s="73"/>
      <c r="CJ923" s="73"/>
      <c r="CK923" s="73"/>
      <c r="CL923" s="73"/>
      <c r="CM923" s="73"/>
      <c r="CN923" s="73"/>
      <c r="CO923" s="73"/>
      <c r="CP923" s="73"/>
      <c r="CQ923" s="73"/>
      <c r="CR923" s="73"/>
      <c r="CS923" s="73"/>
      <c r="CT923" s="73"/>
      <c r="CU923" s="73"/>
      <c r="CV923" s="73"/>
      <c r="CW923" s="73"/>
      <c r="CX923" s="73"/>
      <c r="CY923" s="73"/>
      <c r="CZ923" s="73"/>
      <c r="DA923" s="73"/>
      <c r="DB923" s="73"/>
      <c r="DC923" s="73"/>
      <c r="DD923" s="73"/>
      <c r="DE923" s="73"/>
      <c r="DF923" s="73"/>
      <c r="DG923" s="73"/>
      <c r="DH923" s="73"/>
      <c r="DI923" s="73"/>
      <c r="DJ923" s="73"/>
      <c r="DK923" s="73"/>
      <c r="DL923" s="73"/>
      <c r="DM923" s="73"/>
      <c r="DN923" s="73"/>
      <c r="DO923" s="73"/>
      <c r="DP923" s="73"/>
      <c r="DQ923" s="73"/>
      <c r="DR923" s="73"/>
      <c r="DS923" s="73"/>
      <c r="DT923" s="73"/>
      <c r="DU923" s="73"/>
      <c r="DV923" s="73"/>
      <c r="DW923" s="73"/>
      <c r="DX923" s="72"/>
      <c r="DY923" s="72"/>
      <c r="DZ923" s="73"/>
      <c r="EA923" s="73"/>
      <c r="EB923" s="73"/>
      <c r="EC923" s="73"/>
      <c r="ED923" s="73"/>
      <c r="EE923" s="73"/>
      <c r="EF923" s="73"/>
      <c r="EG923" s="73"/>
      <c r="EH923" s="73"/>
      <c r="EI923" s="73"/>
      <c r="EJ923" s="73"/>
      <c r="EK923" s="73"/>
      <c r="EL923" s="73"/>
      <c r="EM923" s="73"/>
      <c r="EN923" s="73"/>
      <c r="EO923" s="73"/>
      <c r="EP923" s="69"/>
      <c r="EQ923" s="69"/>
      <c r="ER923" s="69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  <c r="CI924" s="73"/>
      <c r="CJ924" s="73"/>
      <c r="CK924" s="73"/>
      <c r="CL924" s="73"/>
      <c r="CM924" s="72"/>
      <c r="CN924" s="73"/>
      <c r="CO924" s="73"/>
      <c r="CP924" s="73"/>
      <c r="CQ924" s="73"/>
      <c r="CR924" s="73"/>
      <c r="CS924" s="73"/>
      <c r="CT924" s="73"/>
      <c r="CU924" s="73"/>
      <c r="CV924" s="73"/>
      <c r="CW924" s="73"/>
      <c r="CX924" s="73"/>
      <c r="CY924" s="73"/>
      <c r="CZ924" s="73"/>
      <c r="DA924" s="73"/>
      <c r="DB924" s="73"/>
      <c r="DC924" s="73"/>
      <c r="DD924" s="73"/>
      <c r="DE924" s="73"/>
      <c r="DF924" s="73"/>
      <c r="DG924" s="73"/>
      <c r="DH924" s="73"/>
      <c r="DI924" s="73"/>
      <c r="DJ924" s="73"/>
      <c r="DK924" s="73"/>
      <c r="DL924" s="73"/>
      <c r="DM924" s="73"/>
      <c r="DN924" s="73"/>
      <c r="DO924" s="73"/>
      <c r="DP924" s="73"/>
      <c r="DQ924" s="73"/>
      <c r="DR924" s="73"/>
      <c r="DS924" s="73"/>
      <c r="DT924" s="73"/>
      <c r="DU924" s="73"/>
      <c r="DV924" s="73"/>
      <c r="DW924" s="73"/>
      <c r="DX924" s="72"/>
      <c r="DY924" s="72"/>
      <c r="DZ924" s="73"/>
      <c r="EA924" s="73"/>
      <c r="EB924" s="73"/>
      <c r="EC924" s="73"/>
      <c r="ED924" s="73"/>
      <c r="EE924" s="73"/>
      <c r="EF924" s="73"/>
      <c r="EG924" s="73"/>
      <c r="EH924" s="73"/>
      <c r="EI924" s="73"/>
      <c r="EJ924" s="73"/>
      <c r="EK924" s="73"/>
      <c r="EL924" s="73"/>
      <c r="EM924" s="73"/>
      <c r="EN924" s="73"/>
      <c r="EO924" s="73"/>
      <c r="EP924" s="69"/>
      <c r="EQ924" s="69"/>
      <c r="ER924" s="69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  <c r="CI925" s="73"/>
      <c r="CJ925" s="73"/>
      <c r="CK925" s="73"/>
      <c r="CL925" s="73"/>
      <c r="CM925" s="73"/>
      <c r="CN925" s="73"/>
      <c r="CO925" s="73"/>
      <c r="CP925" s="73"/>
      <c r="CQ925" s="73"/>
      <c r="CR925" s="73"/>
      <c r="CS925" s="73"/>
      <c r="CT925" s="73"/>
      <c r="CU925" s="73"/>
      <c r="CV925" s="73"/>
      <c r="CW925" s="73"/>
      <c r="CX925" s="73"/>
      <c r="CY925" s="73"/>
      <c r="CZ925" s="73"/>
      <c r="DA925" s="73"/>
      <c r="DB925" s="73"/>
      <c r="DC925" s="73"/>
      <c r="DD925" s="73"/>
      <c r="DE925" s="73"/>
      <c r="DF925" s="73"/>
      <c r="DG925" s="73"/>
      <c r="DH925" s="73"/>
      <c r="DI925" s="73"/>
      <c r="DJ925" s="73"/>
      <c r="DK925" s="73"/>
      <c r="DL925" s="73"/>
      <c r="DM925" s="73"/>
      <c r="DN925" s="73"/>
      <c r="DO925" s="73"/>
      <c r="DP925" s="73"/>
      <c r="DQ925" s="73"/>
      <c r="DR925" s="73"/>
      <c r="DS925" s="73"/>
      <c r="DT925" s="73"/>
      <c r="DU925" s="73"/>
      <c r="DV925" s="73"/>
      <c r="DW925" s="73"/>
      <c r="DX925" s="72"/>
      <c r="DY925" s="72"/>
      <c r="DZ925" s="73"/>
      <c r="EA925" s="73"/>
      <c r="EB925" s="73"/>
      <c r="EC925" s="73"/>
      <c r="ED925" s="73"/>
      <c r="EE925" s="73"/>
      <c r="EF925" s="73"/>
      <c r="EG925" s="73"/>
      <c r="EH925" s="73"/>
      <c r="EI925" s="73"/>
      <c r="EJ925" s="73"/>
      <c r="EK925" s="73"/>
      <c r="EL925" s="73"/>
      <c r="EM925" s="73"/>
      <c r="EN925" s="73"/>
      <c r="EO925" s="73"/>
      <c r="EP925" s="69"/>
      <c r="EQ925" s="69"/>
      <c r="ER925" s="69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  <c r="CI926" s="73"/>
      <c r="CJ926" s="73"/>
      <c r="CK926" s="73"/>
      <c r="CL926" s="73"/>
      <c r="CM926" s="73"/>
      <c r="CN926" s="73"/>
      <c r="CO926" s="73"/>
      <c r="CP926" s="73"/>
      <c r="CQ926" s="73"/>
      <c r="CR926" s="73"/>
      <c r="CS926" s="73"/>
      <c r="CT926" s="73"/>
      <c r="CU926" s="73"/>
      <c r="CV926" s="73"/>
      <c r="CW926" s="73"/>
      <c r="CX926" s="73"/>
      <c r="CY926" s="73"/>
      <c r="CZ926" s="73"/>
      <c r="DA926" s="73"/>
      <c r="DB926" s="73"/>
      <c r="DC926" s="73"/>
      <c r="DD926" s="73"/>
      <c r="DE926" s="73"/>
      <c r="DF926" s="73"/>
      <c r="DG926" s="73"/>
      <c r="DH926" s="73"/>
      <c r="DI926" s="73"/>
      <c r="DJ926" s="73"/>
      <c r="DK926" s="73"/>
      <c r="DL926" s="73"/>
      <c r="DM926" s="73"/>
      <c r="DN926" s="73"/>
      <c r="DO926" s="73"/>
      <c r="DP926" s="73"/>
      <c r="DQ926" s="73"/>
      <c r="DR926" s="73"/>
      <c r="DS926" s="73"/>
      <c r="DT926" s="73"/>
      <c r="DU926" s="73"/>
      <c r="DV926" s="73"/>
      <c r="DW926" s="73"/>
      <c r="DX926" s="72"/>
      <c r="DY926" s="72"/>
      <c r="DZ926" s="73"/>
      <c r="EA926" s="73"/>
      <c r="EB926" s="73"/>
      <c r="EC926" s="73"/>
      <c r="ED926" s="73"/>
      <c r="EE926" s="73"/>
      <c r="EF926" s="73"/>
      <c r="EG926" s="73"/>
      <c r="EH926" s="73"/>
      <c r="EI926" s="73"/>
      <c r="EJ926" s="73"/>
      <c r="EK926" s="73"/>
      <c r="EL926" s="73"/>
      <c r="EM926" s="73"/>
      <c r="EN926" s="73"/>
      <c r="EO926" s="73"/>
      <c r="EP926" s="69"/>
      <c r="EQ926" s="69"/>
      <c r="ER926" s="69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  <c r="CI927" s="73"/>
      <c r="CJ927" s="73"/>
      <c r="CK927" s="73"/>
      <c r="CL927" s="73"/>
      <c r="CM927" s="73"/>
      <c r="CN927" s="73"/>
      <c r="CO927" s="73"/>
      <c r="CP927" s="73"/>
      <c r="CQ927" s="73"/>
      <c r="CR927" s="73"/>
      <c r="CS927" s="73"/>
      <c r="CT927" s="73"/>
      <c r="CU927" s="73"/>
      <c r="CV927" s="73"/>
      <c r="CW927" s="73"/>
      <c r="CX927" s="73"/>
      <c r="CY927" s="73"/>
      <c r="CZ927" s="73"/>
      <c r="DA927" s="73"/>
      <c r="DB927" s="73"/>
      <c r="DC927" s="73"/>
      <c r="DD927" s="73"/>
      <c r="DE927" s="73"/>
      <c r="DF927" s="73"/>
      <c r="DG927" s="73"/>
      <c r="DH927" s="73"/>
      <c r="DI927" s="73"/>
      <c r="DJ927" s="73"/>
      <c r="DK927" s="73"/>
      <c r="DL927" s="73"/>
      <c r="DM927" s="73"/>
      <c r="DN927" s="73"/>
      <c r="DO927" s="73"/>
      <c r="DP927" s="73"/>
      <c r="DQ927" s="73"/>
      <c r="DR927" s="73"/>
      <c r="DS927" s="73"/>
      <c r="DT927" s="73"/>
      <c r="DU927" s="73"/>
      <c r="DV927" s="73"/>
      <c r="DW927" s="73"/>
      <c r="DX927" s="72"/>
      <c r="DY927" s="72"/>
      <c r="DZ927" s="73"/>
      <c r="EA927" s="73"/>
      <c r="EB927" s="73"/>
      <c r="EC927" s="73"/>
      <c r="ED927" s="73"/>
      <c r="EE927" s="73"/>
      <c r="EF927" s="73"/>
      <c r="EG927" s="73"/>
      <c r="EH927" s="73"/>
      <c r="EI927" s="73"/>
      <c r="EJ927" s="73"/>
      <c r="EK927" s="73"/>
      <c r="EL927" s="73"/>
      <c r="EM927" s="73"/>
      <c r="EN927" s="73"/>
      <c r="EO927" s="73"/>
      <c r="EP927" s="69"/>
      <c r="EQ927" s="69"/>
      <c r="ER927" s="69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  <c r="CI928" s="73"/>
      <c r="CJ928" s="73"/>
      <c r="CK928" s="73"/>
      <c r="CL928" s="73"/>
      <c r="CM928" s="73"/>
      <c r="CN928" s="73"/>
      <c r="CO928" s="73"/>
      <c r="CP928" s="73"/>
      <c r="CQ928" s="73"/>
      <c r="CR928" s="73"/>
      <c r="CS928" s="73"/>
      <c r="CT928" s="73"/>
      <c r="CU928" s="73"/>
      <c r="CV928" s="73"/>
      <c r="CW928" s="73"/>
      <c r="CX928" s="73"/>
      <c r="CY928" s="73"/>
      <c r="CZ928" s="73"/>
      <c r="DA928" s="73"/>
      <c r="DB928" s="73"/>
      <c r="DC928" s="73"/>
      <c r="DD928" s="73"/>
      <c r="DE928" s="73"/>
      <c r="DF928" s="73"/>
      <c r="DG928" s="73"/>
      <c r="DH928" s="73"/>
      <c r="DI928" s="73"/>
      <c r="DJ928" s="73"/>
      <c r="DK928" s="73"/>
      <c r="DL928" s="73"/>
      <c r="DM928" s="73"/>
      <c r="DN928" s="73"/>
      <c r="DO928" s="73"/>
      <c r="DP928" s="73"/>
      <c r="DQ928" s="73"/>
      <c r="DR928" s="73"/>
      <c r="DS928" s="73"/>
      <c r="DT928" s="73"/>
      <c r="DU928" s="73"/>
      <c r="DV928" s="73"/>
      <c r="DW928" s="73"/>
      <c r="DX928" s="72"/>
      <c r="DY928" s="72"/>
      <c r="DZ928" s="73"/>
      <c r="EA928" s="73"/>
      <c r="EB928" s="73"/>
      <c r="EC928" s="73"/>
      <c r="ED928" s="73"/>
      <c r="EE928" s="73"/>
      <c r="EF928" s="73"/>
      <c r="EG928" s="73"/>
      <c r="EH928" s="73"/>
      <c r="EI928" s="73"/>
      <c r="EJ928" s="73"/>
      <c r="EK928" s="73"/>
      <c r="EL928" s="73"/>
      <c r="EM928" s="73"/>
      <c r="EN928" s="73"/>
      <c r="EO928" s="73"/>
      <c r="EP928" s="69"/>
      <c r="EQ928" s="69"/>
      <c r="ER928" s="69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  <c r="CI929" s="73"/>
      <c r="CJ929" s="73"/>
      <c r="CK929" s="73"/>
      <c r="CL929" s="73"/>
      <c r="CM929" s="72"/>
      <c r="CN929" s="73"/>
      <c r="CO929" s="73"/>
      <c r="CP929" s="73"/>
      <c r="CQ929" s="73"/>
      <c r="CR929" s="73"/>
      <c r="CS929" s="73"/>
      <c r="CT929" s="73"/>
      <c r="CU929" s="73"/>
      <c r="CV929" s="73"/>
      <c r="CW929" s="73"/>
      <c r="CX929" s="73"/>
      <c r="CY929" s="73"/>
      <c r="CZ929" s="73"/>
      <c r="DA929" s="73"/>
      <c r="DB929" s="73"/>
      <c r="DC929" s="73"/>
      <c r="DD929" s="73"/>
      <c r="DE929" s="73"/>
      <c r="DF929" s="73"/>
      <c r="DG929" s="73"/>
      <c r="DH929" s="73"/>
      <c r="DI929" s="73"/>
      <c r="DJ929" s="73"/>
      <c r="DK929" s="73"/>
      <c r="DL929" s="73"/>
      <c r="DM929" s="73"/>
      <c r="DN929" s="73"/>
      <c r="DO929" s="73"/>
      <c r="DP929" s="73"/>
      <c r="DQ929" s="73"/>
      <c r="DR929" s="73"/>
      <c r="DS929" s="73"/>
      <c r="DT929" s="73"/>
      <c r="DU929" s="73"/>
      <c r="DV929" s="73"/>
      <c r="DW929" s="73"/>
      <c r="DX929" s="72"/>
      <c r="DY929" s="72"/>
      <c r="DZ929" s="73"/>
      <c r="EA929" s="73"/>
      <c r="EB929" s="73"/>
      <c r="EC929" s="73"/>
      <c r="ED929" s="73"/>
      <c r="EE929" s="73"/>
      <c r="EF929" s="73"/>
      <c r="EG929" s="73"/>
      <c r="EH929" s="73"/>
      <c r="EI929" s="73"/>
      <c r="EJ929" s="73"/>
      <c r="EK929" s="73"/>
      <c r="EL929" s="73"/>
      <c r="EM929" s="73"/>
      <c r="EN929" s="73"/>
      <c r="EO929" s="73"/>
      <c r="EP929" s="69"/>
      <c r="EQ929" s="69"/>
      <c r="ER929" s="69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  <c r="CI930" s="73"/>
      <c r="CJ930" s="73"/>
      <c r="CK930" s="73"/>
      <c r="CL930" s="73"/>
      <c r="CM930" s="73"/>
      <c r="CN930" s="73"/>
      <c r="CO930" s="73"/>
      <c r="CP930" s="73"/>
      <c r="CQ930" s="73"/>
      <c r="CR930" s="73"/>
      <c r="CS930" s="73"/>
      <c r="CT930" s="73"/>
      <c r="CU930" s="73"/>
      <c r="CV930" s="73"/>
      <c r="CW930" s="73"/>
      <c r="CX930" s="73"/>
      <c r="CY930" s="73"/>
      <c r="CZ930" s="73"/>
      <c r="DA930" s="73"/>
      <c r="DB930" s="73"/>
      <c r="DC930" s="73"/>
      <c r="DD930" s="73"/>
      <c r="DE930" s="73"/>
      <c r="DF930" s="73"/>
      <c r="DG930" s="73"/>
      <c r="DH930" s="73"/>
      <c r="DI930" s="73"/>
      <c r="DJ930" s="73"/>
      <c r="DK930" s="73"/>
      <c r="DL930" s="73"/>
      <c r="DM930" s="73"/>
      <c r="DN930" s="73"/>
      <c r="DO930" s="73"/>
      <c r="DP930" s="73"/>
      <c r="DQ930" s="73"/>
      <c r="DR930" s="73"/>
      <c r="DS930" s="73"/>
      <c r="DT930" s="73"/>
      <c r="DU930" s="73"/>
      <c r="DV930" s="73"/>
      <c r="DW930" s="73"/>
      <c r="DX930" s="72"/>
      <c r="DY930" s="72"/>
      <c r="DZ930" s="73"/>
      <c r="EA930" s="73"/>
      <c r="EB930" s="73"/>
      <c r="EC930" s="73"/>
      <c r="ED930" s="73"/>
      <c r="EE930" s="73"/>
      <c r="EF930" s="73"/>
      <c r="EG930" s="73"/>
      <c r="EH930" s="73"/>
      <c r="EI930" s="73"/>
      <c r="EJ930" s="73"/>
      <c r="EK930" s="73"/>
      <c r="EL930" s="73"/>
      <c r="EM930" s="73"/>
      <c r="EN930" s="73"/>
      <c r="EO930" s="73"/>
      <c r="EP930" s="69"/>
      <c r="EQ930" s="69"/>
      <c r="ER930" s="69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  <c r="CI931" s="73"/>
      <c r="CJ931" s="73"/>
      <c r="CK931" s="73"/>
      <c r="CL931" s="73"/>
      <c r="CM931" s="73"/>
      <c r="CN931" s="73"/>
      <c r="CO931" s="73"/>
      <c r="CP931" s="73"/>
      <c r="CQ931" s="73"/>
      <c r="CR931" s="73"/>
      <c r="CS931" s="73"/>
      <c r="CT931" s="73"/>
      <c r="CU931" s="73"/>
      <c r="CV931" s="73"/>
      <c r="CW931" s="73"/>
      <c r="CX931" s="73"/>
      <c r="CY931" s="73"/>
      <c r="CZ931" s="73"/>
      <c r="DA931" s="73"/>
      <c r="DB931" s="73"/>
      <c r="DC931" s="73"/>
      <c r="DD931" s="73"/>
      <c r="DE931" s="73"/>
      <c r="DF931" s="73"/>
      <c r="DG931" s="73"/>
      <c r="DH931" s="73"/>
      <c r="DI931" s="73"/>
      <c r="DJ931" s="73"/>
      <c r="DK931" s="73"/>
      <c r="DL931" s="73"/>
      <c r="DM931" s="73"/>
      <c r="DN931" s="73"/>
      <c r="DO931" s="73"/>
      <c r="DP931" s="73"/>
      <c r="DQ931" s="73"/>
      <c r="DR931" s="73"/>
      <c r="DS931" s="73"/>
      <c r="DT931" s="73"/>
      <c r="DU931" s="73"/>
      <c r="DV931" s="73"/>
      <c r="DW931" s="73"/>
      <c r="DX931" s="73"/>
      <c r="DY931" s="73"/>
      <c r="DZ931" s="73"/>
      <c r="EA931" s="73"/>
      <c r="EB931" s="73"/>
      <c r="EC931" s="73"/>
      <c r="ED931" s="73"/>
      <c r="EE931" s="73"/>
      <c r="EF931" s="73"/>
      <c r="EG931" s="73"/>
      <c r="EH931" s="73"/>
      <c r="EI931" s="73"/>
      <c r="EJ931" s="73"/>
      <c r="EK931" s="73"/>
      <c r="EL931" s="73"/>
      <c r="EM931" s="73"/>
      <c r="EN931" s="73"/>
      <c r="EO931" s="73"/>
      <c r="EP931" s="69"/>
      <c r="EQ931" s="69"/>
      <c r="ER931" s="69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  <c r="CI932" s="73"/>
      <c r="CJ932" s="73"/>
      <c r="CK932" s="73"/>
      <c r="CL932" s="73"/>
      <c r="CM932" s="73"/>
      <c r="CN932" s="73"/>
      <c r="CO932" s="73"/>
      <c r="CP932" s="73"/>
      <c r="CQ932" s="73"/>
      <c r="CR932" s="73"/>
      <c r="CS932" s="73"/>
      <c r="CT932" s="73"/>
      <c r="CU932" s="73"/>
      <c r="CV932" s="73"/>
      <c r="CW932" s="73"/>
      <c r="CX932" s="73"/>
      <c r="CY932" s="73"/>
      <c r="CZ932" s="73"/>
      <c r="DA932" s="73"/>
      <c r="DB932" s="73"/>
      <c r="DC932" s="73"/>
      <c r="DD932" s="73"/>
      <c r="DE932" s="73"/>
      <c r="DF932" s="73"/>
      <c r="DG932" s="73"/>
      <c r="DH932" s="73"/>
      <c r="DI932" s="73"/>
      <c r="DJ932" s="73"/>
      <c r="DK932" s="73"/>
      <c r="DL932" s="73"/>
      <c r="DM932" s="73"/>
      <c r="DN932" s="73"/>
      <c r="DO932" s="73"/>
      <c r="DP932" s="73"/>
      <c r="DQ932" s="73"/>
      <c r="DR932" s="73"/>
      <c r="DS932" s="73"/>
      <c r="DT932" s="73"/>
      <c r="DU932" s="73"/>
      <c r="DV932" s="73"/>
      <c r="DW932" s="73"/>
      <c r="DX932" s="72"/>
      <c r="DY932" s="72"/>
      <c r="DZ932" s="73"/>
      <c r="EA932" s="73"/>
      <c r="EB932" s="73"/>
      <c r="EC932" s="73"/>
      <c r="ED932" s="73"/>
      <c r="EE932" s="73"/>
      <c r="EF932" s="73"/>
      <c r="EG932" s="73"/>
      <c r="EH932" s="73"/>
      <c r="EI932" s="73"/>
      <c r="EJ932" s="73"/>
      <c r="EK932" s="73"/>
      <c r="EL932" s="73"/>
      <c r="EM932" s="73"/>
      <c r="EN932" s="73"/>
      <c r="EO932" s="73"/>
      <c r="EP932" s="69"/>
      <c r="EQ932" s="69"/>
      <c r="ER932" s="69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  <c r="CI933" s="73"/>
      <c r="CJ933" s="73"/>
      <c r="CK933" s="73"/>
      <c r="CL933" s="73"/>
      <c r="CM933" s="73"/>
      <c r="CN933" s="73"/>
      <c r="CO933" s="73"/>
      <c r="CP933" s="73"/>
      <c r="CQ933" s="73"/>
      <c r="CR933" s="73"/>
      <c r="CS933" s="73"/>
      <c r="CT933" s="73"/>
      <c r="CU933" s="73"/>
      <c r="CV933" s="73"/>
      <c r="CW933" s="73"/>
      <c r="CX933" s="73"/>
      <c r="CY933" s="73"/>
      <c r="CZ933" s="73"/>
      <c r="DA933" s="73"/>
      <c r="DB933" s="73"/>
      <c r="DC933" s="73"/>
      <c r="DD933" s="73"/>
      <c r="DE933" s="73"/>
      <c r="DF933" s="73"/>
      <c r="DG933" s="73"/>
      <c r="DH933" s="73"/>
      <c r="DI933" s="73"/>
      <c r="DJ933" s="73"/>
      <c r="DK933" s="73"/>
      <c r="DL933" s="73"/>
      <c r="DM933" s="73"/>
      <c r="DN933" s="73"/>
      <c r="DO933" s="73"/>
      <c r="DP933" s="73"/>
      <c r="DQ933" s="73"/>
      <c r="DR933" s="73"/>
      <c r="DS933" s="73"/>
      <c r="DT933" s="73"/>
      <c r="DU933" s="73"/>
      <c r="DV933" s="73"/>
      <c r="DW933" s="73"/>
      <c r="DX933" s="72"/>
      <c r="DY933" s="72"/>
      <c r="DZ933" s="73"/>
      <c r="EA933" s="73"/>
      <c r="EB933" s="73"/>
      <c r="EC933" s="73"/>
      <c r="ED933" s="73"/>
      <c r="EE933" s="73"/>
      <c r="EF933" s="73"/>
      <c r="EG933" s="73"/>
      <c r="EH933" s="73"/>
      <c r="EI933" s="73"/>
      <c r="EJ933" s="73"/>
      <c r="EK933" s="73"/>
      <c r="EL933" s="73"/>
      <c r="EM933" s="73"/>
      <c r="EN933" s="73"/>
      <c r="EO933" s="73"/>
      <c r="EP933" s="69"/>
      <c r="EQ933" s="69"/>
      <c r="ER933" s="69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  <c r="CI934" s="73"/>
      <c r="CJ934" s="73"/>
      <c r="CK934" s="73"/>
      <c r="CL934" s="73"/>
      <c r="CM934" s="72"/>
      <c r="CN934" s="73"/>
      <c r="CO934" s="73"/>
      <c r="CP934" s="73"/>
      <c r="CQ934" s="73"/>
      <c r="CR934" s="73"/>
      <c r="CS934" s="73"/>
      <c r="CT934" s="73"/>
      <c r="CU934" s="73"/>
      <c r="CV934" s="73"/>
      <c r="CW934" s="73"/>
      <c r="CX934" s="73"/>
      <c r="CY934" s="73"/>
      <c r="CZ934" s="73"/>
      <c r="DA934" s="73"/>
      <c r="DB934" s="73"/>
      <c r="DC934" s="73"/>
      <c r="DD934" s="73"/>
      <c r="DE934" s="73"/>
      <c r="DF934" s="73"/>
      <c r="DG934" s="73"/>
      <c r="DH934" s="73"/>
      <c r="DI934" s="73"/>
      <c r="DJ934" s="73"/>
      <c r="DK934" s="73"/>
      <c r="DL934" s="73"/>
      <c r="DM934" s="73"/>
      <c r="DN934" s="73"/>
      <c r="DO934" s="73"/>
      <c r="DP934" s="73"/>
      <c r="DQ934" s="73"/>
      <c r="DR934" s="73"/>
      <c r="DS934" s="73"/>
      <c r="DT934" s="73"/>
      <c r="DU934" s="73"/>
      <c r="DV934" s="73"/>
      <c r="DW934" s="73"/>
      <c r="DX934" s="72"/>
      <c r="DY934" s="72"/>
      <c r="DZ934" s="73"/>
      <c r="EA934" s="73"/>
      <c r="EB934" s="73"/>
      <c r="EC934" s="73"/>
      <c r="ED934" s="73"/>
      <c r="EE934" s="73"/>
      <c r="EF934" s="73"/>
      <c r="EG934" s="73"/>
      <c r="EH934" s="73"/>
      <c r="EI934" s="73"/>
      <c r="EJ934" s="73"/>
      <c r="EK934" s="73"/>
      <c r="EL934" s="73"/>
      <c r="EM934" s="73"/>
      <c r="EN934" s="73"/>
      <c r="EO934" s="73"/>
      <c r="EP934" s="69"/>
      <c r="EQ934" s="69"/>
      <c r="ER934" s="69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  <c r="CI935" s="73"/>
      <c r="CJ935" s="73"/>
      <c r="CK935" s="73"/>
      <c r="CL935" s="73"/>
      <c r="CM935" s="73"/>
      <c r="CN935" s="73"/>
      <c r="CO935" s="73"/>
      <c r="CP935" s="73"/>
      <c r="CQ935" s="73"/>
      <c r="CR935" s="73"/>
      <c r="CS935" s="73"/>
      <c r="CT935" s="73"/>
      <c r="CU935" s="73"/>
      <c r="CV935" s="73"/>
      <c r="CW935" s="73"/>
      <c r="CX935" s="73"/>
      <c r="CY935" s="73"/>
      <c r="CZ935" s="73"/>
      <c r="DA935" s="73"/>
      <c r="DB935" s="73"/>
      <c r="DC935" s="73"/>
      <c r="DD935" s="73"/>
      <c r="DE935" s="73"/>
      <c r="DF935" s="73"/>
      <c r="DG935" s="73"/>
      <c r="DH935" s="73"/>
      <c r="DI935" s="73"/>
      <c r="DJ935" s="73"/>
      <c r="DK935" s="73"/>
      <c r="DL935" s="73"/>
      <c r="DM935" s="73"/>
      <c r="DN935" s="73"/>
      <c r="DO935" s="73"/>
      <c r="DP935" s="73"/>
      <c r="DQ935" s="73"/>
      <c r="DR935" s="73"/>
      <c r="DS935" s="73"/>
      <c r="DT935" s="73"/>
      <c r="DU935" s="73"/>
      <c r="DV935" s="73"/>
      <c r="DW935" s="73"/>
      <c r="DX935" s="72"/>
      <c r="DY935" s="72"/>
      <c r="DZ935" s="73"/>
      <c r="EA935" s="73"/>
      <c r="EB935" s="73"/>
      <c r="EC935" s="73"/>
      <c r="ED935" s="73"/>
      <c r="EE935" s="73"/>
      <c r="EF935" s="73"/>
      <c r="EG935" s="73"/>
      <c r="EH935" s="73"/>
      <c r="EI935" s="73"/>
      <c r="EJ935" s="73"/>
      <c r="EK935" s="73"/>
      <c r="EL935" s="73"/>
      <c r="EM935" s="73"/>
      <c r="EN935" s="73"/>
      <c r="EO935" s="73"/>
      <c r="EP935" s="69"/>
      <c r="EQ935" s="69"/>
      <c r="ER935" s="69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  <c r="CI936" s="73"/>
      <c r="CJ936" s="73"/>
      <c r="CK936" s="73"/>
      <c r="CL936" s="73"/>
      <c r="CM936" s="72"/>
      <c r="CN936" s="73"/>
      <c r="CO936" s="73"/>
      <c r="CP936" s="73"/>
      <c r="CQ936" s="73"/>
      <c r="CR936" s="73"/>
      <c r="CS936" s="73"/>
      <c r="CT936" s="73"/>
      <c r="CU936" s="73"/>
      <c r="CV936" s="73"/>
      <c r="CW936" s="73"/>
      <c r="CX936" s="73"/>
      <c r="CY936" s="73"/>
      <c r="CZ936" s="73"/>
      <c r="DA936" s="73"/>
      <c r="DB936" s="73"/>
      <c r="DC936" s="73"/>
      <c r="DD936" s="73"/>
      <c r="DE936" s="73"/>
      <c r="DF936" s="73"/>
      <c r="DG936" s="73"/>
      <c r="DH936" s="73"/>
      <c r="DI936" s="73"/>
      <c r="DJ936" s="73"/>
      <c r="DK936" s="73"/>
      <c r="DL936" s="73"/>
      <c r="DM936" s="73"/>
      <c r="DN936" s="73"/>
      <c r="DO936" s="73"/>
      <c r="DP936" s="73"/>
      <c r="DQ936" s="73"/>
      <c r="DR936" s="73"/>
      <c r="DS936" s="73"/>
      <c r="DT936" s="73"/>
      <c r="DU936" s="73"/>
      <c r="DV936" s="73"/>
      <c r="DW936" s="73"/>
      <c r="DX936" s="72"/>
      <c r="DY936" s="72"/>
      <c r="DZ936" s="73"/>
      <c r="EA936" s="73"/>
      <c r="EB936" s="73"/>
      <c r="EC936" s="73"/>
      <c r="ED936" s="73"/>
      <c r="EE936" s="73"/>
      <c r="EF936" s="73"/>
      <c r="EG936" s="73"/>
      <c r="EH936" s="73"/>
      <c r="EI936" s="73"/>
      <c r="EJ936" s="73"/>
      <c r="EK936" s="73"/>
      <c r="EL936" s="73"/>
      <c r="EM936" s="73"/>
      <c r="EN936" s="73"/>
      <c r="EO936" s="73"/>
      <c r="EP936" s="69"/>
      <c r="EQ936" s="69"/>
      <c r="ER936" s="69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  <c r="CI937" s="73"/>
      <c r="CJ937" s="73"/>
      <c r="CK937" s="73"/>
      <c r="CL937" s="73"/>
      <c r="CM937" s="72"/>
      <c r="CN937" s="73"/>
      <c r="CO937" s="73"/>
      <c r="CP937" s="73"/>
      <c r="CQ937" s="73"/>
      <c r="CR937" s="73"/>
      <c r="CS937" s="73"/>
      <c r="CT937" s="73"/>
      <c r="CU937" s="73"/>
      <c r="CV937" s="73"/>
      <c r="CW937" s="73"/>
      <c r="CX937" s="73"/>
      <c r="CY937" s="73"/>
      <c r="CZ937" s="73"/>
      <c r="DA937" s="73"/>
      <c r="DB937" s="73"/>
      <c r="DC937" s="73"/>
      <c r="DD937" s="73"/>
      <c r="DE937" s="73"/>
      <c r="DF937" s="73"/>
      <c r="DG937" s="73"/>
      <c r="DH937" s="73"/>
      <c r="DI937" s="73"/>
      <c r="DJ937" s="73"/>
      <c r="DK937" s="73"/>
      <c r="DL937" s="73"/>
      <c r="DM937" s="73"/>
      <c r="DN937" s="73"/>
      <c r="DO937" s="73"/>
      <c r="DP937" s="73"/>
      <c r="DQ937" s="73"/>
      <c r="DR937" s="73"/>
      <c r="DS937" s="73"/>
      <c r="DT937" s="73"/>
      <c r="DU937" s="73"/>
      <c r="DV937" s="73"/>
      <c r="DW937" s="73"/>
      <c r="DX937" s="72"/>
      <c r="DY937" s="72"/>
      <c r="DZ937" s="73"/>
      <c r="EA937" s="73"/>
      <c r="EB937" s="73"/>
      <c r="EC937" s="73"/>
      <c r="ED937" s="73"/>
      <c r="EE937" s="73"/>
      <c r="EF937" s="73"/>
      <c r="EG937" s="73"/>
      <c r="EH937" s="73"/>
      <c r="EI937" s="73"/>
      <c r="EJ937" s="73"/>
      <c r="EK937" s="73"/>
      <c r="EL937" s="73"/>
      <c r="EM937" s="73"/>
      <c r="EN937" s="73"/>
      <c r="EO937" s="73"/>
      <c r="EP937" s="69"/>
      <c r="EQ937" s="69"/>
      <c r="ER937" s="69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  <c r="CI938" s="73"/>
      <c r="CJ938" s="73"/>
      <c r="CK938" s="73"/>
      <c r="CL938" s="73"/>
      <c r="CM938" s="72"/>
      <c r="CN938" s="73"/>
      <c r="CO938" s="73"/>
      <c r="CP938" s="73"/>
      <c r="CQ938" s="73"/>
      <c r="CR938" s="73"/>
      <c r="CS938" s="73"/>
      <c r="CT938" s="73"/>
      <c r="CU938" s="73"/>
      <c r="CV938" s="73"/>
      <c r="CW938" s="73"/>
      <c r="CX938" s="73"/>
      <c r="CY938" s="73"/>
      <c r="CZ938" s="73"/>
      <c r="DA938" s="73"/>
      <c r="DB938" s="73"/>
      <c r="DC938" s="73"/>
      <c r="DD938" s="73"/>
      <c r="DE938" s="73"/>
      <c r="DF938" s="73"/>
      <c r="DG938" s="73"/>
      <c r="DH938" s="73"/>
      <c r="DI938" s="73"/>
      <c r="DJ938" s="73"/>
      <c r="DK938" s="73"/>
      <c r="DL938" s="73"/>
      <c r="DM938" s="73"/>
      <c r="DN938" s="73"/>
      <c r="DO938" s="73"/>
      <c r="DP938" s="73"/>
      <c r="DQ938" s="73"/>
      <c r="DR938" s="73"/>
      <c r="DS938" s="73"/>
      <c r="DT938" s="73"/>
      <c r="DU938" s="73"/>
      <c r="DV938" s="73"/>
      <c r="DW938" s="73"/>
      <c r="DX938" s="72"/>
      <c r="DY938" s="72"/>
      <c r="DZ938" s="73"/>
      <c r="EA938" s="73"/>
      <c r="EB938" s="73"/>
      <c r="EC938" s="73"/>
      <c r="ED938" s="73"/>
      <c r="EE938" s="73"/>
      <c r="EF938" s="73"/>
      <c r="EG938" s="73"/>
      <c r="EH938" s="73"/>
      <c r="EI938" s="73"/>
      <c r="EJ938" s="73"/>
      <c r="EK938" s="73"/>
      <c r="EL938" s="73"/>
      <c r="EM938" s="73"/>
      <c r="EN938" s="73"/>
      <c r="EO938" s="73"/>
      <c r="EP938" s="69"/>
      <c r="EQ938" s="69"/>
      <c r="ER938" s="69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  <c r="CK939" s="73"/>
      <c r="CL939" s="73"/>
      <c r="CM939" s="73"/>
      <c r="CN939" s="73"/>
      <c r="CO939" s="73"/>
      <c r="CP939" s="73"/>
      <c r="CQ939" s="73"/>
      <c r="CR939" s="73"/>
      <c r="CS939" s="73"/>
      <c r="CT939" s="73"/>
      <c r="CU939" s="73"/>
      <c r="CV939" s="73"/>
      <c r="CW939" s="73"/>
      <c r="CX939" s="73"/>
      <c r="CY939" s="73"/>
      <c r="CZ939" s="73"/>
      <c r="DA939" s="73"/>
      <c r="DB939" s="73"/>
      <c r="DC939" s="73"/>
      <c r="DD939" s="73"/>
      <c r="DE939" s="73"/>
      <c r="DF939" s="73"/>
      <c r="DG939" s="73"/>
      <c r="DH939" s="73"/>
      <c r="DI939" s="73"/>
      <c r="DJ939" s="73"/>
      <c r="DK939" s="73"/>
      <c r="DL939" s="73"/>
      <c r="DM939" s="73"/>
      <c r="DN939" s="73"/>
      <c r="DO939" s="73"/>
      <c r="DP939" s="73"/>
      <c r="DQ939" s="73"/>
      <c r="DR939" s="73"/>
      <c r="DS939" s="73"/>
      <c r="DT939" s="73"/>
      <c r="DU939" s="73"/>
      <c r="DV939" s="73"/>
      <c r="DW939" s="73"/>
      <c r="DX939" s="72"/>
      <c r="DY939" s="72"/>
      <c r="DZ939" s="73"/>
      <c r="EA939" s="73"/>
      <c r="EB939" s="73"/>
      <c r="EC939" s="73"/>
      <c r="ED939" s="73"/>
      <c r="EE939" s="73"/>
      <c r="EF939" s="73"/>
      <c r="EG939" s="73"/>
      <c r="EH939" s="73"/>
      <c r="EI939" s="73"/>
      <c r="EJ939" s="73"/>
      <c r="EK939" s="73"/>
      <c r="EL939" s="73"/>
      <c r="EM939" s="73"/>
      <c r="EN939" s="73"/>
      <c r="EO939" s="73"/>
      <c r="EP939" s="69"/>
      <c r="EQ939" s="69"/>
      <c r="ER939" s="69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  <c r="CI940" s="73"/>
      <c r="CJ940" s="73"/>
      <c r="CK940" s="73"/>
      <c r="CL940" s="73"/>
      <c r="CM940" s="73"/>
      <c r="CN940" s="73"/>
      <c r="CO940" s="73"/>
      <c r="CP940" s="73"/>
      <c r="CQ940" s="73"/>
      <c r="CR940" s="73"/>
      <c r="CS940" s="73"/>
      <c r="CT940" s="73"/>
      <c r="CU940" s="73"/>
      <c r="CV940" s="73"/>
      <c r="CW940" s="73"/>
      <c r="CX940" s="73"/>
      <c r="CY940" s="73"/>
      <c r="CZ940" s="73"/>
      <c r="DA940" s="73"/>
      <c r="DB940" s="73"/>
      <c r="DC940" s="73"/>
      <c r="DD940" s="73"/>
      <c r="DE940" s="73"/>
      <c r="DF940" s="73"/>
      <c r="DG940" s="73"/>
      <c r="DH940" s="73"/>
      <c r="DI940" s="73"/>
      <c r="DJ940" s="73"/>
      <c r="DK940" s="73"/>
      <c r="DL940" s="73"/>
      <c r="DM940" s="73"/>
      <c r="DN940" s="73"/>
      <c r="DO940" s="73"/>
      <c r="DP940" s="73"/>
      <c r="DQ940" s="73"/>
      <c r="DR940" s="73"/>
      <c r="DS940" s="73"/>
      <c r="DT940" s="73"/>
      <c r="DU940" s="73"/>
      <c r="DV940" s="73"/>
      <c r="DW940" s="73"/>
      <c r="DX940" s="72"/>
      <c r="DY940" s="72"/>
      <c r="DZ940" s="73"/>
      <c r="EA940" s="73"/>
      <c r="EB940" s="73"/>
      <c r="EC940" s="73"/>
      <c r="ED940" s="73"/>
      <c r="EE940" s="73"/>
      <c r="EF940" s="73"/>
      <c r="EG940" s="73"/>
      <c r="EH940" s="73"/>
      <c r="EI940" s="73"/>
      <c r="EJ940" s="73"/>
      <c r="EK940" s="73"/>
      <c r="EL940" s="73"/>
      <c r="EM940" s="73"/>
      <c r="EN940" s="73"/>
      <c r="EO940" s="73"/>
      <c r="EP940" s="69"/>
      <c r="EQ940" s="69"/>
      <c r="ER940" s="69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  <c r="CI941" s="73"/>
      <c r="CJ941" s="73"/>
      <c r="CK941" s="73"/>
      <c r="CL941" s="73"/>
      <c r="CM941" s="73"/>
      <c r="CN941" s="73"/>
      <c r="CO941" s="73"/>
      <c r="CP941" s="73"/>
      <c r="CQ941" s="73"/>
      <c r="CR941" s="73"/>
      <c r="CS941" s="73"/>
      <c r="CT941" s="73"/>
      <c r="CU941" s="73"/>
      <c r="CV941" s="73"/>
      <c r="CW941" s="73"/>
      <c r="CX941" s="73"/>
      <c r="CY941" s="73"/>
      <c r="CZ941" s="73"/>
      <c r="DA941" s="73"/>
      <c r="DB941" s="73"/>
      <c r="DC941" s="73"/>
      <c r="DD941" s="73"/>
      <c r="DE941" s="73"/>
      <c r="DF941" s="73"/>
      <c r="DG941" s="73"/>
      <c r="DH941" s="73"/>
      <c r="DI941" s="73"/>
      <c r="DJ941" s="73"/>
      <c r="DK941" s="73"/>
      <c r="DL941" s="73"/>
      <c r="DM941" s="73"/>
      <c r="DN941" s="73"/>
      <c r="DO941" s="73"/>
      <c r="DP941" s="73"/>
      <c r="DQ941" s="73"/>
      <c r="DR941" s="73"/>
      <c r="DS941" s="73"/>
      <c r="DT941" s="73"/>
      <c r="DU941" s="73"/>
      <c r="DV941" s="73"/>
      <c r="DW941" s="73"/>
      <c r="DX941" s="72"/>
      <c r="DY941" s="72"/>
      <c r="DZ941" s="73"/>
      <c r="EA941" s="73"/>
      <c r="EB941" s="73"/>
      <c r="EC941" s="73"/>
      <c r="ED941" s="73"/>
      <c r="EE941" s="73"/>
      <c r="EF941" s="73"/>
      <c r="EG941" s="73"/>
      <c r="EH941" s="73"/>
      <c r="EI941" s="73"/>
      <c r="EJ941" s="73"/>
      <c r="EK941" s="73"/>
      <c r="EL941" s="73"/>
      <c r="EM941" s="73"/>
      <c r="EN941" s="73"/>
      <c r="EO941" s="73"/>
      <c r="EP941" s="69"/>
      <c r="EQ941" s="69"/>
      <c r="ER941" s="69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  <c r="CI942" s="73"/>
      <c r="CJ942" s="73"/>
      <c r="CK942" s="73"/>
      <c r="CL942" s="73"/>
      <c r="CM942" s="72"/>
      <c r="CN942" s="73"/>
      <c r="CO942" s="73"/>
      <c r="CP942" s="73"/>
      <c r="CQ942" s="73"/>
      <c r="CR942" s="73"/>
      <c r="CS942" s="73"/>
      <c r="CT942" s="73"/>
      <c r="CU942" s="73"/>
      <c r="CV942" s="73"/>
      <c r="CW942" s="73"/>
      <c r="CX942" s="73"/>
      <c r="CY942" s="73"/>
      <c r="CZ942" s="73"/>
      <c r="DA942" s="73"/>
      <c r="DB942" s="73"/>
      <c r="DC942" s="73"/>
      <c r="DD942" s="73"/>
      <c r="DE942" s="73"/>
      <c r="DF942" s="73"/>
      <c r="DG942" s="73"/>
      <c r="DH942" s="73"/>
      <c r="DI942" s="73"/>
      <c r="DJ942" s="73"/>
      <c r="DK942" s="73"/>
      <c r="DL942" s="73"/>
      <c r="DM942" s="73"/>
      <c r="DN942" s="73"/>
      <c r="DO942" s="73"/>
      <c r="DP942" s="73"/>
      <c r="DQ942" s="73"/>
      <c r="DR942" s="73"/>
      <c r="DS942" s="73"/>
      <c r="DT942" s="73"/>
      <c r="DU942" s="73"/>
      <c r="DV942" s="73"/>
      <c r="DW942" s="73"/>
      <c r="DX942" s="72"/>
      <c r="DY942" s="72"/>
      <c r="DZ942" s="73"/>
      <c r="EA942" s="73"/>
      <c r="EB942" s="73"/>
      <c r="EC942" s="73"/>
      <c r="ED942" s="73"/>
      <c r="EE942" s="73"/>
      <c r="EF942" s="73"/>
      <c r="EG942" s="73"/>
      <c r="EH942" s="73"/>
      <c r="EI942" s="73"/>
      <c r="EJ942" s="73"/>
      <c r="EK942" s="73"/>
      <c r="EL942" s="73"/>
      <c r="EM942" s="73"/>
      <c r="EN942" s="73"/>
      <c r="EO942" s="73"/>
      <c r="EP942" s="69"/>
      <c r="EQ942" s="69"/>
      <c r="ER942" s="69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  <c r="CI943" s="73"/>
      <c r="CJ943" s="73"/>
      <c r="CK943" s="73"/>
      <c r="CL943" s="73"/>
      <c r="CM943" s="73"/>
      <c r="CN943" s="73"/>
      <c r="CO943" s="73"/>
      <c r="CP943" s="73"/>
      <c r="CQ943" s="73"/>
      <c r="CR943" s="73"/>
      <c r="CS943" s="73"/>
      <c r="CT943" s="73"/>
      <c r="CU943" s="73"/>
      <c r="CV943" s="73"/>
      <c r="CW943" s="73"/>
      <c r="CX943" s="73"/>
      <c r="CY943" s="73"/>
      <c r="CZ943" s="73"/>
      <c r="DA943" s="73"/>
      <c r="DB943" s="73"/>
      <c r="DC943" s="73"/>
      <c r="DD943" s="73"/>
      <c r="DE943" s="73"/>
      <c r="DF943" s="73"/>
      <c r="DG943" s="73"/>
      <c r="DH943" s="73"/>
      <c r="DI943" s="73"/>
      <c r="DJ943" s="73"/>
      <c r="DK943" s="73"/>
      <c r="DL943" s="73"/>
      <c r="DM943" s="73"/>
      <c r="DN943" s="73"/>
      <c r="DO943" s="73"/>
      <c r="DP943" s="73"/>
      <c r="DQ943" s="73"/>
      <c r="DR943" s="73"/>
      <c r="DS943" s="73"/>
      <c r="DT943" s="73"/>
      <c r="DU943" s="73"/>
      <c r="DV943" s="73"/>
      <c r="DW943" s="73"/>
      <c r="DX943" s="73"/>
      <c r="DY943" s="73"/>
      <c r="DZ943" s="73"/>
      <c r="EA943" s="73"/>
      <c r="EB943" s="73"/>
      <c r="EC943" s="73"/>
      <c r="ED943" s="73"/>
      <c r="EE943" s="73"/>
      <c r="EF943" s="73"/>
      <c r="EG943" s="73"/>
      <c r="EH943" s="73"/>
      <c r="EI943" s="73"/>
      <c r="EJ943" s="73"/>
      <c r="EK943" s="73"/>
      <c r="EL943" s="73"/>
      <c r="EM943" s="73"/>
      <c r="EN943" s="73"/>
      <c r="EO943" s="73"/>
      <c r="EP943" s="69"/>
      <c r="EQ943" s="69"/>
      <c r="ER943" s="69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  <c r="CI944" s="73"/>
      <c r="CJ944" s="73"/>
      <c r="CK944" s="73"/>
      <c r="CL944" s="73"/>
      <c r="CM944" s="72"/>
      <c r="CN944" s="73"/>
      <c r="CO944" s="73"/>
      <c r="CP944" s="73"/>
      <c r="CQ944" s="73"/>
      <c r="CR944" s="73"/>
      <c r="CS944" s="73"/>
      <c r="CT944" s="73"/>
      <c r="CU944" s="73"/>
      <c r="CV944" s="73"/>
      <c r="CW944" s="73"/>
      <c r="CX944" s="73"/>
      <c r="CY944" s="73"/>
      <c r="CZ944" s="73"/>
      <c r="DA944" s="73"/>
      <c r="DB944" s="73"/>
      <c r="DC944" s="73"/>
      <c r="DD944" s="73"/>
      <c r="DE944" s="73"/>
      <c r="DF944" s="73"/>
      <c r="DG944" s="73"/>
      <c r="DH944" s="73"/>
      <c r="DI944" s="73"/>
      <c r="DJ944" s="73"/>
      <c r="DK944" s="73"/>
      <c r="DL944" s="73"/>
      <c r="DM944" s="73"/>
      <c r="DN944" s="73"/>
      <c r="DO944" s="73"/>
      <c r="DP944" s="73"/>
      <c r="DQ944" s="73"/>
      <c r="DR944" s="73"/>
      <c r="DS944" s="73"/>
      <c r="DT944" s="73"/>
      <c r="DU944" s="73"/>
      <c r="DV944" s="73"/>
      <c r="DW944" s="73"/>
      <c r="DX944" s="72"/>
      <c r="DY944" s="72"/>
      <c r="DZ944" s="73"/>
      <c r="EA944" s="73"/>
      <c r="EB944" s="73"/>
      <c r="EC944" s="73"/>
      <c r="ED944" s="73"/>
      <c r="EE944" s="73"/>
      <c r="EF944" s="73"/>
      <c r="EG944" s="73"/>
      <c r="EH944" s="73"/>
      <c r="EI944" s="73"/>
      <c r="EJ944" s="73"/>
      <c r="EK944" s="73"/>
      <c r="EL944" s="73"/>
      <c r="EM944" s="73"/>
      <c r="EN944" s="73"/>
      <c r="EO944" s="73"/>
      <c r="EP944" s="69"/>
      <c r="EQ944" s="69"/>
      <c r="ER944" s="69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  <c r="CI945" s="73"/>
      <c r="CJ945" s="73"/>
      <c r="CK945" s="73"/>
      <c r="CL945" s="73"/>
      <c r="CM945" s="72"/>
      <c r="CN945" s="73"/>
      <c r="CO945" s="73"/>
      <c r="CP945" s="73"/>
      <c r="CQ945" s="73"/>
      <c r="CR945" s="73"/>
      <c r="CS945" s="73"/>
      <c r="CT945" s="73"/>
      <c r="CU945" s="73"/>
      <c r="CV945" s="73"/>
      <c r="CW945" s="73"/>
      <c r="CX945" s="73"/>
      <c r="CY945" s="73"/>
      <c r="CZ945" s="73"/>
      <c r="DA945" s="73"/>
      <c r="DB945" s="73"/>
      <c r="DC945" s="73"/>
      <c r="DD945" s="73"/>
      <c r="DE945" s="73"/>
      <c r="DF945" s="73"/>
      <c r="DG945" s="73"/>
      <c r="DH945" s="73"/>
      <c r="DI945" s="73"/>
      <c r="DJ945" s="73"/>
      <c r="DK945" s="73"/>
      <c r="DL945" s="73"/>
      <c r="DM945" s="73"/>
      <c r="DN945" s="73"/>
      <c r="DO945" s="73"/>
      <c r="DP945" s="73"/>
      <c r="DQ945" s="73"/>
      <c r="DR945" s="73"/>
      <c r="DS945" s="73"/>
      <c r="DT945" s="73"/>
      <c r="DU945" s="73"/>
      <c r="DV945" s="73"/>
      <c r="DW945" s="73"/>
      <c r="DX945" s="72"/>
      <c r="DY945" s="72"/>
      <c r="DZ945" s="73"/>
      <c r="EA945" s="73"/>
      <c r="EB945" s="73"/>
      <c r="EC945" s="73"/>
      <c r="ED945" s="73"/>
      <c r="EE945" s="73"/>
      <c r="EF945" s="73"/>
      <c r="EG945" s="73"/>
      <c r="EH945" s="73"/>
      <c r="EI945" s="73"/>
      <c r="EJ945" s="73"/>
      <c r="EK945" s="73"/>
      <c r="EL945" s="73"/>
      <c r="EM945" s="73"/>
      <c r="EN945" s="73"/>
      <c r="EO945" s="73"/>
      <c r="EP945" s="69"/>
      <c r="EQ945" s="69"/>
      <c r="ER945" s="69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  <c r="CI946" s="73"/>
      <c r="CJ946" s="73"/>
      <c r="CK946" s="73"/>
      <c r="CL946" s="73"/>
      <c r="CM946" s="72"/>
      <c r="CN946" s="73"/>
      <c r="CO946" s="73"/>
      <c r="CP946" s="73"/>
      <c r="CQ946" s="73"/>
      <c r="CR946" s="73"/>
      <c r="CS946" s="73"/>
      <c r="CT946" s="73"/>
      <c r="CU946" s="73"/>
      <c r="CV946" s="73"/>
      <c r="CW946" s="73"/>
      <c r="CX946" s="73"/>
      <c r="CY946" s="73"/>
      <c r="CZ946" s="73"/>
      <c r="DA946" s="73"/>
      <c r="DB946" s="73"/>
      <c r="DC946" s="73"/>
      <c r="DD946" s="73"/>
      <c r="DE946" s="73"/>
      <c r="DF946" s="73"/>
      <c r="DG946" s="73"/>
      <c r="DH946" s="73"/>
      <c r="DI946" s="73"/>
      <c r="DJ946" s="73"/>
      <c r="DK946" s="73"/>
      <c r="DL946" s="73"/>
      <c r="DM946" s="73"/>
      <c r="DN946" s="73"/>
      <c r="DO946" s="73"/>
      <c r="DP946" s="73"/>
      <c r="DQ946" s="73"/>
      <c r="DR946" s="73"/>
      <c r="DS946" s="73"/>
      <c r="DT946" s="73"/>
      <c r="DU946" s="73"/>
      <c r="DV946" s="73"/>
      <c r="DW946" s="73"/>
      <c r="DX946" s="72"/>
      <c r="DY946" s="72"/>
      <c r="DZ946" s="73"/>
      <c r="EA946" s="73"/>
      <c r="EB946" s="73"/>
      <c r="EC946" s="73"/>
      <c r="ED946" s="73"/>
      <c r="EE946" s="73"/>
      <c r="EF946" s="73"/>
      <c r="EG946" s="73"/>
      <c r="EH946" s="73"/>
      <c r="EI946" s="73"/>
      <c r="EJ946" s="73"/>
      <c r="EK946" s="73"/>
      <c r="EL946" s="73"/>
      <c r="EM946" s="73"/>
      <c r="EN946" s="73"/>
      <c r="EO946" s="73"/>
      <c r="EP946" s="69"/>
      <c r="EQ946" s="69"/>
      <c r="ER946" s="69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  <c r="CI947" s="73"/>
      <c r="CJ947" s="73"/>
      <c r="CK947" s="73"/>
      <c r="CL947" s="73"/>
      <c r="CM947" s="73"/>
      <c r="CN947" s="73"/>
      <c r="CO947" s="73"/>
      <c r="CP947" s="73"/>
      <c r="CQ947" s="73"/>
      <c r="CR947" s="73"/>
      <c r="CS947" s="73"/>
      <c r="CT947" s="73"/>
      <c r="CU947" s="73"/>
      <c r="CV947" s="73"/>
      <c r="CW947" s="73"/>
      <c r="CX947" s="73"/>
      <c r="CY947" s="73"/>
      <c r="CZ947" s="73"/>
      <c r="DA947" s="73"/>
      <c r="DB947" s="73"/>
      <c r="DC947" s="73"/>
      <c r="DD947" s="73"/>
      <c r="DE947" s="73"/>
      <c r="DF947" s="73"/>
      <c r="DG947" s="73"/>
      <c r="DH947" s="73"/>
      <c r="DI947" s="73"/>
      <c r="DJ947" s="73"/>
      <c r="DK947" s="73"/>
      <c r="DL947" s="73"/>
      <c r="DM947" s="73"/>
      <c r="DN947" s="73"/>
      <c r="DO947" s="73"/>
      <c r="DP947" s="73"/>
      <c r="DQ947" s="73"/>
      <c r="DR947" s="73"/>
      <c r="DS947" s="73"/>
      <c r="DT947" s="73"/>
      <c r="DU947" s="73"/>
      <c r="DV947" s="73"/>
      <c r="DW947" s="73"/>
      <c r="DX947" s="73"/>
      <c r="DY947" s="73"/>
      <c r="DZ947" s="73"/>
      <c r="EA947" s="73"/>
      <c r="EB947" s="73"/>
      <c r="EC947" s="73"/>
      <c r="ED947" s="73"/>
      <c r="EE947" s="73"/>
      <c r="EF947" s="73"/>
      <c r="EG947" s="73"/>
      <c r="EH947" s="73"/>
      <c r="EI947" s="73"/>
      <c r="EJ947" s="73"/>
      <c r="EK947" s="73"/>
      <c r="EL947" s="73"/>
      <c r="EM947" s="73"/>
      <c r="EN947" s="73"/>
      <c r="EO947" s="73"/>
      <c r="EP947" s="69"/>
      <c r="EQ947" s="69"/>
      <c r="ER947" s="69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  <c r="CI948" s="73"/>
      <c r="CJ948" s="73"/>
      <c r="CK948" s="73"/>
      <c r="CL948" s="73"/>
      <c r="CM948" s="72"/>
      <c r="CN948" s="73"/>
      <c r="CO948" s="73"/>
      <c r="CP948" s="73"/>
      <c r="CQ948" s="73"/>
      <c r="CR948" s="73"/>
      <c r="CS948" s="73"/>
      <c r="CT948" s="73"/>
      <c r="CU948" s="73"/>
      <c r="CV948" s="73"/>
      <c r="CW948" s="73"/>
      <c r="CX948" s="73"/>
      <c r="CY948" s="73"/>
      <c r="CZ948" s="73"/>
      <c r="DA948" s="73"/>
      <c r="DB948" s="73"/>
      <c r="DC948" s="73"/>
      <c r="DD948" s="73"/>
      <c r="DE948" s="73"/>
      <c r="DF948" s="73"/>
      <c r="DG948" s="73"/>
      <c r="DH948" s="73"/>
      <c r="DI948" s="73"/>
      <c r="DJ948" s="73"/>
      <c r="DK948" s="73"/>
      <c r="DL948" s="73"/>
      <c r="DM948" s="73"/>
      <c r="DN948" s="73"/>
      <c r="DO948" s="73"/>
      <c r="DP948" s="73"/>
      <c r="DQ948" s="73"/>
      <c r="DR948" s="73"/>
      <c r="DS948" s="73"/>
      <c r="DT948" s="73"/>
      <c r="DU948" s="73"/>
      <c r="DV948" s="73"/>
      <c r="DW948" s="73"/>
      <c r="DX948" s="72"/>
      <c r="DY948" s="72"/>
      <c r="DZ948" s="73"/>
      <c r="EA948" s="73"/>
      <c r="EB948" s="73"/>
      <c r="EC948" s="73"/>
      <c r="ED948" s="73"/>
      <c r="EE948" s="73"/>
      <c r="EF948" s="73"/>
      <c r="EG948" s="73"/>
      <c r="EH948" s="73"/>
      <c r="EI948" s="73"/>
      <c r="EJ948" s="73"/>
      <c r="EK948" s="73"/>
      <c r="EL948" s="73"/>
      <c r="EM948" s="73"/>
      <c r="EN948" s="73"/>
      <c r="EO948" s="73"/>
      <c r="EP948" s="69"/>
      <c r="EQ948" s="69"/>
      <c r="ER948" s="69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  <c r="CI949" s="73"/>
      <c r="CJ949" s="73"/>
      <c r="CK949" s="73"/>
      <c r="CL949" s="73"/>
      <c r="CM949" s="72"/>
      <c r="CN949" s="73"/>
      <c r="CO949" s="73"/>
      <c r="CP949" s="73"/>
      <c r="CQ949" s="73"/>
      <c r="CR949" s="73"/>
      <c r="CS949" s="73"/>
      <c r="CT949" s="73"/>
      <c r="CU949" s="73"/>
      <c r="CV949" s="73"/>
      <c r="CW949" s="73"/>
      <c r="CX949" s="73"/>
      <c r="CY949" s="73"/>
      <c r="CZ949" s="73"/>
      <c r="DA949" s="73"/>
      <c r="DB949" s="73"/>
      <c r="DC949" s="73"/>
      <c r="DD949" s="73"/>
      <c r="DE949" s="73"/>
      <c r="DF949" s="73"/>
      <c r="DG949" s="73"/>
      <c r="DH949" s="73"/>
      <c r="DI949" s="73"/>
      <c r="DJ949" s="73"/>
      <c r="DK949" s="73"/>
      <c r="DL949" s="73"/>
      <c r="DM949" s="73"/>
      <c r="DN949" s="73"/>
      <c r="DO949" s="73"/>
      <c r="DP949" s="73"/>
      <c r="DQ949" s="73"/>
      <c r="DR949" s="73"/>
      <c r="DS949" s="73"/>
      <c r="DT949" s="73"/>
      <c r="DU949" s="73"/>
      <c r="DV949" s="73"/>
      <c r="DW949" s="73"/>
      <c r="DX949" s="72"/>
      <c r="DY949" s="72"/>
      <c r="DZ949" s="73"/>
      <c r="EA949" s="73"/>
      <c r="EB949" s="73"/>
      <c r="EC949" s="73"/>
      <c r="ED949" s="73"/>
      <c r="EE949" s="73"/>
      <c r="EF949" s="73"/>
      <c r="EG949" s="73"/>
      <c r="EH949" s="73"/>
      <c r="EI949" s="73"/>
      <c r="EJ949" s="73"/>
      <c r="EK949" s="73"/>
      <c r="EL949" s="73"/>
      <c r="EM949" s="73"/>
      <c r="EN949" s="73"/>
      <c r="EO949" s="73"/>
      <c r="EP949" s="69"/>
      <c r="EQ949" s="69"/>
      <c r="ER949" s="69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  <c r="CI950" s="73"/>
      <c r="CJ950" s="73"/>
      <c r="CK950" s="73"/>
      <c r="CL950" s="73"/>
      <c r="CM950" s="73"/>
      <c r="CN950" s="73"/>
      <c r="CO950" s="73"/>
      <c r="CP950" s="73"/>
      <c r="CQ950" s="73"/>
      <c r="CR950" s="73"/>
      <c r="CS950" s="73"/>
      <c r="CT950" s="73"/>
      <c r="CU950" s="73"/>
      <c r="CV950" s="73"/>
      <c r="CW950" s="73"/>
      <c r="CX950" s="73"/>
      <c r="CY950" s="73"/>
      <c r="CZ950" s="73"/>
      <c r="DA950" s="73"/>
      <c r="DB950" s="73"/>
      <c r="DC950" s="73"/>
      <c r="DD950" s="73"/>
      <c r="DE950" s="73"/>
      <c r="DF950" s="73"/>
      <c r="DG950" s="73"/>
      <c r="DH950" s="73"/>
      <c r="DI950" s="73"/>
      <c r="DJ950" s="73"/>
      <c r="DK950" s="73"/>
      <c r="DL950" s="73"/>
      <c r="DM950" s="73"/>
      <c r="DN950" s="73"/>
      <c r="DO950" s="73"/>
      <c r="DP950" s="73"/>
      <c r="DQ950" s="73"/>
      <c r="DR950" s="73"/>
      <c r="DS950" s="73"/>
      <c r="DT950" s="73"/>
      <c r="DU950" s="73"/>
      <c r="DV950" s="73"/>
      <c r="DW950" s="73"/>
      <c r="DX950" s="72"/>
      <c r="DY950" s="72"/>
      <c r="DZ950" s="73"/>
      <c r="EA950" s="73"/>
      <c r="EB950" s="73"/>
      <c r="EC950" s="73"/>
      <c r="ED950" s="73"/>
      <c r="EE950" s="73"/>
      <c r="EF950" s="73"/>
      <c r="EG950" s="73"/>
      <c r="EH950" s="73"/>
      <c r="EI950" s="73"/>
      <c r="EJ950" s="73"/>
      <c r="EK950" s="73"/>
      <c r="EL950" s="73"/>
      <c r="EM950" s="73"/>
      <c r="EN950" s="73"/>
      <c r="EO950" s="73"/>
      <c r="EP950" s="69"/>
      <c r="EQ950" s="69"/>
      <c r="ER950" s="69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  <c r="CI951" s="73"/>
      <c r="CJ951" s="73"/>
      <c r="CK951" s="73"/>
      <c r="CL951" s="73"/>
      <c r="CM951" s="73"/>
      <c r="CN951" s="73"/>
      <c r="CO951" s="73"/>
      <c r="CP951" s="73"/>
      <c r="CQ951" s="73"/>
      <c r="CR951" s="73"/>
      <c r="CS951" s="73"/>
      <c r="CT951" s="73"/>
      <c r="CU951" s="73"/>
      <c r="CV951" s="73"/>
      <c r="CW951" s="73"/>
      <c r="CX951" s="73"/>
      <c r="CY951" s="73"/>
      <c r="CZ951" s="73"/>
      <c r="DA951" s="73"/>
      <c r="DB951" s="73"/>
      <c r="DC951" s="73"/>
      <c r="DD951" s="73"/>
      <c r="DE951" s="73"/>
      <c r="DF951" s="73"/>
      <c r="DG951" s="73"/>
      <c r="DH951" s="73"/>
      <c r="DI951" s="73"/>
      <c r="DJ951" s="73"/>
      <c r="DK951" s="73"/>
      <c r="DL951" s="73"/>
      <c r="DM951" s="73"/>
      <c r="DN951" s="73"/>
      <c r="DO951" s="73"/>
      <c r="DP951" s="73"/>
      <c r="DQ951" s="73"/>
      <c r="DR951" s="73"/>
      <c r="DS951" s="73"/>
      <c r="DT951" s="73"/>
      <c r="DU951" s="73"/>
      <c r="DV951" s="73"/>
      <c r="DW951" s="73"/>
      <c r="DX951" s="72"/>
      <c r="DY951" s="72"/>
      <c r="DZ951" s="73"/>
      <c r="EA951" s="73"/>
      <c r="EB951" s="73"/>
      <c r="EC951" s="73"/>
      <c r="ED951" s="73"/>
      <c r="EE951" s="73"/>
      <c r="EF951" s="73"/>
      <c r="EG951" s="73"/>
      <c r="EH951" s="73"/>
      <c r="EI951" s="73"/>
      <c r="EJ951" s="73"/>
      <c r="EK951" s="73"/>
      <c r="EL951" s="73"/>
      <c r="EM951" s="73"/>
      <c r="EN951" s="73"/>
      <c r="EO951" s="73"/>
      <c r="EP951" s="69"/>
      <c r="EQ951" s="69"/>
      <c r="ER951" s="69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  <c r="CI952" s="73"/>
      <c r="CJ952" s="73"/>
      <c r="CK952" s="73"/>
      <c r="CL952" s="73"/>
      <c r="CM952" s="72"/>
      <c r="CN952" s="73"/>
      <c r="CO952" s="73"/>
      <c r="CP952" s="73"/>
      <c r="CQ952" s="73"/>
      <c r="CR952" s="73"/>
      <c r="CS952" s="73"/>
      <c r="CT952" s="73"/>
      <c r="CU952" s="73"/>
      <c r="CV952" s="73"/>
      <c r="CW952" s="73"/>
      <c r="CX952" s="73"/>
      <c r="CY952" s="73"/>
      <c r="CZ952" s="73"/>
      <c r="DA952" s="73"/>
      <c r="DB952" s="73"/>
      <c r="DC952" s="73"/>
      <c r="DD952" s="73"/>
      <c r="DE952" s="73"/>
      <c r="DF952" s="73"/>
      <c r="DG952" s="73"/>
      <c r="DH952" s="73"/>
      <c r="DI952" s="73"/>
      <c r="DJ952" s="73"/>
      <c r="DK952" s="73"/>
      <c r="DL952" s="73"/>
      <c r="DM952" s="73"/>
      <c r="DN952" s="73"/>
      <c r="DO952" s="73"/>
      <c r="DP952" s="73"/>
      <c r="DQ952" s="73"/>
      <c r="DR952" s="73"/>
      <c r="DS952" s="73"/>
      <c r="DT952" s="73"/>
      <c r="DU952" s="73"/>
      <c r="DV952" s="73"/>
      <c r="DW952" s="73"/>
      <c r="DX952" s="73"/>
      <c r="DY952" s="73"/>
      <c r="DZ952" s="73"/>
      <c r="EA952" s="73"/>
      <c r="EB952" s="73"/>
      <c r="EC952" s="73"/>
      <c r="ED952" s="73"/>
      <c r="EE952" s="73"/>
      <c r="EF952" s="73"/>
      <c r="EG952" s="73"/>
      <c r="EH952" s="73"/>
      <c r="EI952" s="73"/>
      <c r="EJ952" s="73"/>
      <c r="EK952" s="73"/>
      <c r="EL952" s="73"/>
      <c r="EM952" s="73"/>
      <c r="EN952" s="73"/>
      <c r="EO952" s="73"/>
      <c r="EP952" s="69"/>
      <c r="EQ952" s="69"/>
      <c r="ER952" s="69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  <c r="CI953" s="73"/>
      <c r="CJ953" s="73"/>
      <c r="CK953" s="73"/>
      <c r="CL953" s="73"/>
      <c r="CM953" s="73"/>
      <c r="CN953" s="73"/>
      <c r="CO953" s="73"/>
      <c r="CP953" s="73"/>
      <c r="CQ953" s="73"/>
      <c r="CR953" s="73"/>
      <c r="CS953" s="73"/>
      <c r="CT953" s="73"/>
      <c r="CU953" s="73"/>
      <c r="CV953" s="73"/>
      <c r="CW953" s="73"/>
      <c r="CX953" s="73"/>
      <c r="CY953" s="73"/>
      <c r="CZ953" s="73"/>
      <c r="DA953" s="73"/>
      <c r="DB953" s="73"/>
      <c r="DC953" s="73"/>
      <c r="DD953" s="73"/>
      <c r="DE953" s="73"/>
      <c r="DF953" s="73"/>
      <c r="DG953" s="73"/>
      <c r="DH953" s="73"/>
      <c r="DI953" s="73"/>
      <c r="DJ953" s="73"/>
      <c r="DK953" s="73"/>
      <c r="DL953" s="73"/>
      <c r="DM953" s="73"/>
      <c r="DN953" s="73"/>
      <c r="DO953" s="73"/>
      <c r="DP953" s="73"/>
      <c r="DQ953" s="73"/>
      <c r="DR953" s="73"/>
      <c r="DS953" s="73"/>
      <c r="DT953" s="73"/>
      <c r="DU953" s="73"/>
      <c r="DV953" s="73"/>
      <c r="DW953" s="73"/>
      <c r="DX953" s="72"/>
      <c r="DY953" s="72"/>
      <c r="DZ953" s="73"/>
      <c r="EA953" s="73"/>
      <c r="EB953" s="73"/>
      <c r="EC953" s="73"/>
      <c r="ED953" s="73"/>
      <c r="EE953" s="73"/>
      <c r="EF953" s="73"/>
      <c r="EG953" s="73"/>
      <c r="EH953" s="73"/>
      <c r="EI953" s="73"/>
      <c r="EJ953" s="73"/>
      <c r="EK953" s="73"/>
      <c r="EL953" s="73"/>
      <c r="EM953" s="73"/>
      <c r="EN953" s="73"/>
      <c r="EO953" s="73"/>
      <c r="EP953" s="69"/>
      <c r="EQ953" s="69"/>
      <c r="ER953" s="69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  <c r="CI954" s="73"/>
      <c r="CJ954" s="73"/>
      <c r="CK954" s="73"/>
      <c r="CL954" s="73"/>
      <c r="CM954" s="72"/>
      <c r="CN954" s="73"/>
      <c r="CO954" s="73"/>
      <c r="CP954" s="73"/>
      <c r="CQ954" s="73"/>
      <c r="CR954" s="73"/>
      <c r="CS954" s="73"/>
      <c r="CT954" s="73"/>
      <c r="CU954" s="73"/>
      <c r="CV954" s="73"/>
      <c r="CW954" s="73"/>
      <c r="CX954" s="73"/>
      <c r="CY954" s="73"/>
      <c r="CZ954" s="73"/>
      <c r="DA954" s="73"/>
      <c r="DB954" s="73"/>
      <c r="DC954" s="73"/>
      <c r="DD954" s="73"/>
      <c r="DE954" s="73"/>
      <c r="DF954" s="73"/>
      <c r="DG954" s="73"/>
      <c r="DH954" s="73"/>
      <c r="DI954" s="73"/>
      <c r="DJ954" s="73"/>
      <c r="DK954" s="73"/>
      <c r="DL954" s="73"/>
      <c r="DM954" s="73"/>
      <c r="DN954" s="73"/>
      <c r="DO954" s="73"/>
      <c r="DP954" s="73"/>
      <c r="DQ954" s="73"/>
      <c r="DR954" s="73"/>
      <c r="DS954" s="73"/>
      <c r="DT954" s="73"/>
      <c r="DU954" s="73"/>
      <c r="DV954" s="73"/>
      <c r="DW954" s="73"/>
      <c r="DX954" s="72"/>
      <c r="DY954" s="72"/>
      <c r="DZ954" s="73"/>
      <c r="EA954" s="73"/>
      <c r="EB954" s="73"/>
      <c r="EC954" s="73"/>
      <c r="ED954" s="73"/>
      <c r="EE954" s="73"/>
      <c r="EF954" s="73"/>
      <c r="EG954" s="73"/>
      <c r="EH954" s="73"/>
      <c r="EI954" s="73"/>
      <c r="EJ954" s="73"/>
      <c r="EK954" s="73"/>
      <c r="EL954" s="73"/>
      <c r="EM954" s="73"/>
      <c r="EN954" s="73"/>
      <c r="EO954" s="73"/>
      <c r="EP954" s="69"/>
      <c r="EQ954" s="69"/>
      <c r="ER954" s="69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  <c r="CI955" s="73"/>
      <c r="CJ955" s="73"/>
      <c r="CK955" s="73"/>
      <c r="CL955" s="73"/>
      <c r="CM955" s="73"/>
      <c r="CN955" s="73"/>
      <c r="CO955" s="73"/>
      <c r="CP955" s="73"/>
      <c r="CQ955" s="73"/>
      <c r="CR955" s="73"/>
      <c r="CS955" s="73"/>
      <c r="CT955" s="73"/>
      <c r="CU955" s="73"/>
      <c r="CV955" s="73"/>
      <c r="CW955" s="73"/>
      <c r="CX955" s="73"/>
      <c r="CY955" s="73"/>
      <c r="CZ955" s="73"/>
      <c r="DA955" s="73"/>
      <c r="DB955" s="73"/>
      <c r="DC955" s="73"/>
      <c r="DD955" s="73"/>
      <c r="DE955" s="73"/>
      <c r="DF955" s="73"/>
      <c r="DG955" s="73"/>
      <c r="DH955" s="73"/>
      <c r="DI955" s="73"/>
      <c r="DJ955" s="73"/>
      <c r="DK955" s="73"/>
      <c r="DL955" s="73"/>
      <c r="DM955" s="73"/>
      <c r="DN955" s="73"/>
      <c r="DO955" s="73"/>
      <c r="DP955" s="73"/>
      <c r="DQ955" s="73"/>
      <c r="DR955" s="73"/>
      <c r="DS955" s="73"/>
      <c r="DT955" s="73"/>
      <c r="DU955" s="73"/>
      <c r="DV955" s="73"/>
      <c r="DW955" s="73"/>
      <c r="DX955" s="72"/>
      <c r="DY955" s="72"/>
      <c r="DZ955" s="73"/>
      <c r="EA955" s="73"/>
      <c r="EB955" s="73"/>
      <c r="EC955" s="73"/>
      <c r="ED955" s="73"/>
      <c r="EE955" s="73"/>
      <c r="EF955" s="73"/>
      <c r="EG955" s="73"/>
      <c r="EH955" s="73"/>
      <c r="EI955" s="73"/>
      <c r="EJ955" s="73"/>
      <c r="EK955" s="73"/>
      <c r="EL955" s="73"/>
      <c r="EM955" s="73"/>
      <c r="EN955" s="73"/>
      <c r="EO955" s="73"/>
      <c r="EP955" s="69"/>
      <c r="EQ955" s="69"/>
      <c r="ER955" s="69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  <c r="CI956" s="73"/>
      <c r="CJ956" s="73"/>
      <c r="CK956" s="73"/>
      <c r="CL956" s="73"/>
      <c r="CM956" s="72"/>
      <c r="CN956" s="73"/>
      <c r="CO956" s="73"/>
      <c r="CP956" s="73"/>
      <c r="CQ956" s="73"/>
      <c r="CR956" s="73"/>
      <c r="CS956" s="73"/>
      <c r="CT956" s="73"/>
      <c r="CU956" s="73"/>
      <c r="CV956" s="73"/>
      <c r="CW956" s="73"/>
      <c r="CX956" s="73"/>
      <c r="CY956" s="73"/>
      <c r="CZ956" s="73"/>
      <c r="DA956" s="73"/>
      <c r="DB956" s="73"/>
      <c r="DC956" s="73"/>
      <c r="DD956" s="73"/>
      <c r="DE956" s="73"/>
      <c r="DF956" s="73"/>
      <c r="DG956" s="73"/>
      <c r="DH956" s="73"/>
      <c r="DI956" s="73"/>
      <c r="DJ956" s="73"/>
      <c r="DK956" s="73"/>
      <c r="DL956" s="73"/>
      <c r="DM956" s="73"/>
      <c r="DN956" s="73"/>
      <c r="DO956" s="73"/>
      <c r="DP956" s="73"/>
      <c r="DQ956" s="73"/>
      <c r="DR956" s="73"/>
      <c r="DS956" s="73"/>
      <c r="DT956" s="73"/>
      <c r="DU956" s="73"/>
      <c r="DV956" s="73"/>
      <c r="DW956" s="73"/>
      <c r="DX956" s="72"/>
      <c r="DY956" s="72"/>
      <c r="DZ956" s="73"/>
      <c r="EA956" s="73"/>
      <c r="EB956" s="73"/>
      <c r="EC956" s="73"/>
      <c r="ED956" s="73"/>
      <c r="EE956" s="73"/>
      <c r="EF956" s="73"/>
      <c r="EG956" s="73"/>
      <c r="EH956" s="73"/>
      <c r="EI956" s="73"/>
      <c r="EJ956" s="73"/>
      <c r="EK956" s="73"/>
      <c r="EL956" s="73"/>
      <c r="EM956" s="73"/>
      <c r="EN956" s="73"/>
      <c r="EO956" s="73"/>
      <c r="EP956" s="69"/>
      <c r="EQ956" s="69"/>
      <c r="ER956" s="69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  <c r="CI957" s="73"/>
      <c r="CJ957" s="73"/>
      <c r="CK957" s="73"/>
      <c r="CL957" s="73"/>
      <c r="CM957" s="72"/>
      <c r="CN957" s="73"/>
      <c r="CO957" s="73"/>
      <c r="CP957" s="73"/>
      <c r="CQ957" s="73"/>
      <c r="CR957" s="73"/>
      <c r="CS957" s="73"/>
      <c r="CT957" s="73"/>
      <c r="CU957" s="73"/>
      <c r="CV957" s="73"/>
      <c r="CW957" s="73"/>
      <c r="CX957" s="73"/>
      <c r="CY957" s="73"/>
      <c r="CZ957" s="73"/>
      <c r="DA957" s="73"/>
      <c r="DB957" s="73"/>
      <c r="DC957" s="73"/>
      <c r="DD957" s="73"/>
      <c r="DE957" s="73"/>
      <c r="DF957" s="73"/>
      <c r="DG957" s="73"/>
      <c r="DH957" s="73"/>
      <c r="DI957" s="73"/>
      <c r="DJ957" s="73"/>
      <c r="DK957" s="73"/>
      <c r="DL957" s="73"/>
      <c r="DM957" s="73"/>
      <c r="DN957" s="73"/>
      <c r="DO957" s="73"/>
      <c r="DP957" s="73"/>
      <c r="DQ957" s="73"/>
      <c r="DR957" s="73"/>
      <c r="DS957" s="73"/>
      <c r="DT957" s="73"/>
      <c r="DU957" s="73"/>
      <c r="DV957" s="73"/>
      <c r="DW957" s="73"/>
      <c r="DX957" s="72"/>
      <c r="DY957" s="72"/>
      <c r="DZ957" s="73"/>
      <c r="EA957" s="73"/>
      <c r="EB957" s="73"/>
      <c r="EC957" s="73"/>
      <c r="ED957" s="73"/>
      <c r="EE957" s="73"/>
      <c r="EF957" s="73"/>
      <c r="EG957" s="73"/>
      <c r="EH957" s="73"/>
      <c r="EI957" s="73"/>
      <c r="EJ957" s="73"/>
      <c r="EK957" s="73"/>
      <c r="EL957" s="73"/>
      <c r="EM957" s="73"/>
      <c r="EN957" s="73"/>
      <c r="EO957" s="73"/>
      <c r="EP957" s="69"/>
      <c r="EQ957" s="69"/>
      <c r="ER957" s="69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  <c r="CI958" s="73"/>
      <c r="CJ958" s="73"/>
      <c r="CK958" s="73"/>
      <c r="CL958" s="73"/>
      <c r="CM958" s="73"/>
      <c r="CN958" s="73"/>
      <c r="CO958" s="73"/>
      <c r="CP958" s="73"/>
      <c r="CQ958" s="73"/>
      <c r="CR958" s="73"/>
      <c r="CS958" s="73"/>
      <c r="CT958" s="73"/>
      <c r="CU958" s="73"/>
      <c r="CV958" s="73"/>
      <c r="CW958" s="73"/>
      <c r="CX958" s="73"/>
      <c r="CY958" s="73"/>
      <c r="CZ958" s="73"/>
      <c r="DA958" s="73"/>
      <c r="DB958" s="73"/>
      <c r="DC958" s="73"/>
      <c r="DD958" s="73"/>
      <c r="DE958" s="73"/>
      <c r="DF958" s="73"/>
      <c r="DG958" s="73"/>
      <c r="DH958" s="73"/>
      <c r="DI958" s="73"/>
      <c r="DJ958" s="73"/>
      <c r="DK958" s="73"/>
      <c r="DL958" s="73"/>
      <c r="DM958" s="73"/>
      <c r="DN958" s="73"/>
      <c r="DO958" s="73"/>
      <c r="DP958" s="73"/>
      <c r="DQ958" s="73"/>
      <c r="DR958" s="73"/>
      <c r="DS958" s="73"/>
      <c r="DT958" s="73"/>
      <c r="DU958" s="73"/>
      <c r="DV958" s="73"/>
      <c r="DW958" s="73"/>
      <c r="DX958" s="73"/>
      <c r="DY958" s="73"/>
      <c r="DZ958" s="73"/>
      <c r="EA958" s="73"/>
      <c r="EB958" s="73"/>
      <c r="EC958" s="73"/>
      <c r="ED958" s="73"/>
      <c r="EE958" s="73"/>
      <c r="EF958" s="73"/>
      <c r="EG958" s="73"/>
      <c r="EH958" s="73"/>
      <c r="EI958" s="73"/>
      <c r="EJ958" s="73"/>
      <c r="EK958" s="73"/>
      <c r="EL958" s="73"/>
      <c r="EM958" s="73"/>
      <c r="EN958" s="73"/>
      <c r="EO958" s="73"/>
      <c r="EP958" s="69"/>
      <c r="EQ958" s="69"/>
      <c r="ER958" s="69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  <c r="CI959" s="73"/>
      <c r="CJ959" s="73"/>
      <c r="CK959" s="73"/>
      <c r="CL959" s="73"/>
      <c r="CM959" s="73"/>
      <c r="CN959" s="73"/>
      <c r="CO959" s="73"/>
      <c r="CP959" s="73"/>
      <c r="CQ959" s="73"/>
      <c r="CR959" s="73"/>
      <c r="CS959" s="73"/>
      <c r="CT959" s="73"/>
      <c r="CU959" s="73"/>
      <c r="CV959" s="73"/>
      <c r="CW959" s="73"/>
      <c r="CX959" s="73"/>
      <c r="CY959" s="73"/>
      <c r="CZ959" s="73"/>
      <c r="DA959" s="73"/>
      <c r="DB959" s="73"/>
      <c r="DC959" s="73"/>
      <c r="DD959" s="73"/>
      <c r="DE959" s="73"/>
      <c r="DF959" s="73"/>
      <c r="DG959" s="73"/>
      <c r="DH959" s="73"/>
      <c r="DI959" s="73"/>
      <c r="DJ959" s="73"/>
      <c r="DK959" s="73"/>
      <c r="DL959" s="73"/>
      <c r="DM959" s="73"/>
      <c r="DN959" s="73"/>
      <c r="DO959" s="73"/>
      <c r="DP959" s="73"/>
      <c r="DQ959" s="73"/>
      <c r="DR959" s="73"/>
      <c r="DS959" s="73"/>
      <c r="DT959" s="73"/>
      <c r="DU959" s="73"/>
      <c r="DV959" s="73"/>
      <c r="DW959" s="73"/>
      <c r="DX959" s="72"/>
      <c r="DY959" s="72"/>
      <c r="DZ959" s="73"/>
      <c r="EA959" s="73"/>
      <c r="EB959" s="73"/>
      <c r="EC959" s="73"/>
      <c r="ED959" s="73"/>
      <c r="EE959" s="73"/>
      <c r="EF959" s="73"/>
      <c r="EG959" s="73"/>
      <c r="EH959" s="73"/>
      <c r="EI959" s="73"/>
      <c r="EJ959" s="73"/>
      <c r="EK959" s="73"/>
      <c r="EL959" s="73"/>
      <c r="EM959" s="73"/>
      <c r="EN959" s="73"/>
      <c r="EO959" s="73"/>
      <c r="EP959" s="69"/>
      <c r="EQ959" s="69"/>
      <c r="ER959" s="69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  <c r="CI960" s="73"/>
      <c r="CJ960" s="73"/>
      <c r="CK960" s="73"/>
      <c r="CL960" s="73"/>
      <c r="CM960" s="72"/>
      <c r="CN960" s="73"/>
      <c r="CO960" s="73"/>
      <c r="CP960" s="73"/>
      <c r="CQ960" s="73"/>
      <c r="CR960" s="73"/>
      <c r="CS960" s="73"/>
      <c r="CT960" s="73"/>
      <c r="CU960" s="73"/>
      <c r="CV960" s="73"/>
      <c r="CW960" s="73"/>
      <c r="CX960" s="73"/>
      <c r="CY960" s="73"/>
      <c r="CZ960" s="73"/>
      <c r="DA960" s="73"/>
      <c r="DB960" s="73"/>
      <c r="DC960" s="73"/>
      <c r="DD960" s="73"/>
      <c r="DE960" s="73"/>
      <c r="DF960" s="73"/>
      <c r="DG960" s="73"/>
      <c r="DH960" s="73"/>
      <c r="DI960" s="73"/>
      <c r="DJ960" s="73"/>
      <c r="DK960" s="73"/>
      <c r="DL960" s="73"/>
      <c r="DM960" s="73"/>
      <c r="DN960" s="73"/>
      <c r="DO960" s="73"/>
      <c r="DP960" s="73"/>
      <c r="DQ960" s="73"/>
      <c r="DR960" s="73"/>
      <c r="DS960" s="73"/>
      <c r="DT960" s="73"/>
      <c r="DU960" s="73"/>
      <c r="DV960" s="73"/>
      <c r="DW960" s="73"/>
      <c r="DX960" s="72"/>
      <c r="DY960" s="72"/>
      <c r="DZ960" s="73"/>
      <c r="EA960" s="73"/>
      <c r="EB960" s="73"/>
      <c r="EC960" s="73"/>
      <c r="ED960" s="73"/>
      <c r="EE960" s="73"/>
      <c r="EF960" s="73"/>
      <c r="EG960" s="73"/>
      <c r="EH960" s="73"/>
      <c r="EI960" s="73"/>
      <c r="EJ960" s="73"/>
      <c r="EK960" s="73"/>
      <c r="EL960" s="73"/>
      <c r="EM960" s="73"/>
      <c r="EN960" s="73"/>
      <c r="EO960" s="73"/>
      <c r="EP960" s="69"/>
      <c r="EQ960" s="69"/>
      <c r="ER960" s="69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  <c r="CI961" s="73"/>
      <c r="CJ961" s="73"/>
      <c r="CK961" s="73"/>
      <c r="CL961" s="73"/>
      <c r="CM961" s="72"/>
      <c r="CN961" s="73"/>
      <c r="CO961" s="73"/>
      <c r="CP961" s="73"/>
      <c r="CQ961" s="73"/>
      <c r="CR961" s="73"/>
      <c r="CS961" s="73"/>
      <c r="CT961" s="73"/>
      <c r="CU961" s="73"/>
      <c r="CV961" s="73"/>
      <c r="CW961" s="73"/>
      <c r="CX961" s="73"/>
      <c r="CY961" s="73"/>
      <c r="CZ961" s="73"/>
      <c r="DA961" s="73"/>
      <c r="DB961" s="73"/>
      <c r="DC961" s="73"/>
      <c r="DD961" s="73"/>
      <c r="DE961" s="73"/>
      <c r="DF961" s="73"/>
      <c r="DG961" s="73"/>
      <c r="DH961" s="73"/>
      <c r="DI961" s="73"/>
      <c r="DJ961" s="73"/>
      <c r="DK961" s="73"/>
      <c r="DL961" s="73"/>
      <c r="DM961" s="73"/>
      <c r="DN961" s="73"/>
      <c r="DO961" s="73"/>
      <c r="DP961" s="73"/>
      <c r="DQ961" s="73"/>
      <c r="DR961" s="73"/>
      <c r="DS961" s="73"/>
      <c r="DT961" s="73"/>
      <c r="DU961" s="73"/>
      <c r="DV961" s="73"/>
      <c r="DW961" s="73"/>
      <c r="DX961" s="72"/>
      <c r="DY961" s="72"/>
      <c r="DZ961" s="73"/>
      <c r="EA961" s="73"/>
      <c r="EB961" s="73"/>
      <c r="EC961" s="73"/>
      <c r="ED961" s="73"/>
      <c r="EE961" s="73"/>
      <c r="EF961" s="73"/>
      <c r="EG961" s="73"/>
      <c r="EH961" s="73"/>
      <c r="EI961" s="73"/>
      <c r="EJ961" s="73"/>
      <c r="EK961" s="73"/>
      <c r="EL961" s="73"/>
      <c r="EM961" s="73"/>
      <c r="EN961" s="73"/>
      <c r="EO961" s="73"/>
      <c r="EP961" s="69"/>
      <c r="EQ961" s="69"/>
      <c r="ER961" s="69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  <c r="CI962" s="73"/>
      <c r="CJ962" s="73"/>
      <c r="CK962" s="73"/>
      <c r="CL962" s="73"/>
      <c r="CM962" s="73"/>
      <c r="CN962" s="73"/>
      <c r="CO962" s="73"/>
      <c r="CP962" s="73"/>
      <c r="CQ962" s="73"/>
      <c r="CR962" s="73"/>
      <c r="CS962" s="73"/>
      <c r="CT962" s="73"/>
      <c r="CU962" s="73"/>
      <c r="CV962" s="73"/>
      <c r="CW962" s="73"/>
      <c r="CX962" s="73"/>
      <c r="CY962" s="73"/>
      <c r="CZ962" s="73"/>
      <c r="DA962" s="73"/>
      <c r="DB962" s="73"/>
      <c r="DC962" s="73"/>
      <c r="DD962" s="73"/>
      <c r="DE962" s="73"/>
      <c r="DF962" s="73"/>
      <c r="DG962" s="73"/>
      <c r="DH962" s="73"/>
      <c r="DI962" s="73"/>
      <c r="DJ962" s="73"/>
      <c r="DK962" s="73"/>
      <c r="DL962" s="73"/>
      <c r="DM962" s="73"/>
      <c r="DN962" s="73"/>
      <c r="DO962" s="73"/>
      <c r="DP962" s="73"/>
      <c r="DQ962" s="73"/>
      <c r="DR962" s="73"/>
      <c r="DS962" s="73"/>
      <c r="DT962" s="73"/>
      <c r="DU962" s="73"/>
      <c r="DV962" s="73"/>
      <c r="DW962" s="73"/>
      <c r="DX962" s="72"/>
      <c r="DY962" s="72"/>
      <c r="DZ962" s="73"/>
      <c r="EA962" s="73"/>
      <c r="EB962" s="73"/>
      <c r="EC962" s="73"/>
      <c r="ED962" s="73"/>
      <c r="EE962" s="73"/>
      <c r="EF962" s="73"/>
      <c r="EG962" s="73"/>
      <c r="EH962" s="73"/>
      <c r="EI962" s="73"/>
      <c r="EJ962" s="73"/>
      <c r="EK962" s="73"/>
      <c r="EL962" s="73"/>
      <c r="EM962" s="73"/>
      <c r="EN962" s="73"/>
      <c r="EO962" s="73"/>
      <c r="EP962" s="69"/>
      <c r="EQ962" s="69"/>
      <c r="ER962" s="69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  <c r="CI963" s="73"/>
      <c r="CJ963" s="73"/>
      <c r="CK963" s="73"/>
      <c r="CL963" s="73"/>
      <c r="CM963" s="73"/>
      <c r="CN963" s="73"/>
      <c r="CO963" s="73"/>
      <c r="CP963" s="73"/>
      <c r="CQ963" s="73"/>
      <c r="CR963" s="73"/>
      <c r="CS963" s="73"/>
      <c r="CT963" s="73"/>
      <c r="CU963" s="73"/>
      <c r="CV963" s="73"/>
      <c r="CW963" s="73"/>
      <c r="CX963" s="73"/>
      <c r="CY963" s="73"/>
      <c r="CZ963" s="73"/>
      <c r="DA963" s="73"/>
      <c r="DB963" s="73"/>
      <c r="DC963" s="73"/>
      <c r="DD963" s="73"/>
      <c r="DE963" s="73"/>
      <c r="DF963" s="73"/>
      <c r="DG963" s="73"/>
      <c r="DH963" s="73"/>
      <c r="DI963" s="73"/>
      <c r="DJ963" s="73"/>
      <c r="DK963" s="73"/>
      <c r="DL963" s="73"/>
      <c r="DM963" s="73"/>
      <c r="DN963" s="73"/>
      <c r="DO963" s="73"/>
      <c r="DP963" s="73"/>
      <c r="DQ963" s="73"/>
      <c r="DR963" s="73"/>
      <c r="DS963" s="73"/>
      <c r="DT963" s="73"/>
      <c r="DU963" s="73"/>
      <c r="DV963" s="73"/>
      <c r="DW963" s="73"/>
      <c r="DX963" s="72"/>
      <c r="DY963" s="72"/>
      <c r="DZ963" s="73"/>
      <c r="EA963" s="73"/>
      <c r="EB963" s="73"/>
      <c r="EC963" s="73"/>
      <c r="ED963" s="73"/>
      <c r="EE963" s="73"/>
      <c r="EF963" s="73"/>
      <c r="EG963" s="73"/>
      <c r="EH963" s="73"/>
      <c r="EI963" s="73"/>
      <c r="EJ963" s="73"/>
      <c r="EK963" s="73"/>
      <c r="EL963" s="73"/>
      <c r="EM963" s="73"/>
      <c r="EN963" s="73"/>
      <c r="EO963" s="73"/>
      <c r="EP963" s="69"/>
      <c r="EQ963" s="69"/>
      <c r="ER963" s="69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  <c r="CK964" s="73"/>
      <c r="CL964" s="73"/>
      <c r="CM964" s="73"/>
      <c r="CN964" s="73"/>
      <c r="CO964" s="73"/>
      <c r="CP964" s="73"/>
      <c r="CQ964" s="73"/>
      <c r="CR964" s="73"/>
      <c r="CS964" s="73"/>
      <c r="CT964" s="73"/>
      <c r="CU964" s="73"/>
      <c r="CV964" s="73"/>
      <c r="CW964" s="73"/>
      <c r="CX964" s="73"/>
      <c r="CY964" s="73"/>
      <c r="CZ964" s="73"/>
      <c r="DA964" s="73"/>
      <c r="DB964" s="73"/>
      <c r="DC964" s="73"/>
      <c r="DD964" s="73"/>
      <c r="DE964" s="73"/>
      <c r="DF964" s="73"/>
      <c r="DG964" s="73"/>
      <c r="DH964" s="73"/>
      <c r="DI964" s="73"/>
      <c r="DJ964" s="73"/>
      <c r="DK964" s="73"/>
      <c r="DL964" s="73"/>
      <c r="DM964" s="73"/>
      <c r="DN964" s="73"/>
      <c r="DO964" s="73"/>
      <c r="DP964" s="73"/>
      <c r="DQ964" s="73"/>
      <c r="DR964" s="73"/>
      <c r="DS964" s="73"/>
      <c r="DT964" s="73"/>
      <c r="DU964" s="73"/>
      <c r="DV964" s="73"/>
      <c r="DW964" s="73"/>
      <c r="DX964" s="73"/>
      <c r="DY964" s="73"/>
      <c r="DZ964" s="73"/>
      <c r="EA964" s="73"/>
      <c r="EB964" s="73"/>
      <c r="EC964" s="73"/>
      <c r="ED964" s="73"/>
      <c r="EE964" s="73"/>
      <c r="EF964" s="73"/>
      <c r="EG964" s="73"/>
      <c r="EH964" s="73"/>
      <c r="EI964" s="73"/>
      <c r="EJ964" s="73"/>
      <c r="EK964" s="73"/>
      <c r="EL964" s="73"/>
      <c r="EM964" s="73"/>
      <c r="EN964" s="73"/>
      <c r="EO964" s="73"/>
      <c r="EP964" s="69"/>
      <c r="EQ964" s="69"/>
      <c r="ER964" s="69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  <c r="CK965" s="73"/>
      <c r="CL965" s="73"/>
      <c r="CM965" s="73"/>
      <c r="CN965" s="73"/>
      <c r="CO965" s="73"/>
      <c r="CP965" s="73"/>
      <c r="CQ965" s="73"/>
      <c r="CR965" s="73"/>
      <c r="CS965" s="73"/>
      <c r="CT965" s="73"/>
      <c r="CU965" s="73"/>
      <c r="CV965" s="73"/>
      <c r="CW965" s="73"/>
      <c r="CX965" s="73"/>
      <c r="CY965" s="73"/>
      <c r="CZ965" s="73"/>
      <c r="DA965" s="73"/>
      <c r="DB965" s="73"/>
      <c r="DC965" s="73"/>
      <c r="DD965" s="73"/>
      <c r="DE965" s="73"/>
      <c r="DF965" s="73"/>
      <c r="DG965" s="73"/>
      <c r="DH965" s="73"/>
      <c r="DI965" s="73"/>
      <c r="DJ965" s="73"/>
      <c r="DK965" s="73"/>
      <c r="DL965" s="73"/>
      <c r="DM965" s="73"/>
      <c r="DN965" s="73"/>
      <c r="DO965" s="73"/>
      <c r="DP965" s="73"/>
      <c r="DQ965" s="73"/>
      <c r="DR965" s="73"/>
      <c r="DS965" s="73"/>
      <c r="DT965" s="73"/>
      <c r="DU965" s="73"/>
      <c r="DV965" s="73"/>
      <c r="DW965" s="73"/>
      <c r="DX965" s="72"/>
      <c r="DY965" s="72"/>
      <c r="DZ965" s="73"/>
      <c r="EA965" s="73"/>
      <c r="EB965" s="73"/>
      <c r="EC965" s="73"/>
      <c r="ED965" s="73"/>
      <c r="EE965" s="73"/>
      <c r="EF965" s="73"/>
      <c r="EG965" s="73"/>
      <c r="EH965" s="73"/>
      <c r="EI965" s="73"/>
      <c r="EJ965" s="73"/>
      <c r="EK965" s="73"/>
      <c r="EL965" s="73"/>
      <c r="EM965" s="73"/>
      <c r="EN965" s="73"/>
      <c r="EO965" s="73"/>
      <c r="EP965" s="69"/>
      <c r="EQ965" s="69"/>
      <c r="ER965" s="69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  <c r="CK966" s="73"/>
      <c r="CL966" s="73"/>
      <c r="CM966" s="73"/>
      <c r="CN966" s="73"/>
      <c r="CO966" s="73"/>
      <c r="CP966" s="73"/>
      <c r="CQ966" s="73"/>
      <c r="CR966" s="73"/>
      <c r="CS966" s="73"/>
      <c r="CT966" s="73"/>
      <c r="CU966" s="73"/>
      <c r="CV966" s="73"/>
      <c r="CW966" s="73"/>
      <c r="CX966" s="73"/>
      <c r="CY966" s="73"/>
      <c r="CZ966" s="73"/>
      <c r="DA966" s="73"/>
      <c r="DB966" s="73"/>
      <c r="DC966" s="73"/>
      <c r="DD966" s="73"/>
      <c r="DE966" s="73"/>
      <c r="DF966" s="73"/>
      <c r="DG966" s="73"/>
      <c r="DH966" s="73"/>
      <c r="DI966" s="73"/>
      <c r="DJ966" s="73"/>
      <c r="DK966" s="73"/>
      <c r="DL966" s="73"/>
      <c r="DM966" s="73"/>
      <c r="DN966" s="73"/>
      <c r="DO966" s="73"/>
      <c r="DP966" s="73"/>
      <c r="DQ966" s="73"/>
      <c r="DR966" s="73"/>
      <c r="DS966" s="73"/>
      <c r="DT966" s="73"/>
      <c r="DU966" s="73"/>
      <c r="DV966" s="73"/>
      <c r="DW966" s="73"/>
      <c r="DX966" s="72"/>
      <c r="DY966" s="72"/>
      <c r="DZ966" s="73"/>
      <c r="EA966" s="73"/>
      <c r="EB966" s="73"/>
      <c r="EC966" s="73"/>
      <c r="ED966" s="73"/>
      <c r="EE966" s="73"/>
      <c r="EF966" s="73"/>
      <c r="EG966" s="73"/>
      <c r="EH966" s="73"/>
      <c r="EI966" s="73"/>
      <c r="EJ966" s="73"/>
      <c r="EK966" s="73"/>
      <c r="EL966" s="73"/>
      <c r="EM966" s="73"/>
      <c r="EN966" s="73"/>
      <c r="EO966" s="73"/>
      <c r="EP966" s="69"/>
      <c r="EQ966" s="69"/>
      <c r="ER966" s="69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  <c r="CK967" s="73"/>
      <c r="CL967" s="73"/>
      <c r="CM967" s="73"/>
      <c r="CN967" s="73"/>
      <c r="CO967" s="73"/>
      <c r="CP967" s="73"/>
      <c r="CQ967" s="73"/>
      <c r="CR967" s="73"/>
      <c r="CS967" s="73"/>
      <c r="CT967" s="73"/>
      <c r="CU967" s="73"/>
      <c r="CV967" s="73"/>
      <c r="CW967" s="73"/>
      <c r="CX967" s="73"/>
      <c r="CY967" s="73"/>
      <c r="CZ967" s="73"/>
      <c r="DA967" s="73"/>
      <c r="DB967" s="73"/>
      <c r="DC967" s="73"/>
      <c r="DD967" s="73"/>
      <c r="DE967" s="73"/>
      <c r="DF967" s="73"/>
      <c r="DG967" s="73"/>
      <c r="DH967" s="73"/>
      <c r="DI967" s="73"/>
      <c r="DJ967" s="73"/>
      <c r="DK967" s="73"/>
      <c r="DL967" s="73"/>
      <c r="DM967" s="73"/>
      <c r="DN967" s="73"/>
      <c r="DO967" s="73"/>
      <c r="DP967" s="73"/>
      <c r="DQ967" s="73"/>
      <c r="DR967" s="73"/>
      <c r="DS967" s="73"/>
      <c r="DT967" s="73"/>
      <c r="DU967" s="73"/>
      <c r="DV967" s="73"/>
      <c r="DW967" s="73"/>
      <c r="DX967" s="72"/>
      <c r="DY967" s="72"/>
      <c r="DZ967" s="73"/>
      <c r="EA967" s="73"/>
      <c r="EB967" s="73"/>
      <c r="EC967" s="73"/>
      <c r="ED967" s="73"/>
      <c r="EE967" s="73"/>
      <c r="EF967" s="73"/>
      <c r="EG967" s="73"/>
      <c r="EH967" s="73"/>
      <c r="EI967" s="73"/>
      <c r="EJ967" s="73"/>
      <c r="EK967" s="73"/>
      <c r="EL967" s="73"/>
      <c r="EM967" s="73"/>
      <c r="EN967" s="73"/>
      <c r="EO967" s="73"/>
      <c r="EP967" s="69"/>
      <c r="EQ967" s="69"/>
      <c r="ER967" s="69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  <c r="CK968" s="73"/>
      <c r="CL968" s="73"/>
      <c r="CM968" s="73"/>
      <c r="CN968" s="73"/>
      <c r="CO968" s="73"/>
      <c r="CP968" s="73"/>
      <c r="CQ968" s="73"/>
      <c r="CR968" s="73"/>
      <c r="CS968" s="73"/>
      <c r="CT968" s="73"/>
      <c r="CU968" s="73"/>
      <c r="CV968" s="73"/>
      <c r="CW968" s="73"/>
      <c r="CX968" s="73"/>
      <c r="CY968" s="73"/>
      <c r="CZ968" s="73"/>
      <c r="DA968" s="73"/>
      <c r="DB968" s="73"/>
      <c r="DC968" s="73"/>
      <c r="DD968" s="73"/>
      <c r="DE968" s="73"/>
      <c r="DF968" s="73"/>
      <c r="DG968" s="73"/>
      <c r="DH968" s="73"/>
      <c r="DI968" s="73"/>
      <c r="DJ968" s="73"/>
      <c r="DK968" s="73"/>
      <c r="DL968" s="73"/>
      <c r="DM968" s="73"/>
      <c r="DN968" s="73"/>
      <c r="DO968" s="73"/>
      <c r="DP968" s="73"/>
      <c r="DQ968" s="73"/>
      <c r="DR968" s="73"/>
      <c r="DS968" s="73"/>
      <c r="DT968" s="73"/>
      <c r="DU968" s="73"/>
      <c r="DV968" s="73"/>
      <c r="DW968" s="73"/>
      <c r="DX968" s="72"/>
      <c r="DY968" s="72"/>
      <c r="DZ968" s="73"/>
      <c r="EA968" s="73"/>
      <c r="EB968" s="73"/>
      <c r="EC968" s="73"/>
      <c r="ED968" s="73"/>
      <c r="EE968" s="73"/>
      <c r="EF968" s="73"/>
      <c r="EG968" s="73"/>
      <c r="EH968" s="73"/>
      <c r="EI968" s="73"/>
      <c r="EJ968" s="73"/>
      <c r="EK968" s="73"/>
      <c r="EL968" s="73"/>
      <c r="EM968" s="73"/>
      <c r="EN968" s="73"/>
      <c r="EO968" s="73"/>
      <c r="EP968" s="69"/>
      <c r="EQ968" s="69"/>
      <c r="ER968" s="69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  <c r="CK969" s="73"/>
      <c r="CL969" s="73"/>
      <c r="CM969" s="73"/>
      <c r="CN969" s="73"/>
      <c r="CO969" s="73"/>
      <c r="CP969" s="73"/>
      <c r="CQ969" s="73"/>
      <c r="CR969" s="73"/>
      <c r="CS969" s="73"/>
      <c r="CT969" s="73"/>
      <c r="CU969" s="73"/>
      <c r="CV969" s="73"/>
      <c r="CW969" s="73"/>
      <c r="CX969" s="73"/>
      <c r="CY969" s="73"/>
      <c r="CZ969" s="73"/>
      <c r="DA969" s="73"/>
      <c r="DB969" s="73"/>
      <c r="DC969" s="73"/>
      <c r="DD969" s="73"/>
      <c r="DE969" s="73"/>
      <c r="DF969" s="73"/>
      <c r="DG969" s="73"/>
      <c r="DH969" s="73"/>
      <c r="DI969" s="73"/>
      <c r="DJ969" s="73"/>
      <c r="DK969" s="73"/>
      <c r="DL969" s="73"/>
      <c r="DM969" s="73"/>
      <c r="DN969" s="73"/>
      <c r="DO969" s="73"/>
      <c r="DP969" s="73"/>
      <c r="DQ969" s="73"/>
      <c r="DR969" s="73"/>
      <c r="DS969" s="73"/>
      <c r="DT969" s="73"/>
      <c r="DU969" s="73"/>
      <c r="DV969" s="73"/>
      <c r="DW969" s="73"/>
      <c r="DX969" s="72"/>
      <c r="DY969" s="72"/>
      <c r="DZ969" s="73"/>
      <c r="EA969" s="73"/>
      <c r="EB969" s="73"/>
      <c r="EC969" s="73"/>
      <c r="ED969" s="73"/>
      <c r="EE969" s="73"/>
      <c r="EF969" s="73"/>
      <c r="EG969" s="73"/>
      <c r="EH969" s="73"/>
      <c r="EI969" s="73"/>
      <c r="EJ969" s="73"/>
      <c r="EK969" s="73"/>
      <c r="EL969" s="73"/>
      <c r="EM969" s="73"/>
      <c r="EN969" s="73"/>
      <c r="EO969" s="73"/>
      <c r="EP969" s="69"/>
      <c r="EQ969" s="69"/>
      <c r="ER969" s="69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  <c r="CK970" s="73"/>
      <c r="CL970" s="73"/>
      <c r="CM970" s="73"/>
      <c r="CN970" s="73"/>
      <c r="CO970" s="73"/>
      <c r="CP970" s="73"/>
      <c r="CQ970" s="73"/>
      <c r="CR970" s="73"/>
      <c r="CS970" s="73"/>
      <c r="CT970" s="73"/>
      <c r="CU970" s="73"/>
      <c r="CV970" s="73"/>
      <c r="CW970" s="73"/>
      <c r="CX970" s="73"/>
      <c r="CY970" s="73"/>
      <c r="CZ970" s="73"/>
      <c r="DA970" s="73"/>
      <c r="DB970" s="73"/>
      <c r="DC970" s="73"/>
      <c r="DD970" s="73"/>
      <c r="DE970" s="73"/>
      <c r="DF970" s="73"/>
      <c r="DG970" s="73"/>
      <c r="DH970" s="73"/>
      <c r="DI970" s="73"/>
      <c r="DJ970" s="73"/>
      <c r="DK970" s="73"/>
      <c r="DL970" s="73"/>
      <c r="DM970" s="73"/>
      <c r="DN970" s="73"/>
      <c r="DO970" s="73"/>
      <c r="DP970" s="73"/>
      <c r="DQ970" s="73"/>
      <c r="DR970" s="73"/>
      <c r="DS970" s="73"/>
      <c r="DT970" s="73"/>
      <c r="DU970" s="73"/>
      <c r="DV970" s="73"/>
      <c r="DW970" s="73"/>
      <c r="DX970" s="72"/>
      <c r="DY970" s="72"/>
      <c r="DZ970" s="73"/>
      <c r="EA970" s="73"/>
      <c r="EB970" s="73"/>
      <c r="EC970" s="73"/>
      <c r="ED970" s="73"/>
      <c r="EE970" s="73"/>
      <c r="EF970" s="73"/>
      <c r="EG970" s="73"/>
      <c r="EH970" s="73"/>
      <c r="EI970" s="73"/>
      <c r="EJ970" s="73"/>
      <c r="EK970" s="73"/>
      <c r="EL970" s="73"/>
      <c r="EM970" s="73"/>
      <c r="EN970" s="73"/>
      <c r="EO970" s="73"/>
      <c r="EP970" s="69"/>
      <c r="EQ970" s="69"/>
      <c r="ER970" s="69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  <c r="CK971" s="73"/>
      <c r="CL971" s="73"/>
      <c r="CM971" s="73"/>
      <c r="CN971" s="73"/>
      <c r="CO971" s="73"/>
      <c r="CP971" s="73"/>
      <c r="CQ971" s="73"/>
      <c r="CR971" s="73"/>
      <c r="CS971" s="73"/>
      <c r="CT971" s="73"/>
      <c r="CU971" s="73"/>
      <c r="CV971" s="73"/>
      <c r="CW971" s="73"/>
      <c r="CX971" s="73"/>
      <c r="CY971" s="73"/>
      <c r="CZ971" s="73"/>
      <c r="DA971" s="73"/>
      <c r="DB971" s="73"/>
      <c r="DC971" s="73"/>
      <c r="DD971" s="73"/>
      <c r="DE971" s="73"/>
      <c r="DF971" s="73"/>
      <c r="DG971" s="73"/>
      <c r="DH971" s="73"/>
      <c r="DI971" s="73"/>
      <c r="DJ971" s="73"/>
      <c r="DK971" s="73"/>
      <c r="DL971" s="73"/>
      <c r="DM971" s="73"/>
      <c r="DN971" s="73"/>
      <c r="DO971" s="73"/>
      <c r="DP971" s="73"/>
      <c r="DQ971" s="73"/>
      <c r="DR971" s="73"/>
      <c r="DS971" s="73"/>
      <c r="DT971" s="73"/>
      <c r="DU971" s="73"/>
      <c r="DV971" s="73"/>
      <c r="DW971" s="73"/>
      <c r="DX971" s="73"/>
      <c r="DY971" s="73"/>
      <c r="DZ971" s="73"/>
      <c r="EA971" s="73"/>
      <c r="EB971" s="73"/>
      <c r="EC971" s="73"/>
      <c r="ED971" s="73"/>
      <c r="EE971" s="73"/>
      <c r="EF971" s="73"/>
      <c r="EG971" s="73"/>
      <c r="EH971" s="73"/>
      <c r="EI971" s="73"/>
      <c r="EJ971" s="73"/>
      <c r="EK971" s="73"/>
      <c r="EL971" s="73"/>
      <c r="EM971" s="73"/>
      <c r="EN971" s="73"/>
      <c r="EO971" s="73"/>
      <c r="EP971" s="69"/>
      <c r="EQ971" s="69"/>
      <c r="ER971" s="69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  <c r="CK972" s="73"/>
      <c r="CL972" s="73"/>
      <c r="CM972" s="72"/>
      <c r="CN972" s="73"/>
      <c r="CO972" s="73"/>
      <c r="CP972" s="73"/>
      <c r="CQ972" s="73"/>
      <c r="CR972" s="73"/>
      <c r="CS972" s="73"/>
      <c r="CT972" s="73"/>
      <c r="CU972" s="73"/>
      <c r="CV972" s="73"/>
      <c r="CW972" s="73"/>
      <c r="CX972" s="73"/>
      <c r="CY972" s="73"/>
      <c r="CZ972" s="73"/>
      <c r="DA972" s="73"/>
      <c r="DB972" s="73"/>
      <c r="DC972" s="73"/>
      <c r="DD972" s="73"/>
      <c r="DE972" s="73"/>
      <c r="DF972" s="73"/>
      <c r="DG972" s="73"/>
      <c r="DH972" s="73"/>
      <c r="DI972" s="73"/>
      <c r="DJ972" s="73"/>
      <c r="DK972" s="73"/>
      <c r="DL972" s="73"/>
      <c r="DM972" s="73"/>
      <c r="DN972" s="73"/>
      <c r="DO972" s="73"/>
      <c r="DP972" s="73"/>
      <c r="DQ972" s="73"/>
      <c r="DR972" s="73"/>
      <c r="DS972" s="73"/>
      <c r="DT972" s="73"/>
      <c r="DU972" s="73"/>
      <c r="DV972" s="73"/>
      <c r="DW972" s="73"/>
      <c r="DX972" s="72"/>
      <c r="DY972" s="72"/>
      <c r="DZ972" s="73"/>
      <c r="EA972" s="73"/>
      <c r="EB972" s="73"/>
      <c r="EC972" s="73"/>
      <c r="ED972" s="73"/>
      <c r="EE972" s="73"/>
      <c r="EF972" s="73"/>
      <c r="EG972" s="73"/>
      <c r="EH972" s="73"/>
      <c r="EI972" s="73"/>
      <c r="EJ972" s="73"/>
      <c r="EK972" s="73"/>
      <c r="EL972" s="73"/>
      <c r="EM972" s="73"/>
      <c r="EN972" s="73"/>
      <c r="EO972" s="73"/>
      <c r="EP972" s="69"/>
      <c r="EQ972" s="69"/>
      <c r="ER972" s="69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  <c r="CK973" s="73"/>
      <c r="CL973" s="73"/>
      <c r="CM973" s="73"/>
      <c r="CN973" s="73"/>
      <c r="CO973" s="73"/>
      <c r="CP973" s="73"/>
      <c r="CQ973" s="73"/>
      <c r="CR973" s="73"/>
      <c r="CS973" s="73"/>
      <c r="CT973" s="73"/>
      <c r="CU973" s="73"/>
      <c r="CV973" s="73"/>
      <c r="CW973" s="73"/>
      <c r="CX973" s="73"/>
      <c r="CY973" s="73"/>
      <c r="CZ973" s="73"/>
      <c r="DA973" s="73"/>
      <c r="DB973" s="73"/>
      <c r="DC973" s="73"/>
      <c r="DD973" s="73"/>
      <c r="DE973" s="73"/>
      <c r="DF973" s="73"/>
      <c r="DG973" s="73"/>
      <c r="DH973" s="73"/>
      <c r="DI973" s="73"/>
      <c r="DJ973" s="73"/>
      <c r="DK973" s="73"/>
      <c r="DL973" s="73"/>
      <c r="DM973" s="73"/>
      <c r="DN973" s="73"/>
      <c r="DO973" s="73"/>
      <c r="DP973" s="73"/>
      <c r="DQ973" s="73"/>
      <c r="DR973" s="73"/>
      <c r="DS973" s="73"/>
      <c r="DT973" s="73"/>
      <c r="DU973" s="73"/>
      <c r="DV973" s="73"/>
      <c r="DW973" s="73"/>
      <c r="DX973" s="73"/>
      <c r="DY973" s="73"/>
      <c r="DZ973" s="73"/>
      <c r="EA973" s="73"/>
      <c r="EB973" s="73"/>
      <c r="EC973" s="73"/>
      <c r="ED973" s="73"/>
      <c r="EE973" s="73"/>
      <c r="EF973" s="73"/>
      <c r="EG973" s="73"/>
      <c r="EH973" s="73"/>
      <c r="EI973" s="73"/>
      <c r="EJ973" s="73"/>
      <c r="EK973" s="73"/>
      <c r="EL973" s="73"/>
      <c r="EM973" s="73"/>
      <c r="EN973" s="73"/>
      <c r="EO973" s="73"/>
      <c r="EP973" s="69"/>
      <c r="EQ973" s="69"/>
      <c r="ER973" s="69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  <c r="CK974" s="73"/>
      <c r="CL974" s="73"/>
      <c r="CM974" s="73"/>
      <c r="CN974" s="73"/>
      <c r="CO974" s="73"/>
      <c r="CP974" s="73"/>
      <c r="CQ974" s="73"/>
      <c r="CR974" s="73"/>
      <c r="CS974" s="73"/>
      <c r="CT974" s="73"/>
      <c r="CU974" s="73"/>
      <c r="CV974" s="73"/>
      <c r="CW974" s="73"/>
      <c r="CX974" s="73"/>
      <c r="CY974" s="73"/>
      <c r="CZ974" s="73"/>
      <c r="DA974" s="73"/>
      <c r="DB974" s="73"/>
      <c r="DC974" s="73"/>
      <c r="DD974" s="73"/>
      <c r="DE974" s="73"/>
      <c r="DF974" s="73"/>
      <c r="DG974" s="73"/>
      <c r="DH974" s="73"/>
      <c r="DI974" s="73"/>
      <c r="DJ974" s="73"/>
      <c r="DK974" s="73"/>
      <c r="DL974" s="73"/>
      <c r="DM974" s="73"/>
      <c r="DN974" s="73"/>
      <c r="DO974" s="73"/>
      <c r="DP974" s="73"/>
      <c r="DQ974" s="73"/>
      <c r="DR974" s="73"/>
      <c r="DS974" s="73"/>
      <c r="DT974" s="73"/>
      <c r="DU974" s="73"/>
      <c r="DV974" s="73"/>
      <c r="DW974" s="73"/>
      <c r="DX974" s="73"/>
      <c r="DY974" s="73"/>
      <c r="DZ974" s="73"/>
      <c r="EA974" s="73"/>
      <c r="EB974" s="73"/>
      <c r="EC974" s="73"/>
      <c r="ED974" s="73"/>
      <c r="EE974" s="73"/>
      <c r="EF974" s="73"/>
      <c r="EG974" s="73"/>
      <c r="EH974" s="73"/>
      <c r="EI974" s="73"/>
      <c r="EJ974" s="73"/>
      <c r="EK974" s="73"/>
      <c r="EL974" s="73"/>
      <c r="EM974" s="73"/>
      <c r="EN974" s="73"/>
      <c r="EO974" s="73"/>
      <c r="EP974" s="69"/>
      <c r="EQ974" s="69"/>
      <c r="ER974" s="69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  <c r="CK975" s="73"/>
      <c r="CL975" s="73"/>
      <c r="CM975" s="73"/>
      <c r="CN975" s="73"/>
      <c r="CO975" s="73"/>
      <c r="CP975" s="73"/>
      <c r="CQ975" s="73"/>
      <c r="CR975" s="73"/>
      <c r="CS975" s="73"/>
      <c r="CT975" s="73"/>
      <c r="CU975" s="73"/>
      <c r="CV975" s="73"/>
      <c r="CW975" s="73"/>
      <c r="CX975" s="73"/>
      <c r="CY975" s="73"/>
      <c r="CZ975" s="73"/>
      <c r="DA975" s="73"/>
      <c r="DB975" s="73"/>
      <c r="DC975" s="73"/>
      <c r="DD975" s="73"/>
      <c r="DE975" s="73"/>
      <c r="DF975" s="73"/>
      <c r="DG975" s="73"/>
      <c r="DH975" s="73"/>
      <c r="DI975" s="73"/>
      <c r="DJ975" s="73"/>
      <c r="DK975" s="73"/>
      <c r="DL975" s="73"/>
      <c r="DM975" s="73"/>
      <c r="DN975" s="73"/>
      <c r="DO975" s="73"/>
      <c r="DP975" s="73"/>
      <c r="DQ975" s="73"/>
      <c r="DR975" s="73"/>
      <c r="DS975" s="73"/>
      <c r="DT975" s="73"/>
      <c r="DU975" s="73"/>
      <c r="DV975" s="73"/>
      <c r="DW975" s="73"/>
      <c r="DX975" s="72"/>
      <c r="DY975" s="72"/>
      <c r="DZ975" s="73"/>
      <c r="EA975" s="73"/>
      <c r="EB975" s="73"/>
      <c r="EC975" s="73"/>
      <c r="ED975" s="73"/>
      <c r="EE975" s="73"/>
      <c r="EF975" s="73"/>
      <c r="EG975" s="73"/>
      <c r="EH975" s="73"/>
      <c r="EI975" s="73"/>
      <c r="EJ975" s="73"/>
      <c r="EK975" s="73"/>
      <c r="EL975" s="73"/>
      <c r="EM975" s="73"/>
      <c r="EN975" s="73"/>
      <c r="EO975" s="73"/>
      <c r="EP975" s="69"/>
      <c r="EQ975" s="69"/>
      <c r="ER975" s="69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  <c r="CK976" s="73"/>
      <c r="CL976" s="73"/>
      <c r="CM976" s="72"/>
      <c r="CN976" s="73"/>
      <c r="CO976" s="73"/>
      <c r="CP976" s="73"/>
      <c r="CQ976" s="73"/>
      <c r="CR976" s="73"/>
      <c r="CS976" s="73"/>
      <c r="CT976" s="73"/>
      <c r="CU976" s="73"/>
      <c r="CV976" s="73"/>
      <c r="CW976" s="73"/>
      <c r="CX976" s="73"/>
      <c r="CY976" s="73"/>
      <c r="CZ976" s="73"/>
      <c r="DA976" s="73"/>
      <c r="DB976" s="73"/>
      <c r="DC976" s="73"/>
      <c r="DD976" s="73"/>
      <c r="DE976" s="73"/>
      <c r="DF976" s="73"/>
      <c r="DG976" s="73"/>
      <c r="DH976" s="73"/>
      <c r="DI976" s="73"/>
      <c r="DJ976" s="73"/>
      <c r="DK976" s="73"/>
      <c r="DL976" s="73"/>
      <c r="DM976" s="73"/>
      <c r="DN976" s="73"/>
      <c r="DO976" s="73"/>
      <c r="DP976" s="73"/>
      <c r="DQ976" s="73"/>
      <c r="DR976" s="73"/>
      <c r="DS976" s="73"/>
      <c r="DT976" s="73"/>
      <c r="DU976" s="73"/>
      <c r="DV976" s="73"/>
      <c r="DW976" s="73"/>
      <c r="DX976" s="72"/>
      <c r="DY976" s="72"/>
      <c r="DZ976" s="73"/>
      <c r="EA976" s="73"/>
      <c r="EB976" s="73"/>
      <c r="EC976" s="73"/>
      <c r="ED976" s="73"/>
      <c r="EE976" s="73"/>
      <c r="EF976" s="73"/>
      <c r="EG976" s="73"/>
      <c r="EH976" s="73"/>
      <c r="EI976" s="73"/>
      <c r="EJ976" s="73"/>
      <c r="EK976" s="73"/>
      <c r="EL976" s="73"/>
      <c r="EM976" s="73"/>
      <c r="EN976" s="73"/>
      <c r="EO976" s="73"/>
      <c r="EP976" s="69"/>
      <c r="EQ976" s="69"/>
      <c r="ER976" s="69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  <c r="CK977" s="73"/>
      <c r="CL977" s="73"/>
      <c r="CM977" s="73"/>
      <c r="CN977" s="73"/>
      <c r="CO977" s="73"/>
      <c r="CP977" s="73"/>
      <c r="CQ977" s="73"/>
      <c r="CR977" s="73"/>
      <c r="CS977" s="73"/>
      <c r="CT977" s="73"/>
      <c r="CU977" s="73"/>
      <c r="CV977" s="73"/>
      <c r="CW977" s="73"/>
      <c r="CX977" s="73"/>
      <c r="CY977" s="73"/>
      <c r="CZ977" s="73"/>
      <c r="DA977" s="73"/>
      <c r="DB977" s="73"/>
      <c r="DC977" s="73"/>
      <c r="DD977" s="73"/>
      <c r="DE977" s="73"/>
      <c r="DF977" s="73"/>
      <c r="DG977" s="73"/>
      <c r="DH977" s="73"/>
      <c r="DI977" s="73"/>
      <c r="DJ977" s="73"/>
      <c r="DK977" s="73"/>
      <c r="DL977" s="73"/>
      <c r="DM977" s="73"/>
      <c r="DN977" s="73"/>
      <c r="DO977" s="73"/>
      <c r="DP977" s="73"/>
      <c r="DQ977" s="73"/>
      <c r="DR977" s="73"/>
      <c r="DS977" s="73"/>
      <c r="DT977" s="73"/>
      <c r="DU977" s="73"/>
      <c r="DV977" s="73"/>
      <c r="DW977" s="73"/>
      <c r="DX977" s="73"/>
      <c r="DY977" s="73"/>
      <c r="DZ977" s="73"/>
      <c r="EA977" s="73"/>
      <c r="EB977" s="73"/>
      <c r="EC977" s="73"/>
      <c r="ED977" s="73"/>
      <c r="EE977" s="73"/>
      <c r="EF977" s="73"/>
      <c r="EG977" s="73"/>
      <c r="EH977" s="73"/>
      <c r="EI977" s="73"/>
      <c r="EJ977" s="73"/>
      <c r="EK977" s="73"/>
      <c r="EL977" s="73"/>
      <c r="EM977" s="73"/>
      <c r="EN977" s="73"/>
      <c r="EO977" s="73"/>
      <c r="EP977" s="69"/>
      <c r="EQ977" s="69"/>
      <c r="ER977" s="69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  <c r="CK978" s="73"/>
      <c r="CL978" s="73"/>
      <c r="CM978" s="73"/>
      <c r="CN978" s="73"/>
      <c r="CO978" s="73"/>
      <c r="CP978" s="73"/>
      <c r="CQ978" s="73"/>
      <c r="CR978" s="73"/>
      <c r="CS978" s="73"/>
      <c r="CT978" s="73"/>
      <c r="CU978" s="73"/>
      <c r="CV978" s="73"/>
      <c r="CW978" s="73"/>
      <c r="CX978" s="73"/>
      <c r="CY978" s="73"/>
      <c r="CZ978" s="73"/>
      <c r="DA978" s="73"/>
      <c r="DB978" s="73"/>
      <c r="DC978" s="73"/>
      <c r="DD978" s="73"/>
      <c r="DE978" s="73"/>
      <c r="DF978" s="73"/>
      <c r="DG978" s="73"/>
      <c r="DH978" s="73"/>
      <c r="DI978" s="73"/>
      <c r="DJ978" s="73"/>
      <c r="DK978" s="73"/>
      <c r="DL978" s="73"/>
      <c r="DM978" s="73"/>
      <c r="DN978" s="73"/>
      <c r="DO978" s="73"/>
      <c r="DP978" s="73"/>
      <c r="DQ978" s="73"/>
      <c r="DR978" s="73"/>
      <c r="DS978" s="73"/>
      <c r="DT978" s="73"/>
      <c r="DU978" s="73"/>
      <c r="DV978" s="73"/>
      <c r="DW978" s="73"/>
      <c r="DX978" s="73"/>
      <c r="DY978" s="73"/>
      <c r="DZ978" s="73"/>
      <c r="EA978" s="73"/>
      <c r="EB978" s="73"/>
      <c r="EC978" s="73"/>
      <c r="ED978" s="73"/>
      <c r="EE978" s="73"/>
      <c r="EF978" s="73"/>
      <c r="EG978" s="73"/>
      <c r="EH978" s="73"/>
      <c r="EI978" s="73"/>
      <c r="EJ978" s="73"/>
      <c r="EK978" s="73"/>
      <c r="EL978" s="73"/>
      <c r="EM978" s="73"/>
      <c r="EN978" s="73"/>
      <c r="EO978" s="73"/>
      <c r="EP978" s="69"/>
      <c r="EQ978" s="69"/>
      <c r="ER978" s="69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  <c r="CR979" s="73"/>
      <c r="CS979" s="73"/>
      <c r="CT979" s="73"/>
      <c r="CU979" s="73"/>
      <c r="CV979" s="73"/>
      <c r="CW979" s="73"/>
      <c r="CX979" s="73"/>
      <c r="CY979" s="73"/>
      <c r="CZ979" s="73"/>
      <c r="DA979" s="73"/>
      <c r="DB979" s="73"/>
      <c r="DC979" s="73"/>
      <c r="DD979" s="73"/>
      <c r="DE979" s="73"/>
      <c r="DF979" s="73"/>
      <c r="DG979" s="73"/>
      <c r="DH979" s="73"/>
      <c r="DI979" s="73"/>
      <c r="DJ979" s="73"/>
      <c r="DK979" s="73"/>
      <c r="DL979" s="73"/>
      <c r="DM979" s="73"/>
      <c r="DN979" s="73"/>
      <c r="DO979" s="73"/>
      <c r="DP979" s="73"/>
      <c r="DQ979" s="73"/>
      <c r="DR979" s="73"/>
      <c r="DS979" s="73"/>
      <c r="DT979" s="73"/>
      <c r="DU979" s="73"/>
      <c r="DV979" s="73"/>
      <c r="DW979" s="73"/>
      <c r="DX979" s="72"/>
      <c r="DY979" s="72"/>
      <c r="DZ979" s="73"/>
      <c r="EA979" s="73"/>
      <c r="EB979" s="73"/>
      <c r="EC979" s="73"/>
      <c r="ED979" s="73"/>
      <c r="EE979" s="73"/>
      <c r="EF979" s="73"/>
      <c r="EG979" s="73"/>
      <c r="EH979" s="73"/>
      <c r="EI979" s="73"/>
      <c r="EJ979" s="73"/>
      <c r="EK979" s="73"/>
      <c r="EL979" s="73"/>
      <c r="EM979" s="73"/>
      <c r="EN979" s="73"/>
      <c r="EO979" s="73"/>
      <c r="EP979" s="69"/>
      <c r="EQ979" s="69"/>
      <c r="ER979" s="69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  <c r="CK980" s="73"/>
      <c r="CL980" s="73"/>
      <c r="CM980" s="73"/>
      <c r="CN980" s="73"/>
      <c r="CO980" s="73"/>
      <c r="CP980" s="73"/>
      <c r="CQ980" s="73"/>
      <c r="CR980" s="73"/>
      <c r="CS980" s="73"/>
      <c r="CT980" s="73"/>
      <c r="CU980" s="73"/>
      <c r="CV980" s="73"/>
      <c r="CW980" s="73"/>
      <c r="CX980" s="73"/>
      <c r="CY980" s="73"/>
      <c r="CZ980" s="73"/>
      <c r="DA980" s="73"/>
      <c r="DB980" s="73"/>
      <c r="DC980" s="73"/>
      <c r="DD980" s="73"/>
      <c r="DE980" s="73"/>
      <c r="DF980" s="73"/>
      <c r="DG980" s="73"/>
      <c r="DH980" s="73"/>
      <c r="DI980" s="73"/>
      <c r="DJ980" s="73"/>
      <c r="DK980" s="73"/>
      <c r="DL980" s="73"/>
      <c r="DM980" s="73"/>
      <c r="DN980" s="73"/>
      <c r="DO980" s="73"/>
      <c r="DP980" s="73"/>
      <c r="DQ980" s="73"/>
      <c r="DR980" s="73"/>
      <c r="DS980" s="73"/>
      <c r="DT980" s="73"/>
      <c r="DU980" s="73"/>
      <c r="DV980" s="73"/>
      <c r="DW980" s="73"/>
      <c r="DX980" s="72"/>
      <c r="DY980" s="72"/>
      <c r="DZ980" s="73"/>
      <c r="EA980" s="73"/>
      <c r="EB980" s="73"/>
      <c r="EC980" s="73"/>
      <c r="ED980" s="73"/>
      <c r="EE980" s="73"/>
      <c r="EF980" s="73"/>
      <c r="EG980" s="73"/>
      <c r="EH980" s="73"/>
      <c r="EI980" s="73"/>
      <c r="EJ980" s="73"/>
      <c r="EK980" s="73"/>
      <c r="EL980" s="73"/>
      <c r="EM980" s="73"/>
      <c r="EN980" s="73"/>
      <c r="EO980" s="73"/>
      <c r="EP980" s="69"/>
      <c r="EQ980" s="69"/>
      <c r="ER980" s="69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  <c r="CK981" s="73"/>
      <c r="CL981" s="73"/>
      <c r="CM981" s="73"/>
      <c r="CN981" s="73"/>
      <c r="CO981" s="73"/>
      <c r="CP981" s="73"/>
      <c r="CQ981" s="73"/>
      <c r="CR981" s="73"/>
      <c r="CS981" s="73"/>
      <c r="CT981" s="73"/>
      <c r="CU981" s="73"/>
      <c r="CV981" s="73"/>
      <c r="CW981" s="73"/>
      <c r="CX981" s="73"/>
      <c r="CY981" s="73"/>
      <c r="CZ981" s="73"/>
      <c r="DA981" s="73"/>
      <c r="DB981" s="73"/>
      <c r="DC981" s="73"/>
      <c r="DD981" s="73"/>
      <c r="DE981" s="73"/>
      <c r="DF981" s="73"/>
      <c r="DG981" s="73"/>
      <c r="DH981" s="73"/>
      <c r="DI981" s="73"/>
      <c r="DJ981" s="73"/>
      <c r="DK981" s="73"/>
      <c r="DL981" s="73"/>
      <c r="DM981" s="73"/>
      <c r="DN981" s="73"/>
      <c r="DO981" s="73"/>
      <c r="DP981" s="73"/>
      <c r="DQ981" s="73"/>
      <c r="DR981" s="73"/>
      <c r="DS981" s="73"/>
      <c r="DT981" s="73"/>
      <c r="DU981" s="73"/>
      <c r="DV981" s="73"/>
      <c r="DW981" s="73"/>
      <c r="DX981" s="72"/>
      <c r="DY981" s="72"/>
      <c r="DZ981" s="73"/>
      <c r="EA981" s="73"/>
      <c r="EB981" s="73"/>
      <c r="EC981" s="73"/>
      <c r="ED981" s="73"/>
      <c r="EE981" s="73"/>
      <c r="EF981" s="73"/>
      <c r="EG981" s="73"/>
      <c r="EH981" s="73"/>
      <c r="EI981" s="73"/>
      <c r="EJ981" s="73"/>
      <c r="EK981" s="73"/>
      <c r="EL981" s="73"/>
      <c r="EM981" s="73"/>
      <c r="EN981" s="73"/>
      <c r="EO981" s="73"/>
      <c r="EP981" s="69"/>
      <c r="EQ981" s="69"/>
      <c r="ER981" s="69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  <c r="CK982" s="73"/>
      <c r="CL982" s="73"/>
      <c r="CM982" s="73"/>
      <c r="CN982" s="73"/>
      <c r="CO982" s="73"/>
      <c r="CP982" s="73"/>
      <c r="CQ982" s="73"/>
      <c r="CR982" s="73"/>
      <c r="CS982" s="73"/>
      <c r="CT982" s="73"/>
      <c r="CU982" s="73"/>
      <c r="CV982" s="73"/>
      <c r="CW982" s="73"/>
      <c r="CX982" s="73"/>
      <c r="CY982" s="73"/>
      <c r="CZ982" s="73"/>
      <c r="DA982" s="73"/>
      <c r="DB982" s="73"/>
      <c r="DC982" s="73"/>
      <c r="DD982" s="73"/>
      <c r="DE982" s="73"/>
      <c r="DF982" s="73"/>
      <c r="DG982" s="73"/>
      <c r="DH982" s="73"/>
      <c r="DI982" s="73"/>
      <c r="DJ982" s="73"/>
      <c r="DK982" s="73"/>
      <c r="DL982" s="73"/>
      <c r="DM982" s="73"/>
      <c r="DN982" s="73"/>
      <c r="DO982" s="73"/>
      <c r="DP982" s="73"/>
      <c r="DQ982" s="73"/>
      <c r="DR982" s="73"/>
      <c r="DS982" s="73"/>
      <c r="DT982" s="73"/>
      <c r="DU982" s="73"/>
      <c r="DV982" s="73"/>
      <c r="DW982" s="73"/>
      <c r="DX982" s="72"/>
      <c r="DY982" s="72"/>
      <c r="DZ982" s="73"/>
      <c r="EA982" s="73"/>
      <c r="EB982" s="73"/>
      <c r="EC982" s="73"/>
      <c r="ED982" s="73"/>
      <c r="EE982" s="73"/>
      <c r="EF982" s="73"/>
      <c r="EG982" s="73"/>
      <c r="EH982" s="73"/>
      <c r="EI982" s="73"/>
      <c r="EJ982" s="73"/>
      <c r="EK982" s="73"/>
      <c r="EL982" s="73"/>
      <c r="EM982" s="73"/>
      <c r="EN982" s="73"/>
      <c r="EO982" s="73"/>
      <c r="EP982" s="69"/>
      <c r="EQ982" s="69"/>
      <c r="ER982" s="69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  <c r="CK983" s="73"/>
      <c r="CL983" s="73"/>
      <c r="CM983" s="73"/>
      <c r="CN983" s="73"/>
      <c r="CO983" s="73"/>
      <c r="CP983" s="73"/>
      <c r="CQ983" s="73"/>
      <c r="CR983" s="73"/>
      <c r="CS983" s="73"/>
      <c r="CT983" s="73"/>
      <c r="CU983" s="73"/>
      <c r="CV983" s="73"/>
      <c r="CW983" s="73"/>
      <c r="CX983" s="73"/>
      <c r="CY983" s="73"/>
      <c r="CZ983" s="73"/>
      <c r="DA983" s="73"/>
      <c r="DB983" s="73"/>
      <c r="DC983" s="73"/>
      <c r="DD983" s="73"/>
      <c r="DE983" s="73"/>
      <c r="DF983" s="73"/>
      <c r="DG983" s="73"/>
      <c r="DH983" s="73"/>
      <c r="DI983" s="73"/>
      <c r="DJ983" s="73"/>
      <c r="DK983" s="73"/>
      <c r="DL983" s="73"/>
      <c r="DM983" s="73"/>
      <c r="DN983" s="73"/>
      <c r="DO983" s="73"/>
      <c r="DP983" s="73"/>
      <c r="DQ983" s="73"/>
      <c r="DR983" s="73"/>
      <c r="DS983" s="73"/>
      <c r="DT983" s="73"/>
      <c r="DU983" s="73"/>
      <c r="DV983" s="73"/>
      <c r="DW983" s="73"/>
      <c r="DX983" s="72"/>
      <c r="DY983" s="72"/>
      <c r="DZ983" s="73"/>
      <c r="EA983" s="73"/>
      <c r="EB983" s="73"/>
      <c r="EC983" s="73"/>
      <c r="ED983" s="73"/>
      <c r="EE983" s="73"/>
      <c r="EF983" s="73"/>
      <c r="EG983" s="73"/>
      <c r="EH983" s="73"/>
      <c r="EI983" s="73"/>
      <c r="EJ983" s="73"/>
      <c r="EK983" s="73"/>
      <c r="EL983" s="73"/>
      <c r="EM983" s="73"/>
      <c r="EN983" s="73"/>
      <c r="EO983" s="73"/>
      <c r="EP983" s="69"/>
      <c r="EQ983" s="69"/>
      <c r="ER983" s="69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  <c r="CK984" s="73"/>
      <c r="CL984" s="73"/>
      <c r="CM984" s="73"/>
      <c r="CN984" s="73"/>
      <c r="CO984" s="73"/>
      <c r="CP984" s="73"/>
      <c r="CQ984" s="73"/>
      <c r="CR984" s="73"/>
      <c r="CS984" s="73"/>
      <c r="CT984" s="73"/>
      <c r="CU984" s="73"/>
      <c r="CV984" s="73"/>
      <c r="CW984" s="73"/>
      <c r="CX984" s="73"/>
      <c r="CY984" s="73"/>
      <c r="CZ984" s="73"/>
      <c r="DA984" s="73"/>
      <c r="DB984" s="73"/>
      <c r="DC984" s="73"/>
      <c r="DD984" s="73"/>
      <c r="DE984" s="73"/>
      <c r="DF984" s="73"/>
      <c r="DG984" s="73"/>
      <c r="DH984" s="73"/>
      <c r="DI984" s="73"/>
      <c r="DJ984" s="73"/>
      <c r="DK984" s="73"/>
      <c r="DL984" s="73"/>
      <c r="DM984" s="73"/>
      <c r="DN984" s="73"/>
      <c r="DO984" s="73"/>
      <c r="DP984" s="73"/>
      <c r="DQ984" s="73"/>
      <c r="DR984" s="73"/>
      <c r="DS984" s="73"/>
      <c r="DT984" s="73"/>
      <c r="DU984" s="73"/>
      <c r="DV984" s="73"/>
      <c r="DW984" s="73"/>
      <c r="DX984" s="72"/>
      <c r="DY984" s="72"/>
      <c r="DZ984" s="73"/>
      <c r="EA984" s="73"/>
      <c r="EB984" s="73"/>
      <c r="EC984" s="73"/>
      <c r="ED984" s="73"/>
      <c r="EE984" s="73"/>
      <c r="EF984" s="73"/>
      <c r="EG984" s="73"/>
      <c r="EH984" s="73"/>
      <c r="EI984" s="73"/>
      <c r="EJ984" s="73"/>
      <c r="EK984" s="73"/>
      <c r="EL984" s="73"/>
      <c r="EM984" s="73"/>
      <c r="EN984" s="73"/>
      <c r="EO984" s="73"/>
      <c r="EP984" s="69"/>
      <c r="EQ984" s="69"/>
      <c r="ER984" s="69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  <c r="CK985" s="73"/>
      <c r="CL985" s="73"/>
      <c r="CM985" s="73"/>
      <c r="CN985" s="73"/>
      <c r="CO985" s="73"/>
      <c r="CP985" s="73"/>
      <c r="CQ985" s="73"/>
      <c r="CR985" s="73"/>
      <c r="CS985" s="73"/>
      <c r="CT985" s="73"/>
      <c r="CU985" s="73"/>
      <c r="CV985" s="73"/>
      <c r="CW985" s="73"/>
      <c r="CX985" s="73"/>
      <c r="CY985" s="73"/>
      <c r="CZ985" s="73"/>
      <c r="DA985" s="73"/>
      <c r="DB985" s="73"/>
      <c r="DC985" s="73"/>
      <c r="DD985" s="73"/>
      <c r="DE985" s="73"/>
      <c r="DF985" s="73"/>
      <c r="DG985" s="73"/>
      <c r="DH985" s="73"/>
      <c r="DI985" s="73"/>
      <c r="DJ985" s="73"/>
      <c r="DK985" s="73"/>
      <c r="DL985" s="73"/>
      <c r="DM985" s="73"/>
      <c r="DN985" s="73"/>
      <c r="DO985" s="73"/>
      <c r="DP985" s="73"/>
      <c r="DQ985" s="73"/>
      <c r="DR985" s="73"/>
      <c r="DS985" s="73"/>
      <c r="DT985" s="73"/>
      <c r="DU985" s="73"/>
      <c r="DV985" s="73"/>
      <c r="DW985" s="73"/>
      <c r="DX985" s="72"/>
      <c r="DY985" s="72"/>
      <c r="DZ985" s="73"/>
      <c r="EA985" s="73"/>
      <c r="EB985" s="73"/>
      <c r="EC985" s="73"/>
      <c r="ED985" s="73"/>
      <c r="EE985" s="73"/>
      <c r="EF985" s="73"/>
      <c r="EG985" s="73"/>
      <c r="EH985" s="73"/>
      <c r="EI985" s="73"/>
      <c r="EJ985" s="73"/>
      <c r="EK985" s="73"/>
      <c r="EL985" s="73"/>
      <c r="EM985" s="73"/>
      <c r="EN985" s="73"/>
      <c r="EO985" s="73"/>
      <c r="EP985" s="69"/>
      <c r="EQ985" s="69"/>
      <c r="ER985" s="69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  <c r="CK986" s="73"/>
      <c r="CL986" s="73"/>
      <c r="CM986" s="73"/>
      <c r="CN986" s="73"/>
      <c r="CO986" s="73"/>
      <c r="CP986" s="73"/>
      <c r="CQ986" s="73"/>
      <c r="CR986" s="73"/>
      <c r="CS986" s="73"/>
      <c r="CT986" s="73"/>
      <c r="CU986" s="73"/>
      <c r="CV986" s="73"/>
      <c r="CW986" s="73"/>
      <c r="CX986" s="73"/>
      <c r="CY986" s="73"/>
      <c r="CZ986" s="73"/>
      <c r="DA986" s="73"/>
      <c r="DB986" s="73"/>
      <c r="DC986" s="73"/>
      <c r="DD986" s="73"/>
      <c r="DE986" s="73"/>
      <c r="DF986" s="73"/>
      <c r="DG986" s="73"/>
      <c r="DH986" s="73"/>
      <c r="DI986" s="73"/>
      <c r="DJ986" s="73"/>
      <c r="DK986" s="73"/>
      <c r="DL986" s="73"/>
      <c r="DM986" s="73"/>
      <c r="DN986" s="73"/>
      <c r="DO986" s="73"/>
      <c r="DP986" s="73"/>
      <c r="DQ986" s="73"/>
      <c r="DR986" s="73"/>
      <c r="DS986" s="73"/>
      <c r="DT986" s="73"/>
      <c r="DU986" s="73"/>
      <c r="DV986" s="73"/>
      <c r="DW986" s="73"/>
      <c r="DX986" s="72"/>
      <c r="DY986" s="72"/>
      <c r="DZ986" s="73"/>
      <c r="EA986" s="73"/>
      <c r="EB986" s="73"/>
      <c r="EC986" s="73"/>
      <c r="ED986" s="73"/>
      <c r="EE986" s="73"/>
      <c r="EF986" s="73"/>
      <c r="EG986" s="73"/>
      <c r="EH986" s="73"/>
      <c r="EI986" s="73"/>
      <c r="EJ986" s="73"/>
      <c r="EK986" s="73"/>
      <c r="EL986" s="73"/>
      <c r="EM986" s="73"/>
      <c r="EN986" s="73"/>
      <c r="EO986" s="73"/>
      <c r="EP986" s="69"/>
      <c r="EQ986" s="69"/>
      <c r="ER986" s="69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  <c r="CK987" s="73"/>
      <c r="CL987" s="73"/>
      <c r="CM987" s="73"/>
      <c r="CN987" s="73"/>
      <c r="CO987" s="73"/>
      <c r="CP987" s="73"/>
      <c r="CQ987" s="73"/>
      <c r="CR987" s="73"/>
      <c r="CS987" s="73"/>
      <c r="CT987" s="73"/>
      <c r="CU987" s="73"/>
      <c r="CV987" s="73"/>
      <c r="CW987" s="73"/>
      <c r="CX987" s="73"/>
      <c r="CY987" s="73"/>
      <c r="CZ987" s="73"/>
      <c r="DA987" s="73"/>
      <c r="DB987" s="73"/>
      <c r="DC987" s="73"/>
      <c r="DD987" s="73"/>
      <c r="DE987" s="73"/>
      <c r="DF987" s="73"/>
      <c r="DG987" s="73"/>
      <c r="DH987" s="73"/>
      <c r="DI987" s="73"/>
      <c r="DJ987" s="73"/>
      <c r="DK987" s="73"/>
      <c r="DL987" s="73"/>
      <c r="DM987" s="73"/>
      <c r="DN987" s="73"/>
      <c r="DO987" s="73"/>
      <c r="DP987" s="73"/>
      <c r="DQ987" s="73"/>
      <c r="DR987" s="73"/>
      <c r="DS987" s="73"/>
      <c r="DT987" s="73"/>
      <c r="DU987" s="73"/>
      <c r="DV987" s="73"/>
      <c r="DW987" s="73"/>
      <c r="DX987" s="72"/>
      <c r="DY987" s="72"/>
      <c r="DZ987" s="73"/>
      <c r="EA987" s="73"/>
      <c r="EB987" s="73"/>
      <c r="EC987" s="73"/>
      <c r="ED987" s="73"/>
      <c r="EE987" s="73"/>
      <c r="EF987" s="73"/>
      <c r="EG987" s="73"/>
      <c r="EH987" s="73"/>
      <c r="EI987" s="73"/>
      <c r="EJ987" s="73"/>
      <c r="EK987" s="73"/>
      <c r="EL987" s="73"/>
      <c r="EM987" s="73"/>
      <c r="EN987" s="73"/>
      <c r="EO987" s="73"/>
      <c r="EP987" s="69"/>
      <c r="EQ987" s="69"/>
      <c r="ER987" s="69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  <c r="CK988" s="73"/>
      <c r="CL988" s="73"/>
      <c r="CM988" s="73"/>
      <c r="CN988" s="73"/>
      <c r="CO988" s="73"/>
      <c r="CP988" s="73"/>
      <c r="CQ988" s="73"/>
      <c r="CR988" s="73"/>
      <c r="CS988" s="73"/>
      <c r="CT988" s="73"/>
      <c r="CU988" s="73"/>
      <c r="CV988" s="73"/>
      <c r="CW988" s="73"/>
      <c r="CX988" s="73"/>
      <c r="CY988" s="73"/>
      <c r="CZ988" s="73"/>
      <c r="DA988" s="73"/>
      <c r="DB988" s="73"/>
      <c r="DC988" s="73"/>
      <c r="DD988" s="73"/>
      <c r="DE988" s="73"/>
      <c r="DF988" s="73"/>
      <c r="DG988" s="73"/>
      <c r="DH988" s="73"/>
      <c r="DI988" s="73"/>
      <c r="DJ988" s="73"/>
      <c r="DK988" s="73"/>
      <c r="DL988" s="73"/>
      <c r="DM988" s="73"/>
      <c r="DN988" s="73"/>
      <c r="DO988" s="73"/>
      <c r="DP988" s="73"/>
      <c r="DQ988" s="73"/>
      <c r="DR988" s="73"/>
      <c r="DS988" s="73"/>
      <c r="DT988" s="73"/>
      <c r="DU988" s="73"/>
      <c r="DV988" s="73"/>
      <c r="DW988" s="73"/>
      <c r="DX988" s="72"/>
      <c r="DY988" s="72"/>
      <c r="DZ988" s="73"/>
      <c r="EA988" s="73"/>
      <c r="EB988" s="73"/>
      <c r="EC988" s="73"/>
      <c r="ED988" s="73"/>
      <c r="EE988" s="73"/>
      <c r="EF988" s="73"/>
      <c r="EG988" s="73"/>
      <c r="EH988" s="73"/>
      <c r="EI988" s="73"/>
      <c r="EJ988" s="73"/>
      <c r="EK988" s="73"/>
      <c r="EL988" s="73"/>
      <c r="EM988" s="73"/>
      <c r="EN988" s="73"/>
      <c r="EO988" s="73"/>
      <c r="EP988" s="69"/>
      <c r="EQ988" s="69"/>
      <c r="ER988" s="69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  <c r="CK989" s="73"/>
      <c r="CL989" s="73"/>
      <c r="CM989" s="73"/>
      <c r="CN989" s="73"/>
      <c r="CO989" s="73"/>
      <c r="CP989" s="73"/>
      <c r="CQ989" s="73"/>
      <c r="CR989" s="73"/>
      <c r="CS989" s="73"/>
      <c r="CT989" s="73"/>
      <c r="CU989" s="73"/>
      <c r="CV989" s="73"/>
      <c r="CW989" s="73"/>
      <c r="CX989" s="73"/>
      <c r="CY989" s="73"/>
      <c r="CZ989" s="73"/>
      <c r="DA989" s="73"/>
      <c r="DB989" s="73"/>
      <c r="DC989" s="73"/>
      <c r="DD989" s="73"/>
      <c r="DE989" s="73"/>
      <c r="DF989" s="73"/>
      <c r="DG989" s="73"/>
      <c r="DH989" s="73"/>
      <c r="DI989" s="73"/>
      <c r="DJ989" s="73"/>
      <c r="DK989" s="73"/>
      <c r="DL989" s="73"/>
      <c r="DM989" s="73"/>
      <c r="DN989" s="73"/>
      <c r="DO989" s="73"/>
      <c r="DP989" s="73"/>
      <c r="DQ989" s="73"/>
      <c r="DR989" s="73"/>
      <c r="DS989" s="73"/>
      <c r="DT989" s="73"/>
      <c r="DU989" s="73"/>
      <c r="DV989" s="73"/>
      <c r="DW989" s="73"/>
      <c r="DX989" s="72"/>
      <c r="DY989" s="72"/>
      <c r="DZ989" s="73"/>
      <c r="EA989" s="73"/>
      <c r="EB989" s="73"/>
      <c r="EC989" s="73"/>
      <c r="ED989" s="73"/>
      <c r="EE989" s="73"/>
      <c r="EF989" s="73"/>
      <c r="EG989" s="73"/>
      <c r="EH989" s="73"/>
      <c r="EI989" s="73"/>
      <c r="EJ989" s="73"/>
      <c r="EK989" s="73"/>
      <c r="EL989" s="73"/>
      <c r="EM989" s="73"/>
      <c r="EN989" s="73"/>
      <c r="EO989" s="73"/>
      <c r="EP989" s="69"/>
      <c r="EQ989" s="69"/>
      <c r="ER989" s="69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  <c r="CK990" s="73"/>
      <c r="CL990" s="73"/>
      <c r="CM990" s="73"/>
      <c r="CN990" s="73"/>
      <c r="CO990" s="73"/>
      <c r="CP990" s="73"/>
      <c r="CQ990" s="73"/>
      <c r="CR990" s="73"/>
      <c r="CS990" s="73"/>
      <c r="CT990" s="73"/>
      <c r="CU990" s="73"/>
      <c r="CV990" s="73"/>
      <c r="CW990" s="73"/>
      <c r="CX990" s="73"/>
      <c r="CY990" s="73"/>
      <c r="CZ990" s="73"/>
      <c r="DA990" s="73"/>
      <c r="DB990" s="73"/>
      <c r="DC990" s="73"/>
      <c r="DD990" s="73"/>
      <c r="DE990" s="73"/>
      <c r="DF990" s="73"/>
      <c r="DG990" s="73"/>
      <c r="DH990" s="73"/>
      <c r="DI990" s="73"/>
      <c r="DJ990" s="73"/>
      <c r="DK990" s="73"/>
      <c r="DL990" s="73"/>
      <c r="DM990" s="73"/>
      <c r="DN990" s="73"/>
      <c r="DO990" s="73"/>
      <c r="DP990" s="73"/>
      <c r="DQ990" s="73"/>
      <c r="DR990" s="73"/>
      <c r="DS990" s="73"/>
      <c r="DT990" s="73"/>
      <c r="DU990" s="73"/>
      <c r="DV990" s="73"/>
      <c r="DW990" s="73"/>
      <c r="DX990" s="73"/>
      <c r="DY990" s="73"/>
      <c r="DZ990" s="73"/>
      <c r="EA990" s="73"/>
      <c r="EB990" s="73"/>
      <c r="EC990" s="73"/>
      <c r="ED990" s="73"/>
      <c r="EE990" s="73"/>
      <c r="EF990" s="73"/>
      <c r="EG990" s="73"/>
      <c r="EH990" s="73"/>
      <c r="EI990" s="73"/>
      <c r="EJ990" s="73"/>
      <c r="EK990" s="73"/>
      <c r="EL990" s="73"/>
      <c r="EM990" s="73"/>
      <c r="EN990" s="73"/>
      <c r="EO990" s="73"/>
      <c r="EP990" s="69"/>
      <c r="EQ990" s="69"/>
      <c r="ER990" s="69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  <c r="CK991" s="73"/>
      <c r="CL991" s="73"/>
      <c r="CM991" s="73"/>
      <c r="CN991" s="73"/>
      <c r="CO991" s="73"/>
      <c r="CP991" s="73"/>
      <c r="CQ991" s="73"/>
      <c r="CR991" s="73"/>
      <c r="CS991" s="73"/>
      <c r="CT991" s="73"/>
      <c r="CU991" s="73"/>
      <c r="CV991" s="73"/>
      <c r="CW991" s="73"/>
      <c r="CX991" s="73"/>
      <c r="CY991" s="73"/>
      <c r="CZ991" s="73"/>
      <c r="DA991" s="73"/>
      <c r="DB991" s="73"/>
      <c r="DC991" s="73"/>
      <c r="DD991" s="73"/>
      <c r="DE991" s="73"/>
      <c r="DF991" s="73"/>
      <c r="DG991" s="73"/>
      <c r="DH991" s="73"/>
      <c r="DI991" s="73"/>
      <c r="DJ991" s="73"/>
      <c r="DK991" s="73"/>
      <c r="DL991" s="73"/>
      <c r="DM991" s="73"/>
      <c r="DN991" s="73"/>
      <c r="DO991" s="73"/>
      <c r="DP991" s="73"/>
      <c r="DQ991" s="73"/>
      <c r="DR991" s="73"/>
      <c r="DS991" s="73"/>
      <c r="DT991" s="73"/>
      <c r="DU991" s="73"/>
      <c r="DV991" s="73"/>
      <c r="DW991" s="73"/>
      <c r="DX991" s="73"/>
      <c r="DY991" s="73"/>
      <c r="DZ991" s="73"/>
      <c r="EA991" s="73"/>
      <c r="EB991" s="73"/>
      <c r="EC991" s="73"/>
      <c r="ED991" s="73"/>
      <c r="EE991" s="73"/>
      <c r="EF991" s="73"/>
      <c r="EG991" s="73"/>
      <c r="EH991" s="73"/>
      <c r="EI991" s="73"/>
      <c r="EJ991" s="73"/>
      <c r="EK991" s="73"/>
      <c r="EL991" s="73"/>
      <c r="EM991" s="73"/>
      <c r="EN991" s="73"/>
      <c r="EO991" s="73"/>
      <c r="EP991" s="69"/>
      <c r="EQ991" s="69"/>
      <c r="ER991" s="69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  <c r="CK992" s="73"/>
      <c r="CL992" s="73"/>
      <c r="CM992" s="73"/>
      <c r="CN992" s="73"/>
      <c r="CO992" s="73"/>
      <c r="CP992" s="73"/>
      <c r="CQ992" s="73"/>
      <c r="CR992" s="73"/>
      <c r="CS992" s="73"/>
      <c r="CT992" s="73"/>
      <c r="CU992" s="73"/>
      <c r="CV992" s="73"/>
      <c r="CW992" s="73"/>
      <c r="CX992" s="73"/>
      <c r="CY992" s="73"/>
      <c r="CZ992" s="73"/>
      <c r="DA992" s="73"/>
      <c r="DB992" s="73"/>
      <c r="DC992" s="73"/>
      <c r="DD992" s="73"/>
      <c r="DE992" s="73"/>
      <c r="DF992" s="73"/>
      <c r="DG992" s="73"/>
      <c r="DH992" s="73"/>
      <c r="DI992" s="73"/>
      <c r="DJ992" s="73"/>
      <c r="DK992" s="73"/>
      <c r="DL992" s="73"/>
      <c r="DM992" s="73"/>
      <c r="DN992" s="73"/>
      <c r="DO992" s="73"/>
      <c r="DP992" s="73"/>
      <c r="DQ992" s="73"/>
      <c r="DR992" s="73"/>
      <c r="DS992" s="73"/>
      <c r="DT992" s="73"/>
      <c r="DU992" s="73"/>
      <c r="DV992" s="73"/>
      <c r="DW992" s="73"/>
      <c r="DX992" s="72"/>
      <c r="DY992" s="72"/>
      <c r="DZ992" s="73"/>
      <c r="EA992" s="73"/>
      <c r="EB992" s="73"/>
      <c r="EC992" s="73"/>
      <c r="ED992" s="73"/>
      <c r="EE992" s="73"/>
      <c r="EF992" s="73"/>
      <c r="EG992" s="73"/>
      <c r="EH992" s="73"/>
      <c r="EI992" s="73"/>
      <c r="EJ992" s="73"/>
      <c r="EK992" s="73"/>
      <c r="EL992" s="73"/>
      <c r="EM992" s="73"/>
      <c r="EN992" s="73"/>
      <c r="EO992" s="73"/>
      <c r="EP992" s="69"/>
      <c r="EQ992" s="69"/>
      <c r="ER992" s="69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  <c r="CK993" s="73"/>
      <c r="CL993" s="73"/>
      <c r="CM993" s="73"/>
      <c r="CN993" s="73"/>
      <c r="CO993" s="73"/>
      <c r="CP993" s="73"/>
      <c r="CQ993" s="73"/>
      <c r="CR993" s="73"/>
      <c r="CS993" s="73"/>
      <c r="CT993" s="73"/>
      <c r="CU993" s="73"/>
      <c r="CV993" s="73"/>
      <c r="CW993" s="73"/>
      <c r="CX993" s="73"/>
      <c r="CY993" s="73"/>
      <c r="CZ993" s="73"/>
      <c r="DA993" s="73"/>
      <c r="DB993" s="73"/>
      <c r="DC993" s="73"/>
      <c r="DD993" s="73"/>
      <c r="DE993" s="73"/>
      <c r="DF993" s="73"/>
      <c r="DG993" s="73"/>
      <c r="DH993" s="73"/>
      <c r="DI993" s="73"/>
      <c r="DJ993" s="73"/>
      <c r="DK993" s="73"/>
      <c r="DL993" s="73"/>
      <c r="DM993" s="73"/>
      <c r="DN993" s="73"/>
      <c r="DO993" s="73"/>
      <c r="DP993" s="73"/>
      <c r="DQ993" s="73"/>
      <c r="DR993" s="73"/>
      <c r="DS993" s="73"/>
      <c r="DT993" s="73"/>
      <c r="DU993" s="73"/>
      <c r="DV993" s="73"/>
      <c r="DW993" s="73"/>
      <c r="DX993" s="72"/>
      <c r="DY993" s="72"/>
      <c r="DZ993" s="73"/>
      <c r="EA993" s="73"/>
      <c r="EB993" s="73"/>
      <c r="EC993" s="73"/>
      <c r="ED993" s="73"/>
      <c r="EE993" s="73"/>
      <c r="EF993" s="73"/>
      <c r="EG993" s="73"/>
      <c r="EH993" s="73"/>
      <c r="EI993" s="73"/>
      <c r="EJ993" s="73"/>
      <c r="EK993" s="73"/>
      <c r="EL993" s="73"/>
      <c r="EM993" s="73"/>
      <c r="EN993" s="73"/>
      <c r="EO993" s="73"/>
      <c r="EP993" s="69"/>
      <c r="EQ993" s="69"/>
      <c r="ER993" s="69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  <c r="CK994" s="73"/>
      <c r="CL994" s="73"/>
      <c r="CM994" s="73"/>
      <c r="CN994" s="73"/>
      <c r="CO994" s="73"/>
      <c r="CP994" s="73"/>
      <c r="CQ994" s="73"/>
      <c r="CR994" s="73"/>
      <c r="CS994" s="73"/>
      <c r="CT994" s="73"/>
      <c r="CU994" s="73"/>
      <c r="CV994" s="73"/>
      <c r="CW994" s="73"/>
      <c r="CX994" s="73"/>
      <c r="CY994" s="73"/>
      <c r="CZ994" s="73"/>
      <c r="DA994" s="73"/>
      <c r="DB994" s="73"/>
      <c r="DC994" s="73"/>
      <c r="DD994" s="73"/>
      <c r="DE994" s="73"/>
      <c r="DF994" s="73"/>
      <c r="DG994" s="73"/>
      <c r="DH994" s="73"/>
      <c r="DI994" s="73"/>
      <c r="DJ994" s="73"/>
      <c r="DK994" s="73"/>
      <c r="DL994" s="73"/>
      <c r="DM994" s="73"/>
      <c r="DN994" s="73"/>
      <c r="DO994" s="73"/>
      <c r="DP994" s="73"/>
      <c r="DQ994" s="73"/>
      <c r="DR994" s="73"/>
      <c r="DS994" s="73"/>
      <c r="DT994" s="73"/>
      <c r="DU994" s="73"/>
      <c r="DV994" s="73"/>
      <c r="DW994" s="73"/>
      <c r="DX994" s="72"/>
      <c r="DY994" s="72"/>
      <c r="DZ994" s="73"/>
      <c r="EA994" s="73"/>
      <c r="EB994" s="73"/>
      <c r="EC994" s="73"/>
      <c r="ED994" s="73"/>
      <c r="EE994" s="73"/>
      <c r="EF994" s="73"/>
      <c r="EG994" s="73"/>
      <c r="EH994" s="73"/>
      <c r="EI994" s="73"/>
      <c r="EJ994" s="73"/>
      <c r="EK994" s="73"/>
      <c r="EL994" s="73"/>
      <c r="EM994" s="73"/>
      <c r="EN994" s="73"/>
      <c r="EO994" s="73"/>
      <c r="EP994" s="69"/>
      <c r="EQ994" s="69"/>
      <c r="ER994" s="69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  <c r="CK995" s="73"/>
      <c r="CL995" s="73"/>
      <c r="CM995" s="72"/>
      <c r="CN995" s="73"/>
      <c r="CO995" s="73"/>
      <c r="CP995" s="73"/>
      <c r="CQ995" s="73"/>
      <c r="CR995" s="73"/>
      <c r="CS995" s="73"/>
      <c r="CT995" s="73"/>
      <c r="CU995" s="73"/>
      <c r="CV995" s="73"/>
      <c r="CW995" s="73"/>
      <c r="CX995" s="73"/>
      <c r="CY995" s="73"/>
      <c r="CZ995" s="73"/>
      <c r="DA995" s="73"/>
      <c r="DB995" s="73"/>
      <c r="DC995" s="73"/>
      <c r="DD995" s="73"/>
      <c r="DE995" s="73"/>
      <c r="DF995" s="73"/>
      <c r="DG995" s="73"/>
      <c r="DH995" s="73"/>
      <c r="DI995" s="73"/>
      <c r="DJ995" s="73"/>
      <c r="DK995" s="73"/>
      <c r="DL995" s="73"/>
      <c r="DM995" s="73"/>
      <c r="DN995" s="73"/>
      <c r="DO995" s="73"/>
      <c r="DP995" s="73"/>
      <c r="DQ995" s="73"/>
      <c r="DR995" s="73"/>
      <c r="DS995" s="73"/>
      <c r="DT995" s="73"/>
      <c r="DU995" s="73"/>
      <c r="DV995" s="73"/>
      <c r="DW995" s="73"/>
      <c r="DX995" s="73"/>
      <c r="DY995" s="73"/>
      <c r="DZ995" s="73"/>
      <c r="EA995" s="73"/>
      <c r="EB995" s="73"/>
      <c r="EC995" s="73"/>
      <c r="ED995" s="73"/>
      <c r="EE995" s="73"/>
      <c r="EF995" s="73"/>
      <c r="EG995" s="73"/>
      <c r="EH995" s="73"/>
      <c r="EI995" s="73"/>
      <c r="EJ995" s="73"/>
      <c r="EK995" s="73"/>
      <c r="EL995" s="73"/>
      <c r="EM995" s="73"/>
      <c r="EN995" s="73"/>
      <c r="EO995" s="73"/>
      <c r="EP995" s="69"/>
      <c r="EQ995" s="69"/>
      <c r="ER995" s="69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  <c r="CK996" s="73"/>
      <c r="CL996" s="73"/>
      <c r="CM996" s="72"/>
      <c r="CN996" s="73"/>
      <c r="CO996" s="73"/>
      <c r="CP996" s="73"/>
      <c r="CQ996" s="73"/>
      <c r="CR996" s="73"/>
      <c r="CS996" s="73"/>
      <c r="CT996" s="73"/>
      <c r="CU996" s="73"/>
      <c r="CV996" s="73"/>
      <c r="CW996" s="73"/>
      <c r="CX996" s="73"/>
      <c r="CY996" s="73"/>
      <c r="CZ996" s="73"/>
      <c r="DA996" s="73"/>
      <c r="DB996" s="73"/>
      <c r="DC996" s="73"/>
      <c r="DD996" s="73"/>
      <c r="DE996" s="73"/>
      <c r="DF996" s="73"/>
      <c r="DG996" s="73"/>
      <c r="DH996" s="73"/>
      <c r="DI996" s="73"/>
      <c r="DJ996" s="73"/>
      <c r="DK996" s="73"/>
      <c r="DL996" s="73"/>
      <c r="DM996" s="73"/>
      <c r="DN996" s="73"/>
      <c r="DO996" s="73"/>
      <c r="DP996" s="73"/>
      <c r="DQ996" s="73"/>
      <c r="DR996" s="73"/>
      <c r="DS996" s="73"/>
      <c r="DT996" s="73"/>
      <c r="DU996" s="73"/>
      <c r="DV996" s="73"/>
      <c r="DW996" s="73"/>
      <c r="DX996" s="72"/>
      <c r="DY996" s="72"/>
      <c r="DZ996" s="73"/>
      <c r="EA996" s="73"/>
      <c r="EB996" s="73"/>
      <c r="EC996" s="73"/>
      <c r="ED996" s="73"/>
      <c r="EE996" s="73"/>
      <c r="EF996" s="73"/>
      <c r="EG996" s="73"/>
      <c r="EH996" s="73"/>
      <c r="EI996" s="73"/>
      <c r="EJ996" s="73"/>
      <c r="EK996" s="73"/>
      <c r="EL996" s="73"/>
      <c r="EM996" s="73"/>
      <c r="EN996" s="73"/>
      <c r="EO996" s="73"/>
      <c r="EP996" s="69"/>
      <c r="EQ996" s="69"/>
      <c r="ER996" s="69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  <c r="CK997" s="73"/>
      <c r="CL997" s="73"/>
      <c r="CM997" s="72"/>
      <c r="CN997" s="73"/>
      <c r="CO997" s="73"/>
      <c r="CP997" s="73"/>
      <c r="CQ997" s="73"/>
      <c r="CR997" s="73"/>
      <c r="CS997" s="73"/>
      <c r="CT997" s="73"/>
      <c r="CU997" s="73"/>
      <c r="CV997" s="73"/>
      <c r="CW997" s="73"/>
      <c r="CX997" s="73"/>
      <c r="CY997" s="73"/>
      <c r="CZ997" s="73"/>
      <c r="DA997" s="73"/>
      <c r="DB997" s="73"/>
      <c r="DC997" s="73"/>
      <c r="DD997" s="73"/>
      <c r="DE997" s="73"/>
      <c r="DF997" s="73"/>
      <c r="DG997" s="73"/>
      <c r="DH997" s="73"/>
      <c r="DI997" s="73"/>
      <c r="DJ997" s="73"/>
      <c r="DK997" s="73"/>
      <c r="DL997" s="73"/>
      <c r="DM997" s="73"/>
      <c r="DN997" s="73"/>
      <c r="DO997" s="73"/>
      <c r="DP997" s="73"/>
      <c r="DQ997" s="73"/>
      <c r="DR997" s="73"/>
      <c r="DS997" s="73"/>
      <c r="DT997" s="73"/>
      <c r="DU997" s="73"/>
      <c r="DV997" s="73"/>
      <c r="DW997" s="73"/>
      <c r="DX997" s="73"/>
      <c r="DY997" s="73"/>
      <c r="DZ997" s="73"/>
      <c r="EA997" s="73"/>
      <c r="EB997" s="73"/>
      <c r="EC997" s="73"/>
      <c r="ED997" s="73"/>
      <c r="EE997" s="73"/>
      <c r="EF997" s="73"/>
      <c r="EG997" s="73"/>
      <c r="EH997" s="73"/>
      <c r="EI997" s="73"/>
      <c r="EJ997" s="73"/>
      <c r="EK997" s="73"/>
      <c r="EL997" s="73"/>
      <c r="EM997" s="73"/>
      <c r="EN997" s="73"/>
      <c r="EO997" s="73"/>
      <c r="EP997" s="69"/>
      <c r="EQ997" s="69"/>
      <c r="ER997" s="69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  <c r="CK998" s="73"/>
      <c r="CL998" s="73"/>
      <c r="CM998" s="73"/>
      <c r="CN998" s="73"/>
      <c r="CO998" s="73"/>
      <c r="CP998" s="73"/>
      <c r="CQ998" s="73"/>
      <c r="CR998" s="73"/>
      <c r="CS998" s="73"/>
      <c r="CT998" s="73"/>
      <c r="CU998" s="73"/>
      <c r="CV998" s="73"/>
      <c r="CW998" s="73"/>
      <c r="CX998" s="73"/>
      <c r="CY998" s="73"/>
      <c r="CZ998" s="73"/>
      <c r="DA998" s="73"/>
      <c r="DB998" s="73"/>
      <c r="DC998" s="73"/>
      <c r="DD998" s="73"/>
      <c r="DE998" s="73"/>
      <c r="DF998" s="73"/>
      <c r="DG998" s="73"/>
      <c r="DH998" s="73"/>
      <c r="DI998" s="73"/>
      <c r="DJ998" s="73"/>
      <c r="DK998" s="73"/>
      <c r="DL998" s="73"/>
      <c r="DM998" s="73"/>
      <c r="DN998" s="73"/>
      <c r="DO998" s="73"/>
      <c r="DP998" s="73"/>
      <c r="DQ998" s="73"/>
      <c r="DR998" s="73"/>
      <c r="DS998" s="73"/>
      <c r="DT998" s="73"/>
      <c r="DU998" s="73"/>
      <c r="DV998" s="73"/>
      <c r="DW998" s="73"/>
      <c r="DX998" s="72"/>
      <c r="DY998" s="72"/>
      <c r="DZ998" s="73"/>
      <c r="EA998" s="73"/>
      <c r="EB998" s="73"/>
      <c r="EC998" s="73"/>
      <c r="ED998" s="73"/>
      <c r="EE998" s="73"/>
      <c r="EF998" s="73"/>
      <c r="EG998" s="73"/>
      <c r="EH998" s="73"/>
      <c r="EI998" s="73"/>
      <c r="EJ998" s="73"/>
      <c r="EK998" s="73"/>
      <c r="EL998" s="73"/>
      <c r="EM998" s="73"/>
      <c r="EN998" s="73"/>
      <c r="EO998" s="73"/>
      <c r="EP998" s="69"/>
      <c r="EQ998" s="69"/>
      <c r="ER998" s="69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  <c r="CK999" s="73"/>
      <c r="CL999" s="73"/>
      <c r="CM999" s="72"/>
      <c r="CN999" s="73"/>
      <c r="CO999" s="73"/>
      <c r="CP999" s="73"/>
      <c r="CQ999" s="73"/>
      <c r="CR999" s="73"/>
      <c r="CS999" s="73"/>
      <c r="CT999" s="73"/>
      <c r="CU999" s="73"/>
      <c r="CV999" s="73"/>
      <c r="CW999" s="73"/>
      <c r="CX999" s="73"/>
      <c r="CY999" s="73"/>
      <c r="CZ999" s="73"/>
      <c r="DA999" s="73"/>
      <c r="DB999" s="73"/>
      <c r="DC999" s="73"/>
      <c r="DD999" s="73"/>
      <c r="DE999" s="73"/>
      <c r="DF999" s="73"/>
      <c r="DG999" s="73"/>
      <c r="DH999" s="73"/>
      <c r="DI999" s="73"/>
      <c r="DJ999" s="73"/>
      <c r="DK999" s="73"/>
      <c r="DL999" s="73"/>
      <c r="DM999" s="73"/>
      <c r="DN999" s="73"/>
      <c r="DO999" s="73"/>
      <c r="DP999" s="73"/>
      <c r="DQ999" s="73"/>
      <c r="DR999" s="73"/>
      <c r="DS999" s="73"/>
      <c r="DT999" s="73"/>
      <c r="DU999" s="73"/>
      <c r="DV999" s="73"/>
      <c r="DW999" s="73"/>
      <c r="DX999" s="72"/>
      <c r="DY999" s="72"/>
      <c r="DZ999" s="73"/>
      <c r="EA999" s="73"/>
      <c r="EB999" s="73"/>
      <c r="EC999" s="73"/>
      <c r="ED999" s="73"/>
      <c r="EE999" s="73"/>
      <c r="EF999" s="73"/>
      <c r="EG999" s="73"/>
      <c r="EH999" s="73"/>
      <c r="EI999" s="73"/>
      <c r="EJ999" s="73"/>
      <c r="EK999" s="73"/>
      <c r="EL999" s="73"/>
      <c r="EM999" s="73"/>
      <c r="EN999" s="73"/>
      <c r="EO999" s="73"/>
      <c r="EP999" s="69"/>
      <c r="EQ999" s="69"/>
      <c r="ER999" s="69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  <c r="CK1000" s="73"/>
      <c r="CL1000" s="73"/>
      <c r="CM1000" s="72"/>
      <c r="CN1000" s="73"/>
      <c r="CO1000" s="73"/>
      <c r="CP1000" s="73"/>
      <c r="CQ1000" s="73"/>
      <c r="CR1000" s="73"/>
      <c r="CS1000" s="73"/>
      <c r="CT1000" s="73"/>
      <c r="CU1000" s="73"/>
      <c r="CV1000" s="73"/>
      <c r="CW1000" s="73"/>
      <c r="CX1000" s="73"/>
      <c r="CY1000" s="73"/>
      <c r="CZ1000" s="73"/>
      <c r="DA1000" s="73"/>
      <c r="DB1000" s="73"/>
      <c r="DC1000" s="73"/>
      <c r="DD1000" s="73"/>
      <c r="DE1000" s="73"/>
      <c r="DF1000" s="73"/>
      <c r="DG1000" s="73"/>
      <c r="DH1000" s="73"/>
      <c r="DI1000" s="73"/>
      <c r="DJ1000" s="73"/>
      <c r="DK1000" s="73"/>
      <c r="DL1000" s="73"/>
      <c r="DM1000" s="73"/>
      <c r="DN1000" s="73"/>
      <c r="DO1000" s="73"/>
      <c r="DP1000" s="73"/>
      <c r="DQ1000" s="73"/>
      <c r="DR1000" s="73"/>
      <c r="DS1000" s="73"/>
      <c r="DT1000" s="73"/>
      <c r="DU1000" s="73"/>
      <c r="DV1000" s="73"/>
      <c r="DW1000" s="73"/>
      <c r="DX1000" s="72"/>
      <c r="DY1000" s="72"/>
      <c r="DZ1000" s="73"/>
      <c r="EA1000" s="73"/>
      <c r="EB1000" s="73"/>
      <c r="EC1000" s="73"/>
      <c r="ED1000" s="73"/>
      <c r="EE1000" s="73"/>
      <c r="EF1000" s="73"/>
      <c r="EG1000" s="73"/>
      <c r="EH1000" s="73"/>
      <c r="EI1000" s="73"/>
      <c r="EJ1000" s="73"/>
      <c r="EK1000" s="73"/>
      <c r="EL1000" s="73"/>
      <c r="EM1000" s="73"/>
      <c r="EN1000" s="73"/>
      <c r="EO1000" s="73"/>
      <c r="EP1000" s="69"/>
      <c r="EQ1000" s="69"/>
      <c r="ER1000" s="69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  <c r="CI1001" s="73"/>
      <c r="CJ1001" s="73"/>
      <c r="CK1001" s="73"/>
      <c r="CL1001" s="73"/>
      <c r="CM1001" s="73"/>
      <c r="CN1001" s="73"/>
      <c r="CO1001" s="73"/>
      <c r="CP1001" s="73"/>
      <c r="CQ1001" s="73"/>
      <c r="CR1001" s="73"/>
      <c r="CS1001" s="73"/>
      <c r="CT1001" s="73"/>
      <c r="CU1001" s="73"/>
      <c r="CV1001" s="73"/>
      <c r="CW1001" s="73"/>
      <c r="CX1001" s="73"/>
      <c r="CY1001" s="73"/>
      <c r="CZ1001" s="73"/>
      <c r="DA1001" s="73"/>
      <c r="DB1001" s="73"/>
      <c r="DC1001" s="73"/>
      <c r="DD1001" s="73"/>
      <c r="DE1001" s="73"/>
      <c r="DF1001" s="73"/>
      <c r="DG1001" s="73"/>
      <c r="DH1001" s="73"/>
      <c r="DI1001" s="73"/>
      <c r="DJ1001" s="73"/>
      <c r="DK1001" s="73"/>
      <c r="DL1001" s="73"/>
      <c r="DM1001" s="73"/>
      <c r="DN1001" s="73"/>
      <c r="DO1001" s="73"/>
      <c r="DP1001" s="73"/>
      <c r="DQ1001" s="73"/>
      <c r="DR1001" s="73"/>
      <c r="DS1001" s="73"/>
      <c r="DT1001" s="73"/>
      <c r="DU1001" s="73"/>
      <c r="DV1001" s="73"/>
      <c r="DW1001" s="73"/>
      <c r="DX1001" s="72"/>
      <c r="DY1001" s="72"/>
      <c r="DZ1001" s="73"/>
      <c r="EA1001" s="73"/>
      <c r="EB1001" s="73"/>
      <c r="EC1001" s="73"/>
      <c r="ED1001" s="73"/>
      <c r="EE1001" s="73"/>
      <c r="EF1001" s="73"/>
      <c r="EG1001" s="73"/>
      <c r="EH1001" s="73"/>
      <c r="EI1001" s="73"/>
      <c r="EJ1001" s="73"/>
      <c r="EK1001" s="73"/>
      <c r="EL1001" s="73"/>
      <c r="EM1001" s="73"/>
      <c r="EN1001" s="73"/>
      <c r="EO1001" s="73"/>
      <c r="EP1001" s="69"/>
      <c r="EQ1001" s="69"/>
      <c r="ER1001" s="69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  <c r="CI1002" s="73"/>
      <c r="CJ1002" s="73"/>
      <c r="CK1002" s="73"/>
      <c r="CL1002" s="73"/>
      <c r="CM1002" s="73"/>
      <c r="CN1002" s="73"/>
      <c r="CO1002" s="73"/>
      <c r="CP1002" s="73"/>
      <c r="CQ1002" s="73"/>
      <c r="CR1002" s="73"/>
      <c r="CS1002" s="73"/>
      <c r="CT1002" s="73"/>
      <c r="CU1002" s="73"/>
      <c r="CV1002" s="73"/>
      <c r="CW1002" s="73"/>
      <c r="CX1002" s="73"/>
      <c r="CY1002" s="73"/>
      <c r="CZ1002" s="73"/>
      <c r="DA1002" s="73"/>
      <c r="DB1002" s="73"/>
      <c r="DC1002" s="73"/>
      <c r="DD1002" s="73"/>
      <c r="DE1002" s="73"/>
      <c r="DF1002" s="73"/>
      <c r="DG1002" s="73"/>
      <c r="DH1002" s="73"/>
      <c r="DI1002" s="73"/>
      <c r="DJ1002" s="73"/>
      <c r="DK1002" s="73"/>
      <c r="DL1002" s="73"/>
      <c r="DM1002" s="73"/>
      <c r="DN1002" s="73"/>
      <c r="DO1002" s="73"/>
      <c r="DP1002" s="73"/>
      <c r="DQ1002" s="73"/>
      <c r="DR1002" s="73"/>
      <c r="DS1002" s="73"/>
      <c r="DT1002" s="73"/>
      <c r="DU1002" s="73"/>
      <c r="DV1002" s="73"/>
      <c r="DW1002" s="73"/>
      <c r="DX1002" s="72"/>
      <c r="DY1002" s="72"/>
      <c r="DZ1002" s="73"/>
      <c r="EA1002" s="73"/>
      <c r="EB1002" s="73"/>
      <c r="EC1002" s="73"/>
      <c r="ED1002" s="73"/>
      <c r="EE1002" s="73"/>
      <c r="EF1002" s="73"/>
      <c r="EG1002" s="73"/>
      <c r="EH1002" s="73"/>
      <c r="EI1002" s="73"/>
      <c r="EJ1002" s="73"/>
      <c r="EK1002" s="73"/>
      <c r="EL1002" s="73"/>
      <c r="EM1002" s="73"/>
      <c r="EN1002" s="73"/>
      <c r="EO1002" s="73"/>
      <c r="EP1002" s="69"/>
      <c r="EQ1002" s="69"/>
      <c r="ER1002" s="69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  <c r="CI1003" s="73"/>
      <c r="CJ1003" s="73"/>
      <c r="CK1003" s="73"/>
      <c r="CL1003" s="73"/>
      <c r="CM1003" s="73"/>
      <c r="CN1003" s="73"/>
      <c r="CO1003" s="73"/>
      <c r="CP1003" s="73"/>
      <c r="CQ1003" s="73"/>
      <c r="CR1003" s="73"/>
      <c r="CS1003" s="73"/>
      <c r="CT1003" s="73"/>
      <c r="CU1003" s="73"/>
      <c r="CV1003" s="73"/>
      <c r="CW1003" s="73"/>
      <c r="CX1003" s="73"/>
      <c r="CY1003" s="73"/>
      <c r="CZ1003" s="73"/>
      <c r="DA1003" s="73"/>
      <c r="DB1003" s="73"/>
      <c r="DC1003" s="73"/>
      <c r="DD1003" s="73"/>
      <c r="DE1003" s="73"/>
      <c r="DF1003" s="73"/>
      <c r="DG1003" s="73"/>
      <c r="DH1003" s="73"/>
      <c r="DI1003" s="73"/>
      <c r="DJ1003" s="73"/>
      <c r="DK1003" s="73"/>
      <c r="DL1003" s="73"/>
      <c r="DM1003" s="73"/>
      <c r="DN1003" s="73"/>
      <c r="DO1003" s="73"/>
      <c r="DP1003" s="73"/>
      <c r="DQ1003" s="73"/>
      <c r="DR1003" s="73"/>
      <c r="DS1003" s="73"/>
      <c r="DT1003" s="73"/>
      <c r="DU1003" s="73"/>
      <c r="DV1003" s="73"/>
      <c r="DW1003" s="73"/>
      <c r="DX1003" s="72"/>
      <c r="DY1003" s="72"/>
      <c r="DZ1003" s="73"/>
      <c r="EA1003" s="73"/>
      <c r="EB1003" s="73"/>
      <c r="EC1003" s="73"/>
      <c r="ED1003" s="73"/>
      <c r="EE1003" s="73"/>
      <c r="EF1003" s="73"/>
      <c r="EG1003" s="73"/>
      <c r="EH1003" s="73"/>
      <c r="EI1003" s="73"/>
      <c r="EJ1003" s="73"/>
      <c r="EK1003" s="73"/>
      <c r="EL1003" s="73"/>
      <c r="EM1003" s="73"/>
      <c r="EN1003" s="73"/>
      <c r="EO1003" s="73"/>
      <c r="EP1003" s="69"/>
      <c r="EQ1003" s="69"/>
      <c r="ER1003" s="69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  <c r="CI1004" s="73"/>
      <c r="CJ1004" s="73"/>
      <c r="CK1004" s="73"/>
      <c r="CL1004" s="73"/>
      <c r="CM1004" s="73"/>
      <c r="CN1004" s="73"/>
      <c r="CO1004" s="73"/>
      <c r="CP1004" s="73"/>
      <c r="CQ1004" s="73"/>
      <c r="CR1004" s="73"/>
      <c r="CS1004" s="73"/>
      <c r="CT1004" s="73"/>
      <c r="CU1004" s="73"/>
      <c r="CV1004" s="73"/>
      <c r="CW1004" s="73"/>
      <c r="CX1004" s="73"/>
      <c r="CY1004" s="73"/>
      <c r="CZ1004" s="73"/>
      <c r="DA1004" s="73"/>
      <c r="DB1004" s="73"/>
      <c r="DC1004" s="73"/>
      <c r="DD1004" s="73"/>
      <c r="DE1004" s="73"/>
      <c r="DF1004" s="73"/>
      <c r="DG1004" s="73"/>
      <c r="DH1004" s="73"/>
      <c r="DI1004" s="73"/>
      <c r="DJ1004" s="73"/>
      <c r="DK1004" s="73"/>
      <c r="DL1004" s="73"/>
      <c r="DM1004" s="73"/>
      <c r="DN1004" s="73"/>
      <c r="DO1004" s="73"/>
      <c r="DP1004" s="73"/>
      <c r="DQ1004" s="73"/>
      <c r="DR1004" s="73"/>
      <c r="DS1004" s="73"/>
      <c r="DT1004" s="73"/>
      <c r="DU1004" s="73"/>
      <c r="DV1004" s="73"/>
      <c r="DW1004" s="73"/>
      <c r="DX1004" s="73"/>
      <c r="DY1004" s="73"/>
      <c r="DZ1004" s="73"/>
      <c r="EA1004" s="73"/>
      <c r="EB1004" s="73"/>
      <c r="EC1004" s="73"/>
      <c r="ED1004" s="73"/>
      <c r="EE1004" s="73"/>
      <c r="EF1004" s="73"/>
      <c r="EG1004" s="73"/>
      <c r="EH1004" s="73"/>
      <c r="EI1004" s="73"/>
      <c r="EJ1004" s="73"/>
      <c r="EK1004" s="73"/>
      <c r="EL1004" s="73"/>
      <c r="EM1004" s="73"/>
      <c r="EN1004" s="73"/>
      <c r="EO1004" s="73"/>
      <c r="EP1004" s="69"/>
      <c r="EQ1004" s="69"/>
      <c r="ER1004" s="69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  <c r="CI1005" s="73"/>
      <c r="CJ1005" s="73"/>
      <c r="CK1005" s="73"/>
      <c r="CL1005" s="73"/>
      <c r="CM1005" s="73"/>
      <c r="CN1005" s="73"/>
      <c r="CO1005" s="73"/>
      <c r="CP1005" s="73"/>
      <c r="CQ1005" s="73"/>
      <c r="CR1005" s="73"/>
      <c r="CS1005" s="73"/>
      <c r="CT1005" s="73"/>
      <c r="CU1005" s="73"/>
      <c r="CV1005" s="73"/>
      <c r="CW1005" s="73"/>
      <c r="CX1005" s="73"/>
      <c r="CY1005" s="73"/>
      <c r="CZ1005" s="73"/>
      <c r="DA1005" s="73"/>
      <c r="DB1005" s="73"/>
      <c r="DC1005" s="73"/>
      <c r="DD1005" s="73"/>
      <c r="DE1005" s="73"/>
      <c r="DF1005" s="73"/>
      <c r="DG1005" s="73"/>
      <c r="DH1005" s="73"/>
      <c r="DI1005" s="73"/>
      <c r="DJ1005" s="73"/>
      <c r="DK1005" s="73"/>
      <c r="DL1005" s="73"/>
      <c r="DM1005" s="73"/>
      <c r="DN1005" s="73"/>
      <c r="DO1005" s="73"/>
      <c r="DP1005" s="73"/>
      <c r="DQ1005" s="73"/>
      <c r="DR1005" s="73"/>
      <c r="DS1005" s="73"/>
      <c r="DT1005" s="73"/>
      <c r="DU1005" s="73"/>
      <c r="DV1005" s="73"/>
      <c r="DW1005" s="73"/>
      <c r="DX1005" s="72"/>
      <c r="DY1005" s="72"/>
      <c r="DZ1005" s="73"/>
      <c r="EA1005" s="73"/>
      <c r="EB1005" s="73"/>
      <c r="EC1005" s="73"/>
      <c r="ED1005" s="73"/>
      <c r="EE1005" s="73"/>
      <c r="EF1005" s="73"/>
      <c r="EG1005" s="73"/>
      <c r="EH1005" s="73"/>
      <c r="EI1005" s="73"/>
      <c r="EJ1005" s="73"/>
      <c r="EK1005" s="73"/>
      <c r="EL1005" s="73"/>
      <c r="EM1005" s="73"/>
      <c r="EN1005" s="73"/>
      <c r="EO1005" s="73"/>
      <c r="EP1005" s="69"/>
      <c r="EQ1005" s="69"/>
      <c r="ER1005" s="69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  <c r="CI1006" s="73"/>
      <c r="CJ1006" s="73"/>
      <c r="CK1006" s="73"/>
      <c r="CL1006" s="73"/>
      <c r="CM1006" s="73"/>
      <c r="CN1006" s="73"/>
      <c r="CO1006" s="73"/>
      <c r="CP1006" s="73"/>
      <c r="CQ1006" s="73"/>
      <c r="CR1006" s="73"/>
      <c r="CS1006" s="73"/>
      <c r="CT1006" s="73"/>
      <c r="CU1006" s="73"/>
      <c r="CV1006" s="73"/>
      <c r="CW1006" s="73"/>
      <c r="CX1006" s="73"/>
      <c r="CY1006" s="73"/>
      <c r="CZ1006" s="73"/>
      <c r="DA1006" s="73"/>
      <c r="DB1006" s="73"/>
      <c r="DC1006" s="73"/>
      <c r="DD1006" s="73"/>
      <c r="DE1006" s="73"/>
      <c r="DF1006" s="73"/>
      <c r="DG1006" s="73"/>
      <c r="DH1006" s="73"/>
      <c r="DI1006" s="73"/>
      <c r="DJ1006" s="73"/>
      <c r="DK1006" s="73"/>
      <c r="DL1006" s="73"/>
      <c r="DM1006" s="73"/>
      <c r="DN1006" s="73"/>
      <c r="DO1006" s="73"/>
      <c r="DP1006" s="73"/>
      <c r="DQ1006" s="73"/>
      <c r="DR1006" s="73"/>
      <c r="DS1006" s="73"/>
      <c r="DT1006" s="73"/>
      <c r="DU1006" s="73"/>
      <c r="DV1006" s="73"/>
      <c r="DW1006" s="73"/>
      <c r="DX1006" s="72"/>
      <c r="DY1006" s="72"/>
      <c r="DZ1006" s="73"/>
      <c r="EA1006" s="73"/>
      <c r="EB1006" s="73"/>
      <c r="EC1006" s="73"/>
      <c r="ED1006" s="73"/>
      <c r="EE1006" s="73"/>
      <c r="EF1006" s="73"/>
      <c r="EG1006" s="73"/>
      <c r="EH1006" s="73"/>
      <c r="EI1006" s="73"/>
      <c r="EJ1006" s="73"/>
      <c r="EK1006" s="73"/>
      <c r="EL1006" s="73"/>
      <c r="EM1006" s="73"/>
      <c r="EN1006" s="73"/>
      <c r="EO1006" s="73"/>
      <c r="EP1006" s="69"/>
      <c r="EQ1006" s="69"/>
      <c r="ER1006" s="69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  <c r="CI1007" s="73"/>
      <c r="CJ1007" s="73"/>
      <c r="CK1007" s="73"/>
      <c r="CL1007" s="73"/>
      <c r="CM1007" s="73"/>
      <c r="CN1007" s="73"/>
      <c r="CO1007" s="73"/>
      <c r="CP1007" s="73"/>
      <c r="CQ1007" s="73"/>
      <c r="CR1007" s="73"/>
      <c r="CS1007" s="73"/>
      <c r="CT1007" s="73"/>
      <c r="CU1007" s="73"/>
      <c r="CV1007" s="73"/>
      <c r="CW1007" s="73"/>
      <c r="CX1007" s="73"/>
      <c r="CY1007" s="73"/>
      <c r="CZ1007" s="73"/>
      <c r="DA1007" s="73"/>
      <c r="DB1007" s="73"/>
      <c r="DC1007" s="73"/>
      <c r="DD1007" s="73"/>
      <c r="DE1007" s="73"/>
      <c r="DF1007" s="73"/>
      <c r="DG1007" s="73"/>
      <c r="DH1007" s="73"/>
      <c r="DI1007" s="73"/>
      <c r="DJ1007" s="73"/>
      <c r="DK1007" s="73"/>
      <c r="DL1007" s="73"/>
      <c r="DM1007" s="73"/>
      <c r="DN1007" s="73"/>
      <c r="DO1007" s="73"/>
      <c r="DP1007" s="73"/>
      <c r="DQ1007" s="73"/>
      <c r="DR1007" s="73"/>
      <c r="DS1007" s="73"/>
      <c r="DT1007" s="73"/>
      <c r="DU1007" s="73"/>
      <c r="DV1007" s="73"/>
      <c r="DW1007" s="73"/>
      <c r="DX1007" s="72"/>
      <c r="DY1007" s="72"/>
      <c r="DZ1007" s="73"/>
      <c r="EA1007" s="73"/>
      <c r="EB1007" s="73"/>
      <c r="EC1007" s="73"/>
      <c r="ED1007" s="73"/>
      <c r="EE1007" s="73"/>
      <c r="EF1007" s="73"/>
      <c r="EG1007" s="73"/>
      <c r="EH1007" s="73"/>
      <c r="EI1007" s="73"/>
      <c r="EJ1007" s="73"/>
      <c r="EK1007" s="73"/>
      <c r="EL1007" s="73"/>
      <c r="EM1007" s="73"/>
      <c r="EN1007" s="73"/>
      <c r="EO1007" s="73"/>
      <c r="EP1007" s="69"/>
      <c r="EQ1007" s="69"/>
      <c r="ER1007" s="69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  <c r="CI1008" s="73"/>
      <c r="CJ1008" s="73"/>
      <c r="CK1008" s="73"/>
      <c r="CL1008" s="73"/>
      <c r="CM1008" s="73"/>
      <c r="CN1008" s="73"/>
      <c r="CO1008" s="73"/>
      <c r="CP1008" s="73"/>
      <c r="CQ1008" s="73"/>
      <c r="CR1008" s="73"/>
      <c r="CS1008" s="73"/>
      <c r="CT1008" s="73"/>
      <c r="CU1008" s="73"/>
      <c r="CV1008" s="73"/>
      <c r="CW1008" s="73"/>
      <c r="CX1008" s="73"/>
      <c r="CY1008" s="73"/>
      <c r="CZ1008" s="73"/>
      <c r="DA1008" s="73"/>
      <c r="DB1008" s="73"/>
      <c r="DC1008" s="73"/>
      <c r="DD1008" s="73"/>
      <c r="DE1008" s="73"/>
      <c r="DF1008" s="73"/>
      <c r="DG1008" s="73"/>
      <c r="DH1008" s="73"/>
      <c r="DI1008" s="73"/>
      <c r="DJ1008" s="73"/>
      <c r="DK1008" s="73"/>
      <c r="DL1008" s="73"/>
      <c r="DM1008" s="73"/>
      <c r="DN1008" s="73"/>
      <c r="DO1008" s="73"/>
      <c r="DP1008" s="73"/>
      <c r="DQ1008" s="73"/>
      <c r="DR1008" s="73"/>
      <c r="DS1008" s="73"/>
      <c r="DT1008" s="73"/>
      <c r="DU1008" s="73"/>
      <c r="DV1008" s="73"/>
      <c r="DW1008" s="73"/>
      <c r="DX1008" s="72"/>
      <c r="DY1008" s="72"/>
      <c r="DZ1008" s="73"/>
      <c r="EA1008" s="73"/>
      <c r="EB1008" s="73"/>
      <c r="EC1008" s="73"/>
      <c r="ED1008" s="73"/>
      <c r="EE1008" s="73"/>
      <c r="EF1008" s="73"/>
      <c r="EG1008" s="73"/>
      <c r="EH1008" s="73"/>
      <c r="EI1008" s="73"/>
      <c r="EJ1008" s="73"/>
      <c r="EK1008" s="73"/>
      <c r="EL1008" s="73"/>
      <c r="EM1008" s="73"/>
      <c r="EN1008" s="73"/>
      <c r="EO1008" s="73"/>
      <c r="EP1008" s="69"/>
      <c r="EQ1008" s="69"/>
      <c r="ER1008" s="69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  <c r="CI1009" s="73"/>
      <c r="CJ1009" s="73"/>
      <c r="CK1009" s="73"/>
      <c r="CL1009" s="73"/>
      <c r="CM1009" s="73"/>
      <c r="CN1009" s="73"/>
      <c r="CO1009" s="73"/>
      <c r="CP1009" s="73"/>
      <c r="CQ1009" s="73"/>
      <c r="CR1009" s="73"/>
      <c r="CS1009" s="73"/>
      <c r="CT1009" s="73"/>
      <c r="CU1009" s="73"/>
      <c r="CV1009" s="73"/>
      <c r="CW1009" s="73"/>
      <c r="CX1009" s="73"/>
      <c r="CY1009" s="73"/>
      <c r="CZ1009" s="73"/>
      <c r="DA1009" s="73"/>
      <c r="DB1009" s="73"/>
      <c r="DC1009" s="73"/>
      <c r="DD1009" s="73"/>
      <c r="DE1009" s="73"/>
      <c r="DF1009" s="73"/>
      <c r="DG1009" s="73"/>
      <c r="DH1009" s="73"/>
      <c r="DI1009" s="73"/>
      <c r="DJ1009" s="73"/>
      <c r="DK1009" s="73"/>
      <c r="DL1009" s="73"/>
      <c r="DM1009" s="73"/>
      <c r="DN1009" s="73"/>
      <c r="DO1009" s="73"/>
      <c r="DP1009" s="73"/>
      <c r="DQ1009" s="73"/>
      <c r="DR1009" s="73"/>
      <c r="DS1009" s="73"/>
      <c r="DT1009" s="73"/>
      <c r="DU1009" s="73"/>
      <c r="DV1009" s="73"/>
      <c r="DW1009" s="73"/>
      <c r="DX1009" s="72"/>
      <c r="DY1009" s="72"/>
      <c r="DZ1009" s="73"/>
      <c r="EA1009" s="73"/>
      <c r="EB1009" s="73"/>
      <c r="EC1009" s="73"/>
      <c r="ED1009" s="73"/>
      <c r="EE1009" s="73"/>
      <c r="EF1009" s="73"/>
      <c r="EG1009" s="73"/>
      <c r="EH1009" s="73"/>
      <c r="EI1009" s="73"/>
      <c r="EJ1009" s="73"/>
      <c r="EK1009" s="73"/>
      <c r="EL1009" s="73"/>
      <c r="EM1009" s="73"/>
      <c r="EN1009" s="73"/>
      <c r="EO1009" s="73"/>
      <c r="EP1009" s="69"/>
      <c r="EQ1009" s="69"/>
      <c r="ER1009" s="69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  <c r="CI1010" s="73"/>
      <c r="CJ1010" s="73"/>
      <c r="CK1010" s="73"/>
      <c r="CL1010" s="73"/>
      <c r="CM1010" s="73"/>
      <c r="CN1010" s="73"/>
      <c r="CO1010" s="73"/>
      <c r="CP1010" s="73"/>
      <c r="CQ1010" s="73"/>
      <c r="CR1010" s="73"/>
      <c r="CS1010" s="73"/>
      <c r="CT1010" s="73"/>
      <c r="CU1010" s="73"/>
      <c r="CV1010" s="73"/>
      <c r="CW1010" s="73"/>
      <c r="CX1010" s="73"/>
      <c r="CY1010" s="73"/>
      <c r="CZ1010" s="73"/>
      <c r="DA1010" s="73"/>
      <c r="DB1010" s="73"/>
      <c r="DC1010" s="73"/>
      <c r="DD1010" s="73"/>
      <c r="DE1010" s="73"/>
      <c r="DF1010" s="73"/>
      <c r="DG1010" s="73"/>
      <c r="DH1010" s="73"/>
      <c r="DI1010" s="73"/>
      <c r="DJ1010" s="73"/>
      <c r="DK1010" s="73"/>
      <c r="DL1010" s="73"/>
      <c r="DM1010" s="73"/>
      <c r="DN1010" s="73"/>
      <c r="DO1010" s="73"/>
      <c r="DP1010" s="73"/>
      <c r="DQ1010" s="73"/>
      <c r="DR1010" s="73"/>
      <c r="DS1010" s="73"/>
      <c r="DT1010" s="73"/>
      <c r="DU1010" s="73"/>
      <c r="DV1010" s="73"/>
      <c r="DW1010" s="73"/>
      <c r="DX1010" s="72"/>
      <c r="DY1010" s="72"/>
      <c r="DZ1010" s="73"/>
      <c r="EA1010" s="73"/>
      <c r="EB1010" s="73"/>
      <c r="EC1010" s="73"/>
      <c r="ED1010" s="73"/>
      <c r="EE1010" s="73"/>
      <c r="EF1010" s="73"/>
      <c r="EG1010" s="73"/>
      <c r="EH1010" s="73"/>
      <c r="EI1010" s="73"/>
      <c r="EJ1010" s="73"/>
      <c r="EK1010" s="73"/>
      <c r="EL1010" s="73"/>
      <c r="EM1010" s="73"/>
      <c r="EN1010" s="73"/>
      <c r="EO1010" s="73"/>
      <c r="EP1010" s="69"/>
      <c r="EQ1010" s="69"/>
      <c r="ER1010" s="69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  <c r="CI1011" s="73"/>
      <c r="CJ1011" s="73"/>
      <c r="CK1011" s="73"/>
      <c r="CL1011" s="73"/>
      <c r="CM1011" s="72"/>
      <c r="CN1011" s="73"/>
      <c r="CO1011" s="73"/>
      <c r="CP1011" s="73"/>
      <c r="CQ1011" s="73"/>
      <c r="CR1011" s="73"/>
      <c r="CS1011" s="73"/>
      <c r="CT1011" s="73"/>
      <c r="CU1011" s="73"/>
      <c r="CV1011" s="73"/>
      <c r="CW1011" s="73"/>
      <c r="CX1011" s="73"/>
      <c r="CY1011" s="73"/>
      <c r="CZ1011" s="73"/>
      <c r="DA1011" s="73"/>
      <c r="DB1011" s="73"/>
      <c r="DC1011" s="73"/>
      <c r="DD1011" s="73"/>
      <c r="DE1011" s="73"/>
      <c r="DF1011" s="73"/>
      <c r="DG1011" s="73"/>
      <c r="DH1011" s="73"/>
      <c r="DI1011" s="73"/>
      <c r="DJ1011" s="73"/>
      <c r="DK1011" s="73"/>
      <c r="DL1011" s="73"/>
      <c r="DM1011" s="73"/>
      <c r="DN1011" s="73"/>
      <c r="DO1011" s="73"/>
      <c r="DP1011" s="73"/>
      <c r="DQ1011" s="73"/>
      <c r="DR1011" s="73"/>
      <c r="DS1011" s="73"/>
      <c r="DT1011" s="73"/>
      <c r="DU1011" s="73"/>
      <c r="DV1011" s="73"/>
      <c r="DW1011" s="73"/>
      <c r="DX1011" s="72"/>
      <c r="DY1011" s="72"/>
      <c r="DZ1011" s="73"/>
      <c r="EA1011" s="73"/>
      <c r="EB1011" s="73"/>
      <c r="EC1011" s="73"/>
      <c r="ED1011" s="73"/>
      <c r="EE1011" s="73"/>
      <c r="EF1011" s="73"/>
      <c r="EG1011" s="73"/>
      <c r="EH1011" s="73"/>
      <c r="EI1011" s="73"/>
      <c r="EJ1011" s="73"/>
      <c r="EK1011" s="73"/>
      <c r="EL1011" s="73"/>
      <c r="EM1011" s="73"/>
      <c r="EN1011" s="73"/>
      <c r="EO1011" s="73"/>
      <c r="EP1011" s="69"/>
      <c r="EQ1011" s="69"/>
      <c r="ER1011" s="69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  <c r="CI1012" s="73"/>
      <c r="CJ1012" s="73"/>
      <c r="CK1012" s="73"/>
      <c r="CL1012" s="73"/>
      <c r="CM1012" s="72"/>
      <c r="CN1012" s="73"/>
      <c r="CO1012" s="73"/>
      <c r="CP1012" s="73"/>
      <c r="CQ1012" s="73"/>
      <c r="CR1012" s="73"/>
      <c r="CS1012" s="73"/>
      <c r="CT1012" s="73"/>
      <c r="CU1012" s="73"/>
      <c r="CV1012" s="73"/>
      <c r="CW1012" s="73"/>
      <c r="CX1012" s="73"/>
      <c r="CY1012" s="73"/>
      <c r="CZ1012" s="73"/>
      <c r="DA1012" s="73"/>
      <c r="DB1012" s="73"/>
      <c r="DC1012" s="73"/>
      <c r="DD1012" s="73"/>
      <c r="DE1012" s="73"/>
      <c r="DF1012" s="73"/>
      <c r="DG1012" s="73"/>
      <c r="DH1012" s="73"/>
      <c r="DI1012" s="73"/>
      <c r="DJ1012" s="73"/>
      <c r="DK1012" s="73"/>
      <c r="DL1012" s="73"/>
      <c r="DM1012" s="73"/>
      <c r="DN1012" s="73"/>
      <c r="DO1012" s="73"/>
      <c r="DP1012" s="73"/>
      <c r="DQ1012" s="73"/>
      <c r="DR1012" s="73"/>
      <c r="DS1012" s="73"/>
      <c r="DT1012" s="73"/>
      <c r="DU1012" s="73"/>
      <c r="DV1012" s="73"/>
      <c r="DW1012" s="73"/>
      <c r="DX1012" s="72"/>
      <c r="DY1012" s="72"/>
      <c r="DZ1012" s="73"/>
      <c r="EA1012" s="73"/>
      <c r="EB1012" s="73"/>
      <c r="EC1012" s="73"/>
      <c r="ED1012" s="73"/>
      <c r="EE1012" s="73"/>
      <c r="EF1012" s="73"/>
      <c r="EG1012" s="73"/>
      <c r="EH1012" s="73"/>
      <c r="EI1012" s="73"/>
      <c r="EJ1012" s="73"/>
      <c r="EK1012" s="73"/>
      <c r="EL1012" s="73"/>
      <c r="EM1012" s="73"/>
      <c r="EN1012" s="73"/>
      <c r="EO1012" s="73"/>
      <c r="EP1012" s="69"/>
      <c r="EQ1012" s="69"/>
      <c r="ER1012" s="69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73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  <c r="CI1013" s="73"/>
      <c r="CJ1013" s="73"/>
      <c r="CK1013" s="73"/>
      <c r="CL1013" s="73"/>
      <c r="CM1013" s="72"/>
      <c r="CN1013" s="73"/>
      <c r="CO1013" s="73"/>
      <c r="CP1013" s="73"/>
      <c r="CQ1013" s="73"/>
      <c r="CR1013" s="73"/>
      <c r="CS1013" s="73"/>
      <c r="CT1013" s="73"/>
      <c r="CU1013" s="73"/>
      <c r="CV1013" s="73"/>
      <c r="CW1013" s="73"/>
      <c r="CX1013" s="73"/>
      <c r="CY1013" s="73"/>
      <c r="CZ1013" s="73"/>
      <c r="DA1013" s="73"/>
      <c r="DB1013" s="73"/>
      <c r="DC1013" s="73"/>
      <c r="DD1013" s="73"/>
      <c r="DE1013" s="73"/>
      <c r="DF1013" s="73"/>
      <c r="DG1013" s="73"/>
      <c r="DH1013" s="73"/>
      <c r="DI1013" s="73"/>
      <c r="DJ1013" s="73"/>
      <c r="DK1013" s="73"/>
      <c r="DL1013" s="73"/>
      <c r="DM1013" s="73"/>
      <c r="DN1013" s="73"/>
      <c r="DO1013" s="73"/>
      <c r="DP1013" s="73"/>
      <c r="DQ1013" s="73"/>
      <c r="DR1013" s="73"/>
      <c r="DS1013" s="73"/>
      <c r="DT1013" s="73"/>
      <c r="DU1013" s="73"/>
      <c r="DV1013" s="73"/>
      <c r="DW1013" s="73"/>
      <c r="DX1013" s="72"/>
      <c r="DY1013" s="72"/>
      <c r="DZ1013" s="73"/>
      <c r="EA1013" s="73"/>
      <c r="EB1013" s="73"/>
      <c r="EC1013" s="73"/>
      <c r="ED1013" s="73"/>
      <c r="EE1013" s="73"/>
      <c r="EF1013" s="73"/>
      <c r="EG1013" s="73"/>
      <c r="EH1013" s="73"/>
      <c r="EI1013" s="73"/>
      <c r="EJ1013" s="73"/>
      <c r="EK1013" s="73"/>
      <c r="EL1013" s="73"/>
      <c r="EM1013" s="73"/>
      <c r="EN1013" s="73"/>
      <c r="EO1013" s="73"/>
      <c r="EP1013" s="69"/>
      <c r="EQ1013" s="69"/>
      <c r="ER1013" s="69"/>
    </row>
    <row r="1014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73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  <c r="CI1014" s="73"/>
      <c r="CJ1014" s="73"/>
      <c r="CK1014" s="73"/>
      <c r="CL1014" s="73"/>
      <c r="CM1014" s="73"/>
      <c r="CN1014" s="73"/>
      <c r="CO1014" s="73"/>
      <c r="CP1014" s="73"/>
      <c r="CQ1014" s="73"/>
      <c r="CR1014" s="73"/>
      <c r="CS1014" s="73"/>
      <c r="CT1014" s="73"/>
      <c r="CU1014" s="73"/>
      <c r="CV1014" s="73"/>
      <c r="CW1014" s="73"/>
      <c r="CX1014" s="73"/>
      <c r="CY1014" s="73"/>
      <c r="CZ1014" s="73"/>
      <c r="DA1014" s="73"/>
      <c r="DB1014" s="73"/>
      <c r="DC1014" s="73"/>
      <c r="DD1014" s="73"/>
      <c r="DE1014" s="73"/>
      <c r="DF1014" s="73"/>
      <c r="DG1014" s="73"/>
      <c r="DH1014" s="73"/>
      <c r="DI1014" s="73"/>
      <c r="DJ1014" s="73"/>
      <c r="DK1014" s="73"/>
      <c r="DL1014" s="73"/>
      <c r="DM1014" s="73"/>
      <c r="DN1014" s="73"/>
      <c r="DO1014" s="73"/>
      <c r="DP1014" s="73"/>
      <c r="DQ1014" s="73"/>
      <c r="DR1014" s="73"/>
      <c r="DS1014" s="73"/>
      <c r="DT1014" s="73"/>
      <c r="DU1014" s="73"/>
      <c r="DV1014" s="73"/>
      <c r="DW1014" s="73"/>
      <c r="DX1014" s="73"/>
      <c r="DY1014" s="73"/>
      <c r="DZ1014" s="73"/>
      <c r="EA1014" s="73"/>
      <c r="EB1014" s="73"/>
      <c r="EC1014" s="73"/>
      <c r="ED1014" s="73"/>
      <c r="EE1014" s="73"/>
      <c r="EF1014" s="73"/>
      <c r="EG1014" s="73"/>
      <c r="EH1014" s="73"/>
      <c r="EI1014" s="73"/>
      <c r="EJ1014" s="73"/>
      <c r="EK1014" s="73"/>
      <c r="EL1014" s="73"/>
      <c r="EM1014" s="73"/>
      <c r="EN1014" s="73"/>
      <c r="EO1014" s="73"/>
      <c r="EP1014" s="69"/>
      <c r="EQ1014" s="69"/>
      <c r="ER1014" s="69"/>
    </row>
    <row r="1015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73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  <c r="CI1015" s="73"/>
      <c r="CJ1015" s="73"/>
      <c r="CK1015" s="73"/>
      <c r="CL1015" s="73"/>
      <c r="CM1015" s="73"/>
      <c r="CN1015" s="73"/>
      <c r="CO1015" s="73"/>
      <c r="CP1015" s="73"/>
      <c r="CQ1015" s="73"/>
      <c r="CR1015" s="73"/>
      <c r="CS1015" s="73"/>
      <c r="CT1015" s="73"/>
      <c r="CU1015" s="73"/>
      <c r="CV1015" s="73"/>
      <c r="CW1015" s="73"/>
      <c r="CX1015" s="73"/>
      <c r="CY1015" s="73"/>
      <c r="CZ1015" s="73"/>
      <c r="DA1015" s="73"/>
      <c r="DB1015" s="73"/>
      <c r="DC1015" s="73"/>
      <c r="DD1015" s="73"/>
      <c r="DE1015" s="73"/>
      <c r="DF1015" s="73"/>
      <c r="DG1015" s="73"/>
      <c r="DH1015" s="73"/>
      <c r="DI1015" s="73"/>
      <c r="DJ1015" s="73"/>
      <c r="DK1015" s="73"/>
      <c r="DL1015" s="73"/>
      <c r="DM1015" s="73"/>
      <c r="DN1015" s="73"/>
      <c r="DO1015" s="73"/>
      <c r="DP1015" s="73"/>
      <c r="DQ1015" s="73"/>
      <c r="DR1015" s="73"/>
      <c r="DS1015" s="73"/>
      <c r="DT1015" s="73"/>
      <c r="DU1015" s="73"/>
      <c r="DV1015" s="73"/>
      <c r="DW1015" s="73"/>
      <c r="DX1015" s="72"/>
      <c r="DY1015" s="72"/>
      <c r="DZ1015" s="73"/>
      <c r="EA1015" s="73"/>
      <c r="EB1015" s="73"/>
      <c r="EC1015" s="73"/>
      <c r="ED1015" s="73"/>
      <c r="EE1015" s="73"/>
      <c r="EF1015" s="73"/>
      <c r="EG1015" s="73"/>
      <c r="EH1015" s="73"/>
      <c r="EI1015" s="73"/>
      <c r="EJ1015" s="73"/>
      <c r="EK1015" s="73"/>
      <c r="EL1015" s="73"/>
      <c r="EM1015" s="73"/>
      <c r="EN1015" s="73"/>
      <c r="EO1015" s="73"/>
      <c r="EP1015" s="69"/>
      <c r="EQ1015" s="69"/>
      <c r="ER1015" s="69"/>
    </row>
    <row r="1016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73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  <c r="CI1016" s="73"/>
      <c r="CJ1016" s="73"/>
      <c r="CK1016" s="73"/>
      <c r="CL1016" s="73"/>
      <c r="CM1016" s="73"/>
      <c r="CN1016" s="73"/>
      <c r="CO1016" s="73"/>
      <c r="CP1016" s="73"/>
      <c r="CQ1016" s="73"/>
      <c r="CR1016" s="73"/>
      <c r="CS1016" s="73"/>
      <c r="CT1016" s="73"/>
      <c r="CU1016" s="73"/>
      <c r="CV1016" s="73"/>
      <c r="CW1016" s="73"/>
      <c r="CX1016" s="73"/>
      <c r="CY1016" s="73"/>
      <c r="CZ1016" s="73"/>
      <c r="DA1016" s="73"/>
      <c r="DB1016" s="73"/>
      <c r="DC1016" s="73"/>
      <c r="DD1016" s="73"/>
      <c r="DE1016" s="73"/>
      <c r="DF1016" s="73"/>
      <c r="DG1016" s="73"/>
      <c r="DH1016" s="73"/>
      <c r="DI1016" s="73"/>
      <c r="DJ1016" s="73"/>
      <c r="DK1016" s="73"/>
      <c r="DL1016" s="73"/>
      <c r="DM1016" s="73"/>
      <c r="DN1016" s="73"/>
      <c r="DO1016" s="73"/>
      <c r="DP1016" s="73"/>
      <c r="DQ1016" s="73"/>
      <c r="DR1016" s="73"/>
      <c r="DS1016" s="73"/>
      <c r="DT1016" s="73"/>
      <c r="DU1016" s="73"/>
      <c r="DV1016" s="73"/>
      <c r="DW1016" s="73"/>
      <c r="DX1016" s="72"/>
      <c r="DY1016" s="72"/>
      <c r="DZ1016" s="73"/>
      <c r="EA1016" s="73"/>
      <c r="EB1016" s="73"/>
      <c r="EC1016" s="73"/>
      <c r="ED1016" s="73"/>
      <c r="EE1016" s="73"/>
      <c r="EF1016" s="73"/>
      <c r="EG1016" s="73"/>
      <c r="EH1016" s="73"/>
      <c r="EI1016" s="73"/>
      <c r="EJ1016" s="73"/>
      <c r="EK1016" s="73"/>
      <c r="EL1016" s="73"/>
      <c r="EM1016" s="73"/>
      <c r="EN1016" s="73"/>
      <c r="EO1016" s="73"/>
      <c r="EP1016" s="69"/>
      <c r="EQ1016" s="69"/>
      <c r="ER1016" s="69"/>
    </row>
    <row r="1017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73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  <c r="CI1017" s="73"/>
      <c r="CJ1017" s="73"/>
      <c r="CK1017" s="73"/>
      <c r="CL1017" s="73"/>
      <c r="CM1017" s="73"/>
      <c r="CN1017" s="73"/>
      <c r="CO1017" s="73"/>
      <c r="CP1017" s="73"/>
      <c r="CQ1017" s="73"/>
      <c r="CR1017" s="73"/>
      <c r="CS1017" s="73"/>
      <c r="CT1017" s="73"/>
      <c r="CU1017" s="73"/>
      <c r="CV1017" s="73"/>
      <c r="CW1017" s="73"/>
      <c r="CX1017" s="73"/>
      <c r="CY1017" s="73"/>
      <c r="CZ1017" s="73"/>
      <c r="DA1017" s="73"/>
      <c r="DB1017" s="73"/>
      <c r="DC1017" s="73"/>
      <c r="DD1017" s="73"/>
      <c r="DE1017" s="73"/>
      <c r="DF1017" s="73"/>
      <c r="DG1017" s="73"/>
      <c r="DH1017" s="73"/>
      <c r="DI1017" s="73"/>
      <c r="DJ1017" s="73"/>
      <c r="DK1017" s="73"/>
      <c r="DL1017" s="73"/>
      <c r="DM1017" s="73"/>
      <c r="DN1017" s="73"/>
      <c r="DO1017" s="73"/>
      <c r="DP1017" s="73"/>
      <c r="DQ1017" s="73"/>
      <c r="DR1017" s="73"/>
      <c r="DS1017" s="73"/>
      <c r="DT1017" s="73"/>
      <c r="DU1017" s="73"/>
      <c r="DV1017" s="73"/>
      <c r="DW1017" s="73"/>
      <c r="DX1017" s="72"/>
      <c r="DY1017" s="72"/>
      <c r="DZ1017" s="73"/>
      <c r="EA1017" s="73"/>
      <c r="EB1017" s="73"/>
      <c r="EC1017" s="73"/>
      <c r="ED1017" s="73"/>
      <c r="EE1017" s="73"/>
      <c r="EF1017" s="73"/>
      <c r="EG1017" s="73"/>
      <c r="EH1017" s="73"/>
      <c r="EI1017" s="73"/>
      <c r="EJ1017" s="73"/>
      <c r="EK1017" s="73"/>
      <c r="EL1017" s="73"/>
      <c r="EM1017" s="73"/>
      <c r="EN1017" s="73"/>
      <c r="EO1017" s="73"/>
      <c r="EP1017" s="69"/>
      <c r="EQ1017" s="69"/>
      <c r="ER1017" s="69"/>
    </row>
    <row r="1018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73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  <c r="CI1018" s="73"/>
      <c r="CJ1018" s="73"/>
      <c r="CK1018" s="73"/>
      <c r="CL1018" s="73"/>
      <c r="CM1018" s="73"/>
      <c r="CN1018" s="73"/>
      <c r="CO1018" s="73"/>
      <c r="CP1018" s="73"/>
      <c r="CQ1018" s="73"/>
      <c r="CR1018" s="73"/>
      <c r="CS1018" s="73"/>
      <c r="CT1018" s="73"/>
      <c r="CU1018" s="73"/>
      <c r="CV1018" s="73"/>
      <c r="CW1018" s="73"/>
      <c r="CX1018" s="73"/>
      <c r="CY1018" s="73"/>
      <c r="CZ1018" s="73"/>
      <c r="DA1018" s="73"/>
      <c r="DB1018" s="73"/>
      <c r="DC1018" s="73"/>
      <c r="DD1018" s="73"/>
      <c r="DE1018" s="73"/>
      <c r="DF1018" s="73"/>
      <c r="DG1018" s="73"/>
      <c r="DH1018" s="73"/>
      <c r="DI1018" s="73"/>
      <c r="DJ1018" s="73"/>
      <c r="DK1018" s="73"/>
      <c r="DL1018" s="73"/>
      <c r="DM1018" s="73"/>
      <c r="DN1018" s="73"/>
      <c r="DO1018" s="73"/>
      <c r="DP1018" s="73"/>
      <c r="DQ1018" s="73"/>
      <c r="DR1018" s="73"/>
      <c r="DS1018" s="73"/>
      <c r="DT1018" s="73"/>
      <c r="DU1018" s="73"/>
      <c r="DV1018" s="73"/>
      <c r="DW1018" s="73"/>
      <c r="DX1018" s="72"/>
      <c r="DY1018" s="72"/>
      <c r="DZ1018" s="73"/>
      <c r="EA1018" s="73"/>
      <c r="EB1018" s="73"/>
      <c r="EC1018" s="73"/>
      <c r="ED1018" s="73"/>
      <c r="EE1018" s="73"/>
      <c r="EF1018" s="73"/>
      <c r="EG1018" s="73"/>
      <c r="EH1018" s="73"/>
      <c r="EI1018" s="73"/>
      <c r="EJ1018" s="73"/>
      <c r="EK1018" s="73"/>
      <c r="EL1018" s="73"/>
      <c r="EM1018" s="73"/>
      <c r="EN1018" s="73"/>
      <c r="EO1018" s="73"/>
      <c r="EP1018" s="69"/>
      <c r="EQ1018" s="69"/>
      <c r="ER1018" s="69"/>
    </row>
    <row r="1019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73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  <c r="CI1019" s="73"/>
      <c r="CJ1019" s="73"/>
      <c r="CK1019" s="73"/>
      <c r="CL1019" s="73"/>
      <c r="CM1019" s="73"/>
      <c r="CN1019" s="73"/>
      <c r="CO1019" s="73"/>
      <c r="CP1019" s="73"/>
      <c r="CQ1019" s="73"/>
      <c r="CR1019" s="73"/>
      <c r="CS1019" s="73"/>
      <c r="CT1019" s="73"/>
      <c r="CU1019" s="73"/>
      <c r="CV1019" s="73"/>
      <c r="CW1019" s="73"/>
      <c r="CX1019" s="73"/>
      <c r="CY1019" s="73"/>
      <c r="CZ1019" s="73"/>
      <c r="DA1019" s="73"/>
      <c r="DB1019" s="73"/>
      <c r="DC1019" s="73"/>
      <c r="DD1019" s="73"/>
      <c r="DE1019" s="73"/>
      <c r="DF1019" s="73"/>
      <c r="DG1019" s="73"/>
      <c r="DH1019" s="73"/>
      <c r="DI1019" s="73"/>
      <c r="DJ1019" s="73"/>
      <c r="DK1019" s="73"/>
      <c r="DL1019" s="73"/>
      <c r="DM1019" s="73"/>
      <c r="DN1019" s="73"/>
      <c r="DO1019" s="73"/>
      <c r="DP1019" s="73"/>
      <c r="DQ1019" s="73"/>
      <c r="DR1019" s="73"/>
      <c r="DS1019" s="73"/>
      <c r="DT1019" s="73"/>
      <c r="DU1019" s="73"/>
      <c r="DV1019" s="73"/>
      <c r="DW1019" s="73"/>
      <c r="DX1019" s="73"/>
      <c r="DY1019" s="73"/>
      <c r="DZ1019" s="73"/>
      <c r="EA1019" s="73"/>
      <c r="EB1019" s="73"/>
      <c r="EC1019" s="73"/>
      <c r="ED1019" s="73"/>
      <c r="EE1019" s="73"/>
      <c r="EF1019" s="73"/>
      <c r="EG1019" s="73"/>
      <c r="EH1019" s="73"/>
      <c r="EI1019" s="73"/>
      <c r="EJ1019" s="73"/>
      <c r="EK1019" s="73"/>
      <c r="EL1019" s="73"/>
      <c r="EM1019" s="73"/>
      <c r="EN1019" s="73"/>
      <c r="EO1019" s="73"/>
      <c r="EP1019" s="69"/>
      <c r="EQ1019" s="69"/>
      <c r="ER1019" s="69"/>
    </row>
    <row r="1020">
      <c r="A1020" s="73"/>
      <c r="B1020" s="73"/>
      <c r="C1020" s="73"/>
      <c r="D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73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  <c r="CI1020" s="73"/>
      <c r="CJ1020" s="73"/>
      <c r="CK1020" s="73"/>
      <c r="CL1020" s="73"/>
      <c r="CM1020" s="73"/>
      <c r="CN1020" s="73"/>
      <c r="CO1020" s="73"/>
      <c r="CP1020" s="73"/>
      <c r="CQ1020" s="73"/>
      <c r="CR1020" s="73"/>
      <c r="CS1020" s="73"/>
      <c r="CT1020" s="73"/>
      <c r="CU1020" s="73"/>
      <c r="CV1020" s="73"/>
      <c r="CW1020" s="73"/>
      <c r="CX1020" s="73"/>
      <c r="CY1020" s="73"/>
      <c r="CZ1020" s="73"/>
      <c r="DA1020" s="73"/>
      <c r="DB1020" s="73"/>
      <c r="DC1020" s="73"/>
      <c r="DD1020" s="73"/>
      <c r="DE1020" s="73"/>
      <c r="DF1020" s="73"/>
      <c r="DG1020" s="73"/>
      <c r="DH1020" s="73"/>
      <c r="DI1020" s="73"/>
      <c r="DJ1020" s="73"/>
      <c r="DK1020" s="73"/>
      <c r="DL1020" s="73"/>
      <c r="DM1020" s="73"/>
      <c r="DN1020" s="73"/>
      <c r="DO1020" s="73"/>
      <c r="DP1020" s="73"/>
      <c r="DQ1020" s="73"/>
      <c r="DR1020" s="73"/>
      <c r="DS1020" s="73"/>
      <c r="DT1020" s="73"/>
      <c r="DU1020" s="73"/>
      <c r="DV1020" s="73"/>
      <c r="DW1020" s="73"/>
      <c r="DX1020" s="72"/>
      <c r="DY1020" s="72"/>
      <c r="DZ1020" s="73"/>
      <c r="EA1020" s="73"/>
      <c r="EB1020" s="73"/>
      <c r="EC1020" s="73"/>
      <c r="ED1020" s="73"/>
      <c r="EE1020" s="73"/>
      <c r="EF1020" s="73"/>
      <c r="EG1020" s="73"/>
      <c r="EH1020" s="73"/>
      <c r="EI1020" s="73"/>
      <c r="EJ1020" s="73"/>
      <c r="EK1020" s="73"/>
      <c r="EL1020" s="73"/>
      <c r="EM1020" s="73"/>
      <c r="EN1020" s="73"/>
      <c r="EO1020" s="73"/>
      <c r="EP1020" s="69"/>
      <c r="EQ1020" s="69"/>
      <c r="ER1020" s="69"/>
    </row>
    <row r="1021">
      <c r="A1021" s="73"/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73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  <c r="CI1021" s="73"/>
      <c r="CJ1021" s="73"/>
      <c r="CK1021" s="73"/>
      <c r="CL1021" s="73"/>
      <c r="CM1021" s="72"/>
      <c r="CN1021" s="73"/>
      <c r="CO1021" s="73"/>
      <c r="CP1021" s="73"/>
      <c r="CQ1021" s="73"/>
      <c r="CR1021" s="73"/>
      <c r="CS1021" s="73"/>
      <c r="CT1021" s="73"/>
      <c r="CU1021" s="73"/>
      <c r="CV1021" s="73"/>
      <c r="CW1021" s="73"/>
      <c r="CX1021" s="73"/>
      <c r="CY1021" s="73"/>
      <c r="CZ1021" s="73"/>
      <c r="DA1021" s="73"/>
      <c r="DB1021" s="73"/>
      <c r="DC1021" s="73"/>
      <c r="DD1021" s="73"/>
      <c r="DE1021" s="73"/>
      <c r="DF1021" s="73"/>
      <c r="DG1021" s="73"/>
      <c r="DH1021" s="73"/>
      <c r="DI1021" s="73"/>
      <c r="DJ1021" s="73"/>
      <c r="DK1021" s="73"/>
      <c r="DL1021" s="73"/>
      <c r="DM1021" s="73"/>
      <c r="DN1021" s="73"/>
      <c r="DO1021" s="73"/>
      <c r="DP1021" s="73"/>
      <c r="DQ1021" s="73"/>
      <c r="DR1021" s="73"/>
      <c r="DS1021" s="73"/>
      <c r="DT1021" s="73"/>
      <c r="DU1021" s="73"/>
      <c r="DV1021" s="73"/>
      <c r="DW1021" s="73"/>
      <c r="DX1021" s="72"/>
      <c r="DY1021" s="72"/>
      <c r="DZ1021" s="73"/>
      <c r="EA1021" s="73"/>
      <c r="EB1021" s="73"/>
      <c r="EC1021" s="73"/>
      <c r="ED1021" s="73"/>
      <c r="EE1021" s="73"/>
      <c r="EF1021" s="73"/>
      <c r="EG1021" s="73"/>
      <c r="EH1021" s="73"/>
      <c r="EI1021" s="73"/>
      <c r="EJ1021" s="73"/>
      <c r="EK1021" s="73"/>
      <c r="EL1021" s="73"/>
      <c r="EM1021" s="73"/>
      <c r="EN1021" s="73"/>
      <c r="EO1021" s="73"/>
      <c r="EP1021" s="69"/>
      <c r="EQ1021" s="69"/>
      <c r="ER1021" s="69"/>
    </row>
    <row r="1022">
      <c r="A1022" s="73"/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73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  <c r="CI1022" s="73"/>
      <c r="CJ1022" s="73"/>
      <c r="CK1022" s="73"/>
      <c r="CL1022" s="73"/>
      <c r="CM1022" s="73"/>
      <c r="CN1022" s="73"/>
      <c r="CO1022" s="73"/>
      <c r="CP1022" s="73"/>
      <c r="CQ1022" s="73"/>
      <c r="CR1022" s="73"/>
      <c r="CS1022" s="73"/>
      <c r="CT1022" s="73"/>
      <c r="CU1022" s="73"/>
      <c r="CV1022" s="73"/>
      <c r="CW1022" s="73"/>
      <c r="CX1022" s="73"/>
      <c r="CY1022" s="73"/>
      <c r="CZ1022" s="73"/>
      <c r="DA1022" s="73"/>
      <c r="DB1022" s="73"/>
      <c r="DC1022" s="73"/>
      <c r="DD1022" s="73"/>
      <c r="DE1022" s="73"/>
      <c r="DF1022" s="73"/>
      <c r="DG1022" s="73"/>
      <c r="DH1022" s="73"/>
      <c r="DI1022" s="73"/>
      <c r="DJ1022" s="73"/>
      <c r="DK1022" s="73"/>
      <c r="DL1022" s="73"/>
      <c r="DM1022" s="73"/>
      <c r="DN1022" s="73"/>
      <c r="DO1022" s="73"/>
      <c r="DP1022" s="73"/>
      <c r="DQ1022" s="73"/>
      <c r="DR1022" s="73"/>
      <c r="DS1022" s="73"/>
      <c r="DT1022" s="73"/>
      <c r="DU1022" s="73"/>
      <c r="DV1022" s="73"/>
      <c r="DW1022" s="73"/>
      <c r="DX1022" s="73"/>
      <c r="DY1022" s="73"/>
      <c r="DZ1022" s="73"/>
      <c r="EA1022" s="73"/>
      <c r="EB1022" s="73"/>
      <c r="EC1022" s="73"/>
      <c r="ED1022" s="73"/>
      <c r="EE1022" s="73"/>
      <c r="EF1022" s="73"/>
      <c r="EG1022" s="73"/>
      <c r="EH1022" s="73"/>
      <c r="EI1022" s="73"/>
      <c r="EJ1022" s="73"/>
      <c r="EK1022" s="73"/>
      <c r="EL1022" s="73"/>
      <c r="EM1022" s="73"/>
      <c r="EN1022" s="73"/>
      <c r="EO1022" s="73"/>
      <c r="EP1022" s="69"/>
      <c r="EQ1022" s="69"/>
      <c r="ER1022" s="69"/>
    </row>
    <row r="1023">
      <c r="A1023" s="73"/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  <c r="CI1023" s="73"/>
      <c r="CJ1023" s="73"/>
      <c r="CK1023" s="73"/>
      <c r="CL1023" s="73"/>
      <c r="CM1023" s="73"/>
      <c r="CN1023" s="73"/>
      <c r="CO1023" s="73"/>
      <c r="CP1023" s="73"/>
      <c r="CQ1023" s="73"/>
      <c r="CR1023" s="73"/>
      <c r="CS1023" s="73"/>
      <c r="CT1023" s="73"/>
      <c r="CU1023" s="73"/>
      <c r="CV1023" s="73"/>
      <c r="CW1023" s="73"/>
      <c r="CX1023" s="73"/>
      <c r="CY1023" s="73"/>
      <c r="CZ1023" s="73"/>
      <c r="DA1023" s="73"/>
      <c r="DB1023" s="73"/>
      <c r="DC1023" s="73"/>
      <c r="DD1023" s="73"/>
      <c r="DE1023" s="73"/>
      <c r="DF1023" s="73"/>
      <c r="DG1023" s="73"/>
      <c r="DH1023" s="73"/>
      <c r="DI1023" s="73"/>
      <c r="DJ1023" s="73"/>
      <c r="DK1023" s="73"/>
      <c r="DL1023" s="73"/>
      <c r="DM1023" s="73"/>
      <c r="DN1023" s="73"/>
      <c r="DO1023" s="73"/>
      <c r="DP1023" s="73"/>
      <c r="DQ1023" s="73"/>
      <c r="DR1023" s="73"/>
      <c r="DS1023" s="73"/>
      <c r="DT1023" s="73"/>
      <c r="DU1023" s="73"/>
      <c r="DV1023" s="73"/>
      <c r="DW1023" s="73"/>
      <c r="DX1023" s="73"/>
      <c r="DY1023" s="73"/>
      <c r="DZ1023" s="73"/>
      <c r="EA1023" s="73"/>
      <c r="EB1023" s="73"/>
      <c r="EC1023" s="73"/>
      <c r="ED1023" s="73"/>
      <c r="EE1023" s="73"/>
      <c r="EF1023" s="73"/>
      <c r="EG1023" s="73"/>
      <c r="EH1023" s="73"/>
      <c r="EI1023" s="73"/>
      <c r="EJ1023" s="73"/>
      <c r="EK1023" s="73"/>
      <c r="EL1023" s="73"/>
      <c r="EM1023" s="73"/>
      <c r="EN1023" s="73"/>
      <c r="EO1023" s="73"/>
      <c r="EP1023" s="69"/>
      <c r="EQ1023" s="69"/>
      <c r="ER1023" s="69"/>
    </row>
    <row r="1024">
      <c r="A1024" s="73"/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73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  <c r="CI1024" s="73"/>
      <c r="CJ1024" s="73"/>
      <c r="CK1024" s="73"/>
      <c r="CL1024" s="73"/>
      <c r="CM1024" s="73"/>
      <c r="CN1024" s="73"/>
      <c r="CO1024" s="73"/>
      <c r="CP1024" s="73"/>
      <c r="CQ1024" s="73"/>
      <c r="CR1024" s="73"/>
      <c r="CS1024" s="73"/>
      <c r="CT1024" s="73"/>
      <c r="CU1024" s="73"/>
      <c r="CV1024" s="73"/>
      <c r="CW1024" s="73"/>
      <c r="CX1024" s="73"/>
      <c r="CY1024" s="73"/>
      <c r="CZ1024" s="73"/>
      <c r="DA1024" s="73"/>
      <c r="DB1024" s="73"/>
      <c r="DC1024" s="73"/>
      <c r="DD1024" s="73"/>
      <c r="DE1024" s="73"/>
      <c r="DF1024" s="73"/>
      <c r="DG1024" s="73"/>
      <c r="DH1024" s="73"/>
      <c r="DI1024" s="73"/>
      <c r="DJ1024" s="73"/>
      <c r="DK1024" s="73"/>
      <c r="DL1024" s="73"/>
      <c r="DM1024" s="73"/>
      <c r="DN1024" s="73"/>
      <c r="DO1024" s="73"/>
      <c r="DP1024" s="73"/>
      <c r="DQ1024" s="73"/>
      <c r="DR1024" s="73"/>
      <c r="DS1024" s="73"/>
      <c r="DT1024" s="73"/>
      <c r="DU1024" s="73"/>
      <c r="DV1024" s="73"/>
      <c r="DW1024" s="73"/>
      <c r="DX1024" s="72"/>
      <c r="DY1024" s="72"/>
      <c r="DZ1024" s="73"/>
      <c r="EA1024" s="73"/>
      <c r="EB1024" s="73"/>
      <c r="EC1024" s="73"/>
      <c r="ED1024" s="73"/>
      <c r="EE1024" s="73"/>
      <c r="EF1024" s="73"/>
      <c r="EG1024" s="73"/>
      <c r="EH1024" s="73"/>
      <c r="EI1024" s="73"/>
      <c r="EJ1024" s="73"/>
      <c r="EK1024" s="73"/>
      <c r="EL1024" s="73"/>
      <c r="EM1024" s="73"/>
      <c r="EN1024" s="73"/>
      <c r="EO1024" s="73"/>
      <c r="EP1024" s="69"/>
      <c r="EQ1024" s="69"/>
      <c r="ER1024" s="69"/>
    </row>
    <row r="1025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73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  <c r="CI1025" s="73"/>
      <c r="CJ1025" s="73"/>
      <c r="CK1025" s="73"/>
      <c r="CL1025" s="73"/>
      <c r="CM1025" s="73"/>
      <c r="CN1025" s="73"/>
      <c r="CO1025" s="73"/>
      <c r="CP1025" s="73"/>
      <c r="CQ1025" s="73"/>
      <c r="CR1025" s="73"/>
      <c r="CS1025" s="73"/>
      <c r="CT1025" s="73"/>
      <c r="CU1025" s="73"/>
      <c r="CV1025" s="73"/>
      <c r="CW1025" s="73"/>
      <c r="CX1025" s="73"/>
      <c r="CY1025" s="73"/>
      <c r="CZ1025" s="73"/>
      <c r="DA1025" s="73"/>
      <c r="DB1025" s="73"/>
      <c r="DC1025" s="73"/>
      <c r="DD1025" s="73"/>
      <c r="DE1025" s="73"/>
      <c r="DF1025" s="73"/>
      <c r="DG1025" s="73"/>
      <c r="DH1025" s="73"/>
      <c r="DI1025" s="73"/>
      <c r="DJ1025" s="73"/>
      <c r="DK1025" s="73"/>
      <c r="DL1025" s="73"/>
      <c r="DM1025" s="73"/>
      <c r="DN1025" s="73"/>
      <c r="DO1025" s="73"/>
      <c r="DP1025" s="73"/>
      <c r="DQ1025" s="73"/>
      <c r="DR1025" s="73"/>
      <c r="DS1025" s="73"/>
      <c r="DT1025" s="73"/>
      <c r="DU1025" s="73"/>
      <c r="DV1025" s="73"/>
      <c r="DW1025" s="73"/>
      <c r="DX1025" s="73"/>
      <c r="DY1025" s="73"/>
      <c r="DZ1025" s="73"/>
      <c r="EA1025" s="73"/>
      <c r="EB1025" s="73"/>
      <c r="EC1025" s="73"/>
      <c r="ED1025" s="73"/>
      <c r="EE1025" s="73"/>
      <c r="EF1025" s="73"/>
      <c r="EG1025" s="73"/>
      <c r="EH1025" s="73"/>
      <c r="EI1025" s="73"/>
      <c r="EJ1025" s="73"/>
      <c r="EK1025" s="73"/>
      <c r="EL1025" s="73"/>
      <c r="EM1025" s="73"/>
      <c r="EN1025" s="73"/>
      <c r="EO1025" s="73"/>
      <c r="EP1025" s="69"/>
      <c r="EQ1025" s="69"/>
      <c r="ER1025" s="69"/>
    </row>
    <row r="1026">
      <c r="A1026" s="73"/>
      <c r="B1026" s="73"/>
      <c r="C1026" s="73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73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  <c r="CI1026" s="73"/>
      <c r="CJ1026" s="73"/>
      <c r="CK1026" s="73"/>
      <c r="CL1026" s="73"/>
      <c r="CM1026" s="73"/>
      <c r="CN1026" s="73"/>
      <c r="CO1026" s="73"/>
      <c r="CP1026" s="73"/>
      <c r="CQ1026" s="73"/>
      <c r="CR1026" s="73"/>
      <c r="CS1026" s="73"/>
      <c r="CT1026" s="73"/>
      <c r="CU1026" s="73"/>
      <c r="CV1026" s="73"/>
      <c r="CW1026" s="73"/>
      <c r="CX1026" s="73"/>
      <c r="CY1026" s="73"/>
      <c r="CZ1026" s="73"/>
      <c r="DA1026" s="73"/>
      <c r="DB1026" s="73"/>
      <c r="DC1026" s="73"/>
      <c r="DD1026" s="73"/>
      <c r="DE1026" s="73"/>
      <c r="DF1026" s="73"/>
      <c r="DG1026" s="73"/>
      <c r="DH1026" s="73"/>
      <c r="DI1026" s="73"/>
      <c r="DJ1026" s="73"/>
      <c r="DK1026" s="73"/>
      <c r="DL1026" s="73"/>
      <c r="DM1026" s="73"/>
      <c r="DN1026" s="73"/>
      <c r="DO1026" s="73"/>
      <c r="DP1026" s="73"/>
      <c r="DQ1026" s="73"/>
      <c r="DR1026" s="73"/>
      <c r="DS1026" s="73"/>
      <c r="DT1026" s="73"/>
      <c r="DU1026" s="73"/>
      <c r="DV1026" s="73"/>
      <c r="DW1026" s="73"/>
      <c r="DX1026" s="73"/>
      <c r="DY1026" s="73"/>
      <c r="DZ1026" s="73"/>
      <c r="EA1026" s="73"/>
      <c r="EB1026" s="73"/>
      <c r="EC1026" s="73"/>
      <c r="ED1026" s="73"/>
      <c r="EE1026" s="73"/>
      <c r="EF1026" s="73"/>
      <c r="EG1026" s="73"/>
      <c r="EH1026" s="73"/>
      <c r="EI1026" s="73"/>
      <c r="EJ1026" s="73"/>
      <c r="EK1026" s="73"/>
      <c r="EL1026" s="73"/>
      <c r="EM1026" s="73"/>
      <c r="EN1026" s="73"/>
      <c r="EO1026" s="73"/>
      <c r="EP1026" s="69"/>
      <c r="EQ1026" s="69"/>
      <c r="ER1026" s="69"/>
    </row>
    <row r="1027">
      <c r="A1027" s="73"/>
      <c r="B1027" s="73"/>
      <c r="C1027" s="73"/>
      <c r="D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73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  <c r="CI1027" s="73"/>
      <c r="CJ1027" s="73"/>
      <c r="CK1027" s="73"/>
      <c r="CL1027" s="73"/>
      <c r="CM1027" s="73"/>
      <c r="CN1027" s="73"/>
      <c r="CO1027" s="73"/>
      <c r="CP1027" s="73"/>
      <c r="CQ1027" s="73"/>
      <c r="CR1027" s="73"/>
      <c r="CS1027" s="73"/>
      <c r="CT1027" s="73"/>
      <c r="CU1027" s="73"/>
      <c r="CV1027" s="73"/>
      <c r="CW1027" s="73"/>
      <c r="CX1027" s="73"/>
      <c r="CY1027" s="73"/>
      <c r="CZ1027" s="73"/>
      <c r="DA1027" s="73"/>
      <c r="DB1027" s="73"/>
      <c r="DC1027" s="73"/>
      <c r="DD1027" s="73"/>
      <c r="DE1027" s="73"/>
      <c r="DF1027" s="73"/>
      <c r="DG1027" s="73"/>
      <c r="DH1027" s="73"/>
      <c r="DI1027" s="73"/>
      <c r="DJ1027" s="73"/>
      <c r="DK1027" s="73"/>
      <c r="DL1027" s="73"/>
      <c r="DM1027" s="73"/>
      <c r="DN1027" s="73"/>
      <c r="DO1027" s="73"/>
      <c r="DP1027" s="73"/>
      <c r="DQ1027" s="73"/>
      <c r="DR1027" s="73"/>
      <c r="DS1027" s="73"/>
      <c r="DT1027" s="73"/>
      <c r="DU1027" s="73"/>
      <c r="DV1027" s="73"/>
      <c r="DW1027" s="73"/>
      <c r="DX1027" s="72"/>
      <c r="DY1027" s="72"/>
      <c r="DZ1027" s="73"/>
      <c r="EA1027" s="73"/>
      <c r="EB1027" s="73"/>
      <c r="EC1027" s="73"/>
      <c r="ED1027" s="73"/>
      <c r="EE1027" s="73"/>
      <c r="EF1027" s="73"/>
      <c r="EG1027" s="73"/>
      <c r="EH1027" s="73"/>
      <c r="EI1027" s="73"/>
      <c r="EJ1027" s="73"/>
      <c r="EK1027" s="73"/>
      <c r="EL1027" s="73"/>
      <c r="EM1027" s="73"/>
      <c r="EN1027" s="73"/>
      <c r="EO1027" s="73"/>
      <c r="EP1027" s="69"/>
      <c r="EQ1027" s="69"/>
      <c r="ER1027" s="69"/>
    </row>
    <row r="1028">
      <c r="A1028" s="73"/>
      <c r="B1028" s="73"/>
      <c r="C1028" s="73"/>
      <c r="D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73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  <c r="CI1028" s="73"/>
      <c r="CJ1028" s="73"/>
      <c r="CK1028" s="73"/>
      <c r="CL1028" s="73"/>
      <c r="CM1028" s="72"/>
      <c r="CN1028" s="73"/>
      <c r="CO1028" s="73"/>
      <c r="CP1028" s="73"/>
      <c r="CQ1028" s="73"/>
      <c r="CR1028" s="73"/>
      <c r="CS1028" s="73"/>
      <c r="CT1028" s="73"/>
      <c r="CU1028" s="73"/>
      <c r="CV1028" s="73"/>
      <c r="CW1028" s="73"/>
      <c r="CX1028" s="73"/>
      <c r="CY1028" s="73"/>
      <c r="CZ1028" s="73"/>
      <c r="DA1028" s="73"/>
      <c r="DB1028" s="73"/>
      <c r="DC1028" s="73"/>
      <c r="DD1028" s="73"/>
      <c r="DE1028" s="73"/>
      <c r="DF1028" s="73"/>
      <c r="DG1028" s="73"/>
      <c r="DH1028" s="73"/>
      <c r="DI1028" s="73"/>
      <c r="DJ1028" s="73"/>
      <c r="DK1028" s="73"/>
      <c r="DL1028" s="73"/>
      <c r="DM1028" s="73"/>
      <c r="DN1028" s="73"/>
      <c r="DO1028" s="73"/>
      <c r="DP1028" s="73"/>
      <c r="DQ1028" s="73"/>
      <c r="DR1028" s="73"/>
      <c r="DS1028" s="73"/>
      <c r="DT1028" s="73"/>
      <c r="DU1028" s="73"/>
      <c r="DV1028" s="73"/>
      <c r="DW1028" s="73"/>
      <c r="DX1028" s="72"/>
      <c r="DY1028" s="72"/>
      <c r="DZ1028" s="73"/>
      <c r="EA1028" s="73"/>
      <c r="EB1028" s="73"/>
      <c r="EC1028" s="73"/>
      <c r="ED1028" s="73"/>
      <c r="EE1028" s="73"/>
      <c r="EF1028" s="73"/>
      <c r="EG1028" s="73"/>
      <c r="EH1028" s="73"/>
      <c r="EI1028" s="73"/>
      <c r="EJ1028" s="73"/>
      <c r="EK1028" s="73"/>
      <c r="EL1028" s="73"/>
      <c r="EM1028" s="73"/>
      <c r="EN1028" s="73"/>
      <c r="EO1028" s="73"/>
      <c r="EP1028" s="69"/>
      <c r="EQ1028" s="69"/>
      <c r="ER1028" s="69"/>
    </row>
    <row r="1029">
      <c r="A1029" s="73"/>
      <c r="B1029" s="73"/>
      <c r="C1029" s="73"/>
      <c r="D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73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  <c r="CI1029" s="73"/>
      <c r="CJ1029" s="73"/>
      <c r="CK1029" s="73"/>
      <c r="CL1029" s="73"/>
      <c r="CM1029" s="73"/>
      <c r="CN1029" s="73"/>
      <c r="CO1029" s="73"/>
      <c r="CP1029" s="73"/>
      <c r="CQ1029" s="73"/>
      <c r="CR1029" s="73"/>
      <c r="CS1029" s="73"/>
      <c r="CT1029" s="73"/>
      <c r="CU1029" s="73"/>
      <c r="CV1029" s="73"/>
      <c r="CW1029" s="73"/>
      <c r="CX1029" s="73"/>
      <c r="CY1029" s="73"/>
      <c r="CZ1029" s="73"/>
      <c r="DA1029" s="73"/>
      <c r="DB1029" s="73"/>
      <c r="DC1029" s="73"/>
      <c r="DD1029" s="73"/>
      <c r="DE1029" s="73"/>
      <c r="DF1029" s="73"/>
      <c r="DG1029" s="73"/>
      <c r="DH1029" s="73"/>
      <c r="DI1029" s="73"/>
      <c r="DJ1029" s="73"/>
      <c r="DK1029" s="73"/>
      <c r="DL1029" s="73"/>
      <c r="DM1029" s="73"/>
      <c r="DN1029" s="73"/>
      <c r="DO1029" s="73"/>
      <c r="DP1029" s="73"/>
      <c r="DQ1029" s="73"/>
      <c r="DR1029" s="73"/>
      <c r="DS1029" s="73"/>
      <c r="DT1029" s="73"/>
      <c r="DU1029" s="73"/>
      <c r="DV1029" s="73"/>
      <c r="DW1029" s="73"/>
      <c r="DX1029" s="73"/>
      <c r="DY1029" s="73"/>
      <c r="DZ1029" s="73"/>
      <c r="EA1029" s="73"/>
      <c r="EB1029" s="73"/>
      <c r="EC1029" s="73"/>
      <c r="ED1029" s="73"/>
      <c r="EE1029" s="73"/>
      <c r="EF1029" s="73"/>
      <c r="EG1029" s="73"/>
      <c r="EH1029" s="73"/>
      <c r="EI1029" s="73"/>
      <c r="EJ1029" s="73"/>
      <c r="EK1029" s="73"/>
      <c r="EL1029" s="73"/>
      <c r="EM1029" s="73"/>
      <c r="EN1029" s="73"/>
      <c r="EO1029" s="73"/>
      <c r="EP1029" s="69"/>
      <c r="EQ1029" s="69"/>
      <c r="ER1029" s="69"/>
    </row>
    <row r="1030">
      <c r="A1030" s="73"/>
      <c r="B1030" s="73"/>
      <c r="C1030" s="73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73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  <c r="CI1030" s="73"/>
      <c r="CJ1030" s="73"/>
      <c r="CK1030" s="73"/>
      <c r="CL1030" s="73"/>
      <c r="CM1030" s="73"/>
      <c r="CN1030" s="73"/>
      <c r="CO1030" s="73"/>
      <c r="CP1030" s="73"/>
      <c r="CQ1030" s="73"/>
      <c r="CR1030" s="73"/>
      <c r="CS1030" s="73"/>
      <c r="CT1030" s="73"/>
      <c r="CU1030" s="73"/>
      <c r="CV1030" s="73"/>
      <c r="CW1030" s="73"/>
      <c r="CX1030" s="73"/>
      <c r="CY1030" s="73"/>
      <c r="CZ1030" s="73"/>
      <c r="DA1030" s="73"/>
      <c r="DB1030" s="73"/>
      <c r="DC1030" s="73"/>
      <c r="DD1030" s="73"/>
      <c r="DE1030" s="73"/>
      <c r="DF1030" s="73"/>
      <c r="DG1030" s="73"/>
      <c r="DH1030" s="73"/>
      <c r="DI1030" s="73"/>
      <c r="DJ1030" s="73"/>
      <c r="DK1030" s="73"/>
      <c r="DL1030" s="73"/>
      <c r="DM1030" s="73"/>
      <c r="DN1030" s="73"/>
      <c r="DO1030" s="73"/>
      <c r="DP1030" s="73"/>
      <c r="DQ1030" s="73"/>
      <c r="DR1030" s="73"/>
      <c r="DS1030" s="73"/>
      <c r="DT1030" s="73"/>
      <c r="DU1030" s="73"/>
      <c r="DV1030" s="73"/>
      <c r="DW1030" s="73"/>
      <c r="DX1030" s="72"/>
      <c r="DY1030" s="72"/>
      <c r="DZ1030" s="73"/>
      <c r="EA1030" s="73"/>
      <c r="EB1030" s="73"/>
      <c r="EC1030" s="73"/>
      <c r="ED1030" s="73"/>
      <c r="EE1030" s="73"/>
      <c r="EF1030" s="73"/>
      <c r="EG1030" s="73"/>
      <c r="EH1030" s="73"/>
      <c r="EI1030" s="73"/>
      <c r="EJ1030" s="73"/>
      <c r="EK1030" s="73"/>
      <c r="EL1030" s="73"/>
      <c r="EM1030" s="73"/>
      <c r="EN1030" s="73"/>
      <c r="EO1030" s="73"/>
      <c r="EP1030" s="69"/>
      <c r="EQ1030" s="69"/>
      <c r="ER1030" s="69"/>
    </row>
    <row r="1031">
      <c r="A1031" s="73"/>
      <c r="B1031" s="73"/>
      <c r="C1031" s="73"/>
      <c r="D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73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  <c r="CI1031" s="73"/>
      <c r="CJ1031" s="73"/>
      <c r="CK1031" s="73"/>
      <c r="CL1031" s="73"/>
      <c r="CM1031" s="72"/>
      <c r="CN1031" s="73"/>
      <c r="CO1031" s="73"/>
      <c r="CP1031" s="73"/>
      <c r="CQ1031" s="73"/>
      <c r="CR1031" s="73"/>
      <c r="CS1031" s="73"/>
      <c r="CT1031" s="73"/>
      <c r="CU1031" s="73"/>
      <c r="CV1031" s="73"/>
      <c r="CW1031" s="73"/>
      <c r="CX1031" s="73"/>
      <c r="CY1031" s="73"/>
      <c r="CZ1031" s="73"/>
      <c r="DA1031" s="73"/>
      <c r="DB1031" s="73"/>
      <c r="DC1031" s="73"/>
      <c r="DD1031" s="73"/>
      <c r="DE1031" s="73"/>
      <c r="DF1031" s="73"/>
      <c r="DG1031" s="73"/>
      <c r="DH1031" s="73"/>
      <c r="DI1031" s="73"/>
      <c r="DJ1031" s="73"/>
      <c r="DK1031" s="73"/>
      <c r="DL1031" s="73"/>
      <c r="DM1031" s="73"/>
      <c r="DN1031" s="73"/>
      <c r="DO1031" s="73"/>
      <c r="DP1031" s="73"/>
      <c r="DQ1031" s="73"/>
      <c r="DR1031" s="73"/>
      <c r="DS1031" s="73"/>
      <c r="DT1031" s="73"/>
      <c r="DU1031" s="73"/>
      <c r="DV1031" s="73"/>
      <c r="DW1031" s="73"/>
      <c r="DX1031" s="73"/>
      <c r="DY1031" s="73"/>
      <c r="DZ1031" s="73"/>
      <c r="EA1031" s="73"/>
      <c r="EB1031" s="73"/>
      <c r="EC1031" s="73"/>
      <c r="ED1031" s="73"/>
      <c r="EE1031" s="73"/>
      <c r="EF1031" s="73"/>
      <c r="EG1031" s="73"/>
      <c r="EH1031" s="73"/>
      <c r="EI1031" s="73"/>
      <c r="EJ1031" s="73"/>
      <c r="EK1031" s="73"/>
      <c r="EL1031" s="73"/>
      <c r="EM1031" s="73"/>
      <c r="EN1031" s="73"/>
      <c r="EO1031" s="73"/>
      <c r="EP1031" s="69"/>
      <c r="EQ1031" s="69"/>
      <c r="ER1031" s="69"/>
    </row>
    <row r="1032">
      <c r="A1032" s="73"/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73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  <c r="CI1032" s="73"/>
      <c r="CJ1032" s="73"/>
      <c r="CK1032" s="73"/>
      <c r="CL1032" s="73"/>
      <c r="CM1032" s="73"/>
      <c r="CN1032" s="73"/>
      <c r="CO1032" s="73"/>
      <c r="CP1032" s="73"/>
      <c r="CQ1032" s="73"/>
      <c r="CR1032" s="73"/>
      <c r="CS1032" s="73"/>
      <c r="CT1032" s="73"/>
      <c r="CU1032" s="73"/>
      <c r="CV1032" s="73"/>
      <c r="CW1032" s="73"/>
      <c r="CX1032" s="73"/>
      <c r="CY1032" s="73"/>
      <c r="CZ1032" s="73"/>
      <c r="DA1032" s="73"/>
      <c r="DB1032" s="73"/>
      <c r="DC1032" s="73"/>
      <c r="DD1032" s="73"/>
      <c r="DE1032" s="73"/>
      <c r="DF1032" s="73"/>
      <c r="DG1032" s="73"/>
      <c r="DH1032" s="73"/>
      <c r="DI1032" s="73"/>
      <c r="DJ1032" s="73"/>
      <c r="DK1032" s="73"/>
      <c r="DL1032" s="73"/>
      <c r="DM1032" s="73"/>
      <c r="DN1032" s="73"/>
      <c r="DO1032" s="73"/>
      <c r="DP1032" s="73"/>
      <c r="DQ1032" s="73"/>
      <c r="DR1032" s="73"/>
      <c r="DS1032" s="73"/>
      <c r="DT1032" s="73"/>
      <c r="DU1032" s="73"/>
      <c r="DV1032" s="73"/>
      <c r="DW1032" s="73"/>
      <c r="DX1032" s="72"/>
      <c r="DY1032" s="72"/>
      <c r="DZ1032" s="73"/>
      <c r="EA1032" s="73"/>
      <c r="EB1032" s="73"/>
      <c r="EC1032" s="73"/>
      <c r="ED1032" s="73"/>
      <c r="EE1032" s="73"/>
      <c r="EF1032" s="73"/>
      <c r="EG1032" s="73"/>
      <c r="EH1032" s="73"/>
      <c r="EI1032" s="73"/>
      <c r="EJ1032" s="73"/>
      <c r="EK1032" s="73"/>
      <c r="EL1032" s="73"/>
      <c r="EM1032" s="73"/>
      <c r="EN1032" s="73"/>
      <c r="EO1032" s="73"/>
      <c r="EP1032" s="69"/>
      <c r="EQ1032" s="69"/>
      <c r="ER1032" s="69"/>
    </row>
    <row r="1033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73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  <c r="CI1033" s="73"/>
      <c r="CJ1033" s="73"/>
      <c r="CK1033" s="73"/>
      <c r="CL1033" s="73"/>
      <c r="CM1033" s="72"/>
      <c r="CN1033" s="73"/>
      <c r="CO1033" s="73"/>
      <c r="CP1033" s="73"/>
      <c r="CQ1033" s="73"/>
      <c r="CR1033" s="73"/>
      <c r="CS1033" s="73"/>
      <c r="CT1033" s="73"/>
      <c r="CU1033" s="73"/>
      <c r="CV1033" s="73"/>
      <c r="CW1033" s="73"/>
      <c r="CX1033" s="73"/>
      <c r="CY1033" s="73"/>
      <c r="CZ1033" s="73"/>
      <c r="DA1033" s="73"/>
      <c r="DB1033" s="73"/>
      <c r="DC1033" s="73"/>
      <c r="DD1033" s="73"/>
      <c r="DE1033" s="73"/>
      <c r="DF1033" s="73"/>
      <c r="DG1033" s="73"/>
      <c r="DH1033" s="73"/>
      <c r="DI1033" s="73"/>
      <c r="DJ1033" s="73"/>
      <c r="DK1033" s="73"/>
      <c r="DL1033" s="73"/>
      <c r="DM1033" s="73"/>
      <c r="DN1033" s="73"/>
      <c r="DO1033" s="73"/>
      <c r="DP1033" s="73"/>
      <c r="DQ1033" s="73"/>
      <c r="DR1033" s="73"/>
      <c r="DS1033" s="73"/>
      <c r="DT1033" s="73"/>
      <c r="DU1033" s="73"/>
      <c r="DV1033" s="73"/>
      <c r="DW1033" s="73"/>
      <c r="DX1033" s="72"/>
      <c r="DY1033" s="72"/>
      <c r="DZ1033" s="73"/>
      <c r="EA1033" s="73"/>
      <c r="EB1033" s="73"/>
      <c r="EC1033" s="73"/>
      <c r="ED1033" s="73"/>
      <c r="EE1033" s="73"/>
      <c r="EF1033" s="73"/>
      <c r="EG1033" s="73"/>
      <c r="EH1033" s="73"/>
      <c r="EI1033" s="73"/>
      <c r="EJ1033" s="73"/>
      <c r="EK1033" s="73"/>
      <c r="EL1033" s="73"/>
      <c r="EM1033" s="73"/>
      <c r="EN1033" s="73"/>
      <c r="EO1033" s="73"/>
      <c r="EP1033" s="69"/>
      <c r="EQ1033" s="69"/>
      <c r="ER1033" s="69"/>
    </row>
    <row r="1034">
      <c r="A1034" s="73"/>
      <c r="B1034" s="73"/>
      <c r="C1034" s="73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73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  <c r="CI1034" s="73"/>
      <c r="CJ1034" s="73"/>
      <c r="CK1034" s="73"/>
      <c r="CL1034" s="73"/>
      <c r="CM1034" s="72"/>
      <c r="CN1034" s="73"/>
      <c r="CO1034" s="73"/>
      <c r="CP1034" s="73"/>
      <c r="CQ1034" s="73"/>
      <c r="CR1034" s="73"/>
      <c r="CS1034" s="73"/>
      <c r="CT1034" s="73"/>
      <c r="CU1034" s="73"/>
      <c r="CV1034" s="73"/>
      <c r="CW1034" s="73"/>
      <c r="CX1034" s="73"/>
      <c r="CY1034" s="73"/>
      <c r="CZ1034" s="73"/>
      <c r="DA1034" s="73"/>
      <c r="DB1034" s="73"/>
      <c r="DC1034" s="73"/>
      <c r="DD1034" s="73"/>
      <c r="DE1034" s="73"/>
      <c r="DF1034" s="73"/>
      <c r="DG1034" s="73"/>
      <c r="DH1034" s="73"/>
      <c r="DI1034" s="73"/>
      <c r="DJ1034" s="73"/>
      <c r="DK1034" s="73"/>
      <c r="DL1034" s="73"/>
      <c r="DM1034" s="73"/>
      <c r="DN1034" s="73"/>
      <c r="DO1034" s="73"/>
      <c r="DP1034" s="73"/>
      <c r="DQ1034" s="73"/>
      <c r="DR1034" s="73"/>
      <c r="DS1034" s="73"/>
      <c r="DT1034" s="73"/>
      <c r="DU1034" s="73"/>
      <c r="DV1034" s="73"/>
      <c r="DW1034" s="73"/>
      <c r="DX1034" s="73"/>
      <c r="DY1034" s="73"/>
      <c r="DZ1034" s="73"/>
      <c r="EA1034" s="73"/>
      <c r="EB1034" s="73"/>
      <c r="EC1034" s="73"/>
      <c r="ED1034" s="73"/>
      <c r="EE1034" s="73"/>
      <c r="EF1034" s="73"/>
      <c r="EG1034" s="73"/>
      <c r="EH1034" s="73"/>
      <c r="EI1034" s="73"/>
      <c r="EJ1034" s="73"/>
      <c r="EK1034" s="73"/>
      <c r="EL1034" s="73"/>
      <c r="EM1034" s="73"/>
      <c r="EN1034" s="73"/>
      <c r="EO1034" s="73"/>
      <c r="EP1034" s="69"/>
      <c r="EQ1034" s="69"/>
      <c r="ER1034" s="69"/>
    </row>
    <row r="1035">
      <c r="A1035" s="73"/>
      <c r="B1035" s="73"/>
      <c r="C1035" s="73"/>
      <c r="D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73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  <c r="CI1035" s="73"/>
      <c r="CJ1035" s="73"/>
      <c r="CK1035" s="73"/>
      <c r="CL1035" s="73"/>
      <c r="CM1035" s="73"/>
      <c r="CN1035" s="73"/>
      <c r="CO1035" s="73"/>
      <c r="CP1035" s="73"/>
      <c r="CQ1035" s="73"/>
      <c r="CR1035" s="73"/>
      <c r="CS1035" s="73"/>
      <c r="CT1035" s="73"/>
      <c r="CU1035" s="73"/>
      <c r="CV1035" s="73"/>
      <c r="CW1035" s="73"/>
      <c r="CX1035" s="73"/>
      <c r="CY1035" s="73"/>
      <c r="CZ1035" s="73"/>
      <c r="DA1035" s="73"/>
      <c r="DB1035" s="73"/>
      <c r="DC1035" s="73"/>
      <c r="DD1035" s="73"/>
      <c r="DE1035" s="73"/>
      <c r="DF1035" s="73"/>
      <c r="DG1035" s="73"/>
      <c r="DH1035" s="73"/>
      <c r="DI1035" s="73"/>
      <c r="DJ1035" s="73"/>
      <c r="DK1035" s="73"/>
      <c r="DL1035" s="73"/>
      <c r="DM1035" s="73"/>
      <c r="DN1035" s="73"/>
      <c r="DO1035" s="73"/>
      <c r="DP1035" s="73"/>
      <c r="DQ1035" s="73"/>
      <c r="DR1035" s="73"/>
      <c r="DS1035" s="73"/>
      <c r="DT1035" s="73"/>
      <c r="DU1035" s="73"/>
      <c r="DV1035" s="73"/>
      <c r="DW1035" s="73"/>
      <c r="DX1035" s="73"/>
      <c r="DY1035" s="73"/>
      <c r="DZ1035" s="73"/>
      <c r="EA1035" s="73"/>
      <c r="EB1035" s="73"/>
      <c r="EC1035" s="73"/>
      <c r="ED1035" s="73"/>
      <c r="EE1035" s="73"/>
      <c r="EF1035" s="73"/>
      <c r="EG1035" s="73"/>
      <c r="EH1035" s="73"/>
      <c r="EI1035" s="73"/>
      <c r="EJ1035" s="73"/>
      <c r="EK1035" s="73"/>
      <c r="EL1035" s="73"/>
      <c r="EM1035" s="73"/>
      <c r="EN1035" s="73"/>
      <c r="EO1035" s="73"/>
      <c r="EP1035" s="69"/>
      <c r="EQ1035" s="69"/>
      <c r="ER1035" s="69"/>
    </row>
    <row r="1036">
      <c r="A1036" s="73"/>
      <c r="B1036" s="73"/>
      <c r="C1036" s="73"/>
      <c r="D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73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  <c r="CI1036" s="73"/>
      <c r="CJ1036" s="73"/>
      <c r="CK1036" s="73"/>
      <c r="CL1036" s="73"/>
      <c r="CM1036" s="73"/>
      <c r="CN1036" s="73"/>
      <c r="CO1036" s="73"/>
      <c r="CP1036" s="73"/>
      <c r="CQ1036" s="73"/>
      <c r="CR1036" s="73"/>
      <c r="CS1036" s="73"/>
      <c r="CT1036" s="73"/>
      <c r="CU1036" s="73"/>
      <c r="CV1036" s="73"/>
      <c r="CW1036" s="73"/>
      <c r="CX1036" s="73"/>
      <c r="CY1036" s="73"/>
      <c r="CZ1036" s="73"/>
      <c r="DA1036" s="73"/>
      <c r="DB1036" s="73"/>
      <c r="DC1036" s="73"/>
      <c r="DD1036" s="73"/>
      <c r="DE1036" s="73"/>
      <c r="DF1036" s="73"/>
      <c r="DG1036" s="73"/>
      <c r="DH1036" s="73"/>
      <c r="DI1036" s="73"/>
      <c r="DJ1036" s="73"/>
      <c r="DK1036" s="73"/>
      <c r="DL1036" s="73"/>
      <c r="DM1036" s="73"/>
      <c r="DN1036" s="73"/>
      <c r="DO1036" s="73"/>
      <c r="DP1036" s="73"/>
      <c r="DQ1036" s="73"/>
      <c r="DR1036" s="73"/>
      <c r="DS1036" s="73"/>
      <c r="DT1036" s="73"/>
      <c r="DU1036" s="73"/>
      <c r="DV1036" s="73"/>
      <c r="DW1036" s="73"/>
      <c r="DX1036" s="72"/>
      <c r="DY1036" s="72"/>
      <c r="DZ1036" s="73"/>
      <c r="EA1036" s="73"/>
      <c r="EB1036" s="73"/>
      <c r="EC1036" s="73"/>
      <c r="ED1036" s="73"/>
      <c r="EE1036" s="73"/>
      <c r="EF1036" s="73"/>
      <c r="EG1036" s="73"/>
      <c r="EH1036" s="73"/>
      <c r="EI1036" s="73"/>
      <c r="EJ1036" s="73"/>
      <c r="EK1036" s="73"/>
      <c r="EL1036" s="73"/>
      <c r="EM1036" s="73"/>
      <c r="EN1036" s="73"/>
      <c r="EO1036" s="73"/>
      <c r="EP1036" s="69"/>
      <c r="EQ1036" s="69"/>
      <c r="ER1036" s="69"/>
    </row>
    <row r="1037">
      <c r="A1037" s="73"/>
      <c r="B1037" s="73"/>
      <c r="C1037" s="73"/>
      <c r="D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73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  <c r="CI1037" s="73"/>
      <c r="CJ1037" s="73"/>
      <c r="CK1037" s="73"/>
      <c r="CL1037" s="73"/>
      <c r="CM1037" s="73"/>
      <c r="CN1037" s="73"/>
      <c r="CO1037" s="73"/>
      <c r="CP1037" s="73"/>
      <c r="CQ1037" s="73"/>
      <c r="CR1037" s="73"/>
      <c r="CS1037" s="73"/>
      <c r="CT1037" s="73"/>
      <c r="CU1037" s="73"/>
      <c r="CV1037" s="73"/>
      <c r="CW1037" s="73"/>
      <c r="CX1037" s="73"/>
      <c r="CY1037" s="73"/>
      <c r="CZ1037" s="73"/>
      <c r="DA1037" s="73"/>
      <c r="DB1037" s="73"/>
      <c r="DC1037" s="73"/>
      <c r="DD1037" s="73"/>
      <c r="DE1037" s="73"/>
      <c r="DF1037" s="73"/>
      <c r="DG1037" s="73"/>
      <c r="DH1037" s="73"/>
      <c r="DI1037" s="73"/>
      <c r="DJ1037" s="73"/>
      <c r="DK1037" s="73"/>
      <c r="DL1037" s="73"/>
      <c r="DM1037" s="73"/>
      <c r="DN1037" s="73"/>
      <c r="DO1037" s="73"/>
      <c r="DP1037" s="73"/>
      <c r="DQ1037" s="73"/>
      <c r="DR1037" s="73"/>
      <c r="DS1037" s="73"/>
      <c r="DT1037" s="73"/>
      <c r="DU1037" s="73"/>
      <c r="DV1037" s="73"/>
      <c r="DW1037" s="73"/>
      <c r="DX1037" s="72"/>
      <c r="DY1037" s="72"/>
      <c r="DZ1037" s="73"/>
      <c r="EA1037" s="73"/>
      <c r="EB1037" s="73"/>
      <c r="EC1037" s="73"/>
      <c r="ED1037" s="73"/>
      <c r="EE1037" s="73"/>
      <c r="EF1037" s="73"/>
      <c r="EG1037" s="73"/>
      <c r="EH1037" s="73"/>
      <c r="EI1037" s="73"/>
      <c r="EJ1037" s="73"/>
      <c r="EK1037" s="73"/>
      <c r="EL1037" s="73"/>
      <c r="EM1037" s="73"/>
      <c r="EN1037" s="73"/>
      <c r="EO1037" s="73"/>
      <c r="EP1037" s="69"/>
      <c r="EQ1037" s="69"/>
      <c r="ER1037" s="69"/>
    </row>
    <row r="1038">
      <c r="A1038" s="73"/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73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  <c r="CI1038" s="73"/>
      <c r="CJ1038" s="73"/>
      <c r="CK1038" s="73"/>
      <c r="CL1038" s="73"/>
      <c r="CM1038" s="72"/>
      <c r="CN1038" s="73"/>
      <c r="CO1038" s="73"/>
      <c r="CP1038" s="73"/>
      <c r="CQ1038" s="73"/>
      <c r="CR1038" s="73"/>
      <c r="CS1038" s="73"/>
      <c r="CT1038" s="73"/>
      <c r="CU1038" s="73"/>
      <c r="CV1038" s="73"/>
      <c r="CW1038" s="73"/>
      <c r="CX1038" s="73"/>
      <c r="CY1038" s="73"/>
      <c r="CZ1038" s="73"/>
      <c r="DA1038" s="73"/>
      <c r="DB1038" s="73"/>
      <c r="DC1038" s="73"/>
      <c r="DD1038" s="73"/>
      <c r="DE1038" s="73"/>
      <c r="DF1038" s="73"/>
      <c r="DG1038" s="73"/>
      <c r="DH1038" s="73"/>
      <c r="DI1038" s="73"/>
      <c r="DJ1038" s="73"/>
      <c r="DK1038" s="73"/>
      <c r="DL1038" s="73"/>
      <c r="DM1038" s="73"/>
      <c r="DN1038" s="73"/>
      <c r="DO1038" s="73"/>
      <c r="DP1038" s="73"/>
      <c r="DQ1038" s="73"/>
      <c r="DR1038" s="73"/>
      <c r="DS1038" s="73"/>
      <c r="DT1038" s="73"/>
      <c r="DU1038" s="73"/>
      <c r="DV1038" s="73"/>
      <c r="DW1038" s="73"/>
      <c r="DX1038" s="72"/>
      <c r="DY1038" s="72"/>
      <c r="DZ1038" s="73"/>
      <c r="EA1038" s="73"/>
      <c r="EB1038" s="73"/>
      <c r="EC1038" s="73"/>
      <c r="ED1038" s="73"/>
      <c r="EE1038" s="73"/>
      <c r="EF1038" s="73"/>
      <c r="EG1038" s="73"/>
      <c r="EH1038" s="73"/>
      <c r="EI1038" s="73"/>
      <c r="EJ1038" s="73"/>
      <c r="EK1038" s="73"/>
      <c r="EL1038" s="73"/>
      <c r="EM1038" s="73"/>
      <c r="EN1038" s="73"/>
      <c r="EO1038" s="73"/>
      <c r="EP1038" s="69"/>
      <c r="EQ1038" s="69"/>
      <c r="ER1038" s="69"/>
    </row>
    <row r="1039">
      <c r="A1039" s="73"/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73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  <c r="CI1039" s="73"/>
      <c r="CJ1039" s="73"/>
      <c r="CK1039" s="73"/>
      <c r="CL1039" s="73"/>
      <c r="CM1039" s="72"/>
      <c r="CN1039" s="73"/>
      <c r="CO1039" s="73"/>
      <c r="CP1039" s="73"/>
      <c r="CQ1039" s="73"/>
      <c r="CR1039" s="73"/>
      <c r="CS1039" s="73"/>
      <c r="CT1039" s="73"/>
      <c r="CU1039" s="73"/>
      <c r="CV1039" s="73"/>
      <c r="CW1039" s="73"/>
      <c r="CX1039" s="73"/>
      <c r="CY1039" s="73"/>
      <c r="CZ1039" s="73"/>
      <c r="DA1039" s="73"/>
      <c r="DB1039" s="73"/>
      <c r="DC1039" s="73"/>
      <c r="DD1039" s="73"/>
      <c r="DE1039" s="73"/>
      <c r="DF1039" s="73"/>
      <c r="DG1039" s="73"/>
      <c r="DH1039" s="73"/>
      <c r="DI1039" s="73"/>
      <c r="DJ1039" s="73"/>
      <c r="DK1039" s="73"/>
      <c r="DL1039" s="73"/>
      <c r="DM1039" s="73"/>
      <c r="DN1039" s="73"/>
      <c r="DO1039" s="73"/>
      <c r="DP1039" s="73"/>
      <c r="DQ1039" s="73"/>
      <c r="DR1039" s="73"/>
      <c r="DS1039" s="73"/>
      <c r="DT1039" s="73"/>
      <c r="DU1039" s="73"/>
      <c r="DV1039" s="73"/>
      <c r="DW1039" s="73"/>
      <c r="DX1039" s="72"/>
      <c r="DY1039" s="72"/>
      <c r="DZ1039" s="73"/>
      <c r="EA1039" s="73"/>
      <c r="EB1039" s="73"/>
      <c r="EC1039" s="73"/>
      <c r="ED1039" s="73"/>
      <c r="EE1039" s="73"/>
      <c r="EF1039" s="73"/>
      <c r="EG1039" s="73"/>
      <c r="EH1039" s="73"/>
      <c r="EI1039" s="73"/>
      <c r="EJ1039" s="73"/>
      <c r="EK1039" s="73"/>
      <c r="EL1039" s="73"/>
      <c r="EM1039" s="73"/>
      <c r="EN1039" s="73"/>
      <c r="EO1039" s="73"/>
      <c r="EP1039" s="69"/>
      <c r="EQ1039" s="69"/>
      <c r="ER1039" s="69"/>
    </row>
    <row r="1040">
      <c r="A1040" s="73"/>
      <c r="B1040" s="73"/>
      <c r="C1040" s="73"/>
      <c r="D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73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  <c r="CI1040" s="73"/>
      <c r="CJ1040" s="73"/>
      <c r="CK1040" s="73"/>
      <c r="CL1040" s="73"/>
      <c r="CM1040" s="73"/>
      <c r="CN1040" s="73"/>
      <c r="CO1040" s="73"/>
      <c r="CP1040" s="73"/>
      <c r="CQ1040" s="73"/>
      <c r="CR1040" s="73"/>
      <c r="CS1040" s="73"/>
      <c r="CT1040" s="73"/>
      <c r="CU1040" s="73"/>
      <c r="CV1040" s="73"/>
      <c r="CW1040" s="73"/>
      <c r="CX1040" s="73"/>
      <c r="CY1040" s="73"/>
      <c r="CZ1040" s="73"/>
      <c r="DA1040" s="73"/>
      <c r="DB1040" s="73"/>
      <c r="DC1040" s="73"/>
      <c r="DD1040" s="73"/>
      <c r="DE1040" s="73"/>
      <c r="DF1040" s="73"/>
      <c r="DG1040" s="73"/>
      <c r="DH1040" s="73"/>
      <c r="DI1040" s="73"/>
      <c r="DJ1040" s="73"/>
      <c r="DK1040" s="73"/>
      <c r="DL1040" s="73"/>
      <c r="DM1040" s="73"/>
      <c r="DN1040" s="73"/>
      <c r="DO1040" s="73"/>
      <c r="DP1040" s="73"/>
      <c r="DQ1040" s="73"/>
      <c r="DR1040" s="73"/>
      <c r="DS1040" s="73"/>
      <c r="DT1040" s="73"/>
      <c r="DU1040" s="73"/>
      <c r="DV1040" s="73"/>
      <c r="DW1040" s="73"/>
      <c r="DX1040" s="73"/>
      <c r="DY1040" s="73"/>
      <c r="DZ1040" s="73"/>
      <c r="EA1040" s="73"/>
      <c r="EB1040" s="73"/>
      <c r="EC1040" s="73"/>
      <c r="ED1040" s="73"/>
      <c r="EE1040" s="73"/>
      <c r="EF1040" s="73"/>
      <c r="EG1040" s="73"/>
      <c r="EH1040" s="73"/>
      <c r="EI1040" s="73"/>
      <c r="EJ1040" s="73"/>
      <c r="EK1040" s="73"/>
      <c r="EL1040" s="73"/>
      <c r="EM1040" s="73"/>
      <c r="EN1040" s="73"/>
      <c r="EO1040" s="73"/>
      <c r="EP1040" s="69"/>
      <c r="EQ1040" s="69"/>
      <c r="ER1040" s="69"/>
    </row>
    <row r="1041">
      <c r="A1041" s="73"/>
      <c r="B1041" s="73"/>
      <c r="C1041" s="73"/>
      <c r="D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  <c r="CI1041" s="73"/>
      <c r="CJ1041" s="73"/>
      <c r="CK1041" s="73"/>
      <c r="CL1041" s="73"/>
      <c r="CM1041" s="73"/>
      <c r="CN1041" s="73"/>
      <c r="CO1041" s="73"/>
      <c r="CP1041" s="73"/>
      <c r="CQ1041" s="73"/>
      <c r="CR1041" s="73"/>
      <c r="CS1041" s="73"/>
      <c r="CT1041" s="73"/>
      <c r="CU1041" s="73"/>
      <c r="CV1041" s="73"/>
      <c r="CW1041" s="73"/>
      <c r="CX1041" s="73"/>
      <c r="CY1041" s="73"/>
      <c r="CZ1041" s="73"/>
      <c r="DA1041" s="73"/>
      <c r="DB1041" s="73"/>
      <c r="DC1041" s="73"/>
      <c r="DD1041" s="73"/>
      <c r="DE1041" s="73"/>
      <c r="DF1041" s="73"/>
      <c r="DG1041" s="73"/>
      <c r="DH1041" s="73"/>
      <c r="DI1041" s="73"/>
      <c r="DJ1041" s="73"/>
      <c r="DK1041" s="73"/>
      <c r="DL1041" s="73"/>
      <c r="DM1041" s="73"/>
      <c r="DN1041" s="73"/>
      <c r="DO1041" s="73"/>
      <c r="DP1041" s="73"/>
      <c r="DQ1041" s="73"/>
      <c r="DR1041" s="73"/>
      <c r="DS1041" s="73"/>
      <c r="DT1041" s="73"/>
      <c r="DU1041" s="73"/>
      <c r="DV1041" s="73"/>
      <c r="DW1041" s="73"/>
      <c r="DX1041" s="73"/>
      <c r="DY1041" s="73"/>
      <c r="DZ1041" s="73"/>
      <c r="EA1041" s="73"/>
      <c r="EB1041" s="73"/>
      <c r="EC1041" s="73"/>
      <c r="ED1041" s="73"/>
      <c r="EE1041" s="73"/>
      <c r="EF1041" s="73"/>
      <c r="EG1041" s="73"/>
      <c r="EH1041" s="73"/>
      <c r="EI1041" s="73"/>
      <c r="EJ1041" s="73"/>
      <c r="EK1041" s="73"/>
      <c r="EL1041" s="73"/>
      <c r="EM1041" s="73"/>
      <c r="EN1041" s="73"/>
      <c r="EO1041" s="73"/>
      <c r="EP1041" s="69"/>
      <c r="EQ1041" s="69"/>
      <c r="ER1041" s="69"/>
    </row>
    <row r="1042">
      <c r="A1042" s="73"/>
      <c r="B1042" s="73"/>
      <c r="C1042" s="73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73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  <c r="CI1042" s="73"/>
      <c r="CJ1042" s="73"/>
      <c r="CK1042" s="73"/>
      <c r="CL1042" s="73"/>
      <c r="CM1042" s="73"/>
      <c r="CN1042" s="73"/>
      <c r="CO1042" s="73"/>
      <c r="CP1042" s="73"/>
      <c r="CQ1042" s="73"/>
      <c r="CR1042" s="73"/>
      <c r="CS1042" s="73"/>
      <c r="CT1042" s="73"/>
      <c r="CU1042" s="73"/>
      <c r="CV1042" s="73"/>
      <c r="CW1042" s="73"/>
      <c r="CX1042" s="73"/>
      <c r="CY1042" s="73"/>
      <c r="CZ1042" s="73"/>
      <c r="DA1042" s="73"/>
      <c r="DB1042" s="73"/>
      <c r="DC1042" s="73"/>
      <c r="DD1042" s="73"/>
      <c r="DE1042" s="73"/>
      <c r="DF1042" s="73"/>
      <c r="DG1042" s="73"/>
      <c r="DH1042" s="73"/>
      <c r="DI1042" s="73"/>
      <c r="DJ1042" s="73"/>
      <c r="DK1042" s="73"/>
      <c r="DL1042" s="73"/>
      <c r="DM1042" s="73"/>
      <c r="DN1042" s="73"/>
      <c r="DO1042" s="73"/>
      <c r="DP1042" s="73"/>
      <c r="DQ1042" s="73"/>
      <c r="DR1042" s="73"/>
      <c r="DS1042" s="73"/>
      <c r="DT1042" s="73"/>
      <c r="DU1042" s="73"/>
      <c r="DV1042" s="73"/>
      <c r="DW1042" s="73"/>
      <c r="DX1042" s="72"/>
      <c r="DY1042" s="72"/>
      <c r="DZ1042" s="73"/>
      <c r="EA1042" s="73"/>
      <c r="EB1042" s="73"/>
      <c r="EC1042" s="73"/>
      <c r="ED1042" s="73"/>
      <c r="EE1042" s="73"/>
      <c r="EF1042" s="73"/>
      <c r="EG1042" s="73"/>
      <c r="EH1042" s="73"/>
      <c r="EI1042" s="73"/>
      <c r="EJ1042" s="73"/>
      <c r="EK1042" s="73"/>
      <c r="EL1042" s="73"/>
      <c r="EM1042" s="73"/>
      <c r="EN1042" s="73"/>
      <c r="EO1042" s="73"/>
      <c r="EP1042" s="69"/>
      <c r="EQ1042" s="69"/>
      <c r="ER1042" s="69"/>
    </row>
    <row r="1043">
      <c r="A1043" s="73"/>
      <c r="B1043" s="73"/>
      <c r="C1043" s="73"/>
      <c r="D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73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  <c r="CI1043" s="73"/>
      <c r="CJ1043" s="73"/>
      <c r="CK1043" s="73"/>
      <c r="CL1043" s="73"/>
      <c r="CM1043" s="73"/>
      <c r="CN1043" s="73"/>
      <c r="CO1043" s="73"/>
      <c r="CP1043" s="73"/>
      <c r="CQ1043" s="73"/>
      <c r="CR1043" s="73"/>
      <c r="CS1043" s="73"/>
      <c r="CT1043" s="73"/>
      <c r="CU1043" s="73"/>
      <c r="CV1043" s="73"/>
      <c r="CW1043" s="73"/>
      <c r="CX1043" s="73"/>
      <c r="CY1043" s="73"/>
      <c r="CZ1043" s="73"/>
      <c r="DA1043" s="73"/>
      <c r="DB1043" s="73"/>
      <c r="DC1043" s="73"/>
      <c r="DD1043" s="73"/>
      <c r="DE1043" s="73"/>
      <c r="DF1043" s="73"/>
      <c r="DG1043" s="73"/>
      <c r="DH1043" s="73"/>
      <c r="DI1043" s="73"/>
      <c r="DJ1043" s="73"/>
      <c r="DK1043" s="73"/>
      <c r="DL1043" s="73"/>
      <c r="DM1043" s="73"/>
      <c r="DN1043" s="73"/>
      <c r="DO1043" s="73"/>
      <c r="DP1043" s="73"/>
      <c r="DQ1043" s="73"/>
      <c r="DR1043" s="73"/>
      <c r="DS1043" s="73"/>
      <c r="DT1043" s="73"/>
      <c r="DU1043" s="73"/>
      <c r="DV1043" s="73"/>
      <c r="DW1043" s="73"/>
      <c r="DX1043" s="73"/>
      <c r="DY1043" s="73"/>
      <c r="DZ1043" s="73"/>
      <c r="EA1043" s="73"/>
      <c r="EB1043" s="73"/>
      <c r="EC1043" s="73"/>
      <c r="ED1043" s="73"/>
      <c r="EE1043" s="73"/>
      <c r="EF1043" s="73"/>
      <c r="EG1043" s="73"/>
      <c r="EH1043" s="73"/>
      <c r="EI1043" s="73"/>
      <c r="EJ1043" s="73"/>
      <c r="EK1043" s="73"/>
      <c r="EL1043" s="73"/>
      <c r="EM1043" s="73"/>
      <c r="EN1043" s="73"/>
      <c r="EO1043" s="73"/>
      <c r="EP1043" s="69"/>
      <c r="EQ1043" s="69"/>
      <c r="ER1043" s="69"/>
    </row>
    <row r="1044">
      <c r="A1044" s="73"/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73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  <c r="CI1044" s="73"/>
      <c r="CJ1044" s="73"/>
      <c r="CK1044" s="73"/>
      <c r="CL1044" s="73"/>
      <c r="CM1044" s="73"/>
      <c r="CN1044" s="73"/>
      <c r="CO1044" s="73"/>
      <c r="CP1044" s="73"/>
      <c r="CQ1044" s="73"/>
      <c r="CR1044" s="73"/>
      <c r="CS1044" s="73"/>
      <c r="CT1044" s="73"/>
      <c r="CU1044" s="73"/>
      <c r="CV1044" s="73"/>
      <c r="CW1044" s="73"/>
      <c r="CX1044" s="73"/>
      <c r="CY1044" s="73"/>
      <c r="CZ1044" s="73"/>
      <c r="DA1044" s="73"/>
      <c r="DB1044" s="73"/>
      <c r="DC1044" s="73"/>
      <c r="DD1044" s="73"/>
      <c r="DE1044" s="73"/>
      <c r="DF1044" s="73"/>
      <c r="DG1044" s="73"/>
      <c r="DH1044" s="73"/>
      <c r="DI1044" s="73"/>
      <c r="DJ1044" s="73"/>
      <c r="DK1044" s="73"/>
      <c r="DL1044" s="73"/>
      <c r="DM1044" s="73"/>
      <c r="DN1044" s="73"/>
      <c r="DO1044" s="73"/>
      <c r="DP1044" s="73"/>
      <c r="DQ1044" s="73"/>
      <c r="DR1044" s="73"/>
      <c r="DS1044" s="73"/>
      <c r="DT1044" s="73"/>
      <c r="DU1044" s="73"/>
      <c r="DV1044" s="73"/>
      <c r="DW1044" s="73"/>
      <c r="DX1044" s="72"/>
      <c r="DY1044" s="72"/>
      <c r="DZ1044" s="73"/>
      <c r="EA1044" s="73"/>
      <c r="EB1044" s="73"/>
      <c r="EC1044" s="73"/>
      <c r="ED1044" s="73"/>
      <c r="EE1044" s="73"/>
      <c r="EF1044" s="73"/>
      <c r="EG1044" s="73"/>
      <c r="EH1044" s="73"/>
      <c r="EI1044" s="73"/>
      <c r="EJ1044" s="73"/>
      <c r="EK1044" s="73"/>
      <c r="EL1044" s="73"/>
      <c r="EM1044" s="73"/>
      <c r="EN1044" s="73"/>
      <c r="EO1044" s="73"/>
      <c r="EP1044" s="69"/>
      <c r="EQ1044" s="69"/>
      <c r="ER1044" s="69"/>
    </row>
    <row r="1045">
      <c r="A1045" s="73"/>
      <c r="B1045" s="73"/>
      <c r="C1045" s="73"/>
      <c r="D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73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  <c r="CI1045" s="73"/>
      <c r="CJ1045" s="73"/>
      <c r="CK1045" s="73"/>
      <c r="CL1045" s="73"/>
      <c r="CM1045" s="73"/>
      <c r="CN1045" s="73"/>
      <c r="CO1045" s="73"/>
      <c r="CP1045" s="73"/>
      <c r="CQ1045" s="73"/>
      <c r="CR1045" s="73"/>
      <c r="CS1045" s="73"/>
      <c r="CT1045" s="73"/>
      <c r="CU1045" s="73"/>
      <c r="CV1045" s="73"/>
      <c r="CW1045" s="73"/>
      <c r="CX1045" s="73"/>
      <c r="CY1045" s="73"/>
      <c r="CZ1045" s="73"/>
      <c r="DA1045" s="73"/>
      <c r="DB1045" s="73"/>
      <c r="DC1045" s="73"/>
      <c r="DD1045" s="73"/>
      <c r="DE1045" s="73"/>
      <c r="DF1045" s="73"/>
      <c r="DG1045" s="73"/>
      <c r="DH1045" s="73"/>
      <c r="DI1045" s="73"/>
      <c r="DJ1045" s="73"/>
      <c r="DK1045" s="73"/>
      <c r="DL1045" s="73"/>
      <c r="DM1045" s="73"/>
      <c r="DN1045" s="73"/>
      <c r="DO1045" s="73"/>
      <c r="DP1045" s="73"/>
      <c r="DQ1045" s="73"/>
      <c r="DR1045" s="73"/>
      <c r="DS1045" s="73"/>
      <c r="DT1045" s="73"/>
      <c r="DU1045" s="73"/>
      <c r="DV1045" s="73"/>
      <c r="DW1045" s="73"/>
      <c r="DX1045" s="72"/>
      <c r="DY1045" s="72"/>
      <c r="DZ1045" s="73"/>
      <c r="EA1045" s="73"/>
      <c r="EB1045" s="73"/>
      <c r="EC1045" s="73"/>
      <c r="ED1045" s="73"/>
      <c r="EE1045" s="73"/>
      <c r="EF1045" s="73"/>
      <c r="EG1045" s="73"/>
      <c r="EH1045" s="73"/>
      <c r="EI1045" s="73"/>
      <c r="EJ1045" s="73"/>
      <c r="EK1045" s="73"/>
      <c r="EL1045" s="73"/>
      <c r="EM1045" s="73"/>
      <c r="EN1045" s="73"/>
      <c r="EO1045" s="73"/>
      <c r="EP1045" s="69"/>
      <c r="EQ1045" s="69"/>
      <c r="ER1045" s="69"/>
    </row>
    <row r="1046">
      <c r="A1046" s="73"/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73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  <c r="CI1046" s="73"/>
      <c r="CJ1046" s="73"/>
      <c r="CK1046" s="73"/>
      <c r="CL1046" s="73"/>
      <c r="CM1046" s="73"/>
      <c r="CN1046" s="73"/>
      <c r="CO1046" s="73"/>
      <c r="CP1046" s="73"/>
      <c r="CQ1046" s="73"/>
      <c r="CR1046" s="73"/>
      <c r="CS1046" s="73"/>
      <c r="CT1046" s="73"/>
      <c r="CU1046" s="73"/>
      <c r="CV1046" s="73"/>
      <c r="CW1046" s="73"/>
      <c r="CX1046" s="73"/>
      <c r="CY1046" s="73"/>
      <c r="CZ1046" s="73"/>
      <c r="DA1046" s="73"/>
      <c r="DB1046" s="73"/>
      <c r="DC1046" s="73"/>
      <c r="DD1046" s="73"/>
      <c r="DE1046" s="73"/>
      <c r="DF1046" s="73"/>
      <c r="DG1046" s="73"/>
      <c r="DH1046" s="73"/>
      <c r="DI1046" s="73"/>
      <c r="DJ1046" s="73"/>
      <c r="DK1046" s="73"/>
      <c r="DL1046" s="73"/>
      <c r="DM1046" s="73"/>
      <c r="DN1046" s="73"/>
      <c r="DO1046" s="73"/>
      <c r="DP1046" s="73"/>
      <c r="DQ1046" s="73"/>
      <c r="DR1046" s="73"/>
      <c r="DS1046" s="73"/>
      <c r="DT1046" s="73"/>
      <c r="DU1046" s="73"/>
      <c r="DV1046" s="73"/>
      <c r="DW1046" s="73"/>
      <c r="DX1046" s="73"/>
      <c r="DY1046" s="73"/>
      <c r="DZ1046" s="73"/>
      <c r="EA1046" s="73"/>
      <c r="EB1046" s="73"/>
      <c r="EC1046" s="73"/>
      <c r="ED1046" s="73"/>
      <c r="EE1046" s="73"/>
      <c r="EF1046" s="73"/>
      <c r="EG1046" s="73"/>
      <c r="EH1046" s="73"/>
      <c r="EI1046" s="73"/>
      <c r="EJ1046" s="73"/>
      <c r="EK1046" s="73"/>
      <c r="EL1046" s="73"/>
      <c r="EM1046" s="73"/>
      <c r="EN1046" s="73"/>
      <c r="EO1046" s="73"/>
      <c r="EP1046" s="69"/>
      <c r="EQ1046" s="69"/>
      <c r="ER1046" s="69"/>
    </row>
    <row r="1047">
      <c r="A1047" s="73"/>
      <c r="B1047" s="73"/>
      <c r="C1047" s="73"/>
      <c r="D1047" s="73"/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73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  <c r="CI1047" s="73"/>
      <c r="CJ1047" s="73"/>
      <c r="CK1047" s="73"/>
      <c r="CL1047" s="73"/>
      <c r="CM1047" s="73"/>
      <c r="CN1047" s="73"/>
      <c r="CO1047" s="73"/>
      <c r="CP1047" s="73"/>
      <c r="CQ1047" s="73"/>
      <c r="CR1047" s="73"/>
      <c r="CS1047" s="73"/>
      <c r="CT1047" s="73"/>
      <c r="CU1047" s="73"/>
      <c r="CV1047" s="73"/>
      <c r="CW1047" s="73"/>
      <c r="CX1047" s="73"/>
      <c r="CY1047" s="73"/>
      <c r="CZ1047" s="73"/>
      <c r="DA1047" s="73"/>
      <c r="DB1047" s="73"/>
      <c r="DC1047" s="73"/>
      <c r="DD1047" s="73"/>
      <c r="DE1047" s="73"/>
      <c r="DF1047" s="73"/>
      <c r="DG1047" s="73"/>
      <c r="DH1047" s="73"/>
      <c r="DI1047" s="73"/>
      <c r="DJ1047" s="73"/>
      <c r="DK1047" s="73"/>
      <c r="DL1047" s="73"/>
      <c r="DM1047" s="73"/>
      <c r="DN1047" s="73"/>
      <c r="DO1047" s="73"/>
      <c r="DP1047" s="73"/>
      <c r="DQ1047" s="73"/>
      <c r="DR1047" s="73"/>
      <c r="DS1047" s="73"/>
      <c r="DT1047" s="73"/>
      <c r="DU1047" s="73"/>
      <c r="DV1047" s="73"/>
      <c r="DW1047" s="73"/>
      <c r="DX1047" s="72"/>
      <c r="DY1047" s="72"/>
      <c r="DZ1047" s="73"/>
      <c r="EA1047" s="73"/>
      <c r="EB1047" s="73"/>
      <c r="EC1047" s="73"/>
      <c r="ED1047" s="73"/>
      <c r="EE1047" s="73"/>
      <c r="EF1047" s="73"/>
      <c r="EG1047" s="73"/>
      <c r="EH1047" s="73"/>
      <c r="EI1047" s="73"/>
      <c r="EJ1047" s="73"/>
      <c r="EK1047" s="73"/>
      <c r="EL1047" s="73"/>
      <c r="EM1047" s="73"/>
      <c r="EN1047" s="73"/>
      <c r="EO1047" s="73"/>
      <c r="EP1047" s="69"/>
      <c r="EQ1047" s="69"/>
      <c r="ER1047" s="69"/>
    </row>
    <row r="1048">
      <c r="A1048" s="73"/>
      <c r="B1048" s="73"/>
      <c r="C1048" s="73"/>
      <c r="D1048" s="73"/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73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  <c r="CI1048" s="73"/>
      <c r="CJ1048" s="73"/>
      <c r="CK1048" s="73"/>
      <c r="CL1048" s="73"/>
      <c r="CM1048" s="73"/>
      <c r="CN1048" s="73"/>
      <c r="CO1048" s="73"/>
      <c r="CP1048" s="73"/>
      <c r="CQ1048" s="73"/>
      <c r="CR1048" s="73"/>
      <c r="CS1048" s="73"/>
      <c r="CT1048" s="73"/>
      <c r="CU1048" s="73"/>
      <c r="CV1048" s="73"/>
      <c r="CW1048" s="73"/>
      <c r="CX1048" s="73"/>
      <c r="CY1048" s="73"/>
      <c r="CZ1048" s="73"/>
      <c r="DA1048" s="73"/>
      <c r="DB1048" s="73"/>
      <c r="DC1048" s="73"/>
      <c r="DD1048" s="73"/>
      <c r="DE1048" s="73"/>
      <c r="DF1048" s="73"/>
      <c r="DG1048" s="73"/>
      <c r="DH1048" s="73"/>
      <c r="DI1048" s="73"/>
      <c r="DJ1048" s="73"/>
      <c r="DK1048" s="73"/>
      <c r="DL1048" s="73"/>
      <c r="DM1048" s="73"/>
      <c r="DN1048" s="73"/>
      <c r="DO1048" s="73"/>
      <c r="DP1048" s="73"/>
      <c r="DQ1048" s="73"/>
      <c r="DR1048" s="73"/>
      <c r="DS1048" s="73"/>
      <c r="DT1048" s="73"/>
      <c r="DU1048" s="73"/>
      <c r="DV1048" s="73"/>
      <c r="DW1048" s="73"/>
      <c r="DX1048" s="72"/>
      <c r="DY1048" s="72"/>
      <c r="DZ1048" s="73"/>
      <c r="EA1048" s="73"/>
      <c r="EB1048" s="73"/>
      <c r="EC1048" s="73"/>
      <c r="ED1048" s="73"/>
      <c r="EE1048" s="73"/>
      <c r="EF1048" s="73"/>
      <c r="EG1048" s="73"/>
      <c r="EH1048" s="73"/>
      <c r="EI1048" s="73"/>
      <c r="EJ1048" s="73"/>
      <c r="EK1048" s="73"/>
      <c r="EL1048" s="73"/>
      <c r="EM1048" s="73"/>
      <c r="EN1048" s="73"/>
      <c r="EO1048" s="73"/>
      <c r="EP1048" s="69"/>
      <c r="EQ1048" s="69"/>
      <c r="ER1048" s="69"/>
    </row>
    <row r="1049">
      <c r="A1049" s="73"/>
      <c r="B1049" s="73"/>
      <c r="C1049" s="73"/>
      <c r="D1049" s="73"/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73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  <c r="CI1049" s="73"/>
      <c r="CJ1049" s="73"/>
      <c r="CK1049" s="73"/>
      <c r="CL1049" s="73"/>
      <c r="CM1049" s="73"/>
      <c r="CN1049" s="73"/>
      <c r="CO1049" s="73"/>
      <c r="CP1049" s="73"/>
      <c r="CQ1049" s="73"/>
      <c r="CR1049" s="73"/>
      <c r="CS1049" s="73"/>
      <c r="CT1049" s="73"/>
      <c r="CU1049" s="73"/>
      <c r="CV1049" s="73"/>
      <c r="CW1049" s="73"/>
      <c r="CX1049" s="73"/>
      <c r="CY1049" s="73"/>
      <c r="CZ1049" s="73"/>
      <c r="DA1049" s="73"/>
      <c r="DB1049" s="73"/>
      <c r="DC1049" s="73"/>
      <c r="DD1049" s="73"/>
      <c r="DE1049" s="73"/>
      <c r="DF1049" s="73"/>
      <c r="DG1049" s="73"/>
      <c r="DH1049" s="73"/>
      <c r="DI1049" s="73"/>
      <c r="DJ1049" s="73"/>
      <c r="DK1049" s="73"/>
      <c r="DL1049" s="73"/>
      <c r="DM1049" s="73"/>
      <c r="DN1049" s="73"/>
      <c r="DO1049" s="73"/>
      <c r="DP1049" s="73"/>
      <c r="DQ1049" s="73"/>
      <c r="DR1049" s="73"/>
      <c r="DS1049" s="73"/>
      <c r="DT1049" s="73"/>
      <c r="DU1049" s="73"/>
      <c r="DV1049" s="73"/>
      <c r="DW1049" s="73"/>
      <c r="DX1049" s="72"/>
      <c r="DY1049" s="72"/>
      <c r="DZ1049" s="73"/>
      <c r="EA1049" s="73"/>
      <c r="EB1049" s="73"/>
      <c r="EC1049" s="73"/>
      <c r="ED1049" s="73"/>
      <c r="EE1049" s="73"/>
      <c r="EF1049" s="73"/>
      <c r="EG1049" s="73"/>
      <c r="EH1049" s="73"/>
      <c r="EI1049" s="73"/>
      <c r="EJ1049" s="73"/>
      <c r="EK1049" s="73"/>
      <c r="EL1049" s="73"/>
      <c r="EM1049" s="73"/>
      <c r="EN1049" s="73"/>
      <c r="EO1049" s="73"/>
      <c r="EP1049" s="69"/>
      <c r="EQ1049" s="69"/>
      <c r="ER1049" s="69"/>
    </row>
    <row r="1050">
      <c r="A1050" s="73"/>
      <c r="B1050" s="73"/>
      <c r="C1050" s="73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73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  <c r="CI1050" s="73"/>
      <c r="CJ1050" s="73"/>
      <c r="CK1050" s="73"/>
      <c r="CL1050" s="73"/>
      <c r="CM1050" s="73"/>
      <c r="CN1050" s="73"/>
      <c r="CO1050" s="73"/>
      <c r="CP1050" s="73"/>
      <c r="CQ1050" s="73"/>
      <c r="CR1050" s="73"/>
      <c r="CS1050" s="73"/>
      <c r="CT1050" s="73"/>
      <c r="CU1050" s="73"/>
      <c r="CV1050" s="73"/>
      <c r="CW1050" s="73"/>
      <c r="CX1050" s="73"/>
      <c r="CY1050" s="73"/>
      <c r="CZ1050" s="73"/>
      <c r="DA1050" s="73"/>
      <c r="DB1050" s="73"/>
      <c r="DC1050" s="73"/>
      <c r="DD1050" s="73"/>
      <c r="DE1050" s="73"/>
      <c r="DF1050" s="73"/>
      <c r="DG1050" s="73"/>
      <c r="DH1050" s="73"/>
      <c r="DI1050" s="73"/>
      <c r="DJ1050" s="73"/>
      <c r="DK1050" s="73"/>
      <c r="DL1050" s="73"/>
      <c r="DM1050" s="73"/>
      <c r="DN1050" s="73"/>
      <c r="DO1050" s="73"/>
      <c r="DP1050" s="73"/>
      <c r="DQ1050" s="73"/>
      <c r="DR1050" s="73"/>
      <c r="DS1050" s="73"/>
      <c r="DT1050" s="73"/>
      <c r="DU1050" s="73"/>
      <c r="DV1050" s="73"/>
      <c r="DW1050" s="73"/>
      <c r="DX1050" s="72"/>
      <c r="DY1050" s="72"/>
      <c r="DZ1050" s="73"/>
      <c r="EA1050" s="73"/>
      <c r="EB1050" s="73"/>
      <c r="EC1050" s="73"/>
      <c r="ED1050" s="73"/>
      <c r="EE1050" s="73"/>
      <c r="EF1050" s="73"/>
      <c r="EG1050" s="73"/>
      <c r="EH1050" s="73"/>
      <c r="EI1050" s="73"/>
      <c r="EJ1050" s="73"/>
      <c r="EK1050" s="73"/>
      <c r="EL1050" s="73"/>
      <c r="EM1050" s="73"/>
      <c r="EN1050" s="73"/>
      <c r="EO1050" s="73"/>
      <c r="EP1050" s="69"/>
      <c r="EQ1050" s="69"/>
      <c r="ER1050" s="69"/>
    </row>
    <row r="1051">
      <c r="A1051" s="73"/>
      <c r="B1051" s="73"/>
      <c r="C1051" s="73"/>
      <c r="D1051" s="73"/>
      <c r="E1051" s="73"/>
      <c r="F1051" s="73"/>
      <c r="G1051" s="73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73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  <c r="CI1051" s="73"/>
      <c r="CJ1051" s="73"/>
      <c r="CK1051" s="73"/>
      <c r="CL1051" s="73"/>
      <c r="CM1051" s="73"/>
      <c r="CN1051" s="73"/>
      <c r="CO1051" s="73"/>
      <c r="CP1051" s="73"/>
      <c r="CQ1051" s="73"/>
      <c r="CR1051" s="73"/>
      <c r="CS1051" s="73"/>
      <c r="CT1051" s="73"/>
      <c r="CU1051" s="73"/>
      <c r="CV1051" s="73"/>
      <c r="CW1051" s="73"/>
      <c r="CX1051" s="73"/>
      <c r="CY1051" s="73"/>
      <c r="CZ1051" s="73"/>
      <c r="DA1051" s="73"/>
      <c r="DB1051" s="73"/>
      <c r="DC1051" s="73"/>
      <c r="DD1051" s="73"/>
      <c r="DE1051" s="73"/>
      <c r="DF1051" s="73"/>
      <c r="DG1051" s="73"/>
      <c r="DH1051" s="73"/>
      <c r="DI1051" s="73"/>
      <c r="DJ1051" s="73"/>
      <c r="DK1051" s="73"/>
      <c r="DL1051" s="73"/>
      <c r="DM1051" s="73"/>
      <c r="DN1051" s="73"/>
      <c r="DO1051" s="73"/>
      <c r="DP1051" s="73"/>
      <c r="DQ1051" s="73"/>
      <c r="DR1051" s="73"/>
      <c r="DS1051" s="73"/>
      <c r="DT1051" s="73"/>
      <c r="DU1051" s="73"/>
      <c r="DV1051" s="73"/>
      <c r="DW1051" s="73"/>
      <c r="DX1051" s="72"/>
      <c r="DY1051" s="72"/>
      <c r="DZ1051" s="73"/>
      <c r="EA1051" s="73"/>
      <c r="EB1051" s="73"/>
      <c r="EC1051" s="73"/>
      <c r="ED1051" s="73"/>
      <c r="EE1051" s="73"/>
      <c r="EF1051" s="73"/>
      <c r="EG1051" s="73"/>
      <c r="EH1051" s="73"/>
      <c r="EI1051" s="73"/>
      <c r="EJ1051" s="73"/>
      <c r="EK1051" s="73"/>
      <c r="EL1051" s="73"/>
      <c r="EM1051" s="73"/>
      <c r="EN1051" s="73"/>
      <c r="EO1051" s="73"/>
      <c r="EP1051" s="69"/>
      <c r="EQ1051" s="69"/>
      <c r="ER1051" s="69"/>
    </row>
    <row r="1052">
      <c r="A1052" s="73"/>
      <c r="B1052" s="73"/>
      <c r="C1052" s="73"/>
      <c r="D1052" s="73"/>
      <c r="E1052" s="73"/>
      <c r="F1052" s="73"/>
      <c r="G1052" s="73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73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  <c r="CI1052" s="73"/>
      <c r="CJ1052" s="73"/>
      <c r="CK1052" s="73"/>
      <c r="CL1052" s="73"/>
      <c r="CM1052" s="73"/>
      <c r="CN1052" s="73"/>
      <c r="CO1052" s="73"/>
      <c r="CP1052" s="73"/>
      <c r="CQ1052" s="73"/>
      <c r="CR1052" s="73"/>
      <c r="CS1052" s="73"/>
      <c r="CT1052" s="73"/>
      <c r="CU1052" s="73"/>
      <c r="CV1052" s="73"/>
      <c r="CW1052" s="73"/>
      <c r="CX1052" s="73"/>
      <c r="CY1052" s="73"/>
      <c r="CZ1052" s="73"/>
      <c r="DA1052" s="73"/>
      <c r="DB1052" s="73"/>
      <c r="DC1052" s="73"/>
      <c r="DD1052" s="73"/>
      <c r="DE1052" s="73"/>
      <c r="DF1052" s="73"/>
      <c r="DG1052" s="73"/>
      <c r="DH1052" s="73"/>
      <c r="DI1052" s="73"/>
      <c r="DJ1052" s="73"/>
      <c r="DK1052" s="73"/>
      <c r="DL1052" s="73"/>
      <c r="DM1052" s="73"/>
      <c r="DN1052" s="73"/>
      <c r="DO1052" s="73"/>
      <c r="DP1052" s="73"/>
      <c r="DQ1052" s="73"/>
      <c r="DR1052" s="73"/>
      <c r="DS1052" s="73"/>
      <c r="DT1052" s="73"/>
      <c r="DU1052" s="73"/>
      <c r="DV1052" s="73"/>
      <c r="DW1052" s="73"/>
      <c r="DX1052" s="72"/>
      <c r="DY1052" s="72"/>
      <c r="DZ1052" s="73"/>
      <c r="EA1052" s="73"/>
      <c r="EB1052" s="73"/>
      <c r="EC1052" s="73"/>
      <c r="ED1052" s="73"/>
      <c r="EE1052" s="73"/>
      <c r="EF1052" s="73"/>
      <c r="EG1052" s="73"/>
      <c r="EH1052" s="73"/>
      <c r="EI1052" s="73"/>
      <c r="EJ1052" s="73"/>
      <c r="EK1052" s="73"/>
      <c r="EL1052" s="73"/>
      <c r="EM1052" s="73"/>
      <c r="EN1052" s="73"/>
      <c r="EO1052" s="73"/>
      <c r="EP1052" s="69"/>
      <c r="EQ1052" s="69"/>
      <c r="ER1052" s="69"/>
    </row>
    <row r="1053">
      <c r="A1053" s="73"/>
      <c r="B1053" s="73"/>
      <c r="C1053" s="73"/>
      <c r="D1053" s="73"/>
      <c r="E1053" s="73"/>
      <c r="F1053" s="73"/>
      <c r="G1053" s="73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  <c r="AH1053" s="73"/>
      <c r="AI1053" s="73"/>
      <c r="AJ1053" s="73"/>
      <c r="AK1053" s="73"/>
      <c r="AL1053" s="73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  <c r="CI1053" s="73"/>
      <c r="CJ1053" s="73"/>
      <c r="CK1053" s="73"/>
      <c r="CL1053" s="73"/>
      <c r="CM1053" s="73"/>
      <c r="CN1053" s="73"/>
      <c r="CO1053" s="73"/>
      <c r="CP1053" s="73"/>
      <c r="CQ1053" s="73"/>
      <c r="CR1053" s="73"/>
      <c r="CS1053" s="73"/>
      <c r="CT1053" s="73"/>
      <c r="CU1053" s="73"/>
      <c r="CV1053" s="73"/>
      <c r="CW1053" s="73"/>
      <c r="CX1053" s="73"/>
      <c r="CY1053" s="73"/>
      <c r="CZ1053" s="73"/>
      <c r="DA1053" s="73"/>
      <c r="DB1053" s="73"/>
      <c r="DC1053" s="73"/>
      <c r="DD1053" s="73"/>
      <c r="DE1053" s="73"/>
      <c r="DF1053" s="73"/>
      <c r="DG1053" s="73"/>
      <c r="DH1053" s="73"/>
      <c r="DI1053" s="73"/>
      <c r="DJ1053" s="73"/>
      <c r="DK1053" s="73"/>
      <c r="DL1053" s="73"/>
      <c r="DM1053" s="73"/>
      <c r="DN1053" s="73"/>
      <c r="DO1053" s="73"/>
      <c r="DP1053" s="73"/>
      <c r="DQ1053" s="73"/>
      <c r="DR1053" s="73"/>
      <c r="DS1053" s="73"/>
      <c r="DT1053" s="73"/>
      <c r="DU1053" s="73"/>
      <c r="DV1053" s="73"/>
      <c r="DW1053" s="73"/>
      <c r="DX1053" s="72"/>
      <c r="DY1053" s="72"/>
      <c r="DZ1053" s="73"/>
      <c r="EA1053" s="73"/>
      <c r="EB1053" s="73"/>
      <c r="EC1053" s="73"/>
      <c r="ED1053" s="73"/>
      <c r="EE1053" s="73"/>
      <c r="EF1053" s="73"/>
      <c r="EG1053" s="73"/>
      <c r="EH1053" s="73"/>
      <c r="EI1053" s="73"/>
      <c r="EJ1053" s="73"/>
      <c r="EK1053" s="73"/>
      <c r="EL1053" s="73"/>
      <c r="EM1053" s="73"/>
      <c r="EN1053" s="73"/>
      <c r="EO1053" s="73"/>
      <c r="EP1053" s="69"/>
      <c r="EQ1053" s="69"/>
      <c r="ER1053" s="69"/>
    </row>
    <row r="1054">
      <c r="A1054" s="73"/>
      <c r="B1054" s="73"/>
      <c r="C1054" s="73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  <c r="AH1054" s="73"/>
      <c r="AI1054" s="73"/>
      <c r="AJ1054" s="73"/>
      <c r="AK1054" s="73"/>
      <c r="AL1054" s="73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  <c r="CI1054" s="73"/>
      <c r="CJ1054" s="73"/>
      <c r="CK1054" s="73"/>
      <c r="CL1054" s="73"/>
      <c r="CM1054" s="72"/>
      <c r="CN1054" s="73"/>
      <c r="CO1054" s="73"/>
      <c r="CP1054" s="73"/>
      <c r="CQ1054" s="73"/>
      <c r="CR1054" s="73"/>
      <c r="CS1054" s="73"/>
      <c r="CT1054" s="73"/>
      <c r="CU1054" s="73"/>
      <c r="CV1054" s="73"/>
      <c r="CW1054" s="73"/>
      <c r="CX1054" s="73"/>
      <c r="CY1054" s="73"/>
      <c r="CZ1054" s="73"/>
      <c r="DA1054" s="73"/>
      <c r="DB1054" s="73"/>
      <c r="DC1054" s="73"/>
      <c r="DD1054" s="73"/>
      <c r="DE1054" s="73"/>
      <c r="DF1054" s="73"/>
      <c r="DG1054" s="73"/>
      <c r="DH1054" s="73"/>
      <c r="DI1054" s="73"/>
      <c r="DJ1054" s="73"/>
      <c r="DK1054" s="73"/>
      <c r="DL1054" s="73"/>
      <c r="DM1054" s="73"/>
      <c r="DN1054" s="73"/>
      <c r="DO1054" s="73"/>
      <c r="DP1054" s="73"/>
      <c r="DQ1054" s="73"/>
      <c r="DR1054" s="73"/>
      <c r="DS1054" s="73"/>
      <c r="DT1054" s="73"/>
      <c r="DU1054" s="73"/>
      <c r="DV1054" s="73"/>
      <c r="DW1054" s="73"/>
      <c r="DX1054" s="73"/>
      <c r="DY1054" s="73"/>
      <c r="DZ1054" s="73"/>
      <c r="EA1054" s="73"/>
      <c r="EB1054" s="73"/>
      <c r="EC1054" s="73"/>
      <c r="ED1054" s="73"/>
      <c r="EE1054" s="73"/>
      <c r="EF1054" s="73"/>
      <c r="EG1054" s="73"/>
      <c r="EH1054" s="73"/>
      <c r="EI1054" s="73"/>
      <c r="EJ1054" s="73"/>
      <c r="EK1054" s="73"/>
      <c r="EL1054" s="73"/>
      <c r="EM1054" s="73"/>
      <c r="EN1054" s="73"/>
      <c r="EO1054" s="73"/>
      <c r="EP1054" s="69"/>
      <c r="EQ1054" s="69"/>
      <c r="ER1054" s="69"/>
    </row>
    <row r="1055">
      <c r="A1055" s="73"/>
      <c r="B1055" s="73"/>
      <c r="C1055" s="73"/>
      <c r="D1055" s="73"/>
      <c r="E1055" s="73"/>
      <c r="F1055" s="73"/>
      <c r="G1055" s="73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  <c r="AH1055" s="73"/>
      <c r="AI1055" s="73"/>
      <c r="AJ1055" s="73"/>
      <c r="AK1055" s="73"/>
      <c r="AL1055" s="73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  <c r="CI1055" s="73"/>
      <c r="CJ1055" s="73"/>
      <c r="CK1055" s="73"/>
      <c r="CL1055" s="73"/>
      <c r="CM1055" s="73"/>
      <c r="CN1055" s="73"/>
      <c r="CO1055" s="73"/>
      <c r="CP1055" s="73"/>
      <c r="CQ1055" s="73"/>
      <c r="CR1055" s="73"/>
      <c r="CS1055" s="73"/>
      <c r="CT1055" s="73"/>
      <c r="CU1055" s="73"/>
      <c r="CV1055" s="73"/>
      <c r="CW1055" s="73"/>
      <c r="CX1055" s="73"/>
      <c r="CY1055" s="73"/>
      <c r="CZ1055" s="73"/>
      <c r="DA1055" s="73"/>
      <c r="DB1055" s="73"/>
      <c r="DC1055" s="73"/>
      <c r="DD1055" s="73"/>
      <c r="DE1055" s="73"/>
      <c r="DF1055" s="73"/>
      <c r="DG1055" s="73"/>
      <c r="DH1055" s="73"/>
      <c r="DI1055" s="73"/>
      <c r="DJ1055" s="73"/>
      <c r="DK1055" s="73"/>
      <c r="DL1055" s="73"/>
      <c r="DM1055" s="73"/>
      <c r="DN1055" s="73"/>
      <c r="DO1055" s="73"/>
      <c r="DP1055" s="73"/>
      <c r="DQ1055" s="73"/>
      <c r="DR1055" s="73"/>
      <c r="DS1055" s="73"/>
      <c r="DT1055" s="73"/>
      <c r="DU1055" s="73"/>
      <c r="DV1055" s="73"/>
      <c r="DW1055" s="73"/>
      <c r="DX1055" s="72"/>
      <c r="DY1055" s="72"/>
      <c r="DZ1055" s="73"/>
      <c r="EA1055" s="73"/>
      <c r="EB1055" s="73"/>
      <c r="EC1055" s="73"/>
      <c r="ED1055" s="73"/>
      <c r="EE1055" s="73"/>
      <c r="EF1055" s="73"/>
      <c r="EG1055" s="73"/>
      <c r="EH1055" s="73"/>
      <c r="EI1055" s="73"/>
      <c r="EJ1055" s="73"/>
      <c r="EK1055" s="73"/>
      <c r="EL1055" s="73"/>
      <c r="EM1055" s="73"/>
      <c r="EN1055" s="73"/>
      <c r="EO1055" s="73"/>
      <c r="EP1055" s="69"/>
      <c r="EQ1055" s="69"/>
      <c r="ER1055" s="69"/>
    </row>
    <row r="1056">
      <c r="A1056" s="73"/>
      <c r="B1056" s="73"/>
      <c r="C1056" s="73"/>
      <c r="D1056" s="73"/>
      <c r="E1056" s="73"/>
      <c r="F1056" s="73"/>
      <c r="G1056" s="73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  <c r="AH1056" s="73"/>
      <c r="AI1056" s="73"/>
      <c r="AJ1056" s="73"/>
      <c r="AK1056" s="73"/>
      <c r="AL1056" s="73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  <c r="CI1056" s="73"/>
      <c r="CJ1056" s="73"/>
      <c r="CK1056" s="73"/>
      <c r="CL1056" s="73"/>
      <c r="CM1056" s="73"/>
      <c r="CN1056" s="73"/>
      <c r="CO1056" s="73"/>
      <c r="CP1056" s="73"/>
      <c r="CQ1056" s="73"/>
      <c r="CR1056" s="73"/>
      <c r="CS1056" s="73"/>
      <c r="CT1056" s="73"/>
      <c r="CU1056" s="73"/>
      <c r="CV1056" s="73"/>
      <c r="CW1056" s="73"/>
      <c r="CX1056" s="73"/>
      <c r="CY1056" s="73"/>
      <c r="CZ1056" s="73"/>
      <c r="DA1056" s="73"/>
      <c r="DB1056" s="73"/>
      <c r="DC1056" s="73"/>
      <c r="DD1056" s="73"/>
      <c r="DE1056" s="73"/>
      <c r="DF1056" s="73"/>
      <c r="DG1056" s="73"/>
      <c r="DH1056" s="73"/>
      <c r="DI1056" s="73"/>
      <c r="DJ1056" s="73"/>
      <c r="DK1056" s="73"/>
      <c r="DL1056" s="73"/>
      <c r="DM1056" s="73"/>
      <c r="DN1056" s="73"/>
      <c r="DO1056" s="73"/>
      <c r="DP1056" s="73"/>
      <c r="DQ1056" s="73"/>
      <c r="DR1056" s="73"/>
      <c r="DS1056" s="73"/>
      <c r="DT1056" s="73"/>
      <c r="DU1056" s="73"/>
      <c r="DV1056" s="73"/>
      <c r="DW1056" s="73"/>
      <c r="DX1056" s="73"/>
      <c r="DY1056" s="73"/>
      <c r="DZ1056" s="73"/>
      <c r="EA1056" s="73"/>
      <c r="EB1056" s="73"/>
      <c r="EC1056" s="73"/>
      <c r="ED1056" s="73"/>
      <c r="EE1056" s="73"/>
      <c r="EF1056" s="73"/>
      <c r="EG1056" s="73"/>
      <c r="EH1056" s="73"/>
      <c r="EI1056" s="73"/>
      <c r="EJ1056" s="73"/>
      <c r="EK1056" s="73"/>
      <c r="EL1056" s="73"/>
      <c r="EM1056" s="73"/>
      <c r="EN1056" s="73"/>
      <c r="EO1056" s="73"/>
      <c r="EP1056" s="69"/>
      <c r="EQ1056" s="69"/>
      <c r="ER1056" s="69"/>
    </row>
    <row r="1057">
      <c r="A1057" s="73"/>
      <c r="B1057" s="73"/>
      <c r="C1057" s="73"/>
      <c r="D1057" s="73"/>
      <c r="E1057" s="73"/>
      <c r="F1057" s="73"/>
      <c r="G1057" s="73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  <c r="AH1057" s="73"/>
      <c r="AI1057" s="73"/>
      <c r="AJ1057" s="73"/>
      <c r="AK1057" s="73"/>
      <c r="AL1057" s="73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  <c r="CI1057" s="73"/>
      <c r="CJ1057" s="73"/>
      <c r="CK1057" s="73"/>
      <c r="CL1057" s="73"/>
      <c r="CM1057" s="73"/>
      <c r="CN1057" s="73"/>
      <c r="CO1057" s="73"/>
      <c r="CP1057" s="73"/>
      <c r="CQ1057" s="73"/>
      <c r="CR1057" s="73"/>
      <c r="CS1057" s="73"/>
      <c r="CT1057" s="73"/>
      <c r="CU1057" s="73"/>
      <c r="CV1057" s="73"/>
      <c r="CW1057" s="73"/>
      <c r="CX1057" s="73"/>
      <c r="CY1057" s="73"/>
      <c r="CZ1057" s="73"/>
      <c r="DA1057" s="73"/>
      <c r="DB1057" s="73"/>
      <c r="DC1057" s="73"/>
      <c r="DD1057" s="73"/>
      <c r="DE1057" s="73"/>
      <c r="DF1057" s="73"/>
      <c r="DG1057" s="73"/>
      <c r="DH1057" s="73"/>
      <c r="DI1057" s="73"/>
      <c r="DJ1057" s="73"/>
      <c r="DK1057" s="73"/>
      <c r="DL1057" s="73"/>
      <c r="DM1057" s="73"/>
      <c r="DN1057" s="73"/>
      <c r="DO1057" s="73"/>
      <c r="DP1057" s="73"/>
      <c r="DQ1057" s="73"/>
      <c r="DR1057" s="73"/>
      <c r="DS1057" s="73"/>
      <c r="DT1057" s="73"/>
      <c r="DU1057" s="73"/>
      <c r="DV1057" s="73"/>
      <c r="DW1057" s="73"/>
      <c r="DX1057" s="72"/>
      <c r="DY1057" s="72"/>
      <c r="DZ1057" s="73"/>
      <c r="EA1057" s="73"/>
      <c r="EB1057" s="73"/>
      <c r="EC1057" s="73"/>
      <c r="ED1057" s="73"/>
      <c r="EE1057" s="73"/>
      <c r="EF1057" s="73"/>
      <c r="EG1057" s="73"/>
      <c r="EH1057" s="73"/>
      <c r="EI1057" s="73"/>
      <c r="EJ1057" s="73"/>
      <c r="EK1057" s="73"/>
      <c r="EL1057" s="73"/>
      <c r="EM1057" s="73"/>
      <c r="EN1057" s="73"/>
      <c r="EO1057" s="73"/>
      <c r="EP1057" s="69"/>
      <c r="EQ1057" s="69"/>
      <c r="ER1057" s="69"/>
    </row>
    <row r="1058">
      <c r="A1058" s="73"/>
      <c r="B1058" s="73"/>
      <c r="C1058" s="73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  <c r="AH1058" s="73"/>
      <c r="AI1058" s="73"/>
      <c r="AJ1058" s="73"/>
      <c r="AK1058" s="73"/>
      <c r="AL1058" s="73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  <c r="CI1058" s="73"/>
      <c r="CJ1058" s="73"/>
      <c r="CK1058" s="73"/>
      <c r="CL1058" s="73"/>
      <c r="CM1058" s="73"/>
      <c r="CN1058" s="73"/>
      <c r="CO1058" s="73"/>
      <c r="CP1058" s="73"/>
      <c r="CQ1058" s="73"/>
      <c r="CR1058" s="73"/>
      <c r="CS1058" s="73"/>
      <c r="CT1058" s="73"/>
      <c r="CU1058" s="73"/>
      <c r="CV1058" s="73"/>
      <c r="CW1058" s="73"/>
      <c r="CX1058" s="73"/>
      <c r="CY1058" s="73"/>
      <c r="CZ1058" s="73"/>
      <c r="DA1058" s="73"/>
      <c r="DB1058" s="73"/>
      <c r="DC1058" s="73"/>
      <c r="DD1058" s="73"/>
      <c r="DE1058" s="73"/>
      <c r="DF1058" s="73"/>
      <c r="DG1058" s="73"/>
      <c r="DH1058" s="73"/>
      <c r="DI1058" s="73"/>
      <c r="DJ1058" s="73"/>
      <c r="DK1058" s="73"/>
      <c r="DL1058" s="73"/>
      <c r="DM1058" s="73"/>
      <c r="DN1058" s="73"/>
      <c r="DO1058" s="73"/>
      <c r="DP1058" s="73"/>
      <c r="DQ1058" s="73"/>
      <c r="DR1058" s="73"/>
      <c r="DS1058" s="73"/>
      <c r="DT1058" s="73"/>
      <c r="DU1058" s="73"/>
      <c r="DV1058" s="73"/>
      <c r="DW1058" s="73"/>
      <c r="DX1058" s="73"/>
      <c r="DY1058" s="73"/>
      <c r="DZ1058" s="73"/>
      <c r="EA1058" s="73"/>
      <c r="EB1058" s="73"/>
      <c r="EC1058" s="73"/>
      <c r="ED1058" s="73"/>
      <c r="EE1058" s="73"/>
      <c r="EF1058" s="73"/>
      <c r="EG1058" s="73"/>
      <c r="EH1058" s="73"/>
      <c r="EI1058" s="73"/>
      <c r="EJ1058" s="73"/>
      <c r="EK1058" s="73"/>
      <c r="EL1058" s="73"/>
      <c r="EM1058" s="73"/>
      <c r="EN1058" s="73"/>
      <c r="EO1058" s="73"/>
      <c r="EP1058" s="69"/>
      <c r="EQ1058" s="69"/>
      <c r="ER1058" s="69"/>
    </row>
    <row r="1059">
      <c r="A1059" s="73"/>
      <c r="B1059" s="73"/>
      <c r="C1059" s="73"/>
      <c r="D1059" s="73"/>
      <c r="E1059" s="73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73"/>
      <c r="AK1059" s="73"/>
      <c r="AL1059" s="73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  <c r="CI1059" s="73"/>
      <c r="CJ1059" s="73"/>
      <c r="CK1059" s="73"/>
      <c r="CL1059" s="73"/>
      <c r="CM1059" s="73"/>
      <c r="CN1059" s="73"/>
      <c r="CO1059" s="73"/>
      <c r="CP1059" s="73"/>
      <c r="CQ1059" s="73"/>
      <c r="CR1059" s="73"/>
      <c r="CS1059" s="73"/>
      <c r="CT1059" s="73"/>
      <c r="CU1059" s="73"/>
      <c r="CV1059" s="73"/>
      <c r="CW1059" s="73"/>
      <c r="CX1059" s="73"/>
      <c r="CY1059" s="73"/>
      <c r="CZ1059" s="73"/>
      <c r="DA1059" s="73"/>
      <c r="DB1059" s="73"/>
      <c r="DC1059" s="73"/>
      <c r="DD1059" s="73"/>
      <c r="DE1059" s="73"/>
      <c r="DF1059" s="73"/>
      <c r="DG1059" s="73"/>
      <c r="DH1059" s="73"/>
      <c r="DI1059" s="73"/>
      <c r="DJ1059" s="73"/>
      <c r="DK1059" s="73"/>
      <c r="DL1059" s="73"/>
      <c r="DM1059" s="73"/>
      <c r="DN1059" s="73"/>
      <c r="DO1059" s="73"/>
      <c r="DP1059" s="73"/>
      <c r="DQ1059" s="73"/>
      <c r="DR1059" s="73"/>
      <c r="DS1059" s="73"/>
      <c r="DT1059" s="73"/>
      <c r="DU1059" s="73"/>
      <c r="DV1059" s="73"/>
      <c r="DW1059" s="73"/>
      <c r="DX1059" s="73"/>
      <c r="DY1059" s="73"/>
      <c r="DZ1059" s="73"/>
      <c r="EA1059" s="73"/>
      <c r="EB1059" s="73"/>
      <c r="EC1059" s="73"/>
      <c r="ED1059" s="73"/>
      <c r="EE1059" s="73"/>
      <c r="EF1059" s="73"/>
      <c r="EG1059" s="73"/>
      <c r="EH1059" s="73"/>
      <c r="EI1059" s="73"/>
      <c r="EJ1059" s="73"/>
      <c r="EK1059" s="73"/>
      <c r="EL1059" s="73"/>
      <c r="EM1059" s="73"/>
      <c r="EN1059" s="73"/>
      <c r="EO1059" s="73"/>
      <c r="EP1059" s="69"/>
      <c r="EQ1059" s="69"/>
      <c r="ER1059" s="69"/>
    </row>
    <row r="1060">
      <c r="A1060" s="73"/>
      <c r="B1060" s="73"/>
      <c r="C1060" s="73"/>
      <c r="D1060" s="73"/>
      <c r="E1060" s="73"/>
      <c r="F1060" s="73"/>
      <c r="G1060" s="73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  <c r="AH1060" s="73"/>
      <c r="AI1060" s="73"/>
      <c r="AJ1060" s="73"/>
      <c r="AK1060" s="73"/>
      <c r="AL1060" s="73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  <c r="CI1060" s="73"/>
      <c r="CJ1060" s="73"/>
      <c r="CK1060" s="73"/>
      <c r="CL1060" s="73"/>
      <c r="CM1060" s="73"/>
      <c r="CN1060" s="73"/>
      <c r="CO1060" s="73"/>
      <c r="CP1060" s="73"/>
      <c r="CQ1060" s="73"/>
      <c r="CR1060" s="73"/>
      <c r="CS1060" s="73"/>
      <c r="CT1060" s="73"/>
      <c r="CU1060" s="73"/>
      <c r="CV1060" s="73"/>
      <c r="CW1060" s="73"/>
      <c r="CX1060" s="73"/>
      <c r="CY1060" s="73"/>
      <c r="CZ1060" s="73"/>
      <c r="DA1060" s="73"/>
      <c r="DB1060" s="73"/>
      <c r="DC1060" s="73"/>
      <c r="DD1060" s="73"/>
      <c r="DE1060" s="73"/>
      <c r="DF1060" s="73"/>
      <c r="DG1060" s="73"/>
      <c r="DH1060" s="73"/>
      <c r="DI1060" s="73"/>
      <c r="DJ1060" s="73"/>
      <c r="DK1060" s="73"/>
      <c r="DL1060" s="73"/>
      <c r="DM1060" s="73"/>
      <c r="DN1060" s="73"/>
      <c r="DO1060" s="73"/>
      <c r="DP1060" s="73"/>
      <c r="DQ1060" s="73"/>
      <c r="DR1060" s="73"/>
      <c r="DS1060" s="73"/>
      <c r="DT1060" s="73"/>
      <c r="DU1060" s="73"/>
      <c r="DV1060" s="73"/>
      <c r="DW1060" s="73"/>
      <c r="DX1060" s="72"/>
      <c r="DY1060" s="72"/>
      <c r="DZ1060" s="73"/>
      <c r="EA1060" s="73"/>
      <c r="EB1060" s="73"/>
      <c r="EC1060" s="73"/>
      <c r="ED1060" s="73"/>
      <c r="EE1060" s="73"/>
      <c r="EF1060" s="73"/>
      <c r="EG1060" s="73"/>
      <c r="EH1060" s="73"/>
      <c r="EI1060" s="73"/>
      <c r="EJ1060" s="73"/>
      <c r="EK1060" s="73"/>
      <c r="EL1060" s="73"/>
      <c r="EM1060" s="73"/>
      <c r="EN1060" s="73"/>
      <c r="EO1060" s="73"/>
      <c r="EP1060" s="69"/>
      <c r="EQ1060" s="69"/>
      <c r="ER1060" s="69"/>
    </row>
    <row r="1061">
      <c r="A1061" s="73"/>
      <c r="B1061" s="73"/>
      <c r="C1061" s="73"/>
      <c r="D1061" s="73"/>
      <c r="E1061" s="73"/>
      <c r="F1061" s="73"/>
      <c r="G1061" s="73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  <c r="AH1061" s="73"/>
      <c r="AI1061" s="73"/>
      <c r="AJ1061" s="73"/>
      <c r="AK1061" s="73"/>
      <c r="AL1061" s="73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  <c r="CI1061" s="73"/>
      <c r="CJ1061" s="73"/>
      <c r="CK1061" s="73"/>
      <c r="CL1061" s="73"/>
      <c r="CM1061" s="73"/>
      <c r="CN1061" s="73"/>
      <c r="CO1061" s="73"/>
      <c r="CP1061" s="73"/>
      <c r="CQ1061" s="73"/>
      <c r="CR1061" s="73"/>
      <c r="CS1061" s="73"/>
      <c r="CT1061" s="73"/>
      <c r="CU1061" s="73"/>
      <c r="CV1061" s="73"/>
      <c r="CW1061" s="73"/>
      <c r="CX1061" s="73"/>
      <c r="CY1061" s="73"/>
      <c r="CZ1061" s="73"/>
      <c r="DA1061" s="73"/>
      <c r="DB1061" s="73"/>
      <c r="DC1061" s="73"/>
      <c r="DD1061" s="73"/>
      <c r="DE1061" s="73"/>
      <c r="DF1061" s="73"/>
      <c r="DG1061" s="73"/>
      <c r="DH1061" s="73"/>
      <c r="DI1061" s="73"/>
      <c r="DJ1061" s="73"/>
      <c r="DK1061" s="73"/>
      <c r="DL1061" s="73"/>
      <c r="DM1061" s="73"/>
      <c r="DN1061" s="73"/>
      <c r="DO1061" s="73"/>
      <c r="DP1061" s="73"/>
      <c r="DQ1061" s="73"/>
      <c r="DR1061" s="73"/>
      <c r="DS1061" s="73"/>
      <c r="DT1061" s="73"/>
      <c r="DU1061" s="73"/>
      <c r="DV1061" s="73"/>
      <c r="DW1061" s="73"/>
      <c r="DX1061" s="72"/>
      <c r="DY1061" s="72"/>
      <c r="DZ1061" s="73"/>
      <c r="EA1061" s="73"/>
      <c r="EB1061" s="73"/>
      <c r="EC1061" s="73"/>
      <c r="ED1061" s="73"/>
      <c r="EE1061" s="73"/>
      <c r="EF1061" s="73"/>
      <c r="EG1061" s="73"/>
      <c r="EH1061" s="73"/>
      <c r="EI1061" s="73"/>
      <c r="EJ1061" s="73"/>
      <c r="EK1061" s="73"/>
      <c r="EL1061" s="73"/>
      <c r="EM1061" s="73"/>
      <c r="EN1061" s="73"/>
      <c r="EO1061" s="73"/>
      <c r="EP1061" s="69"/>
      <c r="EQ1061" s="69"/>
      <c r="ER1061" s="69"/>
    </row>
    <row r="1062">
      <c r="A1062" s="73"/>
      <c r="B1062" s="73"/>
      <c r="C1062" s="73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  <c r="AH1062" s="73"/>
      <c r="AI1062" s="73"/>
      <c r="AJ1062" s="73"/>
      <c r="AK1062" s="73"/>
      <c r="AL1062" s="73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  <c r="CI1062" s="73"/>
      <c r="CJ1062" s="73"/>
      <c r="CK1062" s="73"/>
      <c r="CL1062" s="73"/>
      <c r="CM1062" s="73"/>
      <c r="CN1062" s="73"/>
      <c r="CO1062" s="73"/>
      <c r="CP1062" s="73"/>
      <c r="CQ1062" s="73"/>
      <c r="CR1062" s="73"/>
      <c r="CS1062" s="73"/>
      <c r="CT1062" s="73"/>
      <c r="CU1062" s="73"/>
      <c r="CV1062" s="73"/>
      <c r="CW1062" s="73"/>
      <c r="CX1062" s="73"/>
      <c r="CY1062" s="73"/>
      <c r="CZ1062" s="73"/>
      <c r="DA1062" s="73"/>
      <c r="DB1062" s="73"/>
      <c r="DC1062" s="73"/>
      <c r="DD1062" s="73"/>
      <c r="DE1062" s="73"/>
      <c r="DF1062" s="73"/>
      <c r="DG1062" s="73"/>
      <c r="DH1062" s="73"/>
      <c r="DI1062" s="73"/>
      <c r="DJ1062" s="73"/>
      <c r="DK1062" s="73"/>
      <c r="DL1062" s="73"/>
      <c r="DM1062" s="73"/>
      <c r="DN1062" s="73"/>
      <c r="DO1062" s="73"/>
      <c r="DP1062" s="73"/>
      <c r="DQ1062" s="73"/>
      <c r="DR1062" s="73"/>
      <c r="DS1062" s="73"/>
      <c r="DT1062" s="73"/>
      <c r="DU1062" s="73"/>
      <c r="DV1062" s="73"/>
      <c r="DW1062" s="73"/>
      <c r="DX1062" s="72"/>
      <c r="DY1062" s="72"/>
      <c r="DZ1062" s="73"/>
      <c r="EA1062" s="73"/>
      <c r="EB1062" s="73"/>
      <c r="EC1062" s="73"/>
      <c r="ED1062" s="73"/>
      <c r="EE1062" s="73"/>
      <c r="EF1062" s="73"/>
      <c r="EG1062" s="73"/>
      <c r="EH1062" s="73"/>
      <c r="EI1062" s="73"/>
      <c r="EJ1062" s="73"/>
      <c r="EK1062" s="73"/>
      <c r="EL1062" s="73"/>
      <c r="EM1062" s="73"/>
      <c r="EN1062" s="73"/>
      <c r="EO1062" s="73"/>
      <c r="EP1062" s="69"/>
      <c r="EQ1062" s="69"/>
      <c r="ER1062" s="69"/>
    </row>
    <row r="1063">
      <c r="A1063" s="73"/>
      <c r="B1063" s="73"/>
      <c r="C1063" s="73"/>
      <c r="D1063" s="73"/>
      <c r="E1063" s="73"/>
      <c r="F1063" s="73"/>
      <c r="G1063" s="73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  <c r="AH1063" s="73"/>
      <c r="AI1063" s="73"/>
      <c r="AJ1063" s="73"/>
      <c r="AK1063" s="73"/>
      <c r="AL1063" s="73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  <c r="CI1063" s="73"/>
      <c r="CJ1063" s="73"/>
      <c r="CK1063" s="73"/>
      <c r="CL1063" s="73"/>
      <c r="CM1063" s="72"/>
      <c r="CN1063" s="73"/>
      <c r="CO1063" s="73"/>
      <c r="CP1063" s="73"/>
      <c r="CQ1063" s="73"/>
      <c r="CR1063" s="73"/>
      <c r="CS1063" s="73"/>
      <c r="CT1063" s="73"/>
      <c r="CU1063" s="73"/>
      <c r="CV1063" s="73"/>
      <c r="CW1063" s="73"/>
      <c r="CX1063" s="73"/>
      <c r="CY1063" s="73"/>
      <c r="CZ1063" s="73"/>
      <c r="DA1063" s="73"/>
      <c r="DB1063" s="73"/>
      <c r="DC1063" s="73"/>
      <c r="DD1063" s="73"/>
      <c r="DE1063" s="73"/>
      <c r="DF1063" s="73"/>
      <c r="DG1063" s="73"/>
      <c r="DH1063" s="73"/>
      <c r="DI1063" s="73"/>
      <c r="DJ1063" s="73"/>
      <c r="DK1063" s="73"/>
      <c r="DL1063" s="73"/>
      <c r="DM1063" s="73"/>
      <c r="DN1063" s="73"/>
      <c r="DO1063" s="73"/>
      <c r="DP1063" s="73"/>
      <c r="DQ1063" s="73"/>
      <c r="DR1063" s="73"/>
      <c r="DS1063" s="73"/>
      <c r="DT1063" s="73"/>
      <c r="DU1063" s="73"/>
      <c r="DV1063" s="73"/>
      <c r="DW1063" s="73"/>
      <c r="DX1063" s="72"/>
      <c r="DY1063" s="72"/>
      <c r="DZ1063" s="73"/>
      <c r="EA1063" s="73"/>
      <c r="EB1063" s="73"/>
      <c r="EC1063" s="73"/>
      <c r="ED1063" s="73"/>
      <c r="EE1063" s="73"/>
      <c r="EF1063" s="73"/>
      <c r="EG1063" s="73"/>
      <c r="EH1063" s="73"/>
      <c r="EI1063" s="73"/>
      <c r="EJ1063" s="73"/>
      <c r="EK1063" s="73"/>
      <c r="EL1063" s="73"/>
      <c r="EM1063" s="73"/>
      <c r="EN1063" s="73"/>
      <c r="EO1063" s="73"/>
      <c r="EP1063" s="69"/>
      <c r="EQ1063" s="69"/>
      <c r="ER1063" s="69"/>
    </row>
    <row r="1064">
      <c r="A1064" s="73"/>
      <c r="B1064" s="73"/>
      <c r="C1064" s="73"/>
      <c r="D1064" s="73"/>
      <c r="E1064" s="73"/>
      <c r="F1064" s="73"/>
      <c r="G1064" s="73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  <c r="AH1064" s="73"/>
      <c r="AI1064" s="73"/>
      <c r="AJ1064" s="73"/>
      <c r="AK1064" s="73"/>
      <c r="AL1064" s="73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  <c r="CI1064" s="73"/>
      <c r="CJ1064" s="73"/>
      <c r="CK1064" s="73"/>
      <c r="CL1064" s="73"/>
      <c r="CM1064" s="73"/>
      <c r="CN1064" s="73"/>
      <c r="CO1064" s="73"/>
      <c r="CP1064" s="73"/>
      <c r="CQ1064" s="73"/>
      <c r="CR1064" s="73"/>
      <c r="CS1064" s="73"/>
      <c r="CT1064" s="73"/>
      <c r="CU1064" s="73"/>
      <c r="CV1064" s="73"/>
      <c r="CW1064" s="73"/>
      <c r="CX1064" s="73"/>
      <c r="CY1064" s="73"/>
      <c r="CZ1064" s="73"/>
      <c r="DA1064" s="73"/>
      <c r="DB1064" s="73"/>
      <c r="DC1064" s="73"/>
      <c r="DD1064" s="73"/>
      <c r="DE1064" s="73"/>
      <c r="DF1064" s="73"/>
      <c r="DG1064" s="73"/>
      <c r="DH1064" s="73"/>
      <c r="DI1064" s="73"/>
      <c r="DJ1064" s="73"/>
      <c r="DK1064" s="73"/>
      <c r="DL1064" s="73"/>
      <c r="DM1064" s="73"/>
      <c r="DN1064" s="73"/>
      <c r="DO1064" s="73"/>
      <c r="DP1064" s="73"/>
      <c r="DQ1064" s="73"/>
      <c r="DR1064" s="73"/>
      <c r="DS1064" s="73"/>
      <c r="DT1064" s="73"/>
      <c r="DU1064" s="73"/>
      <c r="DV1064" s="73"/>
      <c r="DW1064" s="73"/>
      <c r="DX1064" s="72"/>
      <c r="DY1064" s="72"/>
      <c r="DZ1064" s="73"/>
      <c r="EA1064" s="73"/>
      <c r="EB1064" s="73"/>
      <c r="EC1064" s="73"/>
      <c r="ED1064" s="73"/>
      <c r="EE1064" s="73"/>
      <c r="EF1064" s="73"/>
      <c r="EG1064" s="73"/>
      <c r="EH1064" s="73"/>
      <c r="EI1064" s="73"/>
      <c r="EJ1064" s="73"/>
      <c r="EK1064" s="73"/>
      <c r="EL1064" s="73"/>
      <c r="EM1064" s="73"/>
      <c r="EN1064" s="73"/>
      <c r="EO1064" s="73"/>
      <c r="EP1064" s="69"/>
      <c r="EQ1064" s="69"/>
      <c r="ER1064" s="69"/>
    </row>
    <row r="1065">
      <c r="A1065" s="73"/>
      <c r="B1065" s="73"/>
      <c r="C1065" s="73"/>
      <c r="D1065" s="73"/>
      <c r="E1065" s="73"/>
      <c r="F1065" s="73"/>
      <c r="G1065" s="73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  <c r="AH1065" s="73"/>
      <c r="AI1065" s="73"/>
      <c r="AJ1065" s="73"/>
      <c r="AK1065" s="73"/>
      <c r="AL1065" s="73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  <c r="CI1065" s="73"/>
      <c r="CJ1065" s="73"/>
      <c r="CK1065" s="73"/>
      <c r="CL1065" s="73"/>
      <c r="CM1065" s="73"/>
      <c r="CN1065" s="73"/>
      <c r="CO1065" s="73"/>
      <c r="CP1065" s="73"/>
      <c r="CQ1065" s="73"/>
      <c r="CR1065" s="73"/>
      <c r="CS1065" s="73"/>
      <c r="CT1065" s="73"/>
      <c r="CU1065" s="73"/>
      <c r="CV1065" s="73"/>
      <c r="CW1065" s="73"/>
      <c r="CX1065" s="73"/>
      <c r="CY1065" s="73"/>
      <c r="CZ1065" s="73"/>
      <c r="DA1065" s="73"/>
      <c r="DB1065" s="73"/>
      <c r="DC1065" s="73"/>
      <c r="DD1065" s="73"/>
      <c r="DE1065" s="73"/>
      <c r="DF1065" s="73"/>
      <c r="DG1065" s="73"/>
      <c r="DH1065" s="73"/>
      <c r="DI1065" s="73"/>
      <c r="DJ1065" s="73"/>
      <c r="DK1065" s="73"/>
      <c r="DL1065" s="73"/>
      <c r="DM1065" s="73"/>
      <c r="DN1065" s="73"/>
      <c r="DO1065" s="73"/>
      <c r="DP1065" s="73"/>
      <c r="DQ1065" s="73"/>
      <c r="DR1065" s="73"/>
      <c r="DS1065" s="73"/>
      <c r="DT1065" s="73"/>
      <c r="DU1065" s="73"/>
      <c r="DV1065" s="73"/>
      <c r="DW1065" s="73"/>
      <c r="DX1065" s="73"/>
      <c r="DY1065" s="73"/>
      <c r="DZ1065" s="73"/>
      <c r="EA1065" s="73"/>
      <c r="EB1065" s="73"/>
      <c r="EC1065" s="73"/>
      <c r="ED1065" s="73"/>
      <c r="EE1065" s="73"/>
      <c r="EF1065" s="73"/>
      <c r="EG1065" s="73"/>
      <c r="EH1065" s="73"/>
      <c r="EI1065" s="73"/>
      <c r="EJ1065" s="73"/>
      <c r="EK1065" s="73"/>
      <c r="EL1065" s="73"/>
      <c r="EM1065" s="73"/>
      <c r="EN1065" s="73"/>
      <c r="EO1065" s="73"/>
      <c r="EP1065" s="69"/>
      <c r="EQ1065" s="69"/>
      <c r="ER1065" s="69"/>
    </row>
    <row r="1066">
      <c r="A1066" s="73"/>
      <c r="B1066" s="73"/>
      <c r="C1066" s="73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  <c r="AH1066" s="73"/>
      <c r="AI1066" s="73"/>
      <c r="AJ1066" s="73"/>
      <c r="AK1066" s="73"/>
      <c r="AL1066" s="73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  <c r="CI1066" s="73"/>
      <c r="CJ1066" s="73"/>
      <c r="CK1066" s="73"/>
      <c r="CL1066" s="73"/>
      <c r="CM1066" s="73"/>
      <c r="CN1066" s="73"/>
      <c r="CO1066" s="73"/>
      <c r="CP1066" s="73"/>
      <c r="CQ1066" s="73"/>
      <c r="CR1066" s="73"/>
      <c r="CS1066" s="73"/>
      <c r="CT1066" s="73"/>
      <c r="CU1066" s="73"/>
      <c r="CV1066" s="73"/>
      <c r="CW1066" s="73"/>
      <c r="CX1066" s="73"/>
      <c r="CY1066" s="73"/>
      <c r="CZ1066" s="73"/>
      <c r="DA1066" s="73"/>
      <c r="DB1066" s="73"/>
      <c r="DC1066" s="73"/>
      <c r="DD1066" s="73"/>
      <c r="DE1066" s="73"/>
      <c r="DF1066" s="73"/>
      <c r="DG1066" s="73"/>
      <c r="DH1066" s="73"/>
      <c r="DI1066" s="73"/>
      <c r="DJ1066" s="73"/>
      <c r="DK1066" s="73"/>
      <c r="DL1066" s="73"/>
      <c r="DM1066" s="73"/>
      <c r="DN1066" s="73"/>
      <c r="DO1066" s="73"/>
      <c r="DP1066" s="73"/>
      <c r="DQ1066" s="73"/>
      <c r="DR1066" s="73"/>
      <c r="DS1066" s="73"/>
      <c r="DT1066" s="73"/>
      <c r="DU1066" s="73"/>
      <c r="DV1066" s="73"/>
      <c r="DW1066" s="73"/>
      <c r="DX1066" s="72"/>
      <c r="DY1066" s="72"/>
      <c r="DZ1066" s="73"/>
      <c r="EA1066" s="73"/>
      <c r="EB1066" s="73"/>
      <c r="EC1066" s="73"/>
      <c r="ED1066" s="73"/>
      <c r="EE1066" s="73"/>
      <c r="EF1066" s="73"/>
      <c r="EG1066" s="73"/>
      <c r="EH1066" s="73"/>
      <c r="EI1066" s="73"/>
      <c r="EJ1066" s="73"/>
      <c r="EK1066" s="73"/>
      <c r="EL1066" s="73"/>
      <c r="EM1066" s="73"/>
      <c r="EN1066" s="73"/>
      <c r="EO1066" s="73"/>
      <c r="EP1066" s="69"/>
      <c r="EQ1066" s="69"/>
      <c r="ER1066" s="69"/>
    </row>
    <row r="1067">
      <c r="A1067" s="73"/>
      <c r="B1067" s="73"/>
      <c r="C1067" s="73"/>
      <c r="D1067" s="73"/>
      <c r="E1067" s="73"/>
      <c r="F1067" s="73"/>
      <c r="G1067" s="73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  <c r="AH1067" s="73"/>
      <c r="AI1067" s="73"/>
      <c r="AJ1067" s="73"/>
      <c r="AK1067" s="73"/>
      <c r="AL1067" s="73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  <c r="CI1067" s="73"/>
      <c r="CJ1067" s="73"/>
      <c r="CK1067" s="73"/>
      <c r="CL1067" s="73"/>
      <c r="CM1067" s="73"/>
      <c r="CN1067" s="73"/>
      <c r="CO1067" s="73"/>
      <c r="CP1067" s="73"/>
      <c r="CQ1067" s="73"/>
      <c r="CR1067" s="73"/>
      <c r="CS1067" s="73"/>
      <c r="CT1067" s="73"/>
      <c r="CU1067" s="73"/>
      <c r="CV1067" s="73"/>
      <c r="CW1067" s="73"/>
      <c r="CX1067" s="73"/>
      <c r="CY1067" s="73"/>
      <c r="CZ1067" s="73"/>
      <c r="DA1067" s="73"/>
      <c r="DB1067" s="73"/>
      <c r="DC1067" s="73"/>
      <c r="DD1067" s="73"/>
      <c r="DE1067" s="73"/>
      <c r="DF1067" s="73"/>
      <c r="DG1067" s="73"/>
      <c r="DH1067" s="73"/>
      <c r="DI1067" s="73"/>
      <c r="DJ1067" s="73"/>
      <c r="DK1067" s="73"/>
      <c r="DL1067" s="73"/>
      <c r="DM1067" s="73"/>
      <c r="DN1067" s="73"/>
      <c r="DO1067" s="73"/>
      <c r="DP1067" s="73"/>
      <c r="DQ1067" s="73"/>
      <c r="DR1067" s="73"/>
      <c r="DS1067" s="73"/>
      <c r="DT1067" s="73"/>
      <c r="DU1067" s="73"/>
      <c r="DV1067" s="73"/>
      <c r="DW1067" s="73"/>
      <c r="DX1067" s="72"/>
      <c r="DY1067" s="72"/>
      <c r="DZ1067" s="73"/>
      <c r="EA1067" s="73"/>
      <c r="EB1067" s="73"/>
      <c r="EC1067" s="73"/>
      <c r="ED1067" s="73"/>
      <c r="EE1067" s="73"/>
      <c r="EF1067" s="73"/>
      <c r="EG1067" s="73"/>
      <c r="EH1067" s="73"/>
      <c r="EI1067" s="73"/>
      <c r="EJ1067" s="73"/>
      <c r="EK1067" s="73"/>
      <c r="EL1067" s="73"/>
      <c r="EM1067" s="73"/>
      <c r="EN1067" s="73"/>
      <c r="EO1067" s="73"/>
      <c r="EP1067" s="69"/>
      <c r="EQ1067" s="69"/>
      <c r="ER1067" s="69"/>
    </row>
    <row r="1068">
      <c r="A1068" s="73"/>
      <c r="B1068" s="73"/>
      <c r="C1068" s="73"/>
      <c r="D1068" s="73"/>
      <c r="E1068" s="73"/>
      <c r="F1068" s="73"/>
      <c r="G1068" s="73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  <c r="AH1068" s="73"/>
      <c r="AI1068" s="73"/>
      <c r="AJ1068" s="73"/>
      <c r="AK1068" s="73"/>
      <c r="AL1068" s="73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  <c r="CI1068" s="73"/>
      <c r="CJ1068" s="73"/>
      <c r="CK1068" s="73"/>
      <c r="CL1068" s="73"/>
      <c r="CM1068" s="73"/>
      <c r="CN1068" s="73"/>
      <c r="CO1068" s="73"/>
      <c r="CP1068" s="73"/>
      <c r="CQ1068" s="73"/>
      <c r="CR1068" s="73"/>
      <c r="CS1068" s="73"/>
      <c r="CT1068" s="73"/>
      <c r="CU1068" s="73"/>
      <c r="CV1068" s="73"/>
      <c r="CW1068" s="73"/>
      <c r="CX1068" s="73"/>
      <c r="CY1068" s="73"/>
      <c r="CZ1068" s="73"/>
      <c r="DA1068" s="73"/>
      <c r="DB1068" s="73"/>
      <c r="DC1068" s="73"/>
      <c r="DD1068" s="73"/>
      <c r="DE1068" s="73"/>
      <c r="DF1068" s="73"/>
      <c r="DG1068" s="73"/>
      <c r="DH1068" s="73"/>
      <c r="DI1068" s="73"/>
      <c r="DJ1068" s="73"/>
      <c r="DK1068" s="73"/>
      <c r="DL1068" s="73"/>
      <c r="DM1068" s="73"/>
      <c r="DN1068" s="73"/>
      <c r="DO1068" s="73"/>
      <c r="DP1068" s="73"/>
      <c r="DQ1068" s="73"/>
      <c r="DR1068" s="73"/>
      <c r="DS1068" s="73"/>
      <c r="DT1068" s="73"/>
      <c r="DU1068" s="73"/>
      <c r="DV1068" s="73"/>
      <c r="DW1068" s="73"/>
      <c r="DX1068" s="72"/>
      <c r="DY1068" s="72"/>
      <c r="DZ1068" s="73"/>
      <c r="EA1068" s="73"/>
      <c r="EB1068" s="73"/>
      <c r="EC1068" s="73"/>
      <c r="ED1068" s="73"/>
      <c r="EE1068" s="73"/>
      <c r="EF1068" s="73"/>
      <c r="EG1068" s="73"/>
      <c r="EH1068" s="73"/>
      <c r="EI1068" s="73"/>
      <c r="EJ1068" s="73"/>
      <c r="EK1068" s="73"/>
      <c r="EL1068" s="73"/>
      <c r="EM1068" s="73"/>
      <c r="EN1068" s="73"/>
      <c r="EO1068" s="73"/>
      <c r="EP1068" s="69"/>
      <c r="EQ1068" s="69"/>
      <c r="ER1068" s="69"/>
    </row>
    <row r="1069">
      <c r="A1069" s="73"/>
      <c r="B1069" s="73"/>
      <c r="C1069" s="73"/>
      <c r="D1069" s="73"/>
      <c r="E1069" s="73"/>
      <c r="F1069" s="73"/>
      <c r="G1069" s="73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  <c r="AH1069" s="73"/>
      <c r="AI1069" s="73"/>
      <c r="AJ1069" s="73"/>
      <c r="AK1069" s="73"/>
      <c r="AL1069" s="73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  <c r="CI1069" s="73"/>
      <c r="CJ1069" s="73"/>
      <c r="CK1069" s="73"/>
      <c r="CL1069" s="73"/>
      <c r="CM1069" s="73"/>
      <c r="CN1069" s="73"/>
      <c r="CO1069" s="73"/>
      <c r="CP1069" s="73"/>
      <c r="CQ1069" s="73"/>
      <c r="CR1069" s="73"/>
      <c r="CS1069" s="73"/>
      <c r="CT1069" s="73"/>
      <c r="CU1069" s="73"/>
      <c r="CV1069" s="73"/>
      <c r="CW1069" s="73"/>
      <c r="CX1069" s="73"/>
      <c r="CY1069" s="73"/>
      <c r="CZ1069" s="73"/>
      <c r="DA1069" s="73"/>
      <c r="DB1069" s="73"/>
      <c r="DC1069" s="73"/>
      <c r="DD1069" s="73"/>
      <c r="DE1069" s="73"/>
      <c r="DF1069" s="73"/>
      <c r="DG1069" s="73"/>
      <c r="DH1069" s="73"/>
      <c r="DI1069" s="73"/>
      <c r="DJ1069" s="73"/>
      <c r="DK1069" s="73"/>
      <c r="DL1069" s="73"/>
      <c r="DM1069" s="73"/>
      <c r="DN1069" s="73"/>
      <c r="DO1069" s="73"/>
      <c r="DP1069" s="73"/>
      <c r="DQ1069" s="73"/>
      <c r="DR1069" s="73"/>
      <c r="DS1069" s="73"/>
      <c r="DT1069" s="73"/>
      <c r="DU1069" s="73"/>
      <c r="DV1069" s="73"/>
      <c r="DW1069" s="73"/>
      <c r="DX1069" s="72"/>
      <c r="DY1069" s="72"/>
      <c r="DZ1069" s="73"/>
      <c r="EA1069" s="73"/>
      <c r="EB1069" s="73"/>
      <c r="EC1069" s="73"/>
      <c r="ED1069" s="73"/>
      <c r="EE1069" s="73"/>
      <c r="EF1069" s="73"/>
      <c r="EG1069" s="73"/>
      <c r="EH1069" s="73"/>
      <c r="EI1069" s="73"/>
      <c r="EJ1069" s="73"/>
      <c r="EK1069" s="73"/>
      <c r="EL1069" s="73"/>
      <c r="EM1069" s="73"/>
      <c r="EN1069" s="73"/>
      <c r="EO1069" s="73"/>
      <c r="EP1069" s="69"/>
      <c r="EQ1069" s="69"/>
      <c r="ER1069" s="69"/>
    </row>
    <row r="1070">
      <c r="A1070" s="73"/>
      <c r="B1070" s="73"/>
      <c r="C1070" s="73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  <c r="AH1070" s="73"/>
      <c r="AI1070" s="73"/>
      <c r="AJ1070" s="73"/>
      <c r="AK1070" s="73"/>
      <c r="AL1070" s="73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  <c r="CI1070" s="73"/>
      <c r="CJ1070" s="73"/>
      <c r="CK1070" s="73"/>
      <c r="CL1070" s="73"/>
      <c r="CM1070" s="73"/>
      <c r="CN1070" s="73"/>
      <c r="CO1070" s="73"/>
      <c r="CP1070" s="73"/>
      <c r="CQ1070" s="73"/>
      <c r="CR1070" s="73"/>
      <c r="CS1070" s="73"/>
      <c r="CT1070" s="73"/>
      <c r="CU1070" s="73"/>
      <c r="CV1070" s="73"/>
      <c r="CW1070" s="73"/>
      <c r="CX1070" s="73"/>
      <c r="CY1070" s="73"/>
      <c r="CZ1070" s="73"/>
      <c r="DA1070" s="73"/>
      <c r="DB1070" s="73"/>
      <c r="DC1070" s="73"/>
      <c r="DD1070" s="73"/>
      <c r="DE1070" s="73"/>
      <c r="DF1070" s="73"/>
      <c r="DG1070" s="73"/>
      <c r="DH1070" s="73"/>
      <c r="DI1070" s="73"/>
      <c r="DJ1070" s="73"/>
      <c r="DK1070" s="73"/>
      <c r="DL1070" s="73"/>
      <c r="DM1070" s="73"/>
      <c r="DN1070" s="73"/>
      <c r="DO1070" s="73"/>
      <c r="DP1070" s="73"/>
      <c r="DQ1070" s="73"/>
      <c r="DR1070" s="73"/>
      <c r="DS1070" s="73"/>
      <c r="DT1070" s="73"/>
      <c r="DU1070" s="73"/>
      <c r="DV1070" s="73"/>
      <c r="DW1070" s="73"/>
      <c r="DX1070" s="72"/>
      <c r="DY1070" s="72"/>
      <c r="DZ1070" s="73"/>
      <c r="EA1070" s="73"/>
      <c r="EB1070" s="73"/>
      <c r="EC1070" s="73"/>
      <c r="ED1070" s="73"/>
      <c r="EE1070" s="73"/>
      <c r="EF1070" s="73"/>
      <c r="EG1070" s="73"/>
      <c r="EH1070" s="73"/>
      <c r="EI1070" s="73"/>
      <c r="EJ1070" s="73"/>
      <c r="EK1070" s="73"/>
      <c r="EL1070" s="73"/>
      <c r="EM1070" s="73"/>
      <c r="EN1070" s="73"/>
      <c r="EO1070" s="73"/>
      <c r="EP1070" s="69"/>
      <c r="EQ1070" s="69"/>
      <c r="ER1070" s="69"/>
    </row>
    <row r="1071">
      <c r="A1071" s="73"/>
      <c r="B1071" s="73"/>
      <c r="C1071" s="73"/>
      <c r="D1071" s="73"/>
      <c r="E1071" s="73"/>
      <c r="F1071" s="73"/>
      <c r="G1071" s="73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  <c r="AH1071" s="73"/>
      <c r="AI1071" s="73"/>
      <c r="AJ1071" s="73"/>
      <c r="AK1071" s="73"/>
      <c r="AL1071" s="73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  <c r="CI1071" s="73"/>
      <c r="CJ1071" s="73"/>
      <c r="CK1071" s="73"/>
      <c r="CL1071" s="73"/>
      <c r="CM1071" s="72"/>
      <c r="CN1071" s="73"/>
      <c r="CO1071" s="73"/>
      <c r="CP1071" s="73"/>
      <c r="CQ1071" s="73"/>
      <c r="CR1071" s="73"/>
      <c r="CS1071" s="73"/>
      <c r="CT1071" s="73"/>
      <c r="CU1071" s="73"/>
      <c r="CV1071" s="73"/>
      <c r="CW1071" s="73"/>
      <c r="CX1071" s="73"/>
      <c r="CY1071" s="73"/>
      <c r="CZ1071" s="73"/>
      <c r="DA1071" s="73"/>
      <c r="DB1071" s="73"/>
      <c r="DC1071" s="73"/>
      <c r="DD1071" s="73"/>
      <c r="DE1071" s="73"/>
      <c r="DF1071" s="73"/>
      <c r="DG1071" s="73"/>
      <c r="DH1071" s="73"/>
      <c r="DI1071" s="73"/>
      <c r="DJ1071" s="73"/>
      <c r="DK1071" s="73"/>
      <c r="DL1071" s="73"/>
      <c r="DM1071" s="73"/>
      <c r="DN1071" s="73"/>
      <c r="DO1071" s="73"/>
      <c r="DP1071" s="73"/>
      <c r="DQ1071" s="73"/>
      <c r="DR1071" s="73"/>
      <c r="DS1071" s="73"/>
      <c r="DT1071" s="73"/>
      <c r="DU1071" s="73"/>
      <c r="DV1071" s="73"/>
      <c r="DW1071" s="73"/>
      <c r="DX1071" s="72"/>
      <c r="DY1071" s="72"/>
      <c r="DZ1071" s="73"/>
      <c r="EA1071" s="73"/>
      <c r="EB1071" s="73"/>
      <c r="EC1071" s="73"/>
      <c r="ED1071" s="73"/>
      <c r="EE1071" s="73"/>
      <c r="EF1071" s="73"/>
      <c r="EG1071" s="73"/>
      <c r="EH1071" s="73"/>
      <c r="EI1071" s="73"/>
      <c r="EJ1071" s="73"/>
      <c r="EK1071" s="73"/>
      <c r="EL1071" s="73"/>
      <c r="EM1071" s="73"/>
      <c r="EN1071" s="73"/>
      <c r="EO1071" s="73"/>
      <c r="EP1071" s="69"/>
      <c r="EQ1071" s="69"/>
      <c r="ER1071" s="69"/>
    </row>
    <row r="1072">
      <c r="A1072" s="73"/>
      <c r="B1072" s="73"/>
      <c r="C1072" s="73"/>
      <c r="D1072" s="73"/>
      <c r="E1072" s="73"/>
      <c r="F1072" s="73"/>
      <c r="G1072" s="73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  <c r="AH1072" s="73"/>
      <c r="AI1072" s="73"/>
      <c r="AJ1072" s="73"/>
      <c r="AK1072" s="73"/>
      <c r="AL1072" s="73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  <c r="CI1072" s="73"/>
      <c r="CJ1072" s="73"/>
      <c r="CK1072" s="73"/>
      <c r="CL1072" s="73"/>
      <c r="CM1072" s="73"/>
      <c r="CN1072" s="73"/>
      <c r="CO1072" s="73"/>
      <c r="CP1072" s="73"/>
      <c r="CQ1072" s="73"/>
      <c r="CR1072" s="73"/>
      <c r="CS1072" s="73"/>
      <c r="CT1072" s="73"/>
      <c r="CU1072" s="73"/>
      <c r="CV1072" s="73"/>
      <c r="CW1072" s="73"/>
      <c r="CX1072" s="73"/>
      <c r="CY1072" s="73"/>
      <c r="CZ1072" s="73"/>
      <c r="DA1072" s="73"/>
      <c r="DB1072" s="73"/>
      <c r="DC1072" s="73"/>
      <c r="DD1072" s="73"/>
      <c r="DE1072" s="73"/>
      <c r="DF1072" s="73"/>
      <c r="DG1072" s="73"/>
      <c r="DH1072" s="73"/>
      <c r="DI1072" s="73"/>
      <c r="DJ1072" s="73"/>
      <c r="DK1072" s="73"/>
      <c r="DL1072" s="73"/>
      <c r="DM1072" s="73"/>
      <c r="DN1072" s="73"/>
      <c r="DO1072" s="73"/>
      <c r="DP1072" s="73"/>
      <c r="DQ1072" s="73"/>
      <c r="DR1072" s="73"/>
      <c r="DS1072" s="73"/>
      <c r="DT1072" s="73"/>
      <c r="DU1072" s="73"/>
      <c r="DV1072" s="73"/>
      <c r="DW1072" s="73"/>
      <c r="DX1072" s="72"/>
      <c r="DY1072" s="72"/>
      <c r="DZ1072" s="73"/>
      <c r="EA1072" s="73"/>
      <c r="EB1072" s="73"/>
      <c r="EC1072" s="73"/>
      <c r="ED1072" s="73"/>
      <c r="EE1072" s="73"/>
      <c r="EF1072" s="73"/>
      <c r="EG1072" s="73"/>
      <c r="EH1072" s="73"/>
      <c r="EI1072" s="73"/>
      <c r="EJ1072" s="73"/>
      <c r="EK1072" s="73"/>
      <c r="EL1072" s="73"/>
      <c r="EM1072" s="73"/>
      <c r="EN1072" s="73"/>
      <c r="EO1072" s="73"/>
      <c r="EP1072" s="69"/>
      <c r="EQ1072" s="69"/>
      <c r="ER1072" s="69"/>
    </row>
    <row r="1073">
      <c r="A1073" s="73"/>
      <c r="B1073" s="73"/>
      <c r="C1073" s="73"/>
      <c r="D1073" s="73"/>
      <c r="E1073" s="73"/>
      <c r="F1073" s="73"/>
      <c r="G1073" s="73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  <c r="AH1073" s="73"/>
      <c r="AI1073" s="73"/>
      <c r="AJ1073" s="73"/>
      <c r="AK1073" s="73"/>
      <c r="AL1073" s="73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  <c r="CI1073" s="73"/>
      <c r="CJ1073" s="73"/>
      <c r="CK1073" s="73"/>
      <c r="CL1073" s="73"/>
      <c r="CM1073" s="73"/>
      <c r="CN1073" s="73"/>
      <c r="CO1073" s="73"/>
      <c r="CP1073" s="73"/>
      <c r="CQ1073" s="73"/>
      <c r="CR1073" s="73"/>
      <c r="CS1073" s="73"/>
      <c r="CT1073" s="73"/>
      <c r="CU1073" s="73"/>
      <c r="CV1073" s="73"/>
      <c r="CW1073" s="73"/>
      <c r="CX1073" s="73"/>
      <c r="CY1073" s="73"/>
      <c r="CZ1073" s="73"/>
      <c r="DA1073" s="73"/>
      <c r="DB1073" s="73"/>
      <c r="DC1073" s="73"/>
      <c r="DD1073" s="73"/>
      <c r="DE1073" s="73"/>
      <c r="DF1073" s="73"/>
      <c r="DG1073" s="73"/>
      <c r="DH1073" s="73"/>
      <c r="DI1073" s="73"/>
      <c r="DJ1073" s="73"/>
      <c r="DK1073" s="73"/>
      <c r="DL1073" s="73"/>
      <c r="DM1073" s="73"/>
      <c r="DN1073" s="73"/>
      <c r="DO1073" s="73"/>
      <c r="DP1073" s="73"/>
      <c r="DQ1073" s="73"/>
      <c r="DR1073" s="73"/>
      <c r="DS1073" s="73"/>
      <c r="DT1073" s="73"/>
      <c r="DU1073" s="73"/>
      <c r="DV1073" s="73"/>
      <c r="DW1073" s="73"/>
      <c r="DX1073" s="72"/>
      <c r="DY1073" s="72"/>
      <c r="DZ1073" s="73"/>
      <c r="EA1073" s="73"/>
      <c r="EB1073" s="73"/>
      <c r="EC1073" s="73"/>
      <c r="ED1073" s="73"/>
      <c r="EE1073" s="73"/>
      <c r="EF1073" s="73"/>
      <c r="EG1073" s="73"/>
      <c r="EH1073" s="73"/>
      <c r="EI1073" s="73"/>
      <c r="EJ1073" s="73"/>
      <c r="EK1073" s="73"/>
      <c r="EL1073" s="73"/>
      <c r="EM1073" s="73"/>
      <c r="EN1073" s="73"/>
      <c r="EO1073" s="73"/>
      <c r="EP1073" s="69"/>
      <c r="EQ1073" s="69"/>
      <c r="ER1073" s="69"/>
    </row>
    <row r="1074">
      <c r="A1074" s="73"/>
      <c r="B1074" s="73"/>
      <c r="C1074" s="73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  <c r="AH1074" s="73"/>
      <c r="AI1074" s="73"/>
      <c r="AJ1074" s="73"/>
      <c r="AK1074" s="73"/>
      <c r="AL1074" s="73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  <c r="CI1074" s="73"/>
      <c r="CJ1074" s="73"/>
      <c r="CK1074" s="73"/>
      <c r="CL1074" s="73"/>
      <c r="CM1074" s="72"/>
      <c r="CN1074" s="73"/>
      <c r="CO1074" s="73"/>
      <c r="CP1074" s="73"/>
      <c r="CQ1074" s="73"/>
      <c r="CR1074" s="73"/>
      <c r="CS1074" s="73"/>
      <c r="CT1074" s="73"/>
      <c r="CU1074" s="73"/>
      <c r="CV1074" s="73"/>
      <c r="CW1074" s="73"/>
      <c r="CX1074" s="73"/>
      <c r="CY1074" s="73"/>
      <c r="CZ1074" s="73"/>
      <c r="DA1074" s="73"/>
      <c r="DB1074" s="73"/>
      <c r="DC1074" s="73"/>
      <c r="DD1074" s="73"/>
      <c r="DE1074" s="73"/>
      <c r="DF1074" s="73"/>
      <c r="DG1074" s="73"/>
      <c r="DH1074" s="73"/>
      <c r="DI1074" s="73"/>
      <c r="DJ1074" s="73"/>
      <c r="DK1074" s="73"/>
      <c r="DL1074" s="73"/>
      <c r="DM1074" s="73"/>
      <c r="DN1074" s="73"/>
      <c r="DO1074" s="73"/>
      <c r="DP1074" s="73"/>
      <c r="DQ1074" s="73"/>
      <c r="DR1074" s="73"/>
      <c r="DS1074" s="73"/>
      <c r="DT1074" s="73"/>
      <c r="DU1074" s="73"/>
      <c r="DV1074" s="73"/>
      <c r="DW1074" s="73"/>
      <c r="DX1074" s="72"/>
      <c r="DY1074" s="72"/>
      <c r="DZ1074" s="73"/>
      <c r="EA1074" s="73"/>
      <c r="EB1074" s="73"/>
      <c r="EC1074" s="73"/>
      <c r="ED1074" s="73"/>
      <c r="EE1074" s="73"/>
      <c r="EF1074" s="73"/>
      <c r="EG1074" s="73"/>
      <c r="EH1074" s="73"/>
      <c r="EI1074" s="73"/>
      <c r="EJ1074" s="73"/>
      <c r="EK1074" s="73"/>
      <c r="EL1074" s="73"/>
      <c r="EM1074" s="73"/>
      <c r="EN1074" s="73"/>
      <c r="EO1074" s="73"/>
      <c r="EP1074" s="69"/>
      <c r="EQ1074" s="69"/>
      <c r="ER1074" s="69"/>
    </row>
    <row r="1075">
      <c r="A1075" s="73"/>
      <c r="B1075" s="73"/>
      <c r="C1075" s="73"/>
      <c r="D1075" s="73"/>
      <c r="E1075" s="73"/>
      <c r="F1075" s="73"/>
      <c r="G1075" s="73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  <c r="AH1075" s="73"/>
      <c r="AI1075" s="73"/>
      <c r="AJ1075" s="73"/>
      <c r="AK1075" s="73"/>
      <c r="AL1075" s="73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  <c r="CI1075" s="73"/>
      <c r="CJ1075" s="73"/>
      <c r="CK1075" s="73"/>
      <c r="CL1075" s="73"/>
      <c r="CM1075" s="73"/>
      <c r="CN1075" s="73"/>
      <c r="CO1075" s="73"/>
      <c r="CP1075" s="73"/>
      <c r="CQ1075" s="73"/>
      <c r="CR1075" s="73"/>
      <c r="CS1075" s="73"/>
      <c r="CT1075" s="73"/>
      <c r="CU1075" s="73"/>
      <c r="CV1075" s="73"/>
      <c r="CW1075" s="73"/>
      <c r="CX1075" s="73"/>
      <c r="CY1075" s="73"/>
      <c r="CZ1075" s="73"/>
      <c r="DA1075" s="73"/>
      <c r="DB1075" s="73"/>
      <c r="DC1075" s="73"/>
      <c r="DD1075" s="73"/>
      <c r="DE1075" s="73"/>
      <c r="DF1075" s="73"/>
      <c r="DG1075" s="73"/>
      <c r="DH1075" s="73"/>
      <c r="DI1075" s="73"/>
      <c r="DJ1075" s="73"/>
      <c r="DK1075" s="73"/>
      <c r="DL1075" s="73"/>
      <c r="DM1075" s="73"/>
      <c r="DN1075" s="73"/>
      <c r="DO1075" s="73"/>
      <c r="DP1075" s="73"/>
      <c r="DQ1075" s="73"/>
      <c r="DR1075" s="73"/>
      <c r="DS1075" s="73"/>
      <c r="DT1075" s="73"/>
      <c r="DU1075" s="73"/>
      <c r="DV1075" s="73"/>
      <c r="DW1075" s="73"/>
      <c r="DX1075" s="72"/>
      <c r="DY1075" s="72"/>
      <c r="DZ1075" s="73"/>
      <c r="EA1075" s="73"/>
      <c r="EB1075" s="73"/>
      <c r="EC1075" s="73"/>
      <c r="ED1075" s="73"/>
      <c r="EE1075" s="73"/>
      <c r="EF1075" s="73"/>
      <c r="EG1075" s="73"/>
      <c r="EH1075" s="73"/>
      <c r="EI1075" s="73"/>
      <c r="EJ1075" s="73"/>
      <c r="EK1075" s="73"/>
      <c r="EL1075" s="73"/>
      <c r="EM1075" s="73"/>
      <c r="EN1075" s="73"/>
      <c r="EO1075" s="73"/>
      <c r="EP1075" s="69"/>
      <c r="EQ1075" s="69"/>
      <c r="ER1075" s="69"/>
    </row>
    <row r="1076">
      <c r="A1076" s="73"/>
      <c r="B1076" s="73"/>
      <c r="C1076" s="73"/>
      <c r="D1076" s="73"/>
      <c r="E1076" s="73"/>
      <c r="F1076" s="73"/>
      <c r="G1076" s="73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  <c r="AH1076" s="73"/>
      <c r="AI1076" s="73"/>
      <c r="AJ1076" s="73"/>
      <c r="AK1076" s="73"/>
      <c r="AL1076" s="73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  <c r="CI1076" s="73"/>
      <c r="CJ1076" s="73"/>
      <c r="CK1076" s="73"/>
      <c r="CL1076" s="73"/>
      <c r="CM1076" s="73"/>
      <c r="CN1076" s="73"/>
      <c r="CO1076" s="73"/>
      <c r="CP1076" s="73"/>
      <c r="CQ1076" s="73"/>
      <c r="CR1076" s="73"/>
      <c r="CS1076" s="73"/>
      <c r="CT1076" s="73"/>
      <c r="CU1076" s="73"/>
      <c r="CV1076" s="73"/>
      <c r="CW1076" s="73"/>
      <c r="CX1076" s="73"/>
      <c r="CY1076" s="73"/>
      <c r="CZ1076" s="73"/>
      <c r="DA1076" s="73"/>
      <c r="DB1076" s="73"/>
      <c r="DC1076" s="73"/>
      <c r="DD1076" s="73"/>
      <c r="DE1076" s="73"/>
      <c r="DF1076" s="73"/>
      <c r="DG1076" s="73"/>
      <c r="DH1076" s="73"/>
      <c r="DI1076" s="73"/>
      <c r="DJ1076" s="73"/>
      <c r="DK1076" s="73"/>
      <c r="DL1076" s="73"/>
      <c r="DM1076" s="73"/>
      <c r="DN1076" s="73"/>
      <c r="DO1076" s="73"/>
      <c r="DP1076" s="73"/>
      <c r="DQ1076" s="73"/>
      <c r="DR1076" s="73"/>
      <c r="DS1076" s="73"/>
      <c r="DT1076" s="73"/>
      <c r="DU1076" s="73"/>
      <c r="DV1076" s="73"/>
      <c r="DW1076" s="73"/>
      <c r="DX1076" s="72"/>
      <c r="DY1076" s="72"/>
      <c r="DZ1076" s="73"/>
      <c r="EA1076" s="73"/>
      <c r="EB1076" s="73"/>
      <c r="EC1076" s="73"/>
      <c r="ED1076" s="73"/>
      <c r="EE1076" s="73"/>
      <c r="EF1076" s="73"/>
      <c r="EG1076" s="73"/>
      <c r="EH1076" s="73"/>
      <c r="EI1076" s="73"/>
      <c r="EJ1076" s="73"/>
      <c r="EK1076" s="73"/>
      <c r="EL1076" s="73"/>
      <c r="EM1076" s="73"/>
      <c r="EN1076" s="73"/>
      <c r="EO1076" s="73"/>
      <c r="EP1076" s="69"/>
      <c r="EQ1076" s="69"/>
      <c r="ER1076" s="69"/>
    </row>
    <row r="1077">
      <c r="A1077" s="73"/>
      <c r="B1077" s="73"/>
      <c r="C1077" s="73"/>
      <c r="D1077" s="73"/>
      <c r="E1077" s="73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73"/>
      <c r="AK1077" s="73"/>
      <c r="AL1077" s="73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  <c r="CI1077" s="73"/>
      <c r="CJ1077" s="73"/>
      <c r="CK1077" s="73"/>
      <c r="CL1077" s="73"/>
      <c r="CM1077" s="72"/>
      <c r="CN1077" s="73"/>
      <c r="CO1077" s="73"/>
      <c r="CP1077" s="73"/>
      <c r="CQ1077" s="73"/>
      <c r="CR1077" s="73"/>
      <c r="CS1077" s="73"/>
      <c r="CT1077" s="73"/>
      <c r="CU1077" s="73"/>
      <c r="CV1077" s="73"/>
      <c r="CW1077" s="73"/>
      <c r="CX1077" s="73"/>
      <c r="CY1077" s="73"/>
      <c r="CZ1077" s="73"/>
      <c r="DA1077" s="73"/>
      <c r="DB1077" s="73"/>
      <c r="DC1077" s="73"/>
      <c r="DD1077" s="73"/>
      <c r="DE1077" s="73"/>
      <c r="DF1077" s="73"/>
      <c r="DG1077" s="73"/>
      <c r="DH1077" s="73"/>
      <c r="DI1077" s="73"/>
      <c r="DJ1077" s="73"/>
      <c r="DK1077" s="73"/>
      <c r="DL1077" s="73"/>
      <c r="DM1077" s="73"/>
      <c r="DN1077" s="73"/>
      <c r="DO1077" s="73"/>
      <c r="DP1077" s="73"/>
      <c r="DQ1077" s="73"/>
      <c r="DR1077" s="73"/>
      <c r="DS1077" s="73"/>
      <c r="DT1077" s="73"/>
      <c r="DU1077" s="73"/>
      <c r="DV1077" s="73"/>
      <c r="DW1077" s="73"/>
      <c r="DX1077" s="72"/>
      <c r="DY1077" s="72"/>
      <c r="DZ1077" s="73"/>
      <c r="EA1077" s="73"/>
      <c r="EB1077" s="73"/>
      <c r="EC1077" s="73"/>
      <c r="ED1077" s="73"/>
      <c r="EE1077" s="73"/>
      <c r="EF1077" s="73"/>
      <c r="EG1077" s="73"/>
      <c r="EH1077" s="73"/>
      <c r="EI1077" s="73"/>
      <c r="EJ1077" s="73"/>
      <c r="EK1077" s="73"/>
      <c r="EL1077" s="73"/>
      <c r="EM1077" s="73"/>
      <c r="EN1077" s="73"/>
      <c r="EO1077" s="73"/>
      <c r="EP1077" s="69"/>
      <c r="EQ1077" s="69"/>
      <c r="ER1077" s="69"/>
    </row>
    <row r="1078">
      <c r="A1078" s="73"/>
      <c r="B1078" s="73"/>
      <c r="C1078" s="73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  <c r="AH1078" s="73"/>
      <c r="AI1078" s="73"/>
      <c r="AJ1078" s="73"/>
      <c r="AK1078" s="73"/>
      <c r="AL1078" s="73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  <c r="CI1078" s="73"/>
      <c r="CJ1078" s="73"/>
      <c r="CK1078" s="73"/>
      <c r="CL1078" s="73"/>
      <c r="CM1078" s="73"/>
      <c r="CN1078" s="73"/>
      <c r="CO1078" s="73"/>
      <c r="CP1078" s="73"/>
      <c r="CQ1078" s="73"/>
      <c r="CR1078" s="73"/>
      <c r="CS1078" s="73"/>
      <c r="CT1078" s="73"/>
      <c r="CU1078" s="73"/>
      <c r="CV1078" s="73"/>
      <c r="CW1078" s="73"/>
      <c r="CX1078" s="73"/>
      <c r="CY1078" s="73"/>
      <c r="CZ1078" s="73"/>
      <c r="DA1078" s="73"/>
      <c r="DB1078" s="73"/>
      <c r="DC1078" s="73"/>
      <c r="DD1078" s="73"/>
      <c r="DE1078" s="73"/>
      <c r="DF1078" s="73"/>
      <c r="DG1078" s="73"/>
      <c r="DH1078" s="73"/>
      <c r="DI1078" s="73"/>
      <c r="DJ1078" s="73"/>
      <c r="DK1078" s="73"/>
      <c r="DL1078" s="73"/>
      <c r="DM1078" s="73"/>
      <c r="DN1078" s="73"/>
      <c r="DO1078" s="73"/>
      <c r="DP1078" s="73"/>
      <c r="DQ1078" s="73"/>
      <c r="DR1078" s="73"/>
      <c r="DS1078" s="73"/>
      <c r="DT1078" s="73"/>
      <c r="DU1078" s="73"/>
      <c r="DV1078" s="73"/>
      <c r="DW1078" s="73"/>
      <c r="DX1078" s="72"/>
      <c r="DY1078" s="72"/>
      <c r="DZ1078" s="73"/>
      <c r="EA1078" s="73"/>
      <c r="EB1078" s="73"/>
      <c r="EC1078" s="73"/>
      <c r="ED1078" s="73"/>
      <c r="EE1078" s="73"/>
      <c r="EF1078" s="73"/>
      <c r="EG1078" s="73"/>
      <c r="EH1078" s="73"/>
      <c r="EI1078" s="73"/>
      <c r="EJ1078" s="73"/>
      <c r="EK1078" s="73"/>
      <c r="EL1078" s="73"/>
      <c r="EM1078" s="73"/>
      <c r="EN1078" s="73"/>
      <c r="EO1078" s="73"/>
      <c r="EP1078" s="69"/>
      <c r="EQ1078" s="69"/>
      <c r="ER1078" s="69"/>
    </row>
    <row r="1079">
      <c r="A1079" s="73"/>
      <c r="B1079" s="73"/>
      <c r="C1079" s="73"/>
      <c r="D1079" s="73"/>
      <c r="E1079" s="73"/>
      <c r="F1079" s="73"/>
      <c r="G1079" s="73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  <c r="AH1079" s="73"/>
      <c r="AI1079" s="73"/>
      <c r="AJ1079" s="73"/>
      <c r="AK1079" s="73"/>
      <c r="AL1079" s="73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  <c r="CI1079" s="73"/>
      <c r="CJ1079" s="73"/>
      <c r="CK1079" s="73"/>
      <c r="CL1079" s="73"/>
      <c r="CM1079" s="73"/>
      <c r="CN1079" s="73"/>
      <c r="CO1079" s="73"/>
      <c r="CP1079" s="73"/>
      <c r="CQ1079" s="73"/>
      <c r="CR1079" s="73"/>
      <c r="CS1079" s="73"/>
      <c r="CT1079" s="73"/>
      <c r="CU1079" s="73"/>
      <c r="CV1079" s="73"/>
      <c r="CW1079" s="73"/>
      <c r="CX1079" s="73"/>
      <c r="CY1079" s="73"/>
      <c r="CZ1079" s="73"/>
      <c r="DA1079" s="73"/>
      <c r="DB1079" s="73"/>
      <c r="DC1079" s="73"/>
      <c r="DD1079" s="73"/>
      <c r="DE1079" s="73"/>
      <c r="DF1079" s="73"/>
      <c r="DG1079" s="73"/>
      <c r="DH1079" s="73"/>
      <c r="DI1079" s="73"/>
      <c r="DJ1079" s="73"/>
      <c r="DK1079" s="73"/>
      <c r="DL1079" s="73"/>
      <c r="DM1079" s="73"/>
      <c r="DN1079" s="73"/>
      <c r="DO1079" s="73"/>
      <c r="DP1079" s="73"/>
      <c r="DQ1079" s="73"/>
      <c r="DR1079" s="73"/>
      <c r="DS1079" s="73"/>
      <c r="DT1079" s="73"/>
      <c r="DU1079" s="73"/>
      <c r="DV1079" s="73"/>
      <c r="DW1079" s="73"/>
      <c r="DX1079" s="72"/>
      <c r="DY1079" s="72"/>
      <c r="DZ1079" s="73"/>
      <c r="EA1079" s="73"/>
      <c r="EB1079" s="73"/>
      <c r="EC1079" s="73"/>
      <c r="ED1079" s="73"/>
      <c r="EE1079" s="73"/>
      <c r="EF1079" s="73"/>
      <c r="EG1079" s="73"/>
      <c r="EH1079" s="73"/>
      <c r="EI1079" s="73"/>
      <c r="EJ1079" s="73"/>
      <c r="EK1079" s="73"/>
      <c r="EL1079" s="73"/>
      <c r="EM1079" s="73"/>
      <c r="EN1079" s="73"/>
      <c r="EO1079" s="73"/>
      <c r="EP1079" s="69"/>
      <c r="EQ1079" s="69"/>
      <c r="ER1079" s="69"/>
    </row>
    <row r="1080">
      <c r="A1080" s="73"/>
      <c r="B1080" s="73"/>
      <c r="C1080" s="73"/>
      <c r="D1080" s="73"/>
      <c r="E1080" s="73"/>
      <c r="F1080" s="73"/>
      <c r="G1080" s="73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  <c r="AH1080" s="73"/>
      <c r="AI1080" s="73"/>
      <c r="AJ1080" s="73"/>
      <c r="AK1080" s="73"/>
      <c r="AL1080" s="73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  <c r="CI1080" s="73"/>
      <c r="CJ1080" s="73"/>
      <c r="CK1080" s="73"/>
      <c r="CL1080" s="73"/>
      <c r="CM1080" s="73"/>
      <c r="CN1080" s="73"/>
      <c r="CO1080" s="73"/>
      <c r="CP1080" s="73"/>
      <c r="CQ1080" s="73"/>
      <c r="CR1080" s="73"/>
      <c r="CS1080" s="73"/>
      <c r="CT1080" s="73"/>
      <c r="CU1080" s="73"/>
      <c r="CV1080" s="73"/>
      <c r="CW1080" s="73"/>
      <c r="CX1080" s="73"/>
      <c r="CY1080" s="73"/>
      <c r="CZ1080" s="73"/>
      <c r="DA1080" s="73"/>
      <c r="DB1080" s="73"/>
      <c r="DC1080" s="73"/>
      <c r="DD1080" s="73"/>
      <c r="DE1080" s="73"/>
      <c r="DF1080" s="73"/>
      <c r="DG1080" s="73"/>
      <c r="DH1080" s="73"/>
      <c r="DI1080" s="73"/>
      <c r="DJ1080" s="73"/>
      <c r="DK1080" s="73"/>
      <c r="DL1080" s="73"/>
      <c r="DM1080" s="73"/>
      <c r="DN1080" s="73"/>
      <c r="DO1080" s="73"/>
      <c r="DP1080" s="73"/>
      <c r="DQ1080" s="73"/>
      <c r="DR1080" s="73"/>
      <c r="DS1080" s="73"/>
      <c r="DT1080" s="73"/>
      <c r="DU1080" s="73"/>
      <c r="DV1080" s="73"/>
      <c r="DW1080" s="73"/>
      <c r="DX1080" s="73"/>
      <c r="DY1080" s="73"/>
      <c r="DZ1080" s="73"/>
      <c r="EA1080" s="73"/>
      <c r="EB1080" s="73"/>
      <c r="EC1080" s="73"/>
      <c r="ED1080" s="73"/>
      <c r="EE1080" s="73"/>
      <c r="EF1080" s="73"/>
      <c r="EG1080" s="73"/>
      <c r="EH1080" s="73"/>
      <c r="EI1080" s="73"/>
      <c r="EJ1080" s="73"/>
      <c r="EK1080" s="73"/>
      <c r="EL1080" s="73"/>
      <c r="EM1080" s="73"/>
      <c r="EN1080" s="73"/>
      <c r="EO1080" s="73"/>
      <c r="EP1080" s="69"/>
      <c r="EQ1080" s="69"/>
      <c r="ER1080" s="69"/>
    </row>
    <row r="1081">
      <c r="A1081" s="73"/>
      <c r="B1081" s="73"/>
      <c r="C1081" s="73"/>
      <c r="D1081" s="73"/>
      <c r="E1081" s="73"/>
      <c r="F1081" s="73"/>
      <c r="G1081" s="73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  <c r="AH1081" s="73"/>
      <c r="AI1081" s="73"/>
      <c r="AJ1081" s="73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  <c r="CI1081" s="73"/>
      <c r="CJ1081" s="73"/>
      <c r="CK1081" s="73"/>
      <c r="CL1081" s="73"/>
      <c r="CM1081" s="73"/>
      <c r="CN1081" s="73"/>
      <c r="CO1081" s="73"/>
      <c r="CP1081" s="73"/>
      <c r="CQ1081" s="73"/>
      <c r="CR1081" s="73"/>
      <c r="CS1081" s="73"/>
      <c r="CT1081" s="73"/>
      <c r="CU1081" s="73"/>
      <c r="CV1081" s="73"/>
      <c r="CW1081" s="73"/>
      <c r="CX1081" s="73"/>
      <c r="CY1081" s="73"/>
      <c r="CZ1081" s="73"/>
      <c r="DA1081" s="73"/>
      <c r="DB1081" s="73"/>
      <c r="DC1081" s="73"/>
      <c r="DD1081" s="73"/>
      <c r="DE1081" s="73"/>
      <c r="DF1081" s="73"/>
      <c r="DG1081" s="73"/>
      <c r="DH1081" s="73"/>
      <c r="DI1081" s="73"/>
      <c r="DJ1081" s="73"/>
      <c r="DK1081" s="73"/>
      <c r="DL1081" s="73"/>
      <c r="DM1081" s="73"/>
      <c r="DN1081" s="73"/>
      <c r="DO1081" s="73"/>
      <c r="DP1081" s="73"/>
      <c r="DQ1081" s="73"/>
      <c r="DR1081" s="73"/>
      <c r="DS1081" s="73"/>
      <c r="DT1081" s="73"/>
      <c r="DU1081" s="73"/>
      <c r="DV1081" s="73"/>
      <c r="DW1081" s="73"/>
      <c r="DX1081" s="72"/>
      <c r="DY1081" s="72"/>
      <c r="DZ1081" s="73"/>
      <c r="EA1081" s="73"/>
      <c r="EB1081" s="73"/>
      <c r="EC1081" s="73"/>
      <c r="ED1081" s="73"/>
      <c r="EE1081" s="73"/>
      <c r="EF1081" s="73"/>
      <c r="EG1081" s="73"/>
      <c r="EH1081" s="73"/>
      <c r="EI1081" s="73"/>
      <c r="EJ1081" s="73"/>
      <c r="EK1081" s="73"/>
      <c r="EL1081" s="73"/>
      <c r="EM1081" s="73"/>
      <c r="EN1081" s="73"/>
      <c r="EO1081" s="73"/>
      <c r="EP1081" s="69"/>
      <c r="EQ1081" s="69"/>
      <c r="ER1081" s="69"/>
    </row>
    <row r="1082">
      <c r="A1082" s="73"/>
      <c r="B1082" s="73"/>
      <c r="C1082" s="73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  <c r="AH1082" s="73"/>
      <c r="AI1082" s="73"/>
      <c r="AJ1082" s="73"/>
      <c r="AK1082" s="73"/>
      <c r="AL1082" s="73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  <c r="CI1082" s="73"/>
      <c r="CJ1082" s="73"/>
      <c r="CK1082" s="73"/>
      <c r="CL1082" s="73"/>
      <c r="CM1082" s="73"/>
      <c r="CN1082" s="73"/>
      <c r="CO1082" s="73"/>
      <c r="CP1082" s="73"/>
      <c r="CQ1082" s="73"/>
      <c r="CR1082" s="73"/>
      <c r="CS1082" s="73"/>
      <c r="CT1082" s="73"/>
      <c r="CU1082" s="73"/>
      <c r="CV1082" s="73"/>
      <c r="CW1082" s="73"/>
      <c r="CX1082" s="73"/>
      <c r="CY1082" s="73"/>
      <c r="CZ1082" s="73"/>
      <c r="DA1082" s="73"/>
      <c r="DB1082" s="73"/>
      <c r="DC1082" s="73"/>
      <c r="DD1082" s="73"/>
      <c r="DE1082" s="73"/>
      <c r="DF1082" s="73"/>
      <c r="DG1082" s="73"/>
      <c r="DH1082" s="73"/>
      <c r="DI1082" s="73"/>
      <c r="DJ1082" s="73"/>
      <c r="DK1082" s="73"/>
      <c r="DL1082" s="73"/>
      <c r="DM1082" s="73"/>
      <c r="DN1082" s="73"/>
      <c r="DO1082" s="73"/>
      <c r="DP1082" s="73"/>
      <c r="DQ1082" s="73"/>
      <c r="DR1082" s="73"/>
      <c r="DS1082" s="73"/>
      <c r="DT1082" s="73"/>
      <c r="DU1082" s="73"/>
      <c r="DV1082" s="73"/>
      <c r="DW1082" s="73"/>
      <c r="DX1082" s="72"/>
      <c r="DY1082" s="72"/>
      <c r="DZ1082" s="73"/>
      <c r="EA1082" s="73"/>
      <c r="EB1082" s="73"/>
      <c r="EC1082" s="73"/>
      <c r="ED1082" s="73"/>
      <c r="EE1082" s="73"/>
      <c r="EF1082" s="73"/>
      <c r="EG1082" s="73"/>
      <c r="EH1082" s="73"/>
      <c r="EI1082" s="73"/>
      <c r="EJ1082" s="73"/>
      <c r="EK1082" s="73"/>
      <c r="EL1082" s="73"/>
      <c r="EM1082" s="73"/>
      <c r="EN1082" s="73"/>
      <c r="EO1082" s="73"/>
      <c r="EP1082" s="69"/>
      <c r="EQ1082" s="69"/>
      <c r="ER1082" s="69"/>
    </row>
    <row r="1083">
      <c r="A1083" s="73"/>
      <c r="B1083" s="73"/>
      <c r="C1083" s="73"/>
      <c r="D1083" s="73"/>
      <c r="E1083" s="73"/>
      <c r="F1083" s="73"/>
      <c r="G1083" s="73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  <c r="AH1083" s="73"/>
      <c r="AI1083" s="73"/>
      <c r="AJ1083" s="73"/>
      <c r="AK1083" s="73"/>
      <c r="AL1083" s="73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  <c r="CI1083" s="73"/>
      <c r="CJ1083" s="73"/>
      <c r="CK1083" s="73"/>
      <c r="CL1083" s="73"/>
      <c r="CM1083" s="73"/>
      <c r="CN1083" s="73"/>
      <c r="CO1083" s="73"/>
      <c r="CP1083" s="73"/>
      <c r="CQ1083" s="73"/>
      <c r="CR1083" s="73"/>
      <c r="CS1083" s="73"/>
      <c r="CT1083" s="73"/>
      <c r="CU1083" s="73"/>
      <c r="CV1083" s="73"/>
      <c r="CW1083" s="73"/>
      <c r="CX1083" s="73"/>
      <c r="CY1083" s="73"/>
      <c r="CZ1083" s="73"/>
      <c r="DA1083" s="73"/>
      <c r="DB1083" s="73"/>
      <c r="DC1083" s="73"/>
      <c r="DD1083" s="73"/>
      <c r="DE1083" s="73"/>
      <c r="DF1083" s="73"/>
      <c r="DG1083" s="73"/>
      <c r="DH1083" s="73"/>
      <c r="DI1083" s="73"/>
      <c r="DJ1083" s="73"/>
      <c r="DK1083" s="73"/>
      <c r="DL1083" s="73"/>
      <c r="DM1083" s="73"/>
      <c r="DN1083" s="73"/>
      <c r="DO1083" s="73"/>
      <c r="DP1083" s="73"/>
      <c r="DQ1083" s="73"/>
      <c r="DR1083" s="73"/>
      <c r="DS1083" s="73"/>
      <c r="DT1083" s="73"/>
      <c r="DU1083" s="73"/>
      <c r="DV1083" s="73"/>
      <c r="DW1083" s="73"/>
      <c r="DX1083" s="72"/>
      <c r="DY1083" s="72"/>
      <c r="DZ1083" s="73"/>
      <c r="EA1083" s="73"/>
      <c r="EB1083" s="73"/>
      <c r="EC1083" s="73"/>
      <c r="ED1083" s="73"/>
      <c r="EE1083" s="73"/>
      <c r="EF1083" s="73"/>
      <c r="EG1083" s="73"/>
      <c r="EH1083" s="73"/>
      <c r="EI1083" s="73"/>
      <c r="EJ1083" s="73"/>
      <c r="EK1083" s="73"/>
      <c r="EL1083" s="73"/>
      <c r="EM1083" s="73"/>
      <c r="EN1083" s="73"/>
      <c r="EO1083" s="73"/>
      <c r="EP1083" s="69"/>
      <c r="EQ1083" s="69"/>
      <c r="ER1083" s="69"/>
    </row>
    <row r="1084">
      <c r="A1084" s="73"/>
      <c r="B1084" s="73"/>
      <c r="C1084" s="73"/>
      <c r="D1084" s="73"/>
      <c r="E1084" s="73"/>
      <c r="F1084" s="73"/>
      <c r="G1084" s="73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  <c r="AH1084" s="73"/>
      <c r="AI1084" s="73"/>
      <c r="AJ1084" s="73"/>
      <c r="AK1084" s="73"/>
      <c r="AL1084" s="73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  <c r="CI1084" s="73"/>
      <c r="CJ1084" s="73"/>
      <c r="CK1084" s="73"/>
      <c r="CL1084" s="73"/>
      <c r="CM1084" s="73"/>
      <c r="CN1084" s="73"/>
      <c r="CO1084" s="73"/>
      <c r="CP1084" s="73"/>
      <c r="CQ1084" s="73"/>
      <c r="CR1084" s="73"/>
      <c r="CS1084" s="73"/>
      <c r="CT1084" s="73"/>
      <c r="CU1084" s="73"/>
      <c r="CV1084" s="73"/>
      <c r="CW1084" s="73"/>
      <c r="CX1084" s="73"/>
      <c r="CY1084" s="73"/>
      <c r="CZ1084" s="73"/>
      <c r="DA1084" s="73"/>
      <c r="DB1084" s="73"/>
      <c r="DC1084" s="73"/>
      <c r="DD1084" s="73"/>
      <c r="DE1084" s="73"/>
      <c r="DF1084" s="73"/>
      <c r="DG1084" s="73"/>
      <c r="DH1084" s="73"/>
      <c r="DI1084" s="73"/>
      <c r="DJ1084" s="73"/>
      <c r="DK1084" s="73"/>
      <c r="DL1084" s="73"/>
      <c r="DM1084" s="73"/>
      <c r="DN1084" s="73"/>
      <c r="DO1084" s="73"/>
      <c r="DP1084" s="73"/>
      <c r="DQ1084" s="73"/>
      <c r="DR1084" s="73"/>
      <c r="DS1084" s="73"/>
      <c r="DT1084" s="73"/>
      <c r="DU1084" s="73"/>
      <c r="DV1084" s="73"/>
      <c r="DW1084" s="73"/>
      <c r="DX1084" s="72"/>
      <c r="DY1084" s="72"/>
      <c r="DZ1084" s="73"/>
      <c r="EA1084" s="73"/>
      <c r="EB1084" s="73"/>
      <c r="EC1084" s="73"/>
      <c r="ED1084" s="73"/>
      <c r="EE1084" s="73"/>
      <c r="EF1084" s="73"/>
      <c r="EG1084" s="73"/>
      <c r="EH1084" s="73"/>
      <c r="EI1084" s="73"/>
      <c r="EJ1084" s="73"/>
      <c r="EK1084" s="73"/>
      <c r="EL1084" s="73"/>
      <c r="EM1084" s="73"/>
      <c r="EN1084" s="73"/>
      <c r="EO1084" s="73"/>
      <c r="EP1084" s="69"/>
      <c r="EQ1084" s="69"/>
      <c r="ER1084" s="69"/>
    </row>
    <row r="1085">
      <c r="A1085" s="73"/>
      <c r="B1085" s="73"/>
      <c r="C1085" s="73"/>
      <c r="D1085" s="73"/>
      <c r="E1085" s="73"/>
      <c r="F1085" s="73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  <c r="AH1085" s="73"/>
      <c r="AI1085" s="73"/>
      <c r="AJ1085" s="73"/>
      <c r="AK1085" s="73"/>
      <c r="AL1085" s="73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  <c r="CI1085" s="73"/>
      <c r="CJ1085" s="73"/>
      <c r="CK1085" s="73"/>
      <c r="CL1085" s="73"/>
      <c r="CM1085" s="72"/>
      <c r="CN1085" s="73"/>
      <c r="CO1085" s="73"/>
      <c r="CP1085" s="73"/>
      <c r="CQ1085" s="73"/>
      <c r="CR1085" s="73"/>
      <c r="CS1085" s="73"/>
      <c r="CT1085" s="73"/>
      <c r="CU1085" s="73"/>
      <c r="CV1085" s="73"/>
      <c r="CW1085" s="73"/>
      <c r="CX1085" s="73"/>
      <c r="CY1085" s="73"/>
      <c r="CZ1085" s="73"/>
      <c r="DA1085" s="73"/>
      <c r="DB1085" s="73"/>
      <c r="DC1085" s="73"/>
      <c r="DD1085" s="73"/>
      <c r="DE1085" s="73"/>
      <c r="DF1085" s="73"/>
      <c r="DG1085" s="73"/>
      <c r="DH1085" s="73"/>
      <c r="DI1085" s="73"/>
      <c r="DJ1085" s="73"/>
      <c r="DK1085" s="73"/>
      <c r="DL1085" s="73"/>
      <c r="DM1085" s="73"/>
      <c r="DN1085" s="73"/>
      <c r="DO1085" s="73"/>
      <c r="DP1085" s="73"/>
      <c r="DQ1085" s="73"/>
      <c r="DR1085" s="73"/>
      <c r="DS1085" s="73"/>
      <c r="DT1085" s="73"/>
      <c r="DU1085" s="73"/>
      <c r="DV1085" s="73"/>
      <c r="DW1085" s="73"/>
      <c r="DX1085" s="72"/>
      <c r="DY1085" s="72"/>
      <c r="DZ1085" s="73"/>
      <c r="EA1085" s="73"/>
      <c r="EB1085" s="73"/>
      <c r="EC1085" s="73"/>
      <c r="ED1085" s="73"/>
      <c r="EE1085" s="73"/>
      <c r="EF1085" s="73"/>
      <c r="EG1085" s="73"/>
      <c r="EH1085" s="73"/>
      <c r="EI1085" s="73"/>
      <c r="EJ1085" s="73"/>
      <c r="EK1085" s="73"/>
      <c r="EL1085" s="73"/>
      <c r="EM1085" s="73"/>
      <c r="EN1085" s="73"/>
      <c r="EO1085" s="73"/>
      <c r="EP1085" s="69"/>
      <c r="EQ1085" s="69"/>
      <c r="ER1085" s="69"/>
    </row>
    <row r="1086">
      <c r="A1086" s="73"/>
      <c r="B1086" s="73"/>
      <c r="C1086" s="73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  <c r="AH1086" s="73"/>
      <c r="AI1086" s="73"/>
      <c r="AJ1086" s="73"/>
      <c r="AK1086" s="73"/>
      <c r="AL1086" s="73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  <c r="CI1086" s="73"/>
      <c r="CJ1086" s="73"/>
      <c r="CK1086" s="73"/>
      <c r="CL1086" s="73"/>
      <c r="CM1086" s="73"/>
      <c r="CN1086" s="73"/>
      <c r="CO1086" s="73"/>
      <c r="CP1086" s="73"/>
      <c r="CQ1086" s="73"/>
      <c r="CR1086" s="73"/>
      <c r="CS1086" s="73"/>
      <c r="CT1086" s="73"/>
      <c r="CU1086" s="73"/>
      <c r="CV1086" s="73"/>
      <c r="CW1086" s="73"/>
      <c r="CX1086" s="73"/>
      <c r="CY1086" s="73"/>
      <c r="CZ1086" s="73"/>
      <c r="DA1086" s="73"/>
      <c r="DB1086" s="73"/>
      <c r="DC1086" s="73"/>
      <c r="DD1086" s="73"/>
      <c r="DE1086" s="73"/>
      <c r="DF1086" s="73"/>
      <c r="DG1086" s="73"/>
      <c r="DH1086" s="73"/>
      <c r="DI1086" s="73"/>
      <c r="DJ1086" s="73"/>
      <c r="DK1086" s="73"/>
      <c r="DL1086" s="73"/>
      <c r="DM1086" s="73"/>
      <c r="DN1086" s="73"/>
      <c r="DO1086" s="73"/>
      <c r="DP1086" s="73"/>
      <c r="DQ1086" s="73"/>
      <c r="DR1086" s="73"/>
      <c r="DS1086" s="73"/>
      <c r="DT1086" s="73"/>
      <c r="DU1086" s="73"/>
      <c r="DV1086" s="73"/>
      <c r="DW1086" s="73"/>
      <c r="DX1086" s="72"/>
      <c r="DY1086" s="72"/>
      <c r="DZ1086" s="73"/>
      <c r="EA1086" s="73"/>
      <c r="EB1086" s="73"/>
      <c r="EC1086" s="73"/>
      <c r="ED1086" s="73"/>
      <c r="EE1086" s="73"/>
      <c r="EF1086" s="73"/>
      <c r="EG1086" s="73"/>
      <c r="EH1086" s="73"/>
      <c r="EI1086" s="73"/>
      <c r="EJ1086" s="73"/>
      <c r="EK1086" s="73"/>
      <c r="EL1086" s="73"/>
      <c r="EM1086" s="73"/>
      <c r="EN1086" s="73"/>
      <c r="EO1086" s="73"/>
      <c r="EP1086" s="69"/>
      <c r="EQ1086" s="69"/>
      <c r="ER1086" s="69"/>
    </row>
    <row r="1087">
      <c r="A1087" s="73"/>
      <c r="B1087" s="73"/>
      <c r="C1087" s="73"/>
      <c r="D1087" s="73"/>
      <c r="E1087" s="73"/>
      <c r="F1087" s="73"/>
      <c r="G1087" s="73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  <c r="AH1087" s="73"/>
      <c r="AI1087" s="73"/>
      <c r="AJ1087" s="73"/>
      <c r="AK1087" s="73"/>
      <c r="AL1087" s="73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  <c r="CI1087" s="73"/>
      <c r="CJ1087" s="73"/>
      <c r="CK1087" s="73"/>
      <c r="CL1087" s="73"/>
      <c r="CM1087" s="73"/>
      <c r="CN1087" s="73"/>
      <c r="CO1087" s="73"/>
      <c r="CP1087" s="73"/>
      <c r="CQ1087" s="73"/>
      <c r="CR1087" s="73"/>
      <c r="CS1087" s="73"/>
      <c r="CT1087" s="73"/>
      <c r="CU1087" s="73"/>
      <c r="CV1087" s="73"/>
      <c r="CW1087" s="73"/>
      <c r="CX1087" s="73"/>
      <c r="CY1087" s="73"/>
      <c r="CZ1087" s="73"/>
      <c r="DA1087" s="73"/>
      <c r="DB1087" s="73"/>
      <c r="DC1087" s="73"/>
      <c r="DD1087" s="73"/>
      <c r="DE1087" s="73"/>
      <c r="DF1087" s="73"/>
      <c r="DG1087" s="73"/>
      <c r="DH1087" s="73"/>
      <c r="DI1087" s="73"/>
      <c r="DJ1087" s="73"/>
      <c r="DK1087" s="73"/>
      <c r="DL1087" s="73"/>
      <c r="DM1087" s="73"/>
      <c r="DN1087" s="73"/>
      <c r="DO1087" s="73"/>
      <c r="DP1087" s="73"/>
      <c r="DQ1087" s="73"/>
      <c r="DR1087" s="73"/>
      <c r="DS1087" s="73"/>
      <c r="DT1087" s="73"/>
      <c r="DU1087" s="73"/>
      <c r="DV1087" s="73"/>
      <c r="DW1087" s="73"/>
      <c r="DX1087" s="72"/>
      <c r="DY1087" s="72"/>
      <c r="DZ1087" s="73"/>
      <c r="EA1087" s="73"/>
      <c r="EB1087" s="73"/>
      <c r="EC1087" s="73"/>
      <c r="ED1087" s="73"/>
      <c r="EE1087" s="73"/>
      <c r="EF1087" s="73"/>
      <c r="EG1087" s="73"/>
      <c r="EH1087" s="73"/>
      <c r="EI1087" s="73"/>
      <c r="EJ1087" s="73"/>
      <c r="EK1087" s="73"/>
      <c r="EL1087" s="73"/>
      <c r="EM1087" s="73"/>
      <c r="EN1087" s="73"/>
      <c r="EO1087" s="73"/>
      <c r="EP1087" s="69"/>
      <c r="EQ1087" s="69"/>
      <c r="ER1087" s="69"/>
    </row>
    <row r="1088">
      <c r="A1088" s="73"/>
      <c r="B1088" s="73"/>
      <c r="C1088" s="73"/>
      <c r="D1088" s="73"/>
      <c r="E1088" s="73"/>
      <c r="F1088" s="73"/>
      <c r="G1088" s="73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  <c r="AH1088" s="73"/>
      <c r="AI1088" s="73"/>
      <c r="AJ1088" s="73"/>
      <c r="AK1088" s="73"/>
      <c r="AL1088" s="73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  <c r="CI1088" s="73"/>
      <c r="CJ1088" s="73"/>
      <c r="CK1088" s="73"/>
      <c r="CL1088" s="73"/>
      <c r="CM1088" s="73"/>
      <c r="CN1088" s="73"/>
      <c r="CO1088" s="73"/>
      <c r="CP1088" s="73"/>
      <c r="CQ1088" s="73"/>
      <c r="CR1088" s="73"/>
      <c r="CS1088" s="73"/>
      <c r="CT1088" s="73"/>
      <c r="CU1088" s="73"/>
      <c r="CV1088" s="73"/>
      <c r="CW1088" s="73"/>
      <c r="CX1088" s="73"/>
      <c r="CY1088" s="73"/>
      <c r="CZ1088" s="73"/>
      <c r="DA1088" s="73"/>
      <c r="DB1088" s="73"/>
      <c r="DC1088" s="73"/>
      <c r="DD1088" s="73"/>
      <c r="DE1088" s="73"/>
      <c r="DF1088" s="73"/>
      <c r="DG1088" s="73"/>
      <c r="DH1088" s="73"/>
      <c r="DI1088" s="73"/>
      <c r="DJ1088" s="73"/>
      <c r="DK1088" s="73"/>
      <c r="DL1088" s="73"/>
      <c r="DM1088" s="73"/>
      <c r="DN1088" s="73"/>
      <c r="DO1088" s="73"/>
      <c r="DP1088" s="73"/>
      <c r="DQ1088" s="73"/>
      <c r="DR1088" s="73"/>
      <c r="DS1088" s="73"/>
      <c r="DT1088" s="73"/>
      <c r="DU1088" s="73"/>
      <c r="DV1088" s="73"/>
      <c r="DW1088" s="73"/>
      <c r="DX1088" s="73"/>
      <c r="DY1088" s="73"/>
      <c r="DZ1088" s="73"/>
      <c r="EA1088" s="73"/>
      <c r="EB1088" s="73"/>
      <c r="EC1088" s="73"/>
      <c r="ED1088" s="73"/>
      <c r="EE1088" s="73"/>
      <c r="EF1088" s="73"/>
      <c r="EG1088" s="73"/>
      <c r="EH1088" s="73"/>
      <c r="EI1088" s="73"/>
      <c r="EJ1088" s="73"/>
      <c r="EK1088" s="73"/>
      <c r="EL1088" s="73"/>
      <c r="EM1088" s="73"/>
      <c r="EN1088" s="73"/>
      <c r="EO1088" s="73"/>
      <c r="EP1088" s="69"/>
      <c r="EQ1088" s="69"/>
      <c r="ER1088" s="69"/>
    </row>
    <row r="1089">
      <c r="A1089" s="73"/>
      <c r="B1089" s="73"/>
      <c r="C1089" s="73"/>
      <c r="D1089" s="73"/>
      <c r="E1089" s="73"/>
      <c r="F1089" s="73"/>
      <c r="G1089" s="73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  <c r="AH1089" s="73"/>
      <c r="AI1089" s="73"/>
      <c r="AJ1089" s="73"/>
      <c r="AK1089" s="73"/>
      <c r="AL1089" s="73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  <c r="CI1089" s="73"/>
      <c r="CJ1089" s="73"/>
      <c r="CK1089" s="73"/>
      <c r="CL1089" s="73"/>
      <c r="CM1089" s="73"/>
      <c r="CN1089" s="73"/>
      <c r="CO1089" s="73"/>
      <c r="CP1089" s="73"/>
      <c r="CQ1089" s="73"/>
      <c r="CR1089" s="73"/>
      <c r="CS1089" s="73"/>
      <c r="CT1089" s="73"/>
      <c r="CU1089" s="73"/>
      <c r="CV1089" s="73"/>
      <c r="CW1089" s="73"/>
      <c r="CX1089" s="73"/>
      <c r="CY1089" s="73"/>
      <c r="CZ1089" s="73"/>
      <c r="DA1089" s="73"/>
      <c r="DB1089" s="73"/>
      <c r="DC1089" s="73"/>
      <c r="DD1089" s="73"/>
      <c r="DE1089" s="73"/>
      <c r="DF1089" s="73"/>
      <c r="DG1089" s="73"/>
      <c r="DH1089" s="73"/>
      <c r="DI1089" s="73"/>
      <c r="DJ1089" s="73"/>
      <c r="DK1089" s="73"/>
      <c r="DL1089" s="73"/>
      <c r="DM1089" s="73"/>
      <c r="DN1089" s="73"/>
      <c r="DO1089" s="73"/>
      <c r="DP1089" s="73"/>
      <c r="DQ1089" s="73"/>
      <c r="DR1089" s="73"/>
      <c r="DS1089" s="73"/>
      <c r="DT1089" s="73"/>
      <c r="DU1089" s="73"/>
      <c r="DV1089" s="73"/>
      <c r="DW1089" s="73"/>
      <c r="DX1089" s="72"/>
      <c r="DY1089" s="72"/>
      <c r="DZ1089" s="73"/>
      <c r="EA1089" s="73"/>
      <c r="EB1089" s="73"/>
      <c r="EC1089" s="73"/>
      <c r="ED1089" s="73"/>
      <c r="EE1089" s="73"/>
      <c r="EF1089" s="73"/>
      <c r="EG1089" s="73"/>
      <c r="EH1089" s="73"/>
      <c r="EI1089" s="73"/>
      <c r="EJ1089" s="73"/>
      <c r="EK1089" s="73"/>
      <c r="EL1089" s="73"/>
      <c r="EM1089" s="73"/>
      <c r="EN1089" s="73"/>
      <c r="EO1089" s="73"/>
      <c r="EP1089" s="69"/>
      <c r="EQ1089" s="69"/>
      <c r="ER1089" s="69"/>
    </row>
    <row r="1090">
      <c r="A1090" s="73"/>
      <c r="B1090" s="73"/>
      <c r="C1090" s="73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  <c r="AA1090" s="73"/>
      <c r="AB1090" s="73"/>
      <c r="AC1090" s="73"/>
      <c r="AD1090" s="73"/>
      <c r="AE1090" s="73"/>
      <c r="AF1090" s="73"/>
      <c r="AG1090" s="73"/>
      <c r="AH1090" s="73"/>
      <c r="AI1090" s="73"/>
      <c r="AJ1090" s="73"/>
      <c r="AK1090" s="73"/>
      <c r="AL1090" s="73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  <c r="CI1090" s="73"/>
      <c r="CJ1090" s="73"/>
      <c r="CK1090" s="73"/>
      <c r="CL1090" s="73"/>
      <c r="CM1090" s="73"/>
      <c r="CN1090" s="73"/>
      <c r="CO1090" s="73"/>
      <c r="CP1090" s="73"/>
      <c r="CQ1090" s="73"/>
      <c r="CR1090" s="73"/>
      <c r="CS1090" s="73"/>
      <c r="CT1090" s="73"/>
      <c r="CU1090" s="73"/>
      <c r="CV1090" s="73"/>
      <c r="CW1090" s="73"/>
      <c r="CX1090" s="73"/>
      <c r="CY1090" s="73"/>
      <c r="CZ1090" s="73"/>
      <c r="DA1090" s="73"/>
      <c r="DB1090" s="73"/>
      <c r="DC1090" s="73"/>
      <c r="DD1090" s="73"/>
      <c r="DE1090" s="73"/>
      <c r="DF1090" s="73"/>
      <c r="DG1090" s="73"/>
      <c r="DH1090" s="73"/>
      <c r="DI1090" s="73"/>
      <c r="DJ1090" s="73"/>
      <c r="DK1090" s="73"/>
      <c r="DL1090" s="73"/>
      <c r="DM1090" s="73"/>
      <c r="DN1090" s="73"/>
      <c r="DO1090" s="73"/>
      <c r="DP1090" s="73"/>
      <c r="DQ1090" s="73"/>
      <c r="DR1090" s="73"/>
      <c r="DS1090" s="73"/>
      <c r="DT1090" s="73"/>
      <c r="DU1090" s="73"/>
      <c r="DV1090" s="73"/>
      <c r="DW1090" s="73"/>
      <c r="DX1090" s="72"/>
      <c r="DY1090" s="72"/>
      <c r="DZ1090" s="73"/>
      <c r="EA1090" s="73"/>
      <c r="EB1090" s="73"/>
      <c r="EC1090" s="73"/>
      <c r="ED1090" s="73"/>
      <c r="EE1090" s="73"/>
      <c r="EF1090" s="73"/>
      <c r="EG1090" s="73"/>
      <c r="EH1090" s="73"/>
      <c r="EI1090" s="73"/>
      <c r="EJ1090" s="73"/>
      <c r="EK1090" s="73"/>
      <c r="EL1090" s="73"/>
      <c r="EM1090" s="73"/>
      <c r="EN1090" s="73"/>
      <c r="EO1090" s="73"/>
      <c r="EP1090" s="69"/>
      <c r="EQ1090" s="69"/>
      <c r="ER1090" s="69"/>
    </row>
    <row r="1091">
      <c r="A1091" s="73"/>
      <c r="B1091" s="73"/>
      <c r="C1091" s="73"/>
      <c r="D1091" s="73"/>
      <c r="E1091" s="73"/>
      <c r="F1091" s="73"/>
      <c r="G1091" s="73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  <c r="AA1091" s="73"/>
      <c r="AB1091" s="73"/>
      <c r="AC1091" s="73"/>
      <c r="AD1091" s="73"/>
      <c r="AE1091" s="73"/>
      <c r="AF1091" s="73"/>
      <c r="AG1091" s="73"/>
      <c r="AH1091" s="73"/>
      <c r="AI1091" s="73"/>
      <c r="AJ1091" s="73"/>
      <c r="AK1091" s="73"/>
      <c r="AL1091" s="73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  <c r="CI1091" s="73"/>
      <c r="CJ1091" s="73"/>
      <c r="CK1091" s="73"/>
      <c r="CL1091" s="73"/>
      <c r="CM1091" s="73"/>
      <c r="CN1091" s="73"/>
      <c r="CO1091" s="73"/>
      <c r="CP1091" s="73"/>
      <c r="CQ1091" s="73"/>
      <c r="CR1091" s="73"/>
      <c r="CS1091" s="73"/>
      <c r="CT1091" s="73"/>
      <c r="CU1091" s="73"/>
      <c r="CV1091" s="73"/>
      <c r="CW1091" s="73"/>
      <c r="CX1091" s="73"/>
      <c r="CY1091" s="73"/>
      <c r="CZ1091" s="73"/>
      <c r="DA1091" s="73"/>
      <c r="DB1091" s="73"/>
      <c r="DC1091" s="73"/>
      <c r="DD1091" s="73"/>
      <c r="DE1091" s="73"/>
      <c r="DF1091" s="73"/>
      <c r="DG1091" s="73"/>
      <c r="DH1091" s="73"/>
      <c r="DI1091" s="73"/>
      <c r="DJ1091" s="73"/>
      <c r="DK1091" s="73"/>
      <c r="DL1091" s="73"/>
      <c r="DM1091" s="73"/>
      <c r="DN1091" s="73"/>
      <c r="DO1091" s="73"/>
      <c r="DP1091" s="73"/>
      <c r="DQ1091" s="73"/>
      <c r="DR1091" s="73"/>
      <c r="DS1091" s="73"/>
      <c r="DT1091" s="73"/>
      <c r="DU1091" s="73"/>
      <c r="DV1091" s="73"/>
      <c r="DW1091" s="73"/>
      <c r="DX1091" s="72"/>
      <c r="DY1091" s="72"/>
      <c r="DZ1091" s="73"/>
      <c r="EA1091" s="73"/>
      <c r="EB1091" s="73"/>
      <c r="EC1091" s="73"/>
      <c r="ED1091" s="73"/>
      <c r="EE1091" s="73"/>
      <c r="EF1091" s="73"/>
      <c r="EG1091" s="73"/>
      <c r="EH1091" s="73"/>
      <c r="EI1091" s="73"/>
      <c r="EJ1091" s="73"/>
      <c r="EK1091" s="73"/>
      <c r="EL1091" s="73"/>
      <c r="EM1091" s="73"/>
      <c r="EN1091" s="73"/>
      <c r="EO1091" s="73"/>
      <c r="EP1091" s="69"/>
      <c r="EQ1091" s="69"/>
      <c r="ER1091" s="69"/>
    </row>
    <row r="1092">
      <c r="A1092" s="73"/>
      <c r="B1092" s="73"/>
      <c r="C1092" s="73"/>
      <c r="D1092" s="73"/>
      <c r="E1092" s="73"/>
      <c r="F1092" s="73"/>
      <c r="G1092" s="73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  <c r="AA1092" s="73"/>
      <c r="AB1092" s="73"/>
      <c r="AC1092" s="73"/>
      <c r="AD1092" s="73"/>
      <c r="AE1092" s="73"/>
      <c r="AF1092" s="73"/>
      <c r="AG1092" s="73"/>
      <c r="AH1092" s="73"/>
      <c r="AI1092" s="73"/>
      <c r="AJ1092" s="73"/>
      <c r="AK1092" s="73"/>
      <c r="AL1092" s="73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  <c r="CI1092" s="73"/>
      <c r="CJ1092" s="73"/>
      <c r="CK1092" s="73"/>
      <c r="CL1092" s="73"/>
      <c r="CM1092" s="73"/>
      <c r="CN1092" s="73"/>
      <c r="CO1092" s="73"/>
      <c r="CP1092" s="73"/>
      <c r="CQ1092" s="73"/>
      <c r="CR1092" s="73"/>
      <c r="CS1092" s="73"/>
      <c r="CT1092" s="73"/>
      <c r="CU1092" s="73"/>
      <c r="CV1092" s="73"/>
      <c r="CW1092" s="73"/>
      <c r="CX1092" s="73"/>
      <c r="CY1092" s="73"/>
      <c r="CZ1092" s="73"/>
      <c r="DA1092" s="73"/>
      <c r="DB1092" s="73"/>
      <c r="DC1092" s="73"/>
      <c r="DD1092" s="73"/>
      <c r="DE1092" s="73"/>
      <c r="DF1092" s="73"/>
      <c r="DG1092" s="73"/>
      <c r="DH1092" s="73"/>
      <c r="DI1092" s="73"/>
      <c r="DJ1092" s="73"/>
      <c r="DK1092" s="73"/>
      <c r="DL1092" s="73"/>
      <c r="DM1092" s="73"/>
      <c r="DN1092" s="73"/>
      <c r="DO1092" s="73"/>
      <c r="DP1092" s="73"/>
      <c r="DQ1092" s="73"/>
      <c r="DR1092" s="73"/>
      <c r="DS1092" s="73"/>
      <c r="DT1092" s="73"/>
      <c r="DU1092" s="73"/>
      <c r="DV1092" s="73"/>
      <c r="DW1092" s="73"/>
      <c r="DX1092" s="72"/>
      <c r="DY1092" s="72"/>
      <c r="DZ1092" s="73"/>
      <c r="EA1092" s="73"/>
      <c r="EB1092" s="73"/>
      <c r="EC1092" s="73"/>
      <c r="ED1092" s="73"/>
      <c r="EE1092" s="73"/>
      <c r="EF1092" s="73"/>
      <c r="EG1092" s="73"/>
      <c r="EH1092" s="73"/>
      <c r="EI1092" s="73"/>
      <c r="EJ1092" s="73"/>
      <c r="EK1092" s="73"/>
      <c r="EL1092" s="73"/>
      <c r="EM1092" s="73"/>
      <c r="EN1092" s="73"/>
      <c r="EO1092" s="73"/>
      <c r="EP1092" s="69"/>
      <c r="EQ1092" s="69"/>
      <c r="ER1092" s="69"/>
    </row>
    <row r="1093">
      <c r="A1093" s="73"/>
      <c r="B1093" s="73"/>
      <c r="C1093" s="73"/>
      <c r="D1093" s="73"/>
      <c r="E1093" s="73"/>
      <c r="F1093" s="73"/>
      <c r="G1093" s="73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  <c r="AA1093" s="73"/>
      <c r="AB1093" s="73"/>
      <c r="AC1093" s="73"/>
      <c r="AD1093" s="73"/>
      <c r="AE1093" s="73"/>
      <c r="AF1093" s="73"/>
      <c r="AG1093" s="73"/>
      <c r="AH1093" s="73"/>
      <c r="AI1093" s="73"/>
      <c r="AJ1093" s="73"/>
      <c r="AK1093" s="73"/>
      <c r="AL1093" s="73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  <c r="CI1093" s="73"/>
      <c r="CJ1093" s="73"/>
      <c r="CK1093" s="73"/>
      <c r="CL1093" s="73"/>
      <c r="CM1093" s="73"/>
      <c r="CN1093" s="73"/>
      <c r="CO1093" s="73"/>
      <c r="CP1093" s="73"/>
      <c r="CQ1093" s="73"/>
      <c r="CR1093" s="73"/>
      <c r="CS1093" s="73"/>
      <c r="CT1093" s="73"/>
      <c r="CU1093" s="73"/>
      <c r="CV1093" s="73"/>
      <c r="CW1093" s="73"/>
      <c r="CX1093" s="73"/>
      <c r="CY1093" s="73"/>
      <c r="CZ1093" s="73"/>
      <c r="DA1093" s="73"/>
      <c r="DB1093" s="73"/>
      <c r="DC1093" s="73"/>
      <c r="DD1093" s="73"/>
      <c r="DE1093" s="73"/>
      <c r="DF1093" s="73"/>
      <c r="DG1093" s="73"/>
      <c r="DH1093" s="73"/>
      <c r="DI1093" s="73"/>
      <c r="DJ1093" s="73"/>
      <c r="DK1093" s="73"/>
      <c r="DL1093" s="73"/>
      <c r="DM1093" s="73"/>
      <c r="DN1093" s="73"/>
      <c r="DO1093" s="73"/>
      <c r="DP1093" s="73"/>
      <c r="DQ1093" s="73"/>
      <c r="DR1093" s="73"/>
      <c r="DS1093" s="73"/>
      <c r="DT1093" s="73"/>
      <c r="DU1093" s="73"/>
      <c r="DV1093" s="73"/>
      <c r="DW1093" s="73"/>
      <c r="DX1093" s="72"/>
      <c r="DY1093" s="72"/>
      <c r="DZ1093" s="73"/>
      <c r="EA1093" s="73"/>
      <c r="EB1093" s="73"/>
      <c r="EC1093" s="73"/>
      <c r="ED1093" s="73"/>
      <c r="EE1093" s="73"/>
      <c r="EF1093" s="73"/>
      <c r="EG1093" s="73"/>
      <c r="EH1093" s="73"/>
      <c r="EI1093" s="73"/>
      <c r="EJ1093" s="73"/>
      <c r="EK1093" s="73"/>
      <c r="EL1093" s="73"/>
      <c r="EM1093" s="73"/>
      <c r="EN1093" s="73"/>
      <c r="EO1093" s="73"/>
      <c r="EP1093" s="69"/>
      <c r="EQ1093" s="69"/>
      <c r="ER1093" s="69"/>
    </row>
    <row r="1094">
      <c r="A1094" s="73"/>
      <c r="B1094" s="73"/>
      <c r="C1094" s="73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  <c r="AA1094" s="73"/>
      <c r="AB1094" s="73"/>
      <c r="AC1094" s="73"/>
      <c r="AD1094" s="73"/>
      <c r="AE1094" s="73"/>
      <c r="AF1094" s="73"/>
      <c r="AG1094" s="73"/>
      <c r="AH1094" s="73"/>
      <c r="AI1094" s="73"/>
      <c r="AJ1094" s="73"/>
      <c r="AK1094" s="73"/>
      <c r="AL1094" s="73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  <c r="CI1094" s="73"/>
      <c r="CJ1094" s="73"/>
      <c r="CK1094" s="73"/>
      <c r="CL1094" s="73"/>
      <c r="CM1094" s="73"/>
      <c r="CN1094" s="73"/>
      <c r="CO1094" s="73"/>
      <c r="CP1094" s="73"/>
      <c r="CQ1094" s="73"/>
      <c r="CR1094" s="73"/>
      <c r="CS1094" s="73"/>
      <c r="CT1094" s="73"/>
      <c r="CU1094" s="73"/>
      <c r="CV1094" s="73"/>
      <c r="CW1094" s="73"/>
      <c r="CX1094" s="73"/>
      <c r="CY1094" s="73"/>
      <c r="CZ1094" s="73"/>
      <c r="DA1094" s="73"/>
      <c r="DB1094" s="73"/>
      <c r="DC1094" s="73"/>
      <c r="DD1094" s="73"/>
      <c r="DE1094" s="73"/>
      <c r="DF1094" s="73"/>
      <c r="DG1094" s="73"/>
      <c r="DH1094" s="73"/>
      <c r="DI1094" s="73"/>
      <c r="DJ1094" s="73"/>
      <c r="DK1094" s="73"/>
      <c r="DL1094" s="73"/>
      <c r="DM1094" s="73"/>
      <c r="DN1094" s="73"/>
      <c r="DO1094" s="73"/>
      <c r="DP1094" s="73"/>
      <c r="DQ1094" s="73"/>
      <c r="DR1094" s="73"/>
      <c r="DS1094" s="73"/>
      <c r="DT1094" s="73"/>
      <c r="DU1094" s="73"/>
      <c r="DV1094" s="73"/>
      <c r="DW1094" s="73"/>
      <c r="DX1094" s="73"/>
      <c r="DY1094" s="73"/>
      <c r="DZ1094" s="73"/>
      <c r="EA1094" s="73"/>
      <c r="EB1094" s="73"/>
      <c r="EC1094" s="73"/>
      <c r="ED1094" s="73"/>
      <c r="EE1094" s="73"/>
      <c r="EF1094" s="73"/>
      <c r="EG1094" s="73"/>
      <c r="EH1094" s="73"/>
      <c r="EI1094" s="73"/>
      <c r="EJ1094" s="73"/>
      <c r="EK1094" s="73"/>
      <c r="EL1094" s="73"/>
      <c r="EM1094" s="73"/>
      <c r="EN1094" s="73"/>
      <c r="EO1094" s="73"/>
      <c r="EP1094" s="69"/>
      <c r="EQ1094" s="69"/>
      <c r="ER1094" s="69"/>
    </row>
    <row r="1095">
      <c r="A1095" s="73"/>
      <c r="B1095" s="73"/>
      <c r="C1095" s="73"/>
      <c r="D1095" s="73"/>
      <c r="E1095" s="73"/>
      <c r="F1095" s="73"/>
      <c r="G1095" s="73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73"/>
      <c r="AK1095" s="73"/>
      <c r="AL1095" s="73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  <c r="CI1095" s="73"/>
      <c r="CJ1095" s="73"/>
      <c r="CK1095" s="73"/>
      <c r="CL1095" s="73"/>
      <c r="CM1095" s="73"/>
      <c r="CN1095" s="73"/>
      <c r="CO1095" s="73"/>
      <c r="CP1095" s="73"/>
      <c r="CQ1095" s="73"/>
      <c r="CR1095" s="73"/>
      <c r="CS1095" s="73"/>
      <c r="CT1095" s="73"/>
      <c r="CU1095" s="73"/>
      <c r="CV1095" s="73"/>
      <c r="CW1095" s="73"/>
      <c r="CX1095" s="73"/>
      <c r="CY1095" s="73"/>
      <c r="CZ1095" s="73"/>
      <c r="DA1095" s="73"/>
      <c r="DB1095" s="73"/>
      <c r="DC1095" s="73"/>
      <c r="DD1095" s="73"/>
      <c r="DE1095" s="73"/>
      <c r="DF1095" s="73"/>
      <c r="DG1095" s="73"/>
      <c r="DH1095" s="73"/>
      <c r="DI1095" s="73"/>
      <c r="DJ1095" s="73"/>
      <c r="DK1095" s="73"/>
      <c r="DL1095" s="73"/>
      <c r="DM1095" s="73"/>
      <c r="DN1095" s="73"/>
      <c r="DO1095" s="73"/>
      <c r="DP1095" s="73"/>
      <c r="DQ1095" s="73"/>
      <c r="DR1095" s="73"/>
      <c r="DS1095" s="73"/>
      <c r="DT1095" s="73"/>
      <c r="DU1095" s="73"/>
      <c r="DV1095" s="73"/>
      <c r="DW1095" s="73"/>
      <c r="DX1095" s="72"/>
      <c r="DY1095" s="72"/>
      <c r="DZ1095" s="73"/>
      <c r="EA1095" s="73"/>
      <c r="EB1095" s="73"/>
      <c r="EC1095" s="73"/>
      <c r="ED1095" s="73"/>
      <c r="EE1095" s="73"/>
      <c r="EF1095" s="73"/>
      <c r="EG1095" s="73"/>
      <c r="EH1095" s="73"/>
      <c r="EI1095" s="73"/>
      <c r="EJ1095" s="73"/>
      <c r="EK1095" s="73"/>
      <c r="EL1095" s="73"/>
      <c r="EM1095" s="73"/>
      <c r="EN1095" s="73"/>
      <c r="EO1095" s="73"/>
      <c r="EP1095" s="69"/>
      <c r="EQ1095" s="69"/>
      <c r="ER1095" s="69"/>
    </row>
    <row r="1096">
      <c r="A1096" s="73"/>
      <c r="B1096" s="73"/>
      <c r="C1096" s="73"/>
      <c r="D1096" s="73"/>
      <c r="E1096" s="73"/>
      <c r="F1096" s="73"/>
      <c r="G1096" s="73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  <c r="AA1096" s="73"/>
      <c r="AB1096" s="73"/>
      <c r="AC1096" s="73"/>
      <c r="AD1096" s="73"/>
      <c r="AE1096" s="73"/>
      <c r="AF1096" s="73"/>
      <c r="AG1096" s="73"/>
      <c r="AH1096" s="73"/>
      <c r="AI1096" s="73"/>
      <c r="AJ1096" s="73"/>
      <c r="AK1096" s="73"/>
      <c r="AL1096" s="73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  <c r="CI1096" s="73"/>
      <c r="CJ1096" s="73"/>
      <c r="CK1096" s="73"/>
      <c r="CL1096" s="73"/>
      <c r="CM1096" s="73"/>
      <c r="CN1096" s="73"/>
      <c r="CO1096" s="73"/>
      <c r="CP1096" s="73"/>
      <c r="CQ1096" s="73"/>
      <c r="CR1096" s="73"/>
      <c r="CS1096" s="73"/>
      <c r="CT1096" s="73"/>
      <c r="CU1096" s="73"/>
      <c r="CV1096" s="73"/>
      <c r="CW1096" s="73"/>
      <c r="CX1096" s="73"/>
      <c r="CY1096" s="73"/>
      <c r="CZ1096" s="73"/>
      <c r="DA1096" s="73"/>
      <c r="DB1096" s="73"/>
      <c r="DC1096" s="73"/>
      <c r="DD1096" s="73"/>
      <c r="DE1096" s="73"/>
      <c r="DF1096" s="73"/>
      <c r="DG1096" s="73"/>
      <c r="DH1096" s="73"/>
      <c r="DI1096" s="73"/>
      <c r="DJ1096" s="73"/>
      <c r="DK1096" s="73"/>
      <c r="DL1096" s="73"/>
      <c r="DM1096" s="73"/>
      <c r="DN1096" s="73"/>
      <c r="DO1096" s="73"/>
      <c r="DP1096" s="73"/>
      <c r="DQ1096" s="73"/>
      <c r="DR1096" s="73"/>
      <c r="DS1096" s="73"/>
      <c r="DT1096" s="73"/>
      <c r="DU1096" s="73"/>
      <c r="DV1096" s="73"/>
      <c r="DW1096" s="73"/>
      <c r="DX1096" s="72"/>
      <c r="DY1096" s="72"/>
      <c r="DZ1096" s="73"/>
      <c r="EA1096" s="73"/>
      <c r="EB1096" s="73"/>
      <c r="EC1096" s="73"/>
      <c r="ED1096" s="73"/>
      <c r="EE1096" s="73"/>
      <c r="EF1096" s="73"/>
      <c r="EG1096" s="73"/>
      <c r="EH1096" s="73"/>
      <c r="EI1096" s="73"/>
      <c r="EJ1096" s="73"/>
      <c r="EK1096" s="73"/>
      <c r="EL1096" s="73"/>
      <c r="EM1096" s="73"/>
      <c r="EN1096" s="73"/>
      <c r="EO1096" s="73"/>
      <c r="EP1096" s="69"/>
      <c r="EQ1096" s="69"/>
      <c r="ER1096" s="69"/>
    </row>
    <row r="1097">
      <c r="A1097" s="73"/>
      <c r="B1097" s="73"/>
      <c r="C1097" s="73"/>
      <c r="D1097" s="73"/>
      <c r="E1097" s="73"/>
      <c r="F1097" s="73"/>
      <c r="G1097" s="73"/>
      <c r="H1097" s="73"/>
      <c r="I1097" s="73"/>
      <c r="J1097" s="73"/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  <c r="AA1097" s="73"/>
      <c r="AB1097" s="73"/>
      <c r="AC1097" s="73"/>
      <c r="AD1097" s="73"/>
      <c r="AE1097" s="73"/>
      <c r="AF1097" s="73"/>
      <c r="AG1097" s="73"/>
      <c r="AH1097" s="73"/>
      <c r="AI1097" s="73"/>
      <c r="AJ1097" s="73"/>
      <c r="AK1097" s="73"/>
      <c r="AL1097" s="73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  <c r="CI1097" s="73"/>
      <c r="CJ1097" s="73"/>
      <c r="CK1097" s="73"/>
      <c r="CL1097" s="73"/>
      <c r="CM1097" s="73"/>
      <c r="CN1097" s="73"/>
      <c r="CO1097" s="73"/>
      <c r="CP1097" s="73"/>
      <c r="CQ1097" s="73"/>
      <c r="CR1097" s="73"/>
      <c r="CS1097" s="73"/>
      <c r="CT1097" s="73"/>
      <c r="CU1097" s="73"/>
      <c r="CV1097" s="73"/>
      <c r="CW1097" s="73"/>
      <c r="CX1097" s="73"/>
      <c r="CY1097" s="73"/>
      <c r="CZ1097" s="73"/>
      <c r="DA1097" s="73"/>
      <c r="DB1097" s="73"/>
      <c r="DC1097" s="73"/>
      <c r="DD1097" s="73"/>
      <c r="DE1097" s="73"/>
      <c r="DF1097" s="73"/>
      <c r="DG1097" s="73"/>
      <c r="DH1097" s="73"/>
      <c r="DI1097" s="73"/>
      <c r="DJ1097" s="73"/>
      <c r="DK1097" s="73"/>
      <c r="DL1097" s="73"/>
      <c r="DM1097" s="73"/>
      <c r="DN1097" s="73"/>
      <c r="DO1097" s="73"/>
      <c r="DP1097" s="73"/>
      <c r="DQ1097" s="73"/>
      <c r="DR1097" s="73"/>
      <c r="DS1097" s="73"/>
      <c r="DT1097" s="73"/>
      <c r="DU1097" s="73"/>
      <c r="DV1097" s="73"/>
      <c r="DW1097" s="73"/>
      <c r="DX1097" s="72"/>
      <c r="DY1097" s="72"/>
      <c r="DZ1097" s="73"/>
      <c r="EA1097" s="73"/>
      <c r="EB1097" s="73"/>
      <c r="EC1097" s="73"/>
      <c r="ED1097" s="73"/>
      <c r="EE1097" s="73"/>
      <c r="EF1097" s="73"/>
      <c r="EG1097" s="73"/>
      <c r="EH1097" s="73"/>
      <c r="EI1097" s="73"/>
      <c r="EJ1097" s="73"/>
      <c r="EK1097" s="73"/>
      <c r="EL1097" s="73"/>
      <c r="EM1097" s="73"/>
      <c r="EN1097" s="73"/>
      <c r="EO1097" s="73"/>
      <c r="EP1097" s="69"/>
      <c r="EQ1097" s="69"/>
      <c r="ER1097" s="69"/>
    </row>
    <row r="1098">
      <c r="A1098" s="73"/>
      <c r="B1098" s="73"/>
      <c r="C1098" s="73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  <c r="AA1098" s="73"/>
      <c r="AB1098" s="73"/>
      <c r="AC1098" s="73"/>
      <c r="AD1098" s="73"/>
      <c r="AE1098" s="73"/>
      <c r="AF1098" s="73"/>
      <c r="AG1098" s="73"/>
      <c r="AH1098" s="73"/>
      <c r="AI1098" s="73"/>
      <c r="AJ1098" s="73"/>
      <c r="AK1098" s="73"/>
      <c r="AL1098" s="73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  <c r="CI1098" s="73"/>
      <c r="CJ1098" s="73"/>
      <c r="CK1098" s="73"/>
      <c r="CL1098" s="73"/>
      <c r="CM1098" s="73"/>
      <c r="CN1098" s="73"/>
      <c r="CO1098" s="73"/>
      <c r="CP1098" s="73"/>
      <c r="CQ1098" s="73"/>
      <c r="CR1098" s="73"/>
      <c r="CS1098" s="73"/>
      <c r="CT1098" s="73"/>
      <c r="CU1098" s="73"/>
      <c r="CV1098" s="73"/>
      <c r="CW1098" s="73"/>
      <c r="CX1098" s="73"/>
      <c r="CY1098" s="73"/>
      <c r="CZ1098" s="73"/>
      <c r="DA1098" s="73"/>
      <c r="DB1098" s="73"/>
      <c r="DC1098" s="73"/>
      <c r="DD1098" s="73"/>
      <c r="DE1098" s="73"/>
      <c r="DF1098" s="73"/>
      <c r="DG1098" s="73"/>
      <c r="DH1098" s="73"/>
      <c r="DI1098" s="73"/>
      <c r="DJ1098" s="73"/>
      <c r="DK1098" s="73"/>
      <c r="DL1098" s="73"/>
      <c r="DM1098" s="73"/>
      <c r="DN1098" s="73"/>
      <c r="DO1098" s="73"/>
      <c r="DP1098" s="73"/>
      <c r="DQ1098" s="73"/>
      <c r="DR1098" s="73"/>
      <c r="DS1098" s="73"/>
      <c r="DT1098" s="73"/>
      <c r="DU1098" s="73"/>
      <c r="DV1098" s="73"/>
      <c r="DW1098" s="73"/>
      <c r="DX1098" s="73"/>
      <c r="DY1098" s="73"/>
      <c r="DZ1098" s="73"/>
      <c r="EA1098" s="73"/>
      <c r="EB1098" s="73"/>
      <c r="EC1098" s="73"/>
      <c r="ED1098" s="73"/>
      <c r="EE1098" s="73"/>
      <c r="EF1098" s="73"/>
      <c r="EG1098" s="73"/>
      <c r="EH1098" s="73"/>
      <c r="EI1098" s="73"/>
      <c r="EJ1098" s="73"/>
      <c r="EK1098" s="73"/>
      <c r="EL1098" s="73"/>
      <c r="EM1098" s="73"/>
      <c r="EN1098" s="73"/>
      <c r="EO1098" s="73"/>
      <c r="EP1098" s="69"/>
      <c r="EQ1098" s="69"/>
      <c r="ER1098" s="69"/>
    </row>
    <row r="1099">
      <c r="A1099" s="73"/>
      <c r="B1099" s="73"/>
      <c r="C1099" s="73"/>
      <c r="D1099" s="73"/>
      <c r="E1099" s="73"/>
      <c r="F1099" s="73"/>
      <c r="G1099" s="73"/>
      <c r="H1099" s="73"/>
      <c r="I1099" s="73"/>
      <c r="J1099" s="73"/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  <c r="AA1099" s="73"/>
      <c r="AB1099" s="73"/>
      <c r="AC1099" s="73"/>
      <c r="AD1099" s="73"/>
      <c r="AE1099" s="73"/>
      <c r="AF1099" s="73"/>
      <c r="AG1099" s="73"/>
      <c r="AH1099" s="73"/>
      <c r="AI1099" s="73"/>
      <c r="AJ1099" s="73"/>
      <c r="AK1099" s="73"/>
      <c r="AL1099" s="73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  <c r="CI1099" s="73"/>
      <c r="CJ1099" s="73"/>
      <c r="CK1099" s="73"/>
      <c r="CL1099" s="73"/>
      <c r="CM1099" s="73"/>
      <c r="CN1099" s="73"/>
      <c r="CO1099" s="73"/>
      <c r="CP1099" s="73"/>
      <c r="CQ1099" s="73"/>
      <c r="CR1099" s="73"/>
      <c r="CS1099" s="73"/>
      <c r="CT1099" s="73"/>
      <c r="CU1099" s="73"/>
      <c r="CV1099" s="73"/>
      <c r="CW1099" s="73"/>
      <c r="CX1099" s="73"/>
      <c r="CY1099" s="73"/>
      <c r="CZ1099" s="73"/>
      <c r="DA1099" s="73"/>
      <c r="DB1099" s="73"/>
      <c r="DC1099" s="73"/>
      <c r="DD1099" s="73"/>
      <c r="DE1099" s="73"/>
      <c r="DF1099" s="73"/>
      <c r="DG1099" s="73"/>
      <c r="DH1099" s="73"/>
      <c r="DI1099" s="73"/>
      <c r="DJ1099" s="73"/>
      <c r="DK1099" s="73"/>
      <c r="DL1099" s="73"/>
      <c r="DM1099" s="73"/>
      <c r="DN1099" s="73"/>
      <c r="DO1099" s="73"/>
      <c r="DP1099" s="73"/>
      <c r="DQ1099" s="73"/>
      <c r="DR1099" s="73"/>
      <c r="DS1099" s="73"/>
      <c r="DT1099" s="73"/>
      <c r="DU1099" s="73"/>
      <c r="DV1099" s="73"/>
      <c r="DW1099" s="73"/>
      <c r="DX1099" s="73"/>
      <c r="DY1099" s="73"/>
      <c r="DZ1099" s="73"/>
      <c r="EA1099" s="73"/>
      <c r="EB1099" s="73"/>
      <c r="EC1099" s="73"/>
      <c r="ED1099" s="73"/>
      <c r="EE1099" s="73"/>
      <c r="EF1099" s="73"/>
      <c r="EG1099" s="73"/>
      <c r="EH1099" s="73"/>
      <c r="EI1099" s="73"/>
      <c r="EJ1099" s="73"/>
      <c r="EK1099" s="73"/>
      <c r="EL1099" s="73"/>
      <c r="EM1099" s="73"/>
      <c r="EN1099" s="73"/>
      <c r="EO1099" s="73"/>
      <c r="EP1099" s="69"/>
      <c r="EQ1099" s="69"/>
      <c r="ER1099" s="69"/>
    </row>
    <row r="1100">
      <c r="A1100" s="73"/>
      <c r="B1100" s="73"/>
      <c r="C1100" s="73"/>
      <c r="D1100" s="73"/>
      <c r="E1100" s="73"/>
      <c r="F1100" s="73"/>
      <c r="G1100" s="73"/>
      <c r="H1100" s="73"/>
      <c r="I1100" s="73"/>
      <c r="J1100" s="73"/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  <c r="AA1100" s="73"/>
      <c r="AB1100" s="73"/>
      <c r="AC1100" s="73"/>
      <c r="AD1100" s="73"/>
      <c r="AE1100" s="73"/>
      <c r="AF1100" s="73"/>
      <c r="AG1100" s="73"/>
      <c r="AH1100" s="73"/>
      <c r="AI1100" s="73"/>
      <c r="AJ1100" s="73"/>
      <c r="AK1100" s="73"/>
      <c r="AL1100" s="73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  <c r="CI1100" s="73"/>
      <c r="CJ1100" s="73"/>
      <c r="CK1100" s="73"/>
      <c r="CL1100" s="73"/>
      <c r="CM1100" s="73"/>
      <c r="CN1100" s="73"/>
      <c r="CO1100" s="73"/>
      <c r="CP1100" s="73"/>
      <c r="CQ1100" s="73"/>
      <c r="CR1100" s="73"/>
      <c r="CS1100" s="73"/>
      <c r="CT1100" s="73"/>
      <c r="CU1100" s="73"/>
      <c r="CV1100" s="73"/>
      <c r="CW1100" s="73"/>
      <c r="CX1100" s="73"/>
      <c r="CY1100" s="73"/>
      <c r="CZ1100" s="73"/>
      <c r="DA1100" s="73"/>
      <c r="DB1100" s="73"/>
      <c r="DC1100" s="73"/>
      <c r="DD1100" s="73"/>
      <c r="DE1100" s="73"/>
      <c r="DF1100" s="73"/>
      <c r="DG1100" s="73"/>
      <c r="DH1100" s="73"/>
      <c r="DI1100" s="73"/>
      <c r="DJ1100" s="73"/>
      <c r="DK1100" s="73"/>
      <c r="DL1100" s="73"/>
      <c r="DM1100" s="73"/>
      <c r="DN1100" s="73"/>
      <c r="DO1100" s="73"/>
      <c r="DP1100" s="73"/>
      <c r="DQ1100" s="73"/>
      <c r="DR1100" s="73"/>
      <c r="DS1100" s="73"/>
      <c r="DT1100" s="73"/>
      <c r="DU1100" s="73"/>
      <c r="DV1100" s="73"/>
      <c r="DW1100" s="73"/>
      <c r="DX1100" s="72"/>
      <c r="DY1100" s="72"/>
      <c r="DZ1100" s="73"/>
      <c r="EA1100" s="73"/>
      <c r="EB1100" s="73"/>
      <c r="EC1100" s="73"/>
      <c r="ED1100" s="73"/>
      <c r="EE1100" s="73"/>
      <c r="EF1100" s="73"/>
      <c r="EG1100" s="73"/>
      <c r="EH1100" s="73"/>
      <c r="EI1100" s="73"/>
      <c r="EJ1100" s="73"/>
      <c r="EK1100" s="73"/>
      <c r="EL1100" s="73"/>
      <c r="EM1100" s="73"/>
      <c r="EN1100" s="73"/>
      <c r="EO1100" s="73"/>
      <c r="EP1100" s="69"/>
      <c r="EQ1100" s="69"/>
      <c r="ER1100" s="69"/>
    </row>
    <row r="1101">
      <c r="A1101" s="73"/>
      <c r="B1101" s="73"/>
      <c r="C1101" s="73"/>
      <c r="D1101" s="73"/>
      <c r="E1101" s="73"/>
      <c r="F1101" s="73"/>
      <c r="G1101" s="73"/>
      <c r="H1101" s="73"/>
      <c r="I1101" s="73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  <c r="AA1101" s="73"/>
      <c r="AB1101" s="73"/>
      <c r="AC1101" s="73"/>
      <c r="AD1101" s="73"/>
      <c r="AE1101" s="73"/>
      <c r="AF1101" s="73"/>
      <c r="AG1101" s="73"/>
      <c r="AH1101" s="73"/>
      <c r="AI1101" s="73"/>
      <c r="AJ1101" s="73"/>
      <c r="AK1101" s="73"/>
      <c r="AL1101" s="73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  <c r="CI1101" s="73"/>
      <c r="CJ1101" s="73"/>
      <c r="CK1101" s="73"/>
      <c r="CL1101" s="73"/>
      <c r="CM1101" s="73"/>
      <c r="CN1101" s="73"/>
      <c r="CO1101" s="73"/>
      <c r="CP1101" s="73"/>
      <c r="CQ1101" s="73"/>
      <c r="CR1101" s="73"/>
      <c r="CS1101" s="73"/>
      <c r="CT1101" s="73"/>
      <c r="CU1101" s="73"/>
      <c r="CV1101" s="73"/>
      <c r="CW1101" s="73"/>
      <c r="CX1101" s="73"/>
      <c r="CY1101" s="73"/>
      <c r="CZ1101" s="73"/>
      <c r="DA1101" s="73"/>
      <c r="DB1101" s="73"/>
      <c r="DC1101" s="73"/>
      <c r="DD1101" s="73"/>
      <c r="DE1101" s="73"/>
      <c r="DF1101" s="73"/>
      <c r="DG1101" s="73"/>
      <c r="DH1101" s="73"/>
      <c r="DI1101" s="73"/>
      <c r="DJ1101" s="73"/>
      <c r="DK1101" s="73"/>
      <c r="DL1101" s="73"/>
      <c r="DM1101" s="73"/>
      <c r="DN1101" s="73"/>
      <c r="DO1101" s="73"/>
      <c r="DP1101" s="73"/>
      <c r="DQ1101" s="73"/>
      <c r="DR1101" s="73"/>
      <c r="DS1101" s="73"/>
      <c r="DT1101" s="73"/>
      <c r="DU1101" s="73"/>
      <c r="DV1101" s="73"/>
      <c r="DW1101" s="73"/>
      <c r="DX1101" s="72"/>
      <c r="DY1101" s="72"/>
      <c r="DZ1101" s="73"/>
      <c r="EA1101" s="73"/>
      <c r="EB1101" s="73"/>
      <c r="EC1101" s="73"/>
      <c r="ED1101" s="73"/>
      <c r="EE1101" s="73"/>
      <c r="EF1101" s="73"/>
      <c r="EG1101" s="73"/>
      <c r="EH1101" s="73"/>
      <c r="EI1101" s="73"/>
      <c r="EJ1101" s="73"/>
      <c r="EK1101" s="73"/>
      <c r="EL1101" s="73"/>
      <c r="EM1101" s="73"/>
      <c r="EN1101" s="73"/>
      <c r="EO1101" s="73"/>
      <c r="EP1101" s="69"/>
      <c r="EQ1101" s="69"/>
      <c r="ER1101" s="69"/>
    </row>
    <row r="1102">
      <c r="A1102" s="73"/>
      <c r="B1102" s="73"/>
      <c r="C1102" s="73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  <c r="AA1102" s="73"/>
      <c r="AB1102" s="73"/>
      <c r="AC1102" s="73"/>
      <c r="AD1102" s="73"/>
      <c r="AE1102" s="73"/>
      <c r="AF1102" s="73"/>
      <c r="AG1102" s="73"/>
      <c r="AH1102" s="73"/>
      <c r="AI1102" s="73"/>
      <c r="AJ1102" s="73"/>
      <c r="AK1102" s="73"/>
      <c r="AL1102" s="73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  <c r="CI1102" s="73"/>
      <c r="CJ1102" s="73"/>
      <c r="CK1102" s="73"/>
      <c r="CL1102" s="73"/>
      <c r="CM1102" s="73"/>
      <c r="CN1102" s="73"/>
      <c r="CO1102" s="73"/>
      <c r="CP1102" s="73"/>
      <c r="CQ1102" s="73"/>
      <c r="CR1102" s="73"/>
      <c r="CS1102" s="73"/>
      <c r="CT1102" s="73"/>
      <c r="CU1102" s="73"/>
      <c r="CV1102" s="73"/>
      <c r="CW1102" s="73"/>
      <c r="CX1102" s="73"/>
      <c r="CY1102" s="73"/>
      <c r="CZ1102" s="73"/>
      <c r="DA1102" s="73"/>
      <c r="DB1102" s="73"/>
      <c r="DC1102" s="73"/>
      <c r="DD1102" s="73"/>
      <c r="DE1102" s="73"/>
      <c r="DF1102" s="73"/>
      <c r="DG1102" s="73"/>
      <c r="DH1102" s="73"/>
      <c r="DI1102" s="73"/>
      <c r="DJ1102" s="73"/>
      <c r="DK1102" s="73"/>
      <c r="DL1102" s="73"/>
      <c r="DM1102" s="73"/>
      <c r="DN1102" s="73"/>
      <c r="DO1102" s="73"/>
      <c r="DP1102" s="73"/>
      <c r="DQ1102" s="73"/>
      <c r="DR1102" s="73"/>
      <c r="DS1102" s="73"/>
      <c r="DT1102" s="73"/>
      <c r="DU1102" s="73"/>
      <c r="DV1102" s="73"/>
      <c r="DW1102" s="73"/>
      <c r="DX1102" s="73"/>
      <c r="DY1102" s="73"/>
      <c r="DZ1102" s="73"/>
      <c r="EA1102" s="73"/>
      <c r="EB1102" s="73"/>
      <c r="EC1102" s="73"/>
      <c r="ED1102" s="73"/>
      <c r="EE1102" s="73"/>
      <c r="EF1102" s="73"/>
      <c r="EG1102" s="73"/>
      <c r="EH1102" s="73"/>
      <c r="EI1102" s="73"/>
      <c r="EJ1102" s="73"/>
      <c r="EK1102" s="73"/>
      <c r="EL1102" s="73"/>
      <c r="EM1102" s="73"/>
      <c r="EN1102" s="73"/>
      <c r="EO1102" s="73"/>
      <c r="EP1102" s="69"/>
      <c r="EQ1102" s="69"/>
      <c r="ER1102" s="69"/>
    </row>
    <row r="1103">
      <c r="A1103" s="73"/>
      <c r="B1103" s="73"/>
      <c r="C1103" s="73"/>
      <c r="D1103" s="73"/>
      <c r="E1103" s="73"/>
      <c r="F1103" s="73"/>
      <c r="G1103" s="73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  <c r="AA1103" s="73"/>
      <c r="AB1103" s="73"/>
      <c r="AC1103" s="73"/>
      <c r="AD1103" s="73"/>
      <c r="AE1103" s="73"/>
      <c r="AF1103" s="73"/>
      <c r="AG1103" s="73"/>
      <c r="AH1103" s="73"/>
      <c r="AI1103" s="73"/>
      <c r="AJ1103" s="73"/>
      <c r="AK1103" s="73"/>
      <c r="AL1103" s="73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  <c r="CI1103" s="73"/>
      <c r="CJ1103" s="73"/>
      <c r="CK1103" s="73"/>
      <c r="CL1103" s="73"/>
      <c r="CM1103" s="73"/>
      <c r="CN1103" s="73"/>
      <c r="CO1103" s="73"/>
      <c r="CP1103" s="73"/>
      <c r="CQ1103" s="73"/>
      <c r="CR1103" s="73"/>
      <c r="CS1103" s="73"/>
      <c r="CT1103" s="73"/>
      <c r="CU1103" s="73"/>
      <c r="CV1103" s="73"/>
      <c r="CW1103" s="73"/>
      <c r="CX1103" s="73"/>
      <c r="CY1103" s="73"/>
      <c r="CZ1103" s="73"/>
      <c r="DA1103" s="73"/>
      <c r="DB1103" s="73"/>
      <c r="DC1103" s="73"/>
      <c r="DD1103" s="73"/>
      <c r="DE1103" s="73"/>
      <c r="DF1103" s="73"/>
      <c r="DG1103" s="73"/>
      <c r="DH1103" s="73"/>
      <c r="DI1103" s="73"/>
      <c r="DJ1103" s="73"/>
      <c r="DK1103" s="73"/>
      <c r="DL1103" s="73"/>
      <c r="DM1103" s="73"/>
      <c r="DN1103" s="73"/>
      <c r="DO1103" s="73"/>
      <c r="DP1103" s="73"/>
      <c r="DQ1103" s="73"/>
      <c r="DR1103" s="73"/>
      <c r="DS1103" s="73"/>
      <c r="DT1103" s="73"/>
      <c r="DU1103" s="73"/>
      <c r="DV1103" s="73"/>
      <c r="DW1103" s="73"/>
      <c r="DX1103" s="72"/>
      <c r="DY1103" s="72"/>
      <c r="DZ1103" s="73"/>
      <c r="EA1103" s="73"/>
      <c r="EB1103" s="73"/>
      <c r="EC1103" s="73"/>
      <c r="ED1103" s="73"/>
      <c r="EE1103" s="73"/>
      <c r="EF1103" s="73"/>
      <c r="EG1103" s="73"/>
      <c r="EH1103" s="73"/>
      <c r="EI1103" s="73"/>
      <c r="EJ1103" s="73"/>
      <c r="EK1103" s="73"/>
      <c r="EL1103" s="73"/>
      <c r="EM1103" s="73"/>
      <c r="EN1103" s="73"/>
      <c r="EO1103" s="73"/>
      <c r="EP1103" s="69"/>
      <c r="EQ1103" s="69"/>
      <c r="ER1103" s="69"/>
    </row>
    <row r="1104">
      <c r="A1104" s="73"/>
      <c r="B1104" s="73"/>
      <c r="C1104" s="73"/>
      <c r="D1104" s="73"/>
      <c r="E1104" s="73"/>
      <c r="F1104" s="73"/>
      <c r="G1104" s="73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  <c r="AA1104" s="73"/>
      <c r="AB1104" s="73"/>
      <c r="AC1104" s="73"/>
      <c r="AD1104" s="73"/>
      <c r="AE1104" s="73"/>
      <c r="AF1104" s="73"/>
      <c r="AG1104" s="73"/>
      <c r="AH1104" s="73"/>
      <c r="AI1104" s="73"/>
      <c r="AJ1104" s="73"/>
      <c r="AK1104" s="73"/>
      <c r="AL1104" s="73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  <c r="CI1104" s="73"/>
      <c r="CJ1104" s="73"/>
      <c r="CK1104" s="73"/>
      <c r="CL1104" s="73"/>
      <c r="CM1104" s="73"/>
      <c r="CN1104" s="73"/>
      <c r="CO1104" s="73"/>
      <c r="CP1104" s="73"/>
      <c r="CQ1104" s="73"/>
      <c r="CR1104" s="73"/>
      <c r="CS1104" s="73"/>
      <c r="CT1104" s="73"/>
      <c r="CU1104" s="73"/>
      <c r="CV1104" s="73"/>
      <c r="CW1104" s="73"/>
      <c r="CX1104" s="73"/>
      <c r="CY1104" s="73"/>
      <c r="CZ1104" s="73"/>
      <c r="DA1104" s="73"/>
      <c r="DB1104" s="73"/>
      <c r="DC1104" s="73"/>
      <c r="DD1104" s="73"/>
      <c r="DE1104" s="73"/>
      <c r="DF1104" s="73"/>
      <c r="DG1104" s="73"/>
      <c r="DH1104" s="73"/>
      <c r="DI1104" s="73"/>
      <c r="DJ1104" s="73"/>
      <c r="DK1104" s="73"/>
      <c r="DL1104" s="73"/>
      <c r="DM1104" s="73"/>
      <c r="DN1104" s="73"/>
      <c r="DO1104" s="73"/>
      <c r="DP1104" s="73"/>
      <c r="DQ1104" s="73"/>
      <c r="DR1104" s="73"/>
      <c r="DS1104" s="73"/>
      <c r="DT1104" s="73"/>
      <c r="DU1104" s="73"/>
      <c r="DV1104" s="73"/>
      <c r="DW1104" s="73"/>
      <c r="DX1104" s="72"/>
      <c r="DY1104" s="72"/>
      <c r="DZ1104" s="73"/>
      <c r="EA1104" s="73"/>
      <c r="EB1104" s="73"/>
      <c r="EC1104" s="73"/>
      <c r="ED1104" s="73"/>
      <c r="EE1104" s="73"/>
      <c r="EF1104" s="73"/>
      <c r="EG1104" s="73"/>
      <c r="EH1104" s="73"/>
      <c r="EI1104" s="73"/>
      <c r="EJ1104" s="73"/>
      <c r="EK1104" s="73"/>
      <c r="EL1104" s="73"/>
      <c r="EM1104" s="73"/>
      <c r="EN1104" s="73"/>
      <c r="EO1104" s="73"/>
      <c r="EP1104" s="69"/>
      <c r="EQ1104" s="69"/>
      <c r="ER1104" s="69"/>
    </row>
    <row r="1105">
      <c r="A1105" s="73"/>
      <c r="B1105" s="73"/>
      <c r="C1105" s="73"/>
      <c r="D1105" s="73"/>
      <c r="E1105" s="73"/>
      <c r="F1105" s="73"/>
      <c r="G1105" s="73"/>
      <c r="H1105" s="73"/>
      <c r="I1105" s="73"/>
      <c r="J1105" s="73"/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  <c r="AA1105" s="73"/>
      <c r="AB1105" s="73"/>
      <c r="AC1105" s="73"/>
      <c r="AD1105" s="73"/>
      <c r="AE1105" s="73"/>
      <c r="AF1105" s="73"/>
      <c r="AG1105" s="73"/>
      <c r="AH1105" s="73"/>
      <c r="AI1105" s="73"/>
      <c r="AJ1105" s="73"/>
      <c r="AK1105" s="73"/>
      <c r="AL1105" s="73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  <c r="CI1105" s="73"/>
      <c r="CJ1105" s="73"/>
      <c r="CK1105" s="73"/>
      <c r="CL1105" s="73"/>
      <c r="CM1105" s="73"/>
      <c r="CN1105" s="73"/>
      <c r="CO1105" s="73"/>
      <c r="CP1105" s="73"/>
      <c r="CQ1105" s="73"/>
      <c r="CR1105" s="73"/>
      <c r="CS1105" s="73"/>
      <c r="CT1105" s="73"/>
      <c r="CU1105" s="73"/>
      <c r="CV1105" s="73"/>
      <c r="CW1105" s="73"/>
      <c r="CX1105" s="73"/>
      <c r="CY1105" s="73"/>
      <c r="CZ1105" s="73"/>
      <c r="DA1105" s="73"/>
      <c r="DB1105" s="73"/>
      <c r="DC1105" s="73"/>
      <c r="DD1105" s="73"/>
      <c r="DE1105" s="73"/>
      <c r="DF1105" s="73"/>
      <c r="DG1105" s="73"/>
      <c r="DH1105" s="73"/>
      <c r="DI1105" s="73"/>
      <c r="DJ1105" s="73"/>
      <c r="DK1105" s="73"/>
      <c r="DL1105" s="73"/>
      <c r="DM1105" s="73"/>
      <c r="DN1105" s="73"/>
      <c r="DO1105" s="73"/>
      <c r="DP1105" s="73"/>
      <c r="DQ1105" s="73"/>
      <c r="DR1105" s="73"/>
      <c r="DS1105" s="73"/>
      <c r="DT1105" s="73"/>
      <c r="DU1105" s="73"/>
      <c r="DV1105" s="73"/>
      <c r="DW1105" s="73"/>
      <c r="DX1105" s="72"/>
      <c r="DY1105" s="72"/>
      <c r="DZ1105" s="73"/>
      <c r="EA1105" s="73"/>
      <c r="EB1105" s="73"/>
      <c r="EC1105" s="73"/>
      <c r="ED1105" s="73"/>
      <c r="EE1105" s="73"/>
      <c r="EF1105" s="73"/>
      <c r="EG1105" s="73"/>
      <c r="EH1105" s="73"/>
      <c r="EI1105" s="73"/>
      <c r="EJ1105" s="73"/>
      <c r="EK1105" s="73"/>
      <c r="EL1105" s="73"/>
      <c r="EM1105" s="73"/>
      <c r="EN1105" s="73"/>
      <c r="EO1105" s="73"/>
      <c r="EP1105" s="69"/>
      <c r="EQ1105" s="69"/>
      <c r="ER1105" s="69"/>
    </row>
    <row r="1106">
      <c r="A1106" s="73"/>
      <c r="B1106" s="73"/>
      <c r="C1106" s="73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  <c r="AA1106" s="73"/>
      <c r="AB1106" s="73"/>
      <c r="AC1106" s="73"/>
      <c r="AD1106" s="73"/>
      <c r="AE1106" s="73"/>
      <c r="AF1106" s="73"/>
      <c r="AG1106" s="73"/>
      <c r="AH1106" s="73"/>
      <c r="AI1106" s="73"/>
      <c r="AJ1106" s="73"/>
      <c r="AK1106" s="73"/>
      <c r="AL1106" s="73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  <c r="CI1106" s="73"/>
      <c r="CJ1106" s="73"/>
      <c r="CK1106" s="73"/>
      <c r="CL1106" s="73"/>
      <c r="CM1106" s="73"/>
      <c r="CN1106" s="73"/>
      <c r="CO1106" s="73"/>
      <c r="CP1106" s="73"/>
      <c r="CQ1106" s="73"/>
      <c r="CR1106" s="73"/>
      <c r="CS1106" s="73"/>
      <c r="CT1106" s="73"/>
      <c r="CU1106" s="73"/>
      <c r="CV1106" s="73"/>
      <c r="CW1106" s="73"/>
      <c r="CX1106" s="73"/>
      <c r="CY1106" s="73"/>
      <c r="CZ1106" s="73"/>
      <c r="DA1106" s="73"/>
      <c r="DB1106" s="73"/>
      <c r="DC1106" s="73"/>
      <c r="DD1106" s="73"/>
      <c r="DE1106" s="73"/>
      <c r="DF1106" s="73"/>
      <c r="DG1106" s="73"/>
      <c r="DH1106" s="73"/>
      <c r="DI1106" s="73"/>
      <c r="DJ1106" s="73"/>
      <c r="DK1106" s="73"/>
      <c r="DL1106" s="73"/>
      <c r="DM1106" s="73"/>
      <c r="DN1106" s="73"/>
      <c r="DO1106" s="73"/>
      <c r="DP1106" s="73"/>
      <c r="DQ1106" s="73"/>
      <c r="DR1106" s="73"/>
      <c r="DS1106" s="73"/>
      <c r="DT1106" s="73"/>
      <c r="DU1106" s="73"/>
      <c r="DV1106" s="73"/>
      <c r="DW1106" s="73"/>
      <c r="DX1106" s="73"/>
      <c r="DY1106" s="73"/>
      <c r="DZ1106" s="73"/>
      <c r="EA1106" s="73"/>
      <c r="EB1106" s="73"/>
      <c r="EC1106" s="73"/>
      <c r="ED1106" s="73"/>
      <c r="EE1106" s="73"/>
      <c r="EF1106" s="73"/>
      <c r="EG1106" s="73"/>
      <c r="EH1106" s="73"/>
      <c r="EI1106" s="73"/>
      <c r="EJ1106" s="73"/>
      <c r="EK1106" s="73"/>
      <c r="EL1106" s="73"/>
      <c r="EM1106" s="73"/>
      <c r="EN1106" s="73"/>
      <c r="EO1106" s="73"/>
      <c r="EP1106" s="69"/>
      <c r="EQ1106" s="69"/>
      <c r="ER1106" s="69"/>
    </row>
    <row r="1107">
      <c r="A1107" s="73"/>
      <c r="B1107" s="73"/>
      <c r="C1107" s="73"/>
      <c r="D1107" s="73"/>
      <c r="E1107" s="73"/>
      <c r="F1107" s="73"/>
      <c r="G1107" s="73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  <c r="AA1107" s="73"/>
      <c r="AB1107" s="73"/>
      <c r="AC1107" s="73"/>
      <c r="AD1107" s="73"/>
      <c r="AE1107" s="73"/>
      <c r="AF1107" s="73"/>
      <c r="AG1107" s="73"/>
      <c r="AH1107" s="73"/>
      <c r="AI1107" s="73"/>
      <c r="AJ1107" s="73"/>
      <c r="AK1107" s="73"/>
      <c r="AL1107" s="73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  <c r="CI1107" s="73"/>
      <c r="CJ1107" s="73"/>
      <c r="CK1107" s="73"/>
      <c r="CL1107" s="73"/>
      <c r="CM1107" s="73"/>
      <c r="CN1107" s="73"/>
      <c r="CO1107" s="73"/>
      <c r="CP1107" s="73"/>
      <c r="CQ1107" s="73"/>
      <c r="CR1107" s="73"/>
      <c r="CS1107" s="73"/>
      <c r="CT1107" s="73"/>
      <c r="CU1107" s="73"/>
      <c r="CV1107" s="73"/>
      <c r="CW1107" s="73"/>
      <c r="CX1107" s="73"/>
      <c r="CY1107" s="73"/>
      <c r="CZ1107" s="73"/>
      <c r="DA1107" s="73"/>
      <c r="DB1107" s="73"/>
      <c r="DC1107" s="73"/>
      <c r="DD1107" s="73"/>
      <c r="DE1107" s="73"/>
      <c r="DF1107" s="73"/>
      <c r="DG1107" s="73"/>
      <c r="DH1107" s="73"/>
      <c r="DI1107" s="73"/>
      <c r="DJ1107" s="73"/>
      <c r="DK1107" s="73"/>
      <c r="DL1107" s="73"/>
      <c r="DM1107" s="73"/>
      <c r="DN1107" s="73"/>
      <c r="DO1107" s="73"/>
      <c r="DP1107" s="73"/>
      <c r="DQ1107" s="73"/>
      <c r="DR1107" s="73"/>
      <c r="DS1107" s="73"/>
      <c r="DT1107" s="73"/>
      <c r="DU1107" s="73"/>
      <c r="DV1107" s="73"/>
      <c r="DW1107" s="73"/>
      <c r="DX1107" s="72"/>
      <c r="DY1107" s="72"/>
      <c r="DZ1107" s="73"/>
      <c r="EA1107" s="73"/>
      <c r="EB1107" s="73"/>
      <c r="EC1107" s="73"/>
      <c r="ED1107" s="73"/>
      <c r="EE1107" s="73"/>
      <c r="EF1107" s="73"/>
      <c r="EG1107" s="73"/>
      <c r="EH1107" s="73"/>
      <c r="EI1107" s="73"/>
      <c r="EJ1107" s="73"/>
      <c r="EK1107" s="73"/>
      <c r="EL1107" s="73"/>
      <c r="EM1107" s="73"/>
      <c r="EN1107" s="73"/>
      <c r="EO1107" s="73"/>
      <c r="EP1107" s="69"/>
      <c r="EQ1107" s="69"/>
      <c r="ER1107" s="69"/>
    </row>
    <row r="1108">
      <c r="A1108" s="73"/>
      <c r="B1108" s="73"/>
      <c r="C1108" s="73"/>
      <c r="D1108" s="73"/>
      <c r="E1108" s="73"/>
      <c r="F1108" s="73"/>
      <c r="G1108" s="73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  <c r="AA1108" s="73"/>
      <c r="AB1108" s="73"/>
      <c r="AC1108" s="73"/>
      <c r="AD1108" s="73"/>
      <c r="AE1108" s="73"/>
      <c r="AF1108" s="73"/>
      <c r="AG1108" s="73"/>
      <c r="AH1108" s="73"/>
      <c r="AI1108" s="73"/>
      <c r="AJ1108" s="73"/>
      <c r="AK1108" s="73"/>
      <c r="AL1108" s="73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  <c r="CI1108" s="73"/>
      <c r="CJ1108" s="73"/>
      <c r="CK1108" s="73"/>
      <c r="CL1108" s="73"/>
      <c r="CM1108" s="72"/>
      <c r="CN1108" s="73"/>
      <c r="CO1108" s="73"/>
      <c r="CP1108" s="73"/>
      <c r="CQ1108" s="73"/>
      <c r="CR1108" s="73"/>
      <c r="CS1108" s="73"/>
      <c r="CT1108" s="73"/>
      <c r="CU1108" s="73"/>
      <c r="CV1108" s="73"/>
      <c r="CW1108" s="73"/>
      <c r="CX1108" s="73"/>
      <c r="CY1108" s="73"/>
      <c r="CZ1108" s="73"/>
      <c r="DA1108" s="73"/>
      <c r="DB1108" s="73"/>
      <c r="DC1108" s="73"/>
      <c r="DD1108" s="73"/>
      <c r="DE1108" s="73"/>
      <c r="DF1108" s="73"/>
      <c r="DG1108" s="73"/>
      <c r="DH1108" s="73"/>
      <c r="DI1108" s="73"/>
      <c r="DJ1108" s="73"/>
      <c r="DK1108" s="73"/>
      <c r="DL1108" s="73"/>
      <c r="DM1108" s="73"/>
      <c r="DN1108" s="73"/>
      <c r="DO1108" s="73"/>
      <c r="DP1108" s="73"/>
      <c r="DQ1108" s="73"/>
      <c r="DR1108" s="73"/>
      <c r="DS1108" s="73"/>
      <c r="DT1108" s="73"/>
      <c r="DU1108" s="73"/>
      <c r="DV1108" s="73"/>
      <c r="DW1108" s="73"/>
      <c r="DX1108" s="72"/>
      <c r="DY1108" s="72"/>
      <c r="DZ1108" s="73"/>
      <c r="EA1108" s="73"/>
      <c r="EB1108" s="73"/>
      <c r="EC1108" s="73"/>
      <c r="ED1108" s="73"/>
      <c r="EE1108" s="73"/>
      <c r="EF1108" s="73"/>
      <c r="EG1108" s="73"/>
      <c r="EH1108" s="73"/>
      <c r="EI1108" s="73"/>
      <c r="EJ1108" s="73"/>
      <c r="EK1108" s="73"/>
      <c r="EL1108" s="73"/>
      <c r="EM1108" s="73"/>
      <c r="EN1108" s="73"/>
      <c r="EO1108" s="73"/>
      <c r="EP1108" s="69"/>
      <c r="EQ1108" s="69"/>
      <c r="ER1108" s="69"/>
    </row>
    <row r="1109">
      <c r="A1109" s="73"/>
      <c r="B1109" s="73"/>
      <c r="C1109" s="73"/>
      <c r="D1109" s="73"/>
      <c r="E1109" s="73"/>
      <c r="F1109" s="73"/>
      <c r="G1109" s="73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  <c r="AA1109" s="73"/>
      <c r="AB1109" s="73"/>
      <c r="AC1109" s="73"/>
      <c r="AD1109" s="73"/>
      <c r="AE1109" s="73"/>
      <c r="AF1109" s="73"/>
      <c r="AG1109" s="73"/>
      <c r="AH1109" s="73"/>
      <c r="AI1109" s="73"/>
      <c r="AJ1109" s="73"/>
      <c r="AK1109" s="73"/>
      <c r="AL1109" s="73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  <c r="CI1109" s="73"/>
      <c r="CJ1109" s="73"/>
      <c r="CK1109" s="73"/>
      <c r="CL1109" s="73"/>
      <c r="CM1109" s="73"/>
      <c r="CN1109" s="73"/>
      <c r="CO1109" s="73"/>
      <c r="CP1109" s="73"/>
      <c r="CQ1109" s="73"/>
      <c r="CR1109" s="73"/>
      <c r="CS1109" s="73"/>
      <c r="CT1109" s="73"/>
      <c r="CU1109" s="73"/>
      <c r="CV1109" s="73"/>
      <c r="CW1109" s="73"/>
      <c r="CX1109" s="73"/>
      <c r="CY1109" s="73"/>
      <c r="CZ1109" s="73"/>
      <c r="DA1109" s="73"/>
      <c r="DB1109" s="73"/>
      <c r="DC1109" s="73"/>
      <c r="DD1109" s="73"/>
      <c r="DE1109" s="73"/>
      <c r="DF1109" s="73"/>
      <c r="DG1109" s="73"/>
      <c r="DH1109" s="73"/>
      <c r="DI1109" s="73"/>
      <c r="DJ1109" s="73"/>
      <c r="DK1109" s="73"/>
      <c r="DL1109" s="73"/>
      <c r="DM1109" s="73"/>
      <c r="DN1109" s="73"/>
      <c r="DO1109" s="73"/>
      <c r="DP1109" s="73"/>
      <c r="DQ1109" s="73"/>
      <c r="DR1109" s="73"/>
      <c r="DS1109" s="73"/>
      <c r="DT1109" s="73"/>
      <c r="DU1109" s="73"/>
      <c r="DV1109" s="73"/>
      <c r="DW1109" s="73"/>
      <c r="DX1109" s="72"/>
      <c r="DY1109" s="72"/>
      <c r="DZ1109" s="73"/>
      <c r="EA1109" s="73"/>
      <c r="EB1109" s="73"/>
      <c r="EC1109" s="73"/>
      <c r="ED1109" s="73"/>
      <c r="EE1109" s="73"/>
      <c r="EF1109" s="73"/>
      <c r="EG1109" s="73"/>
      <c r="EH1109" s="73"/>
      <c r="EI1109" s="73"/>
      <c r="EJ1109" s="73"/>
      <c r="EK1109" s="73"/>
      <c r="EL1109" s="73"/>
      <c r="EM1109" s="73"/>
      <c r="EN1109" s="73"/>
      <c r="EO1109" s="73"/>
      <c r="EP1109" s="69"/>
      <c r="EQ1109" s="69"/>
      <c r="ER1109" s="69"/>
    </row>
    <row r="1110">
      <c r="A1110" s="73"/>
      <c r="B1110" s="73"/>
      <c r="C1110" s="73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  <c r="AA1110" s="73"/>
      <c r="AB1110" s="73"/>
      <c r="AC1110" s="73"/>
      <c r="AD1110" s="73"/>
      <c r="AE1110" s="73"/>
      <c r="AF1110" s="73"/>
      <c r="AG1110" s="73"/>
      <c r="AH1110" s="73"/>
      <c r="AI1110" s="73"/>
      <c r="AJ1110" s="73"/>
      <c r="AK1110" s="73"/>
      <c r="AL1110" s="73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  <c r="CI1110" s="73"/>
      <c r="CJ1110" s="73"/>
      <c r="CK1110" s="73"/>
      <c r="CL1110" s="73"/>
      <c r="CM1110" s="73"/>
      <c r="CN1110" s="73"/>
      <c r="CO1110" s="73"/>
      <c r="CP1110" s="73"/>
      <c r="CQ1110" s="73"/>
      <c r="CR1110" s="73"/>
      <c r="CS1110" s="73"/>
      <c r="CT1110" s="73"/>
      <c r="CU1110" s="73"/>
      <c r="CV1110" s="73"/>
      <c r="CW1110" s="73"/>
      <c r="CX1110" s="73"/>
      <c r="CY1110" s="73"/>
      <c r="CZ1110" s="73"/>
      <c r="DA1110" s="73"/>
      <c r="DB1110" s="73"/>
      <c r="DC1110" s="73"/>
      <c r="DD1110" s="73"/>
      <c r="DE1110" s="73"/>
      <c r="DF1110" s="73"/>
      <c r="DG1110" s="73"/>
      <c r="DH1110" s="73"/>
      <c r="DI1110" s="73"/>
      <c r="DJ1110" s="73"/>
      <c r="DK1110" s="73"/>
      <c r="DL1110" s="73"/>
      <c r="DM1110" s="73"/>
      <c r="DN1110" s="73"/>
      <c r="DO1110" s="73"/>
      <c r="DP1110" s="73"/>
      <c r="DQ1110" s="73"/>
      <c r="DR1110" s="73"/>
      <c r="DS1110" s="73"/>
      <c r="DT1110" s="73"/>
      <c r="DU1110" s="73"/>
      <c r="DV1110" s="73"/>
      <c r="DW1110" s="73"/>
      <c r="DX1110" s="72"/>
      <c r="DY1110" s="72"/>
      <c r="DZ1110" s="73"/>
      <c r="EA1110" s="73"/>
      <c r="EB1110" s="73"/>
      <c r="EC1110" s="73"/>
      <c r="ED1110" s="73"/>
      <c r="EE1110" s="73"/>
      <c r="EF1110" s="73"/>
      <c r="EG1110" s="73"/>
      <c r="EH1110" s="73"/>
      <c r="EI1110" s="73"/>
      <c r="EJ1110" s="73"/>
      <c r="EK1110" s="73"/>
      <c r="EL1110" s="73"/>
      <c r="EM1110" s="73"/>
      <c r="EN1110" s="73"/>
      <c r="EO1110" s="73"/>
      <c r="EP1110" s="69"/>
      <c r="EQ1110" s="69"/>
      <c r="ER1110" s="69"/>
    </row>
    <row r="1111">
      <c r="A1111" s="73"/>
      <c r="B1111" s="73"/>
      <c r="C1111" s="73"/>
      <c r="D1111" s="73"/>
      <c r="E1111" s="73"/>
      <c r="F1111" s="73"/>
      <c r="G1111" s="73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  <c r="AA1111" s="73"/>
      <c r="AB1111" s="73"/>
      <c r="AC1111" s="73"/>
      <c r="AD1111" s="73"/>
      <c r="AE1111" s="73"/>
      <c r="AF1111" s="73"/>
      <c r="AG1111" s="73"/>
      <c r="AH1111" s="73"/>
      <c r="AI1111" s="73"/>
      <c r="AJ1111" s="73"/>
      <c r="AK1111" s="73"/>
      <c r="AL1111" s="73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  <c r="CI1111" s="73"/>
      <c r="CJ1111" s="73"/>
      <c r="CK1111" s="73"/>
      <c r="CL1111" s="73"/>
      <c r="CM1111" s="73"/>
      <c r="CN1111" s="73"/>
      <c r="CO1111" s="73"/>
      <c r="CP1111" s="73"/>
      <c r="CQ1111" s="73"/>
      <c r="CR1111" s="73"/>
      <c r="CS1111" s="73"/>
      <c r="CT1111" s="73"/>
      <c r="CU1111" s="73"/>
      <c r="CV1111" s="73"/>
      <c r="CW1111" s="73"/>
      <c r="CX1111" s="73"/>
      <c r="CY1111" s="73"/>
      <c r="CZ1111" s="73"/>
      <c r="DA1111" s="73"/>
      <c r="DB1111" s="73"/>
      <c r="DC1111" s="73"/>
      <c r="DD1111" s="73"/>
      <c r="DE1111" s="73"/>
      <c r="DF1111" s="73"/>
      <c r="DG1111" s="73"/>
      <c r="DH1111" s="73"/>
      <c r="DI1111" s="73"/>
      <c r="DJ1111" s="73"/>
      <c r="DK1111" s="73"/>
      <c r="DL1111" s="73"/>
      <c r="DM1111" s="73"/>
      <c r="DN1111" s="73"/>
      <c r="DO1111" s="73"/>
      <c r="DP1111" s="73"/>
      <c r="DQ1111" s="73"/>
      <c r="DR1111" s="73"/>
      <c r="DS1111" s="73"/>
      <c r="DT1111" s="73"/>
      <c r="DU1111" s="73"/>
      <c r="DV1111" s="73"/>
      <c r="DW1111" s="73"/>
      <c r="DX1111" s="72"/>
      <c r="DY1111" s="72"/>
      <c r="DZ1111" s="73"/>
      <c r="EA1111" s="73"/>
      <c r="EB1111" s="73"/>
      <c r="EC1111" s="73"/>
      <c r="ED1111" s="73"/>
      <c r="EE1111" s="73"/>
      <c r="EF1111" s="73"/>
      <c r="EG1111" s="73"/>
      <c r="EH1111" s="73"/>
      <c r="EI1111" s="73"/>
      <c r="EJ1111" s="73"/>
      <c r="EK1111" s="73"/>
      <c r="EL1111" s="73"/>
      <c r="EM1111" s="73"/>
      <c r="EN1111" s="73"/>
      <c r="EO1111" s="73"/>
      <c r="EP1111" s="69"/>
      <c r="EQ1111" s="69"/>
      <c r="ER1111" s="69"/>
    </row>
    <row r="1112">
      <c r="A1112" s="73"/>
      <c r="B1112" s="73"/>
      <c r="C1112" s="73"/>
      <c r="D1112" s="73"/>
      <c r="E1112" s="73"/>
      <c r="F1112" s="73"/>
      <c r="G1112" s="73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  <c r="AA1112" s="73"/>
      <c r="AB1112" s="73"/>
      <c r="AC1112" s="73"/>
      <c r="AD1112" s="73"/>
      <c r="AE1112" s="73"/>
      <c r="AF1112" s="73"/>
      <c r="AG1112" s="73"/>
      <c r="AH1112" s="73"/>
      <c r="AI1112" s="73"/>
      <c r="AJ1112" s="73"/>
      <c r="AK1112" s="73"/>
      <c r="AL1112" s="73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  <c r="CI1112" s="73"/>
      <c r="CJ1112" s="73"/>
      <c r="CK1112" s="73"/>
      <c r="CL1112" s="73"/>
      <c r="CM1112" s="73"/>
      <c r="CN1112" s="73"/>
      <c r="CO1112" s="73"/>
      <c r="CP1112" s="73"/>
      <c r="CQ1112" s="73"/>
      <c r="CR1112" s="73"/>
      <c r="CS1112" s="73"/>
      <c r="CT1112" s="73"/>
      <c r="CU1112" s="73"/>
      <c r="CV1112" s="73"/>
      <c r="CW1112" s="73"/>
      <c r="CX1112" s="73"/>
      <c r="CY1112" s="73"/>
      <c r="CZ1112" s="73"/>
      <c r="DA1112" s="73"/>
      <c r="DB1112" s="73"/>
      <c r="DC1112" s="73"/>
      <c r="DD1112" s="73"/>
      <c r="DE1112" s="73"/>
      <c r="DF1112" s="73"/>
      <c r="DG1112" s="73"/>
      <c r="DH1112" s="73"/>
      <c r="DI1112" s="73"/>
      <c r="DJ1112" s="73"/>
      <c r="DK1112" s="73"/>
      <c r="DL1112" s="73"/>
      <c r="DM1112" s="73"/>
      <c r="DN1112" s="73"/>
      <c r="DO1112" s="73"/>
      <c r="DP1112" s="73"/>
      <c r="DQ1112" s="73"/>
      <c r="DR1112" s="73"/>
      <c r="DS1112" s="73"/>
      <c r="DT1112" s="73"/>
      <c r="DU1112" s="73"/>
      <c r="DV1112" s="73"/>
      <c r="DW1112" s="73"/>
      <c r="DX1112" s="72"/>
      <c r="DY1112" s="72"/>
      <c r="DZ1112" s="73"/>
      <c r="EA1112" s="73"/>
      <c r="EB1112" s="73"/>
      <c r="EC1112" s="73"/>
      <c r="ED1112" s="73"/>
      <c r="EE1112" s="73"/>
      <c r="EF1112" s="73"/>
      <c r="EG1112" s="73"/>
      <c r="EH1112" s="73"/>
      <c r="EI1112" s="73"/>
      <c r="EJ1112" s="73"/>
      <c r="EK1112" s="73"/>
      <c r="EL1112" s="73"/>
      <c r="EM1112" s="73"/>
      <c r="EN1112" s="73"/>
      <c r="EO1112" s="73"/>
      <c r="EP1112" s="69"/>
      <c r="EQ1112" s="69"/>
      <c r="ER1112" s="69"/>
    </row>
    <row r="1113">
      <c r="A1113" s="73"/>
      <c r="B1113" s="73"/>
      <c r="C1113" s="73"/>
      <c r="D1113" s="73"/>
      <c r="E1113" s="73"/>
      <c r="F1113" s="73"/>
      <c r="G1113" s="73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73"/>
      <c r="AK1113" s="73"/>
      <c r="AL1113" s="73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  <c r="CI1113" s="73"/>
      <c r="CJ1113" s="73"/>
      <c r="CK1113" s="73"/>
      <c r="CL1113" s="73"/>
      <c r="CM1113" s="73"/>
      <c r="CN1113" s="73"/>
      <c r="CO1113" s="73"/>
      <c r="CP1113" s="73"/>
      <c r="CQ1113" s="73"/>
      <c r="CR1113" s="73"/>
      <c r="CS1113" s="73"/>
      <c r="CT1113" s="73"/>
      <c r="CU1113" s="73"/>
      <c r="CV1113" s="73"/>
      <c r="CW1113" s="73"/>
      <c r="CX1113" s="73"/>
      <c r="CY1113" s="73"/>
      <c r="CZ1113" s="73"/>
      <c r="DA1113" s="73"/>
      <c r="DB1113" s="73"/>
      <c r="DC1113" s="73"/>
      <c r="DD1113" s="73"/>
      <c r="DE1113" s="73"/>
      <c r="DF1113" s="73"/>
      <c r="DG1113" s="73"/>
      <c r="DH1113" s="73"/>
      <c r="DI1113" s="73"/>
      <c r="DJ1113" s="73"/>
      <c r="DK1113" s="73"/>
      <c r="DL1113" s="73"/>
      <c r="DM1113" s="73"/>
      <c r="DN1113" s="73"/>
      <c r="DO1113" s="73"/>
      <c r="DP1113" s="73"/>
      <c r="DQ1113" s="73"/>
      <c r="DR1113" s="73"/>
      <c r="DS1113" s="73"/>
      <c r="DT1113" s="73"/>
      <c r="DU1113" s="73"/>
      <c r="DV1113" s="73"/>
      <c r="DW1113" s="73"/>
      <c r="DX1113" s="72"/>
      <c r="DY1113" s="72"/>
      <c r="DZ1113" s="73"/>
      <c r="EA1113" s="73"/>
      <c r="EB1113" s="73"/>
      <c r="EC1113" s="73"/>
      <c r="ED1113" s="73"/>
      <c r="EE1113" s="73"/>
      <c r="EF1113" s="73"/>
      <c r="EG1113" s="73"/>
      <c r="EH1113" s="73"/>
      <c r="EI1113" s="73"/>
      <c r="EJ1113" s="73"/>
      <c r="EK1113" s="73"/>
      <c r="EL1113" s="73"/>
      <c r="EM1113" s="73"/>
      <c r="EN1113" s="73"/>
      <c r="EO1113" s="73"/>
      <c r="EP1113" s="69"/>
      <c r="EQ1113" s="69"/>
      <c r="ER1113" s="69"/>
    </row>
    <row r="1114">
      <c r="A1114" s="73"/>
      <c r="B1114" s="73"/>
      <c r="C1114" s="73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  <c r="AA1114" s="73"/>
      <c r="AB1114" s="73"/>
      <c r="AC1114" s="73"/>
      <c r="AD1114" s="73"/>
      <c r="AE1114" s="73"/>
      <c r="AF1114" s="73"/>
      <c r="AG1114" s="73"/>
      <c r="AH1114" s="73"/>
      <c r="AI1114" s="73"/>
      <c r="AJ1114" s="73"/>
      <c r="AK1114" s="73"/>
      <c r="AL1114" s="73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  <c r="CI1114" s="73"/>
      <c r="CJ1114" s="73"/>
      <c r="CK1114" s="73"/>
      <c r="CL1114" s="73"/>
      <c r="CM1114" s="73"/>
      <c r="CN1114" s="73"/>
      <c r="CO1114" s="73"/>
      <c r="CP1114" s="73"/>
      <c r="CQ1114" s="73"/>
      <c r="CR1114" s="73"/>
      <c r="CS1114" s="73"/>
      <c r="CT1114" s="73"/>
      <c r="CU1114" s="73"/>
      <c r="CV1114" s="73"/>
      <c r="CW1114" s="73"/>
      <c r="CX1114" s="73"/>
      <c r="CY1114" s="73"/>
      <c r="CZ1114" s="73"/>
      <c r="DA1114" s="73"/>
      <c r="DB1114" s="73"/>
      <c r="DC1114" s="73"/>
      <c r="DD1114" s="73"/>
      <c r="DE1114" s="73"/>
      <c r="DF1114" s="73"/>
      <c r="DG1114" s="73"/>
      <c r="DH1114" s="73"/>
      <c r="DI1114" s="73"/>
      <c r="DJ1114" s="73"/>
      <c r="DK1114" s="73"/>
      <c r="DL1114" s="73"/>
      <c r="DM1114" s="73"/>
      <c r="DN1114" s="73"/>
      <c r="DO1114" s="73"/>
      <c r="DP1114" s="73"/>
      <c r="DQ1114" s="73"/>
      <c r="DR1114" s="73"/>
      <c r="DS1114" s="73"/>
      <c r="DT1114" s="73"/>
      <c r="DU1114" s="73"/>
      <c r="DV1114" s="73"/>
      <c r="DW1114" s="73"/>
      <c r="DX1114" s="72"/>
      <c r="DY1114" s="72"/>
      <c r="DZ1114" s="73"/>
      <c r="EA1114" s="73"/>
      <c r="EB1114" s="73"/>
      <c r="EC1114" s="73"/>
      <c r="ED1114" s="73"/>
      <c r="EE1114" s="73"/>
      <c r="EF1114" s="73"/>
      <c r="EG1114" s="73"/>
      <c r="EH1114" s="73"/>
      <c r="EI1114" s="73"/>
      <c r="EJ1114" s="73"/>
      <c r="EK1114" s="73"/>
      <c r="EL1114" s="73"/>
      <c r="EM1114" s="73"/>
      <c r="EN1114" s="73"/>
      <c r="EO1114" s="73"/>
      <c r="EP1114" s="69"/>
      <c r="EQ1114" s="69"/>
      <c r="ER1114" s="69"/>
    </row>
    <row r="1115">
      <c r="A1115" s="73"/>
      <c r="B1115" s="73"/>
      <c r="C1115" s="73"/>
      <c r="D1115" s="73"/>
      <c r="E1115" s="73"/>
      <c r="F1115" s="73"/>
      <c r="G1115" s="73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  <c r="AA1115" s="73"/>
      <c r="AB1115" s="73"/>
      <c r="AC1115" s="73"/>
      <c r="AD1115" s="73"/>
      <c r="AE1115" s="73"/>
      <c r="AF1115" s="73"/>
      <c r="AG1115" s="73"/>
      <c r="AH1115" s="73"/>
      <c r="AI1115" s="73"/>
      <c r="AJ1115" s="73"/>
      <c r="AK1115" s="73"/>
      <c r="AL1115" s="73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  <c r="CI1115" s="73"/>
      <c r="CJ1115" s="73"/>
      <c r="CK1115" s="73"/>
      <c r="CL1115" s="73"/>
      <c r="CM1115" s="73"/>
      <c r="CN1115" s="73"/>
      <c r="CO1115" s="73"/>
      <c r="CP1115" s="73"/>
      <c r="CQ1115" s="73"/>
      <c r="CR1115" s="73"/>
      <c r="CS1115" s="73"/>
      <c r="CT1115" s="73"/>
      <c r="CU1115" s="73"/>
      <c r="CV1115" s="73"/>
      <c r="CW1115" s="73"/>
      <c r="CX1115" s="73"/>
      <c r="CY1115" s="73"/>
      <c r="CZ1115" s="73"/>
      <c r="DA1115" s="73"/>
      <c r="DB1115" s="73"/>
      <c r="DC1115" s="73"/>
      <c r="DD1115" s="73"/>
      <c r="DE1115" s="73"/>
      <c r="DF1115" s="73"/>
      <c r="DG1115" s="73"/>
      <c r="DH1115" s="73"/>
      <c r="DI1115" s="73"/>
      <c r="DJ1115" s="73"/>
      <c r="DK1115" s="73"/>
      <c r="DL1115" s="73"/>
      <c r="DM1115" s="73"/>
      <c r="DN1115" s="73"/>
      <c r="DO1115" s="73"/>
      <c r="DP1115" s="73"/>
      <c r="DQ1115" s="73"/>
      <c r="DR1115" s="73"/>
      <c r="DS1115" s="73"/>
      <c r="DT1115" s="73"/>
      <c r="DU1115" s="73"/>
      <c r="DV1115" s="73"/>
      <c r="DW1115" s="73"/>
      <c r="DX1115" s="72"/>
      <c r="DY1115" s="72"/>
      <c r="DZ1115" s="73"/>
      <c r="EA1115" s="73"/>
      <c r="EB1115" s="73"/>
      <c r="EC1115" s="73"/>
      <c r="ED1115" s="73"/>
      <c r="EE1115" s="73"/>
      <c r="EF1115" s="73"/>
      <c r="EG1115" s="73"/>
      <c r="EH1115" s="73"/>
      <c r="EI1115" s="73"/>
      <c r="EJ1115" s="73"/>
      <c r="EK1115" s="73"/>
      <c r="EL1115" s="73"/>
      <c r="EM1115" s="73"/>
      <c r="EN1115" s="73"/>
      <c r="EO1115" s="73"/>
      <c r="EP1115" s="69"/>
      <c r="EQ1115" s="69"/>
      <c r="ER1115" s="69"/>
    </row>
    <row r="1116">
      <c r="A1116" s="73"/>
      <c r="B1116" s="73"/>
      <c r="C1116" s="73"/>
      <c r="D1116" s="73"/>
      <c r="E1116" s="73"/>
      <c r="F1116" s="73"/>
      <c r="G1116" s="73"/>
      <c r="H1116" s="73"/>
      <c r="I1116" s="73"/>
      <c r="J1116" s="73"/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  <c r="AA1116" s="73"/>
      <c r="AB1116" s="73"/>
      <c r="AC1116" s="73"/>
      <c r="AD1116" s="73"/>
      <c r="AE1116" s="73"/>
      <c r="AF1116" s="73"/>
      <c r="AG1116" s="73"/>
      <c r="AH1116" s="73"/>
      <c r="AI1116" s="73"/>
      <c r="AJ1116" s="73"/>
      <c r="AK1116" s="73"/>
      <c r="AL1116" s="73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  <c r="CI1116" s="73"/>
      <c r="CJ1116" s="73"/>
      <c r="CK1116" s="73"/>
      <c r="CL1116" s="73"/>
      <c r="CM1116" s="73"/>
      <c r="CN1116" s="73"/>
      <c r="CO1116" s="73"/>
      <c r="CP1116" s="73"/>
      <c r="CQ1116" s="73"/>
      <c r="CR1116" s="73"/>
      <c r="CS1116" s="73"/>
      <c r="CT1116" s="73"/>
      <c r="CU1116" s="73"/>
      <c r="CV1116" s="73"/>
      <c r="CW1116" s="73"/>
      <c r="CX1116" s="73"/>
      <c r="CY1116" s="73"/>
      <c r="CZ1116" s="73"/>
      <c r="DA1116" s="73"/>
      <c r="DB1116" s="73"/>
      <c r="DC1116" s="73"/>
      <c r="DD1116" s="73"/>
      <c r="DE1116" s="73"/>
      <c r="DF1116" s="73"/>
      <c r="DG1116" s="73"/>
      <c r="DH1116" s="73"/>
      <c r="DI1116" s="73"/>
      <c r="DJ1116" s="73"/>
      <c r="DK1116" s="73"/>
      <c r="DL1116" s="73"/>
      <c r="DM1116" s="73"/>
      <c r="DN1116" s="73"/>
      <c r="DO1116" s="73"/>
      <c r="DP1116" s="73"/>
      <c r="DQ1116" s="73"/>
      <c r="DR1116" s="73"/>
      <c r="DS1116" s="73"/>
      <c r="DT1116" s="73"/>
      <c r="DU1116" s="73"/>
      <c r="DV1116" s="73"/>
      <c r="DW1116" s="73"/>
      <c r="DX1116" s="72"/>
      <c r="DY1116" s="72"/>
      <c r="DZ1116" s="73"/>
      <c r="EA1116" s="73"/>
      <c r="EB1116" s="73"/>
      <c r="EC1116" s="73"/>
      <c r="ED1116" s="73"/>
      <c r="EE1116" s="73"/>
      <c r="EF1116" s="73"/>
      <c r="EG1116" s="73"/>
      <c r="EH1116" s="73"/>
      <c r="EI1116" s="73"/>
      <c r="EJ1116" s="73"/>
      <c r="EK1116" s="73"/>
      <c r="EL1116" s="73"/>
      <c r="EM1116" s="73"/>
      <c r="EN1116" s="73"/>
      <c r="EO1116" s="73"/>
      <c r="EP1116" s="69"/>
      <c r="EQ1116" s="69"/>
      <c r="ER1116" s="69"/>
    </row>
    <row r="1117">
      <c r="A1117" s="73"/>
      <c r="B1117" s="73"/>
      <c r="C1117" s="73"/>
      <c r="D1117" s="73"/>
      <c r="E1117" s="73"/>
      <c r="F1117" s="73"/>
      <c r="G1117" s="73"/>
      <c r="H1117" s="73"/>
      <c r="I1117" s="73"/>
      <c r="J1117" s="73"/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  <c r="AA1117" s="73"/>
      <c r="AB1117" s="73"/>
      <c r="AC1117" s="73"/>
      <c r="AD1117" s="73"/>
      <c r="AE1117" s="73"/>
      <c r="AF1117" s="73"/>
      <c r="AG1117" s="73"/>
      <c r="AH1117" s="73"/>
      <c r="AI1117" s="73"/>
      <c r="AJ1117" s="73"/>
      <c r="AK1117" s="73"/>
      <c r="AL1117" s="73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  <c r="CI1117" s="73"/>
      <c r="CJ1117" s="73"/>
      <c r="CK1117" s="73"/>
      <c r="CL1117" s="73"/>
      <c r="CM1117" s="73"/>
      <c r="CN1117" s="73"/>
      <c r="CO1117" s="73"/>
      <c r="CP1117" s="73"/>
      <c r="CQ1117" s="73"/>
      <c r="CR1117" s="73"/>
      <c r="CS1117" s="73"/>
      <c r="CT1117" s="73"/>
      <c r="CU1117" s="73"/>
      <c r="CV1117" s="73"/>
      <c r="CW1117" s="73"/>
      <c r="CX1117" s="73"/>
      <c r="CY1117" s="73"/>
      <c r="CZ1117" s="73"/>
      <c r="DA1117" s="73"/>
      <c r="DB1117" s="73"/>
      <c r="DC1117" s="73"/>
      <c r="DD1117" s="73"/>
      <c r="DE1117" s="73"/>
      <c r="DF1117" s="73"/>
      <c r="DG1117" s="73"/>
      <c r="DH1117" s="73"/>
      <c r="DI1117" s="73"/>
      <c r="DJ1117" s="73"/>
      <c r="DK1117" s="73"/>
      <c r="DL1117" s="73"/>
      <c r="DM1117" s="73"/>
      <c r="DN1117" s="73"/>
      <c r="DO1117" s="73"/>
      <c r="DP1117" s="73"/>
      <c r="DQ1117" s="73"/>
      <c r="DR1117" s="73"/>
      <c r="DS1117" s="73"/>
      <c r="DT1117" s="73"/>
      <c r="DU1117" s="73"/>
      <c r="DV1117" s="73"/>
      <c r="DW1117" s="73"/>
      <c r="DX1117" s="72"/>
      <c r="DY1117" s="72"/>
      <c r="DZ1117" s="73"/>
      <c r="EA1117" s="73"/>
      <c r="EB1117" s="73"/>
      <c r="EC1117" s="73"/>
      <c r="ED1117" s="73"/>
      <c r="EE1117" s="73"/>
      <c r="EF1117" s="73"/>
      <c r="EG1117" s="73"/>
      <c r="EH1117" s="73"/>
      <c r="EI1117" s="73"/>
      <c r="EJ1117" s="73"/>
      <c r="EK1117" s="73"/>
      <c r="EL1117" s="73"/>
      <c r="EM1117" s="73"/>
      <c r="EN1117" s="73"/>
      <c r="EO1117" s="73"/>
      <c r="EP1117" s="69"/>
      <c r="EQ1117" s="69"/>
      <c r="ER1117" s="69"/>
    </row>
    <row r="1118">
      <c r="A1118" s="73"/>
      <c r="B1118" s="73"/>
      <c r="C1118" s="73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  <c r="AA1118" s="73"/>
      <c r="AB1118" s="73"/>
      <c r="AC1118" s="73"/>
      <c r="AD1118" s="73"/>
      <c r="AE1118" s="73"/>
      <c r="AF1118" s="73"/>
      <c r="AG1118" s="73"/>
      <c r="AH1118" s="73"/>
      <c r="AI1118" s="73"/>
      <c r="AJ1118" s="73"/>
      <c r="AK1118" s="73"/>
      <c r="AL1118" s="73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  <c r="CI1118" s="73"/>
      <c r="CJ1118" s="73"/>
      <c r="CK1118" s="73"/>
      <c r="CL1118" s="73"/>
      <c r="CM1118" s="72"/>
      <c r="CN1118" s="73"/>
      <c r="CO1118" s="73"/>
      <c r="CP1118" s="73"/>
      <c r="CQ1118" s="73"/>
      <c r="CR1118" s="73"/>
      <c r="CS1118" s="73"/>
      <c r="CT1118" s="73"/>
      <c r="CU1118" s="73"/>
      <c r="CV1118" s="73"/>
      <c r="CW1118" s="73"/>
      <c r="CX1118" s="73"/>
      <c r="CY1118" s="73"/>
      <c r="CZ1118" s="73"/>
      <c r="DA1118" s="73"/>
      <c r="DB1118" s="73"/>
      <c r="DC1118" s="73"/>
      <c r="DD1118" s="73"/>
      <c r="DE1118" s="73"/>
      <c r="DF1118" s="73"/>
      <c r="DG1118" s="73"/>
      <c r="DH1118" s="73"/>
      <c r="DI1118" s="73"/>
      <c r="DJ1118" s="73"/>
      <c r="DK1118" s="73"/>
      <c r="DL1118" s="73"/>
      <c r="DM1118" s="73"/>
      <c r="DN1118" s="73"/>
      <c r="DO1118" s="73"/>
      <c r="DP1118" s="73"/>
      <c r="DQ1118" s="73"/>
      <c r="DR1118" s="73"/>
      <c r="DS1118" s="73"/>
      <c r="DT1118" s="73"/>
      <c r="DU1118" s="73"/>
      <c r="DV1118" s="73"/>
      <c r="DW1118" s="73"/>
      <c r="DX1118" s="72"/>
      <c r="DY1118" s="72"/>
      <c r="DZ1118" s="73"/>
      <c r="EA1118" s="73"/>
      <c r="EB1118" s="73"/>
      <c r="EC1118" s="73"/>
      <c r="ED1118" s="73"/>
      <c r="EE1118" s="73"/>
      <c r="EF1118" s="73"/>
      <c r="EG1118" s="73"/>
      <c r="EH1118" s="73"/>
      <c r="EI1118" s="73"/>
      <c r="EJ1118" s="73"/>
      <c r="EK1118" s="73"/>
      <c r="EL1118" s="73"/>
      <c r="EM1118" s="73"/>
      <c r="EN1118" s="73"/>
      <c r="EO1118" s="73"/>
      <c r="EP1118" s="69"/>
      <c r="EQ1118" s="69"/>
      <c r="ER1118" s="69"/>
    </row>
    <row r="1119">
      <c r="A1119" s="73"/>
      <c r="B1119" s="73"/>
      <c r="C1119" s="73"/>
      <c r="D1119" s="73"/>
      <c r="E1119" s="73"/>
      <c r="F1119" s="73"/>
      <c r="G1119" s="73"/>
      <c r="H1119" s="73"/>
      <c r="I1119" s="73"/>
      <c r="J1119" s="73"/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  <c r="AA1119" s="73"/>
      <c r="AB1119" s="73"/>
      <c r="AC1119" s="73"/>
      <c r="AD1119" s="73"/>
      <c r="AE1119" s="73"/>
      <c r="AF1119" s="73"/>
      <c r="AG1119" s="73"/>
      <c r="AH1119" s="73"/>
      <c r="AI1119" s="73"/>
      <c r="AJ1119" s="73"/>
      <c r="AK1119" s="73"/>
      <c r="AL1119" s="73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  <c r="CI1119" s="73"/>
      <c r="CJ1119" s="73"/>
      <c r="CK1119" s="73"/>
      <c r="CL1119" s="73"/>
      <c r="CM1119" s="72"/>
      <c r="CN1119" s="73"/>
      <c r="CO1119" s="73"/>
      <c r="CP1119" s="73"/>
      <c r="CQ1119" s="73"/>
      <c r="CR1119" s="73"/>
      <c r="CS1119" s="73"/>
      <c r="CT1119" s="73"/>
      <c r="CU1119" s="73"/>
      <c r="CV1119" s="73"/>
      <c r="CW1119" s="73"/>
      <c r="CX1119" s="73"/>
      <c r="CY1119" s="73"/>
      <c r="CZ1119" s="73"/>
      <c r="DA1119" s="73"/>
      <c r="DB1119" s="73"/>
      <c r="DC1119" s="73"/>
      <c r="DD1119" s="73"/>
      <c r="DE1119" s="73"/>
      <c r="DF1119" s="73"/>
      <c r="DG1119" s="73"/>
      <c r="DH1119" s="73"/>
      <c r="DI1119" s="73"/>
      <c r="DJ1119" s="73"/>
      <c r="DK1119" s="73"/>
      <c r="DL1119" s="73"/>
      <c r="DM1119" s="73"/>
      <c r="DN1119" s="73"/>
      <c r="DO1119" s="73"/>
      <c r="DP1119" s="73"/>
      <c r="DQ1119" s="73"/>
      <c r="DR1119" s="73"/>
      <c r="DS1119" s="73"/>
      <c r="DT1119" s="73"/>
      <c r="DU1119" s="73"/>
      <c r="DV1119" s="73"/>
      <c r="DW1119" s="73"/>
      <c r="DX1119" s="72"/>
      <c r="DY1119" s="72"/>
      <c r="DZ1119" s="73"/>
      <c r="EA1119" s="73"/>
      <c r="EB1119" s="73"/>
      <c r="EC1119" s="73"/>
      <c r="ED1119" s="73"/>
      <c r="EE1119" s="73"/>
      <c r="EF1119" s="73"/>
      <c r="EG1119" s="73"/>
      <c r="EH1119" s="73"/>
      <c r="EI1119" s="73"/>
      <c r="EJ1119" s="73"/>
      <c r="EK1119" s="73"/>
      <c r="EL1119" s="73"/>
      <c r="EM1119" s="73"/>
      <c r="EN1119" s="73"/>
      <c r="EO1119" s="73"/>
      <c r="EP1119" s="69"/>
      <c r="EQ1119" s="69"/>
      <c r="ER1119" s="69"/>
    </row>
    <row r="1120">
      <c r="A1120" s="73"/>
      <c r="B1120" s="73"/>
      <c r="C1120" s="73"/>
      <c r="D1120" s="73"/>
      <c r="E1120" s="73"/>
      <c r="F1120" s="73"/>
      <c r="G1120" s="73"/>
      <c r="H1120" s="73"/>
      <c r="I1120" s="73"/>
      <c r="J1120" s="73"/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  <c r="AA1120" s="73"/>
      <c r="AB1120" s="73"/>
      <c r="AC1120" s="73"/>
      <c r="AD1120" s="73"/>
      <c r="AE1120" s="73"/>
      <c r="AF1120" s="73"/>
      <c r="AG1120" s="73"/>
      <c r="AH1120" s="73"/>
      <c r="AI1120" s="73"/>
      <c r="AJ1120" s="73"/>
      <c r="AK1120" s="73"/>
      <c r="AL1120" s="73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  <c r="CI1120" s="73"/>
      <c r="CJ1120" s="73"/>
      <c r="CK1120" s="73"/>
      <c r="CL1120" s="73"/>
      <c r="CM1120" s="72"/>
      <c r="CN1120" s="73"/>
      <c r="CO1120" s="73"/>
      <c r="CP1120" s="73"/>
      <c r="CQ1120" s="73"/>
      <c r="CR1120" s="73"/>
      <c r="CS1120" s="73"/>
      <c r="CT1120" s="73"/>
      <c r="CU1120" s="73"/>
      <c r="CV1120" s="73"/>
      <c r="CW1120" s="73"/>
      <c r="CX1120" s="73"/>
      <c r="CY1120" s="73"/>
      <c r="CZ1120" s="73"/>
      <c r="DA1120" s="73"/>
      <c r="DB1120" s="73"/>
      <c r="DC1120" s="73"/>
      <c r="DD1120" s="73"/>
      <c r="DE1120" s="73"/>
      <c r="DF1120" s="73"/>
      <c r="DG1120" s="73"/>
      <c r="DH1120" s="73"/>
      <c r="DI1120" s="73"/>
      <c r="DJ1120" s="73"/>
      <c r="DK1120" s="73"/>
      <c r="DL1120" s="73"/>
      <c r="DM1120" s="73"/>
      <c r="DN1120" s="73"/>
      <c r="DO1120" s="73"/>
      <c r="DP1120" s="73"/>
      <c r="DQ1120" s="73"/>
      <c r="DR1120" s="73"/>
      <c r="DS1120" s="73"/>
      <c r="DT1120" s="73"/>
      <c r="DU1120" s="73"/>
      <c r="DV1120" s="73"/>
      <c r="DW1120" s="73"/>
      <c r="DX1120" s="72"/>
      <c r="DY1120" s="72"/>
      <c r="DZ1120" s="73"/>
      <c r="EA1120" s="73"/>
      <c r="EB1120" s="73"/>
      <c r="EC1120" s="73"/>
      <c r="ED1120" s="73"/>
      <c r="EE1120" s="73"/>
      <c r="EF1120" s="73"/>
      <c r="EG1120" s="73"/>
      <c r="EH1120" s="73"/>
      <c r="EI1120" s="73"/>
      <c r="EJ1120" s="73"/>
      <c r="EK1120" s="73"/>
      <c r="EL1120" s="73"/>
      <c r="EM1120" s="73"/>
      <c r="EN1120" s="73"/>
      <c r="EO1120" s="73"/>
      <c r="EP1120" s="69"/>
      <c r="EQ1120" s="69"/>
      <c r="ER1120" s="69"/>
    </row>
    <row r="1121">
      <c r="A1121" s="73"/>
      <c r="B1121" s="73"/>
      <c r="C1121" s="73"/>
      <c r="D1121" s="73"/>
      <c r="E1121" s="73"/>
      <c r="F1121" s="73"/>
      <c r="G1121" s="73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  <c r="AA1121" s="73"/>
      <c r="AB1121" s="73"/>
      <c r="AC1121" s="73"/>
      <c r="AD1121" s="73"/>
      <c r="AE1121" s="73"/>
      <c r="AF1121" s="73"/>
      <c r="AG1121" s="73"/>
      <c r="AH1121" s="73"/>
      <c r="AI1121" s="73"/>
      <c r="AJ1121" s="73"/>
      <c r="AK1121" s="73"/>
      <c r="AL1121" s="73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  <c r="CI1121" s="73"/>
      <c r="CJ1121" s="73"/>
      <c r="CK1121" s="73"/>
      <c r="CL1121" s="73"/>
      <c r="CM1121" s="73"/>
      <c r="CN1121" s="73"/>
      <c r="CO1121" s="73"/>
      <c r="CP1121" s="73"/>
      <c r="CQ1121" s="73"/>
      <c r="CR1121" s="73"/>
      <c r="CS1121" s="73"/>
      <c r="CT1121" s="73"/>
      <c r="CU1121" s="73"/>
      <c r="CV1121" s="73"/>
      <c r="CW1121" s="73"/>
      <c r="CX1121" s="73"/>
      <c r="CY1121" s="73"/>
      <c r="CZ1121" s="73"/>
      <c r="DA1121" s="73"/>
      <c r="DB1121" s="73"/>
      <c r="DC1121" s="73"/>
      <c r="DD1121" s="73"/>
      <c r="DE1121" s="73"/>
      <c r="DF1121" s="73"/>
      <c r="DG1121" s="73"/>
      <c r="DH1121" s="73"/>
      <c r="DI1121" s="73"/>
      <c r="DJ1121" s="73"/>
      <c r="DK1121" s="73"/>
      <c r="DL1121" s="73"/>
      <c r="DM1121" s="73"/>
      <c r="DN1121" s="73"/>
      <c r="DO1121" s="73"/>
      <c r="DP1121" s="73"/>
      <c r="DQ1121" s="73"/>
      <c r="DR1121" s="73"/>
      <c r="DS1121" s="73"/>
      <c r="DT1121" s="73"/>
      <c r="DU1121" s="73"/>
      <c r="DV1121" s="73"/>
      <c r="DW1121" s="73"/>
      <c r="DX1121" s="72"/>
      <c r="DY1121" s="72"/>
      <c r="DZ1121" s="73"/>
      <c r="EA1121" s="73"/>
      <c r="EB1121" s="73"/>
      <c r="EC1121" s="73"/>
      <c r="ED1121" s="73"/>
      <c r="EE1121" s="73"/>
      <c r="EF1121" s="73"/>
      <c r="EG1121" s="73"/>
      <c r="EH1121" s="73"/>
      <c r="EI1121" s="73"/>
      <c r="EJ1121" s="73"/>
      <c r="EK1121" s="73"/>
      <c r="EL1121" s="73"/>
      <c r="EM1121" s="73"/>
      <c r="EN1121" s="73"/>
      <c r="EO1121" s="73"/>
      <c r="EP1121" s="69"/>
      <c r="EQ1121" s="69"/>
      <c r="ER1121" s="69"/>
    </row>
    <row r="1122">
      <c r="A1122" s="73"/>
      <c r="B1122" s="73"/>
      <c r="C1122" s="73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  <c r="AA1122" s="73"/>
      <c r="AB1122" s="73"/>
      <c r="AC1122" s="73"/>
      <c r="AD1122" s="73"/>
      <c r="AE1122" s="73"/>
      <c r="AF1122" s="73"/>
      <c r="AG1122" s="73"/>
      <c r="AH1122" s="73"/>
      <c r="AI1122" s="73"/>
      <c r="AJ1122" s="73"/>
      <c r="AK1122" s="73"/>
      <c r="AL1122" s="73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  <c r="CI1122" s="73"/>
      <c r="CJ1122" s="73"/>
      <c r="CK1122" s="73"/>
      <c r="CL1122" s="73"/>
      <c r="CM1122" s="72"/>
      <c r="CN1122" s="73"/>
      <c r="CO1122" s="73"/>
      <c r="CP1122" s="73"/>
      <c r="CQ1122" s="73"/>
      <c r="CR1122" s="73"/>
      <c r="CS1122" s="73"/>
      <c r="CT1122" s="73"/>
      <c r="CU1122" s="73"/>
      <c r="CV1122" s="73"/>
      <c r="CW1122" s="73"/>
      <c r="CX1122" s="73"/>
      <c r="CY1122" s="73"/>
      <c r="CZ1122" s="73"/>
      <c r="DA1122" s="73"/>
      <c r="DB1122" s="73"/>
      <c r="DC1122" s="73"/>
      <c r="DD1122" s="73"/>
      <c r="DE1122" s="73"/>
      <c r="DF1122" s="73"/>
      <c r="DG1122" s="73"/>
      <c r="DH1122" s="73"/>
      <c r="DI1122" s="73"/>
      <c r="DJ1122" s="73"/>
      <c r="DK1122" s="73"/>
      <c r="DL1122" s="73"/>
      <c r="DM1122" s="73"/>
      <c r="DN1122" s="73"/>
      <c r="DO1122" s="73"/>
      <c r="DP1122" s="73"/>
      <c r="DQ1122" s="73"/>
      <c r="DR1122" s="73"/>
      <c r="DS1122" s="73"/>
      <c r="DT1122" s="73"/>
      <c r="DU1122" s="73"/>
      <c r="DV1122" s="73"/>
      <c r="DW1122" s="73"/>
      <c r="DX1122" s="72"/>
      <c r="DY1122" s="72"/>
      <c r="DZ1122" s="73"/>
      <c r="EA1122" s="73"/>
      <c r="EB1122" s="73"/>
      <c r="EC1122" s="73"/>
      <c r="ED1122" s="73"/>
      <c r="EE1122" s="73"/>
      <c r="EF1122" s="73"/>
      <c r="EG1122" s="73"/>
      <c r="EH1122" s="73"/>
      <c r="EI1122" s="73"/>
      <c r="EJ1122" s="73"/>
      <c r="EK1122" s="73"/>
      <c r="EL1122" s="73"/>
      <c r="EM1122" s="73"/>
      <c r="EN1122" s="73"/>
      <c r="EO1122" s="73"/>
      <c r="EP1122" s="69"/>
      <c r="EQ1122" s="69"/>
      <c r="ER1122" s="69"/>
    </row>
    <row r="1123">
      <c r="A1123" s="73"/>
      <c r="B1123" s="73"/>
      <c r="C1123" s="73"/>
      <c r="D1123" s="73"/>
      <c r="E1123" s="73"/>
      <c r="F1123" s="73"/>
      <c r="G1123" s="73"/>
      <c r="H1123" s="73"/>
      <c r="I1123" s="73"/>
      <c r="J1123" s="73"/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  <c r="AA1123" s="73"/>
      <c r="AB1123" s="73"/>
      <c r="AC1123" s="73"/>
      <c r="AD1123" s="73"/>
      <c r="AE1123" s="73"/>
      <c r="AF1123" s="73"/>
      <c r="AG1123" s="73"/>
      <c r="AH1123" s="73"/>
      <c r="AI1123" s="73"/>
      <c r="AJ1123" s="73"/>
      <c r="AK1123" s="73"/>
      <c r="AL1123" s="73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  <c r="CI1123" s="73"/>
      <c r="CJ1123" s="73"/>
      <c r="CK1123" s="73"/>
      <c r="CL1123" s="73"/>
      <c r="CM1123" s="72"/>
      <c r="CN1123" s="73"/>
      <c r="CO1123" s="73"/>
      <c r="CP1123" s="73"/>
      <c r="CQ1123" s="73"/>
      <c r="CR1123" s="73"/>
      <c r="CS1123" s="73"/>
      <c r="CT1123" s="73"/>
      <c r="CU1123" s="73"/>
      <c r="CV1123" s="73"/>
      <c r="CW1123" s="73"/>
      <c r="CX1123" s="73"/>
      <c r="CY1123" s="73"/>
      <c r="CZ1123" s="73"/>
      <c r="DA1123" s="73"/>
      <c r="DB1123" s="73"/>
      <c r="DC1123" s="73"/>
      <c r="DD1123" s="73"/>
      <c r="DE1123" s="73"/>
      <c r="DF1123" s="73"/>
      <c r="DG1123" s="73"/>
      <c r="DH1123" s="73"/>
      <c r="DI1123" s="73"/>
      <c r="DJ1123" s="73"/>
      <c r="DK1123" s="73"/>
      <c r="DL1123" s="73"/>
      <c r="DM1123" s="73"/>
      <c r="DN1123" s="73"/>
      <c r="DO1123" s="73"/>
      <c r="DP1123" s="73"/>
      <c r="DQ1123" s="73"/>
      <c r="DR1123" s="73"/>
      <c r="DS1123" s="73"/>
      <c r="DT1123" s="73"/>
      <c r="DU1123" s="73"/>
      <c r="DV1123" s="73"/>
      <c r="DW1123" s="73"/>
      <c r="DX1123" s="72"/>
      <c r="DY1123" s="72"/>
      <c r="DZ1123" s="73"/>
      <c r="EA1123" s="73"/>
      <c r="EB1123" s="73"/>
      <c r="EC1123" s="73"/>
      <c r="ED1123" s="73"/>
      <c r="EE1123" s="73"/>
      <c r="EF1123" s="73"/>
      <c r="EG1123" s="73"/>
      <c r="EH1123" s="73"/>
      <c r="EI1123" s="73"/>
      <c r="EJ1123" s="73"/>
      <c r="EK1123" s="73"/>
      <c r="EL1123" s="73"/>
      <c r="EM1123" s="73"/>
      <c r="EN1123" s="73"/>
      <c r="EO1123" s="73"/>
      <c r="EP1123" s="69"/>
      <c r="EQ1123" s="69"/>
      <c r="ER1123" s="69"/>
    </row>
    <row r="1124">
      <c r="A1124" s="73"/>
      <c r="B1124" s="73"/>
      <c r="C1124" s="73"/>
      <c r="D1124" s="73"/>
      <c r="E1124" s="73"/>
      <c r="F1124" s="73"/>
      <c r="G1124" s="73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  <c r="AA1124" s="73"/>
      <c r="AB1124" s="73"/>
      <c r="AC1124" s="73"/>
      <c r="AD1124" s="73"/>
      <c r="AE1124" s="73"/>
      <c r="AF1124" s="73"/>
      <c r="AG1124" s="73"/>
      <c r="AH1124" s="73"/>
      <c r="AI1124" s="73"/>
      <c r="AJ1124" s="73"/>
      <c r="AK1124" s="73"/>
      <c r="AL1124" s="73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  <c r="CI1124" s="73"/>
      <c r="CJ1124" s="73"/>
      <c r="CK1124" s="73"/>
      <c r="CL1124" s="73"/>
      <c r="CM1124" s="73"/>
      <c r="CN1124" s="73"/>
      <c r="CO1124" s="73"/>
      <c r="CP1124" s="73"/>
      <c r="CQ1124" s="73"/>
      <c r="CR1124" s="73"/>
      <c r="CS1124" s="73"/>
      <c r="CT1124" s="73"/>
      <c r="CU1124" s="73"/>
      <c r="CV1124" s="73"/>
      <c r="CW1124" s="73"/>
      <c r="CX1124" s="73"/>
      <c r="CY1124" s="73"/>
      <c r="CZ1124" s="73"/>
      <c r="DA1124" s="73"/>
      <c r="DB1124" s="73"/>
      <c r="DC1124" s="73"/>
      <c r="DD1124" s="73"/>
      <c r="DE1124" s="73"/>
      <c r="DF1124" s="73"/>
      <c r="DG1124" s="73"/>
      <c r="DH1124" s="73"/>
      <c r="DI1124" s="73"/>
      <c r="DJ1124" s="73"/>
      <c r="DK1124" s="73"/>
      <c r="DL1124" s="73"/>
      <c r="DM1124" s="73"/>
      <c r="DN1124" s="73"/>
      <c r="DO1124" s="73"/>
      <c r="DP1124" s="73"/>
      <c r="DQ1124" s="73"/>
      <c r="DR1124" s="73"/>
      <c r="DS1124" s="73"/>
      <c r="DT1124" s="73"/>
      <c r="DU1124" s="73"/>
      <c r="DV1124" s="73"/>
      <c r="DW1124" s="73"/>
      <c r="DX1124" s="73"/>
      <c r="DY1124" s="73"/>
      <c r="DZ1124" s="73"/>
      <c r="EA1124" s="73"/>
      <c r="EB1124" s="73"/>
      <c r="EC1124" s="73"/>
      <c r="ED1124" s="73"/>
      <c r="EE1124" s="73"/>
      <c r="EF1124" s="73"/>
      <c r="EG1124" s="73"/>
      <c r="EH1124" s="73"/>
      <c r="EI1124" s="73"/>
      <c r="EJ1124" s="73"/>
      <c r="EK1124" s="73"/>
      <c r="EL1124" s="73"/>
      <c r="EM1124" s="73"/>
      <c r="EN1124" s="73"/>
      <c r="EO1124" s="73"/>
      <c r="EP1124" s="69"/>
      <c r="EQ1124" s="69"/>
      <c r="ER1124" s="69"/>
    </row>
    <row r="1125">
      <c r="A1125" s="73"/>
      <c r="B1125" s="73"/>
      <c r="C1125" s="73"/>
      <c r="D1125" s="73"/>
      <c r="E1125" s="73"/>
      <c r="F1125" s="73"/>
      <c r="G1125" s="73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  <c r="AA1125" s="73"/>
      <c r="AB1125" s="73"/>
      <c r="AC1125" s="73"/>
      <c r="AD1125" s="73"/>
      <c r="AE1125" s="73"/>
      <c r="AF1125" s="73"/>
      <c r="AG1125" s="73"/>
      <c r="AH1125" s="73"/>
      <c r="AI1125" s="73"/>
      <c r="AJ1125" s="73"/>
      <c r="AK1125" s="73"/>
      <c r="AL1125" s="73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  <c r="CI1125" s="73"/>
      <c r="CJ1125" s="73"/>
      <c r="CK1125" s="73"/>
      <c r="CL1125" s="73"/>
      <c r="CM1125" s="73"/>
      <c r="CN1125" s="73"/>
      <c r="CO1125" s="73"/>
      <c r="CP1125" s="73"/>
      <c r="CQ1125" s="73"/>
      <c r="CR1125" s="73"/>
      <c r="CS1125" s="73"/>
      <c r="CT1125" s="73"/>
      <c r="CU1125" s="73"/>
      <c r="CV1125" s="73"/>
      <c r="CW1125" s="73"/>
      <c r="CX1125" s="73"/>
      <c r="CY1125" s="73"/>
      <c r="CZ1125" s="73"/>
      <c r="DA1125" s="73"/>
      <c r="DB1125" s="73"/>
      <c r="DC1125" s="73"/>
      <c r="DD1125" s="73"/>
      <c r="DE1125" s="73"/>
      <c r="DF1125" s="73"/>
      <c r="DG1125" s="73"/>
      <c r="DH1125" s="73"/>
      <c r="DI1125" s="73"/>
      <c r="DJ1125" s="73"/>
      <c r="DK1125" s="73"/>
      <c r="DL1125" s="73"/>
      <c r="DM1125" s="73"/>
      <c r="DN1125" s="73"/>
      <c r="DO1125" s="73"/>
      <c r="DP1125" s="73"/>
      <c r="DQ1125" s="73"/>
      <c r="DR1125" s="73"/>
      <c r="DS1125" s="73"/>
      <c r="DT1125" s="73"/>
      <c r="DU1125" s="73"/>
      <c r="DV1125" s="73"/>
      <c r="DW1125" s="73"/>
      <c r="DX1125" s="72"/>
      <c r="DY1125" s="72"/>
      <c r="DZ1125" s="73"/>
      <c r="EA1125" s="73"/>
      <c r="EB1125" s="73"/>
      <c r="EC1125" s="73"/>
      <c r="ED1125" s="73"/>
      <c r="EE1125" s="73"/>
      <c r="EF1125" s="73"/>
      <c r="EG1125" s="73"/>
      <c r="EH1125" s="73"/>
      <c r="EI1125" s="73"/>
      <c r="EJ1125" s="73"/>
      <c r="EK1125" s="73"/>
      <c r="EL1125" s="73"/>
      <c r="EM1125" s="73"/>
      <c r="EN1125" s="73"/>
      <c r="EO1125" s="73"/>
      <c r="EP1125" s="69"/>
      <c r="EQ1125" s="69"/>
      <c r="ER1125" s="69"/>
    </row>
    <row r="1126">
      <c r="A1126" s="73"/>
      <c r="B1126" s="73"/>
      <c r="C1126" s="73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  <c r="AA1126" s="73"/>
      <c r="AB1126" s="73"/>
      <c r="AC1126" s="73"/>
      <c r="AD1126" s="73"/>
      <c r="AE1126" s="73"/>
      <c r="AF1126" s="73"/>
      <c r="AG1126" s="73"/>
      <c r="AH1126" s="73"/>
      <c r="AI1126" s="73"/>
      <c r="AJ1126" s="73"/>
      <c r="AK1126" s="73"/>
      <c r="AL1126" s="73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  <c r="CI1126" s="73"/>
      <c r="CJ1126" s="73"/>
      <c r="CK1126" s="73"/>
      <c r="CL1126" s="73"/>
      <c r="CM1126" s="73"/>
      <c r="CN1126" s="73"/>
      <c r="CO1126" s="73"/>
      <c r="CP1126" s="73"/>
      <c r="CQ1126" s="73"/>
      <c r="CR1126" s="73"/>
      <c r="CS1126" s="73"/>
      <c r="CT1126" s="73"/>
      <c r="CU1126" s="73"/>
      <c r="CV1126" s="73"/>
      <c r="CW1126" s="73"/>
      <c r="CX1126" s="73"/>
      <c r="CY1126" s="73"/>
      <c r="CZ1126" s="73"/>
      <c r="DA1126" s="73"/>
      <c r="DB1126" s="73"/>
      <c r="DC1126" s="73"/>
      <c r="DD1126" s="73"/>
      <c r="DE1126" s="73"/>
      <c r="DF1126" s="73"/>
      <c r="DG1126" s="73"/>
      <c r="DH1126" s="73"/>
      <c r="DI1126" s="73"/>
      <c r="DJ1126" s="73"/>
      <c r="DK1126" s="73"/>
      <c r="DL1126" s="73"/>
      <c r="DM1126" s="73"/>
      <c r="DN1126" s="73"/>
      <c r="DO1126" s="73"/>
      <c r="DP1126" s="73"/>
      <c r="DQ1126" s="73"/>
      <c r="DR1126" s="73"/>
      <c r="DS1126" s="73"/>
      <c r="DT1126" s="73"/>
      <c r="DU1126" s="73"/>
      <c r="DV1126" s="73"/>
      <c r="DW1126" s="73"/>
      <c r="DX1126" s="73"/>
      <c r="DY1126" s="73"/>
      <c r="DZ1126" s="73"/>
      <c r="EA1126" s="73"/>
      <c r="EB1126" s="73"/>
      <c r="EC1126" s="73"/>
      <c r="ED1126" s="73"/>
      <c r="EE1126" s="73"/>
      <c r="EF1126" s="73"/>
      <c r="EG1126" s="73"/>
      <c r="EH1126" s="73"/>
      <c r="EI1126" s="73"/>
      <c r="EJ1126" s="73"/>
      <c r="EK1126" s="73"/>
      <c r="EL1126" s="73"/>
      <c r="EM1126" s="73"/>
      <c r="EN1126" s="73"/>
      <c r="EO1126" s="73"/>
      <c r="EP1126" s="69"/>
      <c r="EQ1126" s="69"/>
      <c r="ER1126" s="69"/>
    </row>
    <row r="1127">
      <c r="A1127" s="73"/>
      <c r="B1127" s="73"/>
      <c r="C1127" s="73"/>
      <c r="D1127" s="73"/>
      <c r="E1127" s="73"/>
      <c r="F1127" s="73"/>
      <c r="G1127" s="73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  <c r="AA1127" s="73"/>
      <c r="AB1127" s="73"/>
      <c r="AC1127" s="73"/>
      <c r="AD1127" s="73"/>
      <c r="AE1127" s="73"/>
      <c r="AF1127" s="73"/>
      <c r="AG1127" s="73"/>
      <c r="AH1127" s="73"/>
      <c r="AI1127" s="73"/>
      <c r="AJ1127" s="73"/>
      <c r="AK1127" s="73"/>
      <c r="AL1127" s="73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  <c r="CI1127" s="73"/>
      <c r="CJ1127" s="73"/>
      <c r="CK1127" s="73"/>
      <c r="CL1127" s="73"/>
      <c r="CM1127" s="72"/>
      <c r="CN1127" s="73"/>
      <c r="CO1127" s="73"/>
      <c r="CP1127" s="73"/>
      <c r="CQ1127" s="73"/>
      <c r="CR1127" s="73"/>
      <c r="CS1127" s="73"/>
      <c r="CT1127" s="73"/>
      <c r="CU1127" s="73"/>
      <c r="CV1127" s="73"/>
      <c r="CW1127" s="73"/>
      <c r="CX1127" s="73"/>
      <c r="CY1127" s="73"/>
      <c r="CZ1127" s="73"/>
      <c r="DA1127" s="73"/>
      <c r="DB1127" s="73"/>
      <c r="DC1127" s="73"/>
      <c r="DD1127" s="73"/>
      <c r="DE1127" s="73"/>
      <c r="DF1127" s="73"/>
      <c r="DG1127" s="73"/>
      <c r="DH1127" s="73"/>
      <c r="DI1127" s="73"/>
      <c r="DJ1127" s="73"/>
      <c r="DK1127" s="73"/>
      <c r="DL1127" s="73"/>
      <c r="DM1127" s="73"/>
      <c r="DN1127" s="73"/>
      <c r="DO1127" s="73"/>
      <c r="DP1127" s="73"/>
      <c r="DQ1127" s="73"/>
      <c r="DR1127" s="73"/>
      <c r="DS1127" s="73"/>
      <c r="DT1127" s="73"/>
      <c r="DU1127" s="73"/>
      <c r="DV1127" s="73"/>
      <c r="DW1127" s="73"/>
      <c r="DX1127" s="72"/>
      <c r="DY1127" s="72"/>
      <c r="DZ1127" s="73"/>
      <c r="EA1127" s="73"/>
      <c r="EB1127" s="73"/>
      <c r="EC1127" s="73"/>
      <c r="ED1127" s="73"/>
      <c r="EE1127" s="73"/>
      <c r="EF1127" s="73"/>
      <c r="EG1127" s="73"/>
      <c r="EH1127" s="73"/>
      <c r="EI1127" s="73"/>
      <c r="EJ1127" s="73"/>
      <c r="EK1127" s="73"/>
      <c r="EL1127" s="73"/>
      <c r="EM1127" s="73"/>
      <c r="EN1127" s="73"/>
      <c r="EO1127" s="73"/>
      <c r="EP1127" s="69"/>
      <c r="EQ1127" s="69"/>
      <c r="ER1127" s="69"/>
    </row>
    <row r="1128">
      <c r="A1128" s="73"/>
      <c r="B1128" s="73"/>
      <c r="C1128" s="73"/>
      <c r="D1128" s="73"/>
      <c r="E1128" s="73"/>
      <c r="F1128" s="73"/>
      <c r="G1128" s="73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  <c r="AA1128" s="73"/>
      <c r="AB1128" s="73"/>
      <c r="AC1128" s="73"/>
      <c r="AD1128" s="73"/>
      <c r="AE1128" s="73"/>
      <c r="AF1128" s="73"/>
      <c r="AG1128" s="73"/>
      <c r="AH1128" s="73"/>
      <c r="AI1128" s="73"/>
      <c r="AJ1128" s="73"/>
      <c r="AK1128" s="73"/>
      <c r="AL1128" s="73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  <c r="CI1128" s="73"/>
      <c r="CJ1128" s="73"/>
      <c r="CK1128" s="73"/>
      <c r="CL1128" s="73"/>
      <c r="CM1128" s="73"/>
      <c r="CN1128" s="73"/>
      <c r="CO1128" s="73"/>
      <c r="CP1128" s="73"/>
      <c r="CQ1128" s="73"/>
      <c r="CR1128" s="73"/>
      <c r="CS1128" s="73"/>
      <c r="CT1128" s="73"/>
      <c r="CU1128" s="73"/>
      <c r="CV1128" s="73"/>
      <c r="CW1128" s="73"/>
      <c r="CX1128" s="73"/>
      <c r="CY1128" s="73"/>
      <c r="CZ1128" s="73"/>
      <c r="DA1128" s="73"/>
      <c r="DB1128" s="73"/>
      <c r="DC1128" s="73"/>
      <c r="DD1128" s="73"/>
      <c r="DE1128" s="73"/>
      <c r="DF1128" s="73"/>
      <c r="DG1128" s="73"/>
      <c r="DH1128" s="73"/>
      <c r="DI1128" s="73"/>
      <c r="DJ1128" s="73"/>
      <c r="DK1128" s="73"/>
      <c r="DL1128" s="73"/>
      <c r="DM1128" s="73"/>
      <c r="DN1128" s="73"/>
      <c r="DO1128" s="73"/>
      <c r="DP1128" s="73"/>
      <c r="DQ1128" s="73"/>
      <c r="DR1128" s="73"/>
      <c r="DS1128" s="73"/>
      <c r="DT1128" s="73"/>
      <c r="DU1128" s="73"/>
      <c r="DV1128" s="73"/>
      <c r="DW1128" s="73"/>
      <c r="DX1128" s="72"/>
      <c r="DY1128" s="72"/>
      <c r="DZ1128" s="73"/>
      <c r="EA1128" s="73"/>
      <c r="EB1128" s="73"/>
      <c r="EC1128" s="73"/>
      <c r="ED1128" s="73"/>
      <c r="EE1128" s="73"/>
      <c r="EF1128" s="73"/>
      <c r="EG1128" s="73"/>
      <c r="EH1128" s="73"/>
      <c r="EI1128" s="73"/>
      <c r="EJ1128" s="73"/>
      <c r="EK1128" s="73"/>
      <c r="EL1128" s="73"/>
      <c r="EM1128" s="73"/>
      <c r="EN1128" s="73"/>
      <c r="EO1128" s="73"/>
      <c r="EP1128" s="69"/>
      <c r="EQ1128" s="69"/>
      <c r="ER1128" s="69"/>
    </row>
    <row r="1129">
      <c r="A1129" s="73"/>
      <c r="B1129" s="73"/>
      <c r="C1129" s="73"/>
      <c r="D1129" s="73"/>
      <c r="E1129" s="73"/>
      <c r="F1129" s="73"/>
      <c r="G1129" s="73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  <c r="AA1129" s="73"/>
      <c r="AB1129" s="73"/>
      <c r="AC1129" s="73"/>
      <c r="AD1129" s="73"/>
      <c r="AE1129" s="73"/>
      <c r="AF1129" s="73"/>
      <c r="AG1129" s="73"/>
      <c r="AH1129" s="73"/>
      <c r="AI1129" s="73"/>
      <c r="AJ1129" s="73"/>
      <c r="AK1129" s="73"/>
      <c r="AL1129" s="73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  <c r="CI1129" s="73"/>
      <c r="CJ1129" s="73"/>
      <c r="CK1129" s="73"/>
      <c r="CL1129" s="73"/>
      <c r="CM1129" s="73"/>
      <c r="CN1129" s="73"/>
      <c r="CO1129" s="73"/>
      <c r="CP1129" s="73"/>
      <c r="CQ1129" s="73"/>
      <c r="CR1129" s="73"/>
      <c r="CS1129" s="73"/>
      <c r="CT1129" s="73"/>
      <c r="CU1129" s="73"/>
      <c r="CV1129" s="73"/>
      <c r="CW1129" s="73"/>
      <c r="CX1129" s="73"/>
      <c r="CY1129" s="73"/>
      <c r="CZ1129" s="73"/>
      <c r="DA1129" s="73"/>
      <c r="DB1129" s="73"/>
      <c r="DC1129" s="73"/>
      <c r="DD1129" s="73"/>
      <c r="DE1129" s="73"/>
      <c r="DF1129" s="73"/>
      <c r="DG1129" s="73"/>
      <c r="DH1129" s="73"/>
      <c r="DI1129" s="73"/>
      <c r="DJ1129" s="73"/>
      <c r="DK1129" s="73"/>
      <c r="DL1129" s="73"/>
      <c r="DM1129" s="73"/>
      <c r="DN1129" s="73"/>
      <c r="DO1129" s="73"/>
      <c r="DP1129" s="73"/>
      <c r="DQ1129" s="73"/>
      <c r="DR1129" s="73"/>
      <c r="DS1129" s="73"/>
      <c r="DT1129" s="73"/>
      <c r="DU1129" s="73"/>
      <c r="DV1129" s="73"/>
      <c r="DW1129" s="73"/>
      <c r="DX1129" s="73"/>
      <c r="DY1129" s="73"/>
      <c r="DZ1129" s="73"/>
      <c r="EA1129" s="73"/>
      <c r="EB1129" s="73"/>
      <c r="EC1129" s="73"/>
      <c r="ED1129" s="73"/>
      <c r="EE1129" s="73"/>
      <c r="EF1129" s="73"/>
      <c r="EG1129" s="73"/>
      <c r="EH1129" s="73"/>
      <c r="EI1129" s="73"/>
      <c r="EJ1129" s="73"/>
      <c r="EK1129" s="73"/>
      <c r="EL1129" s="73"/>
      <c r="EM1129" s="73"/>
      <c r="EN1129" s="73"/>
      <c r="EO1129" s="73"/>
      <c r="EP1129" s="69"/>
      <c r="EQ1129" s="69"/>
      <c r="ER1129" s="69"/>
    </row>
    <row r="1130">
      <c r="A1130" s="73"/>
      <c r="B1130" s="73"/>
      <c r="C1130" s="73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  <c r="AA1130" s="73"/>
      <c r="AB1130" s="73"/>
      <c r="AC1130" s="73"/>
      <c r="AD1130" s="73"/>
      <c r="AE1130" s="73"/>
      <c r="AF1130" s="73"/>
      <c r="AG1130" s="73"/>
      <c r="AH1130" s="73"/>
      <c r="AI1130" s="73"/>
      <c r="AJ1130" s="73"/>
      <c r="AK1130" s="73"/>
      <c r="AL1130" s="73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  <c r="CI1130" s="73"/>
      <c r="CJ1130" s="73"/>
      <c r="CK1130" s="73"/>
      <c r="CL1130" s="73"/>
      <c r="CM1130" s="72"/>
      <c r="CN1130" s="73"/>
      <c r="CO1130" s="73"/>
      <c r="CP1130" s="73"/>
      <c r="CQ1130" s="73"/>
      <c r="CR1130" s="73"/>
      <c r="CS1130" s="73"/>
      <c r="CT1130" s="73"/>
      <c r="CU1130" s="73"/>
      <c r="CV1130" s="73"/>
      <c r="CW1130" s="73"/>
      <c r="CX1130" s="73"/>
      <c r="CY1130" s="73"/>
      <c r="CZ1130" s="73"/>
      <c r="DA1130" s="73"/>
      <c r="DB1130" s="73"/>
      <c r="DC1130" s="73"/>
      <c r="DD1130" s="73"/>
      <c r="DE1130" s="73"/>
      <c r="DF1130" s="73"/>
      <c r="DG1130" s="73"/>
      <c r="DH1130" s="73"/>
      <c r="DI1130" s="73"/>
      <c r="DJ1130" s="73"/>
      <c r="DK1130" s="73"/>
      <c r="DL1130" s="73"/>
      <c r="DM1130" s="73"/>
      <c r="DN1130" s="73"/>
      <c r="DO1130" s="73"/>
      <c r="DP1130" s="73"/>
      <c r="DQ1130" s="73"/>
      <c r="DR1130" s="73"/>
      <c r="DS1130" s="73"/>
      <c r="DT1130" s="73"/>
      <c r="DU1130" s="73"/>
      <c r="DV1130" s="73"/>
      <c r="DW1130" s="73"/>
      <c r="DX1130" s="72"/>
      <c r="DY1130" s="72"/>
      <c r="DZ1130" s="73"/>
      <c r="EA1130" s="73"/>
      <c r="EB1130" s="73"/>
      <c r="EC1130" s="73"/>
      <c r="ED1130" s="73"/>
      <c r="EE1130" s="73"/>
      <c r="EF1130" s="73"/>
      <c r="EG1130" s="73"/>
      <c r="EH1130" s="73"/>
      <c r="EI1130" s="73"/>
      <c r="EJ1130" s="73"/>
      <c r="EK1130" s="73"/>
      <c r="EL1130" s="73"/>
      <c r="EM1130" s="73"/>
      <c r="EN1130" s="73"/>
      <c r="EO1130" s="73"/>
      <c r="EP1130" s="69"/>
      <c r="EQ1130" s="69"/>
      <c r="ER1130" s="69"/>
    </row>
    <row r="1131">
      <c r="A1131" s="73"/>
      <c r="B1131" s="73"/>
      <c r="C1131" s="73"/>
      <c r="D1131" s="73"/>
      <c r="E1131" s="73"/>
      <c r="F1131" s="73"/>
      <c r="G1131" s="73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73"/>
      <c r="AK1131" s="73"/>
      <c r="AL1131" s="73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  <c r="CI1131" s="73"/>
      <c r="CJ1131" s="73"/>
      <c r="CK1131" s="73"/>
      <c r="CL1131" s="73"/>
      <c r="CM1131" s="73"/>
      <c r="CN1131" s="73"/>
      <c r="CO1131" s="73"/>
      <c r="CP1131" s="73"/>
      <c r="CQ1131" s="73"/>
      <c r="CR1131" s="73"/>
      <c r="CS1131" s="73"/>
      <c r="CT1131" s="73"/>
      <c r="CU1131" s="73"/>
      <c r="CV1131" s="73"/>
      <c r="CW1131" s="73"/>
      <c r="CX1131" s="73"/>
      <c r="CY1131" s="73"/>
      <c r="CZ1131" s="73"/>
      <c r="DA1131" s="73"/>
      <c r="DB1131" s="73"/>
      <c r="DC1131" s="73"/>
      <c r="DD1131" s="73"/>
      <c r="DE1131" s="73"/>
      <c r="DF1131" s="73"/>
      <c r="DG1131" s="73"/>
      <c r="DH1131" s="73"/>
      <c r="DI1131" s="73"/>
      <c r="DJ1131" s="73"/>
      <c r="DK1131" s="73"/>
      <c r="DL1131" s="73"/>
      <c r="DM1131" s="73"/>
      <c r="DN1131" s="73"/>
      <c r="DO1131" s="73"/>
      <c r="DP1131" s="73"/>
      <c r="DQ1131" s="73"/>
      <c r="DR1131" s="73"/>
      <c r="DS1131" s="73"/>
      <c r="DT1131" s="73"/>
      <c r="DU1131" s="73"/>
      <c r="DV1131" s="73"/>
      <c r="DW1131" s="73"/>
      <c r="DX1131" s="72"/>
      <c r="DY1131" s="72"/>
      <c r="DZ1131" s="73"/>
      <c r="EA1131" s="73"/>
      <c r="EB1131" s="73"/>
      <c r="EC1131" s="73"/>
      <c r="ED1131" s="73"/>
      <c r="EE1131" s="73"/>
      <c r="EF1131" s="73"/>
      <c r="EG1131" s="73"/>
      <c r="EH1131" s="73"/>
      <c r="EI1131" s="73"/>
      <c r="EJ1131" s="73"/>
      <c r="EK1131" s="73"/>
      <c r="EL1131" s="73"/>
      <c r="EM1131" s="73"/>
      <c r="EN1131" s="73"/>
      <c r="EO1131" s="73"/>
      <c r="EP1131" s="69"/>
      <c r="EQ1131" s="69"/>
      <c r="ER1131" s="69"/>
    </row>
    <row r="1132">
      <c r="A1132" s="73"/>
      <c r="B1132" s="73"/>
      <c r="C1132" s="73"/>
      <c r="D1132" s="73"/>
      <c r="E1132" s="73"/>
      <c r="F1132" s="73"/>
      <c r="G1132" s="73"/>
      <c r="H1132" s="73"/>
      <c r="I1132" s="73"/>
      <c r="J1132" s="73"/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  <c r="AA1132" s="73"/>
      <c r="AB1132" s="73"/>
      <c r="AC1132" s="73"/>
      <c r="AD1132" s="73"/>
      <c r="AE1132" s="73"/>
      <c r="AF1132" s="73"/>
      <c r="AG1132" s="73"/>
      <c r="AH1132" s="73"/>
      <c r="AI1132" s="73"/>
      <c r="AJ1132" s="73"/>
      <c r="AK1132" s="73"/>
      <c r="AL1132" s="73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  <c r="CI1132" s="73"/>
      <c r="CJ1132" s="73"/>
      <c r="CK1132" s="73"/>
      <c r="CL1132" s="73"/>
      <c r="CM1132" s="73"/>
      <c r="CN1132" s="73"/>
      <c r="CO1132" s="73"/>
      <c r="CP1132" s="73"/>
      <c r="CQ1132" s="73"/>
      <c r="CR1132" s="73"/>
      <c r="CS1132" s="73"/>
      <c r="CT1132" s="73"/>
      <c r="CU1132" s="73"/>
      <c r="CV1132" s="73"/>
      <c r="CW1132" s="73"/>
      <c r="CX1132" s="73"/>
      <c r="CY1132" s="73"/>
      <c r="CZ1132" s="73"/>
      <c r="DA1132" s="73"/>
      <c r="DB1132" s="73"/>
      <c r="DC1132" s="73"/>
      <c r="DD1132" s="73"/>
      <c r="DE1132" s="73"/>
      <c r="DF1132" s="73"/>
      <c r="DG1132" s="73"/>
      <c r="DH1132" s="73"/>
      <c r="DI1132" s="73"/>
      <c r="DJ1132" s="73"/>
      <c r="DK1132" s="73"/>
      <c r="DL1132" s="73"/>
      <c r="DM1132" s="73"/>
      <c r="DN1132" s="73"/>
      <c r="DO1132" s="73"/>
      <c r="DP1132" s="73"/>
      <c r="DQ1132" s="73"/>
      <c r="DR1132" s="73"/>
      <c r="DS1132" s="73"/>
      <c r="DT1132" s="73"/>
      <c r="DU1132" s="73"/>
      <c r="DV1132" s="73"/>
      <c r="DW1132" s="73"/>
      <c r="DX1132" s="73"/>
      <c r="DY1132" s="73"/>
      <c r="DZ1132" s="73"/>
      <c r="EA1132" s="73"/>
      <c r="EB1132" s="73"/>
      <c r="EC1132" s="73"/>
      <c r="ED1132" s="73"/>
      <c r="EE1132" s="73"/>
      <c r="EF1132" s="73"/>
      <c r="EG1132" s="73"/>
      <c r="EH1132" s="73"/>
      <c r="EI1132" s="73"/>
      <c r="EJ1132" s="73"/>
      <c r="EK1132" s="73"/>
      <c r="EL1132" s="73"/>
      <c r="EM1132" s="73"/>
      <c r="EN1132" s="73"/>
      <c r="EO1132" s="73"/>
      <c r="EP1132" s="69"/>
      <c r="EQ1132" s="69"/>
      <c r="ER1132" s="69"/>
    </row>
    <row r="1133">
      <c r="A1133" s="73"/>
      <c r="B1133" s="73"/>
      <c r="C1133" s="73"/>
      <c r="D1133" s="73"/>
      <c r="E1133" s="73"/>
      <c r="F1133" s="73"/>
      <c r="G1133" s="73"/>
      <c r="H1133" s="73"/>
      <c r="I1133" s="73"/>
      <c r="J1133" s="73"/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  <c r="AA1133" s="73"/>
      <c r="AB1133" s="73"/>
      <c r="AC1133" s="73"/>
      <c r="AD1133" s="73"/>
      <c r="AE1133" s="73"/>
      <c r="AF1133" s="73"/>
      <c r="AG1133" s="73"/>
      <c r="AH1133" s="73"/>
      <c r="AI1133" s="73"/>
      <c r="AJ1133" s="73"/>
      <c r="AK1133" s="73"/>
      <c r="AL1133" s="73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  <c r="CI1133" s="73"/>
      <c r="CJ1133" s="73"/>
      <c r="CK1133" s="73"/>
      <c r="CL1133" s="73"/>
      <c r="CM1133" s="73"/>
      <c r="CN1133" s="73"/>
      <c r="CO1133" s="73"/>
      <c r="CP1133" s="73"/>
      <c r="CQ1133" s="73"/>
      <c r="CR1133" s="73"/>
      <c r="CS1133" s="73"/>
      <c r="CT1133" s="73"/>
      <c r="CU1133" s="73"/>
      <c r="CV1133" s="73"/>
      <c r="CW1133" s="73"/>
      <c r="CX1133" s="73"/>
      <c r="CY1133" s="73"/>
      <c r="CZ1133" s="73"/>
      <c r="DA1133" s="73"/>
      <c r="DB1133" s="73"/>
      <c r="DC1133" s="73"/>
      <c r="DD1133" s="73"/>
      <c r="DE1133" s="73"/>
      <c r="DF1133" s="73"/>
      <c r="DG1133" s="73"/>
      <c r="DH1133" s="73"/>
      <c r="DI1133" s="73"/>
      <c r="DJ1133" s="73"/>
      <c r="DK1133" s="73"/>
      <c r="DL1133" s="73"/>
      <c r="DM1133" s="73"/>
      <c r="DN1133" s="73"/>
      <c r="DO1133" s="73"/>
      <c r="DP1133" s="73"/>
      <c r="DQ1133" s="73"/>
      <c r="DR1133" s="73"/>
      <c r="DS1133" s="73"/>
      <c r="DT1133" s="73"/>
      <c r="DU1133" s="73"/>
      <c r="DV1133" s="73"/>
      <c r="DW1133" s="73"/>
      <c r="DX1133" s="72"/>
      <c r="DY1133" s="72"/>
      <c r="DZ1133" s="73"/>
      <c r="EA1133" s="73"/>
      <c r="EB1133" s="73"/>
      <c r="EC1133" s="73"/>
      <c r="ED1133" s="73"/>
      <c r="EE1133" s="73"/>
      <c r="EF1133" s="73"/>
      <c r="EG1133" s="73"/>
      <c r="EH1133" s="73"/>
      <c r="EI1133" s="73"/>
      <c r="EJ1133" s="73"/>
      <c r="EK1133" s="73"/>
      <c r="EL1133" s="73"/>
      <c r="EM1133" s="73"/>
      <c r="EN1133" s="73"/>
      <c r="EO1133" s="73"/>
      <c r="EP1133" s="69"/>
      <c r="EQ1133" s="69"/>
      <c r="ER1133" s="69"/>
    </row>
    <row r="1134">
      <c r="A1134" s="73"/>
      <c r="B1134" s="73"/>
      <c r="C1134" s="73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  <c r="AA1134" s="73"/>
      <c r="AB1134" s="73"/>
      <c r="AC1134" s="73"/>
      <c r="AD1134" s="73"/>
      <c r="AE1134" s="73"/>
      <c r="AF1134" s="73"/>
      <c r="AG1134" s="73"/>
      <c r="AH1134" s="73"/>
      <c r="AI1134" s="73"/>
      <c r="AJ1134" s="73"/>
      <c r="AK1134" s="73"/>
      <c r="AL1134" s="73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  <c r="CI1134" s="73"/>
      <c r="CJ1134" s="73"/>
      <c r="CK1134" s="73"/>
      <c r="CL1134" s="73"/>
      <c r="CM1134" s="73"/>
      <c r="CN1134" s="73"/>
      <c r="CO1134" s="73"/>
      <c r="CP1134" s="73"/>
      <c r="CQ1134" s="73"/>
      <c r="CR1134" s="73"/>
      <c r="CS1134" s="73"/>
      <c r="CT1134" s="73"/>
      <c r="CU1134" s="73"/>
      <c r="CV1134" s="73"/>
      <c r="CW1134" s="73"/>
      <c r="CX1134" s="73"/>
      <c r="CY1134" s="73"/>
      <c r="CZ1134" s="73"/>
      <c r="DA1134" s="73"/>
      <c r="DB1134" s="73"/>
      <c r="DC1134" s="73"/>
      <c r="DD1134" s="73"/>
      <c r="DE1134" s="73"/>
      <c r="DF1134" s="73"/>
      <c r="DG1134" s="73"/>
      <c r="DH1134" s="73"/>
      <c r="DI1134" s="73"/>
      <c r="DJ1134" s="73"/>
      <c r="DK1134" s="73"/>
      <c r="DL1134" s="73"/>
      <c r="DM1134" s="73"/>
      <c r="DN1134" s="73"/>
      <c r="DO1134" s="73"/>
      <c r="DP1134" s="73"/>
      <c r="DQ1134" s="73"/>
      <c r="DR1134" s="73"/>
      <c r="DS1134" s="73"/>
      <c r="DT1134" s="73"/>
      <c r="DU1134" s="73"/>
      <c r="DV1134" s="73"/>
      <c r="DW1134" s="73"/>
      <c r="DX1134" s="72"/>
      <c r="DY1134" s="72"/>
      <c r="DZ1134" s="73"/>
      <c r="EA1134" s="73"/>
      <c r="EB1134" s="73"/>
      <c r="EC1134" s="73"/>
      <c r="ED1134" s="73"/>
      <c r="EE1134" s="73"/>
      <c r="EF1134" s="73"/>
      <c r="EG1134" s="73"/>
      <c r="EH1134" s="73"/>
      <c r="EI1134" s="73"/>
      <c r="EJ1134" s="73"/>
      <c r="EK1134" s="73"/>
      <c r="EL1134" s="73"/>
      <c r="EM1134" s="73"/>
      <c r="EN1134" s="73"/>
      <c r="EO1134" s="73"/>
      <c r="EP1134" s="69"/>
      <c r="EQ1134" s="69"/>
      <c r="ER1134" s="69"/>
    </row>
    <row r="1135">
      <c r="A1135" s="73"/>
      <c r="B1135" s="73"/>
      <c r="C1135" s="73"/>
      <c r="D1135" s="73"/>
      <c r="E1135" s="73"/>
      <c r="F1135" s="73"/>
      <c r="G1135" s="73"/>
      <c r="H1135" s="73"/>
      <c r="I1135" s="73"/>
      <c r="J1135" s="73"/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  <c r="AA1135" s="73"/>
      <c r="AB1135" s="73"/>
      <c r="AC1135" s="73"/>
      <c r="AD1135" s="73"/>
      <c r="AE1135" s="73"/>
      <c r="AF1135" s="73"/>
      <c r="AG1135" s="73"/>
      <c r="AH1135" s="73"/>
      <c r="AI1135" s="73"/>
      <c r="AJ1135" s="73"/>
      <c r="AK1135" s="73"/>
      <c r="AL1135" s="73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  <c r="CI1135" s="73"/>
      <c r="CJ1135" s="73"/>
      <c r="CK1135" s="73"/>
      <c r="CL1135" s="73"/>
      <c r="CM1135" s="73"/>
      <c r="CN1135" s="73"/>
      <c r="CO1135" s="73"/>
      <c r="CP1135" s="73"/>
      <c r="CQ1135" s="73"/>
      <c r="CR1135" s="73"/>
      <c r="CS1135" s="73"/>
      <c r="CT1135" s="73"/>
      <c r="CU1135" s="73"/>
      <c r="CV1135" s="73"/>
      <c r="CW1135" s="73"/>
      <c r="CX1135" s="73"/>
      <c r="CY1135" s="73"/>
      <c r="CZ1135" s="73"/>
      <c r="DA1135" s="73"/>
      <c r="DB1135" s="73"/>
      <c r="DC1135" s="73"/>
      <c r="DD1135" s="73"/>
      <c r="DE1135" s="73"/>
      <c r="DF1135" s="73"/>
      <c r="DG1135" s="73"/>
      <c r="DH1135" s="73"/>
      <c r="DI1135" s="73"/>
      <c r="DJ1135" s="73"/>
      <c r="DK1135" s="73"/>
      <c r="DL1135" s="73"/>
      <c r="DM1135" s="73"/>
      <c r="DN1135" s="73"/>
      <c r="DO1135" s="73"/>
      <c r="DP1135" s="73"/>
      <c r="DQ1135" s="73"/>
      <c r="DR1135" s="73"/>
      <c r="DS1135" s="73"/>
      <c r="DT1135" s="73"/>
      <c r="DU1135" s="73"/>
      <c r="DV1135" s="73"/>
      <c r="DW1135" s="73"/>
      <c r="DX1135" s="73"/>
      <c r="DY1135" s="73"/>
      <c r="DZ1135" s="73"/>
      <c r="EA1135" s="73"/>
      <c r="EB1135" s="73"/>
      <c r="EC1135" s="73"/>
      <c r="ED1135" s="73"/>
      <c r="EE1135" s="73"/>
      <c r="EF1135" s="73"/>
      <c r="EG1135" s="73"/>
      <c r="EH1135" s="73"/>
      <c r="EI1135" s="73"/>
      <c r="EJ1135" s="73"/>
      <c r="EK1135" s="73"/>
      <c r="EL1135" s="73"/>
      <c r="EM1135" s="73"/>
      <c r="EN1135" s="73"/>
      <c r="EO1135" s="73"/>
      <c r="EP1135" s="69"/>
      <c r="EQ1135" s="69"/>
      <c r="ER1135" s="69"/>
    </row>
    <row r="1136">
      <c r="A1136" s="73"/>
      <c r="B1136" s="73"/>
      <c r="C1136" s="73"/>
      <c r="D1136" s="73"/>
      <c r="E1136" s="73"/>
      <c r="F1136" s="73"/>
      <c r="G1136" s="73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  <c r="AA1136" s="73"/>
      <c r="AB1136" s="73"/>
      <c r="AC1136" s="73"/>
      <c r="AD1136" s="73"/>
      <c r="AE1136" s="73"/>
      <c r="AF1136" s="73"/>
      <c r="AG1136" s="73"/>
      <c r="AH1136" s="73"/>
      <c r="AI1136" s="73"/>
      <c r="AJ1136" s="73"/>
      <c r="AK1136" s="73"/>
      <c r="AL1136" s="73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  <c r="CI1136" s="73"/>
      <c r="CJ1136" s="73"/>
      <c r="CK1136" s="73"/>
      <c r="CL1136" s="73"/>
      <c r="CM1136" s="73"/>
      <c r="CN1136" s="73"/>
      <c r="CO1136" s="73"/>
      <c r="CP1136" s="73"/>
      <c r="CQ1136" s="73"/>
      <c r="CR1136" s="73"/>
      <c r="CS1136" s="73"/>
      <c r="CT1136" s="73"/>
      <c r="CU1136" s="73"/>
      <c r="CV1136" s="73"/>
      <c r="CW1136" s="73"/>
      <c r="CX1136" s="73"/>
      <c r="CY1136" s="73"/>
      <c r="CZ1136" s="73"/>
      <c r="DA1136" s="73"/>
      <c r="DB1136" s="73"/>
      <c r="DC1136" s="73"/>
      <c r="DD1136" s="73"/>
      <c r="DE1136" s="73"/>
      <c r="DF1136" s="73"/>
      <c r="DG1136" s="73"/>
      <c r="DH1136" s="73"/>
      <c r="DI1136" s="73"/>
      <c r="DJ1136" s="73"/>
      <c r="DK1136" s="73"/>
      <c r="DL1136" s="73"/>
      <c r="DM1136" s="73"/>
      <c r="DN1136" s="73"/>
      <c r="DO1136" s="73"/>
      <c r="DP1136" s="73"/>
      <c r="DQ1136" s="73"/>
      <c r="DR1136" s="73"/>
      <c r="DS1136" s="73"/>
      <c r="DT1136" s="73"/>
      <c r="DU1136" s="73"/>
      <c r="DV1136" s="73"/>
      <c r="DW1136" s="73"/>
      <c r="DX1136" s="73"/>
      <c r="DY1136" s="73"/>
      <c r="DZ1136" s="73"/>
      <c r="EA1136" s="73"/>
      <c r="EB1136" s="73"/>
      <c r="EC1136" s="73"/>
      <c r="ED1136" s="73"/>
      <c r="EE1136" s="73"/>
      <c r="EF1136" s="73"/>
      <c r="EG1136" s="73"/>
      <c r="EH1136" s="73"/>
      <c r="EI1136" s="73"/>
      <c r="EJ1136" s="73"/>
      <c r="EK1136" s="73"/>
      <c r="EL1136" s="73"/>
      <c r="EM1136" s="73"/>
      <c r="EN1136" s="73"/>
      <c r="EO1136" s="73"/>
      <c r="EP1136" s="69"/>
      <c r="EQ1136" s="69"/>
      <c r="ER1136" s="69"/>
    </row>
    <row r="1137">
      <c r="A1137" s="73"/>
      <c r="B1137" s="73"/>
      <c r="C1137" s="73"/>
      <c r="D1137" s="73"/>
      <c r="E1137" s="73"/>
      <c r="F1137" s="73"/>
      <c r="G1137" s="73"/>
      <c r="H1137" s="73"/>
      <c r="I1137" s="73"/>
      <c r="J1137" s="73"/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  <c r="AA1137" s="73"/>
      <c r="AB1137" s="73"/>
      <c r="AC1137" s="73"/>
      <c r="AD1137" s="73"/>
      <c r="AE1137" s="73"/>
      <c r="AF1137" s="73"/>
      <c r="AG1137" s="73"/>
      <c r="AH1137" s="73"/>
      <c r="AI1137" s="73"/>
      <c r="AJ1137" s="73"/>
      <c r="AK1137" s="73"/>
      <c r="AL1137" s="73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  <c r="CI1137" s="73"/>
      <c r="CJ1137" s="73"/>
      <c r="CK1137" s="73"/>
      <c r="CL1137" s="73"/>
      <c r="CM1137" s="73"/>
      <c r="CN1137" s="73"/>
      <c r="CO1137" s="73"/>
      <c r="CP1137" s="73"/>
      <c r="CQ1137" s="73"/>
      <c r="CR1137" s="73"/>
      <c r="CS1137" s="73"/>
      <c r="CT1137" s="73"/>
      <c r="CU1137" s="73"/>
      <c r="CV1137" s="73"/>
      <c r="CW1137" s="73"/>
      <c r="CX1137" s="73"/>
      <c r="CY1137" s="73"/>
      <c r="CZ1137" s="73"/>
      <c r="DA1137" s="73"/>
      <c r="DB1137" s="73"/>
      <c r="DC1137" s="73"/>
      <c r="DD1137" s="73"/>
      <c r="DE1137" s="73"/>
      <c r="DF1137" s="73"/>
      <c r="DG1137" s="73"/>
      <c r="DH1137" s="73"/>
      <c r="DI1137" s="73"/>
      <c r="DJ1137" s="73"/>
      <c r="DK1137" s="73"/>
      <c r="DL1137" s="73"/>
      <c r="DM1137" s="73"/>
      <c r="DN1137" s="73"/>
      <c r="DO1137" s="73"/>
      <c r="DP1137" s="73"/>
      <c r="DQ1137" s="73"/>
      <c r="DR1137" s="73"/>
      <c r="DS1137" s="73"/>
      <c r="DT1137" s="73"/>
      <c r="DU1137" s="73"/>
      <c r="DV1137" s="73"/>
      <c r="DW1137" s="73"/>
      <c r="DX1137" s="72"/>
      <c r="DY1137" s="72"/>
      <c r="DZ1137" s="73"/>
      <c r="EA1137" s="73"/>
      <c r="EB1137" s="73"/>
      <c r="EC1137" s="73"/>
      <c r="ED1137" s="73"/>
      <c r="EE1137" s="73"/>
      <c r="EF1137" s="73"/>
      <c r="EG1137" s="73"/>
      <c r="EH1137" s="73"/>
      <c r="EI1137" s="73"/>
      <c r="EJ1137" s="73"/>
      <c r="EK1137" s="73"/>
      <c r="EL1137" s="73"/>
      <c r="EM1137" s="73"/>
      <c r="EN1137" s="73"/>
      <c r="EO1137" s="73"/>
      <c r="EP1137" s="69"/>
      <c r="EQ1137" s="69"/>
      <c r="ER1137" s="69"/>
    </row>
    <row r="1138">
      <c r="A1138" s="73"/>
      <c r="B1138" s="73"/>
      <c r="C1138" s="73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  <c r="AA1138" s="73"/>
      <c r="AB1138" s="73"/>
      <c r="AC1138" s="73"/>
      <c r="AD1138" s="73"/>
      <c r="AE1138" s="73"/>
      <c r="AF1138" s="73"/>
      <c r="AG1138" s="73"/>
      <c r="AH1138" s="73"/>
      <c r="AI1138" s="73"/>
      <c r="AJ1138" s="73"/>
      <c r="AK1138" s="73"/>
      <c r="AL1138" s="73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  <c r="CI1138" s="73"/>
      <c r="CJ1138" s="73"/>
      <c r="CK1138" s="73"/>
      <c r="CL1138" s="73"/>
      <c r="CM1138" s="73"/>
      <c r="CN1138" s="73"/>
      <c r="CO1138" s="73"/>
      <c r="CP1138" s="73"/>
      <c r="CQ1138" s="73"/>
      <c r="CR1138" s="73"/>
      <c r="CS1138" s="73"/>
      <c r="CT1138" s="73"/>
      <c r="CU1138" s="73"/>
      <c r="CV1138" s="73"/>
      <c r="CW1138" s="73"/>
      <c r="CX1138" s="73"/>
      <c r="CY1138" s="73"/>
      <c r="CZ1138" s="73"/>
      <c r="DA1138" s="73"/>
      <c r="DB1138" s="73"/>
      <c r="DC1138" s="73"/>
      <c r="DD1138" s="73"/>
      <c r="DE1138" s="73"/>
      <c r="DF1138" s="73"/>
      <c r="DG1138" s="73"/>
      <c r="DH1138" s="73"/>
      <c r="DI1138" s="73"/>
      <c r="DJ1138" s="73"/>
      <c r="DK1138" s="73"/>
      <c r="DL1138" s="73"/>
      <c r="DM1138" s="73"/>
      <c r="DN1138" s="73"/>
      <c r="DO1138" s="73"/>
      <c r="DP1138" s="73"/>
      <c r="DQ1138" s="73"/>
      <c r="DR1138" s="73"/>
      <c r="DS1138" s="73"/>
      <c r="DT1138" s="73"/>
      <c r="DU1138" s="73"/>
      <c r="DV1138" s="73"/>
      <c r="DW1138" s="73"/>
      <c r="DX1138" s="72"/>
      <c r="DY1138" s="72"/>
      <c r="DZ1138" s="73"/>
      <c r="EA1138" s="73"/>
      <c r="EB1138" s="73"/>
      <c r="EC1138" s="73"/>
      <c r="ED1138" s="73"/>
      <c r="EE1138" s="73"/>
      <c r="EF1138" s="73"/>
      <c r="EG1138" s="73"/>
      <c r="EH1138" s="73"/>
      <c r="EI1138" s="73"/>
      <c r="EJ1138" s="73"/>
      <c r="EK1138" s="73"/>
      <c r="EL1138" s="73"/>
      <c r="EM1138" s="73"/>
      <c r="EN1138" s="73"/>
      <c r="EO1138" s="73"/>
      <c r="EP1138" s="69"/>
      <c r="EQ1138" s="69"/>
      <c r="ER1138" s="69"/>
    </row>
    <row r="1139">
      <c r="A1139" s="73"/>
      <c r="B1139" s="73"/>
      <c r="C1139" s="73"/>
      <c r="D1139" s="73"/>
      <c r="E1139" s="73"/>
      <c r="F1139" s="73"/>
      <c r="G1139" s="73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  <c r="AA1139" s="73"/>
      <c r="AB1139" s="73"/>
      <c r="AC1139" s="73"/>
      <c r="AD1139" s="73"/>
      <c r="AE1139" s="73"/>
      <c r="AF1139" s="73"/>
      <c r="AG1139" s="73"/>
      <c r="AH1139" s="73"/>
      <c r="AI1139" s="73"/>
      <c r="AJ1139" s="73"/>
      <c r="AK1139" s="73"/>
      <c r="AL1139" s="73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  <c r="CI1139" s="73"/>
      <c r="CJ1139" s="73"/>
      <c r="CK1139" s="73"/>
      <c r="CL1139" s="73"/>
      <c r="CM1139" s="73"/>
      <c r="CN1139" s="73"/>
      <c r="CO1139" s="73"/>
      <c r="CP1139" s="73"/>
      <c r="CQ1139" s="73"/>
      <c r="CR1139" s="73"/>
      <c r="CS1139" s="73"/>
      <c r="CT1139" s="73"/>
      <c r="CU1139" s="73"/>
      <c r="CV1139" s="73"/>
      <c r="CW1139" s="73"/>
      <c r="CX1139" s="73"/>
      <c r="CY1139" s="73"/>
      <c r="CZ1139" s="73"/>
      <c r="DA1139" s="73"/>
      <c r="DB1139" s="73"/>
      <c r="DC1139" s="73"/>
      <c r="DD1139" s="73"/>
      <c r="DE1139" s="73"/>
      <c r="DF1139" s="73"/>
      <c r="DG1139" s="73"/>
      <c r="DH1139" s="73"/>
      <c r="DI1139" s="73"/>
      <c r="DJ1139" s="73"/>
      <c r="DK1139" s="73"/>
      <c r="DL1139" s="73"/>
      <c r="DM1139" s="73"/>
      <c r="DN1139" s="73"/>
      <c r="DO1139" s="73"/>
      <c r="DP1139" s="73"/>
      <c r="DQ1139" s="73"/>
      <c r="DR1139" s="73"/>
      <c r="DS1139" s="73"/>
      <c r="DT1139" s="73"/>
      <c r="DU1139" s="73"/>
      <c r="DV1139" s="73"/>
      <c r="DW1139" s="73"/>
      <c r="DX1139" s="73"/>
      <c r="DY1139" s="73"/>
      <c r="DZ1139" s="73"/>
      <c r="EA1139" s="73"/>
      <c r="EB1139" s="73"/>
      <c r="EC1139" s="73"/>
      <c r="ED1139" s="73"/>
      <c r="EE1139" s="73"/>
      <c r="EF1139" s="73"/>
      <c r="EG1139" s="73"/>
      <c r="EH1139" s="73"/>
      <c r="EI1139" s="73"/>
      <c r="EJ1139" s="73"/>
      <c r="EK1139" s="73"/>
      <c r="EL1139" s="73"/>
      <c r="EM1139" s="73"/>
      <c r="EN1139" s="73"/>
      <c r="EO1139" s="73"/>
      <c r="EP1139" s="69"/>
      <c r="EQ1139" s="69"/>
      <c r="ER1139" s="69"/>
    </row>
    <row r="1140">
      <c r="A1140" s="73"/>
      <c r="B1140" s="73"/>
      <c r="C1140" s="73"/>
      <c r="D1140" s="73"/>
      <c r="E1140" s="73"/>
      <c r="F1140" s="73"/>
      <c r="G1140" s="73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  <c r="AA1140" s="73"/>
      <c r="AB1140" s="73"/>
      <c r="AC1140" s="73"/>
      <c r="AD1140" s="73"/>
      <c r="AE1140" s="73"/>
      <c r="AF1140" s="73"/>
      <c r="AG1140" s="73"/>
      <c r="AH1140" s="73"/>
      <c r="AI1140" s="73"/>
      <c r="AJ1140" s="73"/>
      <c r="AK1140" s="73"/>
      <c r="AL1140" s="73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  <c r="CI1140" s="73"/>
      <c r="CJ1140" s="73"/>
      <c r="CK1140" s="73"/>
      <c r="CL1140" s="73"/>
      <c r="CM1140" s="73"/>
      <c r="CN1140" s="73"/>
      <c r="CO1140" s="73"/>
      <c r="CP1140" s="73"/>
      <c r="CQ1140" s="73"/>
      <c r="CR1140" s="73"/>
      <c r="CS1140" s="73"/>
      <c r="CT1140" s="73"/>
      <c r="CU1140" s="73"/>
      <c r="CV1140" s="73"/>
      <c r="CW1140" s="73"/>
      <c r="CX1140" s="73"/>
      <c r="CY1140" s="73"/>
      <c r="CZ1140" s="73"/>
      <c r="DA1140" s="73"/>
      <c r="DB1140" s="73"/>
      <c r="DC1140" s="73"/>
      <c r="DD1140" s="73"/>
      <c r="DE1140" s="73"/>
      <c r="DF1140" s="73"/>
      <c r="DG1140" s="73"/>
      <c r="DH1140" s="73"/>
      <c r="DI1140" s="73"/>
      <c r="DJ1140" s="73"/>
      <c r="DK1140" s="73"/>
      <c r="DL1140" s="73"/>
      <c r="DM1140" s="73"/>
      <c r="DN1140" s="73"/>
      <c r="DO1140" s="73"/>
      <c r="DP1140" s="73"/>
      <c r="DQ1140" s="73"/>
      <c r="DR1140" s="73"/>
      <c r="DS1140" s="73"/>
      <c r="DT1140" s="73"/>
      <c r="DU1140" s="73"/>
      <c r="DV1140" s="73"/>
      <c r="DW1140" s="73"/>
      <c r="DX1140" s="73"/>
      <c r="DY1140" s="73"/>
      <c r="DZ1140" s="73"/>
      <c r="EA1140" s="73"/>
      <c r="EB1140" s="73"/>
      <c r="EC1140" s="73"/>
      <c r="ED1140" s="73"/>
      <c r="EE1140" s="73"/>
      <c r="EF1140" s="73"/>
      <c r="EG1140" s="73"/>
      <c r="EH1140" s="73"/>
      <c r="EI1140" s="73"/>
      <c r="EJ1140" s="73"/>
      <c r="EK1140" s="73"/>
      <c r="EL1140" s="73"/>
      <c r="EM1140" s="73"/>
      <c r="EN1140" s="73"/>
      <c r="EO1140" s="73"/>
      <c r="EP1140" s="69"/>
      <c r="EQ1140" s="69"/>
      <c r="ER1140" s="69"/>
    </row>
    <row r="1141">
      <c r="A1141" s="73"/>
      <c r="B1141" s="73"/>
      <c r="C1141" s="73"/>
      <c r="D1141" s="73"/>
      <c r="E1141" s="73"/>
      <c r="F1141" s="73"/>
      <c r="G1141" s="73"/>
      <c r="H1141" s="73"/>
      <c r="I1141" s="73"/>
      <c r="J1141" s="73"/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  <c r="AA1141" s="73"/>
      <c r="AB1141" s="73"/>
      <c r="AC1141" s="73"/>
      <c r="AD1141" s="73"/>
      <c r="AE1141" s="73"/>
      <c r="AF1141" s="73"/>
      <c r="AG1141" s="73"/>
      <c r="AH1141" s="73"/>
      <c r="AI1141" s="73"/>
      <c r="AJ1141" s="73"/>
      <c r="AK1141" s="73"/>
      <c r="AL1141" s="73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  <c r="CI1141" s="73"/>
      <c r="CJ1141" s="73"/>
      <c r="CK1141" s="73"/>
      <c r="CL1141" s="73"/>
      <c r="CM1141" s="73"/>
      <c r="CN1141" s="73"/>
      <c r="CO1141" s="73"/>
      <c r="CP1141" s="73"/>
      <c r="CQ1141" s="73"/>
      <c r="CR1141" s="73"/>
      <c r="CS1141" s="73"/>
      <c r="CT1141" s="73"/>
      <c r="CU1141" s="73"/>
      <c r="CV1141" s="73"/>
      <c r="CW1141" s="73"/>
      <c r="CX1141" s="73"/>
      <c r="CY1141" s="73"/>
      <c r="CZ1141" s="73"/>
      <c r="DA1141" s="73"/>
      <c r="DB1141" s="73"/>
      <c r="DC1141" s="73"/>
      <c r="DD1141" s="73"/>
      <c r="DE1141" s="73"/>
      <c r="DF1141" s="73"/>
      <c r="DG1141" s="73"/>
      <c r="DH1141" s="73"/>
      <c r="DI1141" s="73"/>
      <c r="DJ1141" s="73"/>
      <c r="DK1141" s="73"/>
      <c r="DL1141" s="73"/>
      <c r="DM1141" s="73"/>
      <c r="DN1141" s="73"/>
      <c r="DO1141" s="73"/>
      <c r="DP1141" s="73"/>
      <c r="DQ1141" s="73"/>
      <c r="DR1141" s="73"/>
      <c r="DS1141" s="73"/>
      <c r="DT1141" s="73"/>
      <c r="DU1141" s="73"/>
      <c r="DV1141" s="73"/>
      <c r="DW1141" s="73"/>
      <c r="DX1141" s="73"/>
      <c r="DY1141" s="73"/>
      <c r="DZ1141" s="73"/>
      <c r="EA1141" s="73"/>
      <c r="EB1141" s="73"/>
      <c r="EC1141" s="73"/>
      <c r="ED1141" s="73"/>
      <c r="EE1141" s="73"/>
      <c r="EF1141" s="73"/>
      <c r="EG1141" s="73"/>
      <c r="EH1141" s="73"/>
      <c r="EI1141" s="73"/>
      <c r="EJ1141" s="73"/>
      <c r="EK1141" s="73"/>
      <c r="EL1141" s="73"/>
      <c r="EM1141" s="73"/>
      <c r="EN1141" s="73"/>
      <c r="EO1141" s="73"/>
      <c r="EP1141" s="69"/>
      <c r="EQ1141" s="69"/>
      <c r="ER1141" s="69"/>
    </row>
    <row r="1142">
      <c r="A1142" s="73"/>
      <c r="B1142" s="73"/>
      <c r="C1142" s="73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  <c r="AA1142" s="73"/>
      <c r="AB1142" s="73"/>
      <c r="AC1142" s="73"/>
      <c r="AD1142" s="73"/>
      <c r="AE1142" s="73"/>
      <c r="AF1142" s="73"/>
      <c r="AG1142" s="73"/>
      <c r="AH1142" s="73"/>
      <c r="AI1142" s="73"/>
      <c r="AJ1142" s="73"/>
      <c r="AK1142" s="73"/>
      <c r="AL1142" s="73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  <c r="CI1142" s="73"/>
      <c r="CJ1142" s="73"/>
      <c r="CK1142" s="73"/>
      <c r="CL1142" s="73"/>
      <c r="CM1142" s="73"/>
      <c r="CN1142" s="73"/>
      <c r="CO1142" s="73"/>
      <c r="CP1142" s="73"/>
      <c r="CQ1142" s="73"/>
      <c r="CR1142" s="73"/>
      <c r="CS1142" s="73"/>
      <c r="CT1142" s="73"/>
      <c r="CU1142" s="73"/>
      <c r="CV1142" s="73"/>
      <c r="CW1142" s="73"/>
      <c r="CX1142" s="73"/>
      <c r="CY1142" s="73"/>
      <c r="CZ1142" s="73"/>
      <c r="DA1142" s="73"/>
      <c r="DB1142" s="73"/>
      <c r="DC1142" s="73"/>
      <c r="DD1142" s="73"/>
      <c r="DE1142" s="73"/>
      <c r="DF1142" s="73"/>
      <c r="DG1142" s="73"/>
      <c r="DH1142" s="73"/>
      <c r="DI1142" s="73"/>
      <c r="DJ1142" s="73"/>
      <c r="DK1142" s="73"/>
      <c r="DL1142" s="73"/>
      <c r="DM1142" s="73"/>
      <c r="DN1142" s="73"/>
      <c r="DO1142" s="73"/>
      <c r="DP1142" s="73"/>
      <c r="DQ1142" s="73"/>
      <c r="DR1142" s="73"/>
      <c r="DS1142" s="73"/>
      <c r="DT1142" s="73"/>
      <c r="DU1142" s="73"/>
      <c r="DV1142" s="73"/>
      <c r="DW1142" s="73"/>
      <c r="DX1142" s="73"/>
      <c r="DY1142" s="73"/>
      <c r="DZ1142" s="73"/>
      <c r="EA1142" s="73"/>
      <c r="EB1142" s="73"/>
      <c r="EC1142" s="73"/>
      <c r="ED1142" s="73"/>
      <c r="EE1142" s="73"/>
      <c r="EF1142" s="73"/>
      <c r="EG1142" s="73"/>
      <c r="EH1142" s="73"/>
      <c r="EI1142" s="73"/>
      <c r="EJ1142" s="73"/>
      <c r="EK1142" s="73"/>
      <c r="EL1142" s="73"/>
      <c r="EM1142" s="73"/>
      <c r="EN1142" s="73"/>
      <c r="EO1142" s="73"/>
      <c r="EP1142" s="69"/>
      <c r="EQ1142" s="69"/>
      <c r="ER1142" s="69"/>
    </row>
    <row r="1143">
      <c r="A1143" s="73"/>
      <c r="B1143" s="73"/>
      <c r="C1143" s="73"/>
      <c r="D1143" s="73"/>
      <c r="E1143" s="73"/>
      <c r="F1143" s="73"/>
      <c r="G1143" s="73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  <c r="AA1143" s="73"/>
      <c r="AB1143" s="73"/>
      <c r="AC1143" s="73"/>
      <c r="AD1143" s="73"/>
      <c r="AE1143" s="73"/>
      <c r="AF1143" s="73"/>
      <c r="AG1143" s="73"/>
      <c r="AH1143" s="73"/>
      <c r="AI1143" s="73"/>
      <c r="AJ1143" s="73"/>
      <c r="AK1143" s="73"/>
      <c r="AL1143" s="73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  <c r="CI1143" s="73"/>
      <c r="CJ1143" s="73"/>
      <c r="CK1143" s="73"/>
      <c r="CL1143" s="73"/>
      <c r="CM1143" s="73"/>
      <c r="CN1143" s="73"/>
      <c r="CO1143" s="73"/>
      <c r="CP1143" s="73"/>
      <c r="CQ1143" s="73"/>
      <c r="CR1143" s="73"/>
      <c r="CS1143" s="73"/>
      <c r="CT1143" s="73"/>
      <c r="CU1143" s="73"/>
      <c r="CV1143" s="73"/>
      <c r="CW1143" s="73"/>
      <c r="CX1143" s="73"/>
      <c r="CY1143" s="73"/>
      <c r="CZ1143" s="73"/>
      <c r="DA1143" s="73"/>
      <c r="DB1143" s="73"/>
      <c r="DC1143" s="73"/>
      <c r="DD1143" s="73"/>
      <c r="DE1143" s="73"/>
      <c r="DF1143" s="73"/>
      <c r="DG1143" s="73"/>
      <c r="DH1143" s="73"/>
      <c r="DI1143" s="73"/>
      <c r="DJ1143" s="73"/>
      <c r="DK1143" s="73"/>
      <c r="DL1143" s="73"/>
      <c r="DM1143" s="73"/>
      <c r="DN1143" s="73"/>
      <c r="DO1143" s="73"/>
      <c r="DP1143" s="73"/>
      <c r="DQ1143" s="73"/>
      <c r="DR1143" s="73"/>
      <c r="DS1143" s="73"/>
      <c r="DT1143" s="73"/>
      <c r="DU1143" s="73"/>
      <c r="DV1143" s="73"/>
      <c r="DW1143" s="73"/>
      <c r="DX1143" s="72"/>
      <c r="DY1143" s="72"/>
      <c r="DZ1143" s="73"/>
      <c r="EA1143" s="73"/>
      <c r="EB1143" s="73"/>
      <c r="EC1143" s="73"/>
      <c r="ED1143" s="73"/>
      <c r="EE1143" s="73"/>
      <c r="EF1143" s="73"/>
      <c r="EG1143" s="73"/>
      <c r="EH1143" s="73"/>
      <c r="EI1143" s="73"/>
      <c r="EJ1143" s="73"/>
      <c r="EK1143" s="73"/>
      <c r="EL1143" s="73"/>
      <c r="EM1143" s="73"/>
      <c r="EN1143" s="73"/>
      <c r="EO1143" s="73"/>
      <c r="EP1143" s="69"/>
      <c r="EQ1143" s="69"/>
      <c r="ER1143" s="69"/>
    </row>
    <row r="1144">
      <c r="A1144" s="73"/>
      <c r="B1144" s="73"/>
      <c r="C1144" s="73"/>
      <c r="D1144" s="73"/>
      <c r="E1144" s="73"/>
      <c r="F1144" s="73"/>
      <c r="G1144" s="73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  <c r="AA1144" s="73"/>
      <c r="AB1144" s="73"/>
      <c r="AC1144" s="73"/>
      <c r="AD1144" s="73"/>
      <c r="AE1144" s="73"/>
      <c r="AF1144" s="73"/>
      <c r="AG1144" s="73"/>
      <c r="AH1144" s="73"/>
      <c r="AI1144" s="73"/>
      <c r="AJ1144" s="73"/>
      <c r="AK1144" s="73"/>
      <c r="AL1144" s="73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  <c r="CI1144" s="73"/>
      <c r="CJ1144" s="73"/>
      <c r="CK1144" s="73"/>
      <c r="CL1144" s="73"/>
      <c r="CM1144" s="72"/>
      <c r="CN1144" s="73"/>
      <c r="CO1144" s="73"/>
      <c r="CP1144" s="73"/>
      <c r="CQ1144" s="73"/>
      <c r="CR1144" s="73"/>
      <c r="CS1144" s="73"/>
      <c r="CT1144" s="73"/>
      <c r="CU1144" s="73"/>
      <c r="CV1144" s="73"/>
      <c r="CW1144" s="73"/>
      <c r="CX1144" s="73"/>
      <c r="CY1144" s="73"/>
      <c r="CZ1144" s="73"/>
      <c r="DA1144" s="73"/>
      <c r="DB1144" s="73"/>
      <c r="DC1144" s="73"/>
      <c r="DD1144" s="73"/>
      <c r="DE1144" s="73"/>
      <c r="DF1144" s="73"/>
      <c r="DG1144" s="73"/>
      <c r="DH1144" s="73"/>
      <c r="DI1144" s="73"/>
      <c r="DJ1144" s="73"/>
      <c r="DK1144" s="73"/>
      <c r="DL1144" s="73"/>
      <c r="DM1144" s="73"/>
      <c r="DN1144" s="73"/>
      <c r="DO1144" s="73"/>
      <c r="DP1144" s="73"/>
      <c r="DQ1144" s="73"/>
      <c r="DR1144" s="73"/>
      <c r="DS1144" s="73"/>
      <c r="DT1144" s="73"/>
      <c r="DU1144" s="73"/>
      <c r="DV1144" s="73"/>
      <c r="DW1144" s="73"/>
      <c r="DX1144" s="73"/>
      <c r="DY1144" s="73"/>
      <c r="DZ1144" s="73"/>
      <c r="EA1144" s="73"/>
      <c r="EB1144" s="73"/>
      <c r="EC1144" s="73"/>
      <c r="ED1144" s="73"/>
      <c r="EE1144" s="73"/>
      <c r="EF1144" s="73"/>
      <c r="EG1144" s="73"/>
      <c r="EH1144" s="73"/>
      <c r="EI1144" s="73"/>
      <c r="EJ1144" s="73"/>
      <c r="EK1144" s="73"/>
      <c r="EL1144" s="73"/>
      <c r="EM1144" s="73"/>
      <c r="EN1144" s="73"/>
      <c r="EO1144" s="73"/>
      <c r="EP1144" s="69"/>
      <c r="EQ1144" s="69"/>
      <c r="ER1144" s="69"/>
    </row>
    <row r="1145">
      <c r="A1145" s="73"/>
      <c r="B1145" s="73"/>
      <c r="C1145" s="73"/>
      <c r="D1145" s="73"/>
      <c r="E1145" s="73"/>
      <c r="F1145" s="73"/>
      <c r="G1145" s="73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  <c r="AA1145" s="73"/>
      <c r="AB1145" s="73"/>
      <c r="AC1145" s="73"/>
      <c r="AD1145" s="73"/>
      <c r="AE1145" s="73"/>
      <c r="AF1145" s="73"/>
      <c r="AG1145" s="73"/>
      <c r="AH1145" s="73"/>
      <c r="AI1145" s="73"/>
      <c r="AJ1145" s="73"/>
      <c r="AK1145" s="73"/>
      <c r="AL1145" s="73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  <c r="CI1145" s="73"/>
      <c r="CJ1145" s="73"/>
      <c r="CK1145" s="73"/>
      <c r="CL1145" s="73"/>
      <c r="CM1145" s="73"/>
      <c r="CN1145" s="73"/>
      <c r="CO1145" s="73"/>
      <c r="CP1145" s="73"/>
      <c r="CQ1145" s="73"/>
      <c r="CR1145" s="73"/>
      <c r="CS1145" s="73"/>
      <c r="CT1145" s="73"/>
      <c r="CU1145" s="73"/>
      <c r="CV1145" s="73"/>
      <c r="CW1145" s="73"/>
      <c r="CX1145" s="73"/>
      <c r="CY1145" s="73"/>
      <c r="CZ1145" s="73"/>
      <c r="DA1145" s="73"/>
      <c r="DB1145" s="73"/>
      <c r="DC1145" s="73"/>
      <c r="DD1145" s="73"/>
      <c r="DE1145" s="73"/>
      <c r="DF1145" s="73"/>
      <c r="DG1145" s="73"/>
      <c r="DH1145" s="73"/>
      <c r="DI1145" s="73"/>
      <c r="DJ1145" s="73"/>
      <c r="DK1145" s="73"/>
      <c r="DL1145" s="73"/>
      <c r="DM1145" s="73"/>
      <c r="DN1145" s="73"/>
      <c r="DO1145" s="73"/>
      <c r="DP1145" s="73"/>
      <c r="DQ1145" s="73"/>
      <c r="DR1145" s="73"/>
      <c r="DS1145" s="73"/>
      <c r="DT1145" s="73"/>
      <c r="DU1145" s="73"/>
      <c r="DV1145" s="73"/>
      <c r="DW1145" s="73"/>
      <c r="DX1145" s="73"/>
      <c r="DY1145" s="73"/>
      <c r="DZ1145" s="73"/>
      <c r="EA1145" s="73"/>
      <c r="EB1145" s="73"/>
      <c r="EC1145" s="73"/>
      <c r="ED1145" s="73"/>
      <c r="EE1145" s="73"/>
      <c r="EF1145" s="73"/>
      <c r="EG1145" s="73"/>
      <c r="EH1145" s="73"/>
      <c r="EI1145" s="73"/>
      <c r="EJ1145" s="73"/>
      <c r="EK1145" s="73"/>
      <c r="EL1145" s="73"/>
      <c r="EM1145" s="73"/>
      <c r="EN1145" s="73"/>
      <c r="EO1145" s="73"/>
      <c r="EP1145" s="69"/>
      <c r="EQ1145" s="69"/>
      <c r="ER1145" s="69"/>
    </row>
    <row r="1146">
      <c r="A1146" s="73"/>
      <c r="B1146" s="73"/>
      <c r="C1146" s="73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73"/>
      <c r="V1146" s="73"/>
      <c r="W1146" s="73"/>
      <c r="X1146" s="73"/>
      <c r="Y1146" s="73"/>
      <c r="Z1146" s="73"/>
      <c r="AA1146" s="73"/>
      <c r="AB1146" s="73"/>
      <c r="AC1146" s="73"/>
      <c r="AD1146" s="73"/>
      <c r="AE1146" s="73"/>
      <c r="AF1146" s="73"/>
      <c r="AG1146" s="73"/>
      <c r="AH1146" s="73"/>
      <c r="AI1146" s="73"/>
      <c r="AJ1146" s="73"/>
      <c r="AK1146" s="73"/>
      <c r="AL1146" s="73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  <c r="CI1146" s="73"/>
      <c r="CJ1146" s="73"/>
      <c r="CK1146" s="73"/>
      <c r="CL1146" s="73"/>
      <c r="CM1146" s="73"/>
      <c r="CN1146" s="73"/>
      <c r="CO1146" s="73"/>
      <c r="CP1146" s="73"/>
      <c r="CQ1146" s="73"/>
      <c r="CR1146" s="73"/>
      <c r="CS1146" s="73"/>
      <c r="CT1146" s="73"/>
      <c r="CU1146" s="73"/>
      <c r="CV1146" s="73"/>
      <c r="CW1146" s="73"/>
      <c r="CX1146" s="73"/>
      <c r="CY1146" s="73"/>
      <c r="CZ1146" s="73"/>
      <c r="DA1146" s="73"/>
      <c r="DB1146" s="73"/>
      <c r="DC1146" s="73"/>
      <c r="DD1146" s="73"/>
      <c r="DE1146" s="73"/>
      <c r="DF1146" s="73"/>
      <c r="DG1146" s="73"/>
      <c r="DH1146" s="73"/>
      <c r="DI1146" s="73"/>
      <c r="DJ1146" s="73"/>
      <c r="DK1146" s="73"/>
      <c r="DL1146" s="73"/>
      <c r="DM1146" s="73"/>
      <c r="DN1146" s="73"/>
      <c r="DO1146" s="73"/>
      <c r="DP1146" s="73"/>
      <c r="DQ1146" s="73"/>
      <c r="DR1146" s="73"/>
      <c r="DS1146" s="73"/>
      <c r="DT1146" s="73"/>
      <c r="DU1146" s="73"/>
      <c r="DV1146" s="73"/>
      <c r="DW1146" s="73"/>
      <c r="DX1146" s="73"/>
      <c r="DY1146" s="73"/>
      <c r="DZ1146" s="73"/>
      <c r="EA1146" s="73"/>
      <c r="EB1146" s="73"/>
      <c r="EC1146" s="73"/>
      <c r="ED1146" s="73"/>
      <c r="EE1146" s="73"/>
      <c r="EF1146" s="73"/>
      <c r="EG1146" s="73"/>
      <c r="EH1146" s="73"/>
      <c r="EI1146" s="73"/>
      <c r="EJ1146" s="73"/>
      <c r="EK1146" s="73"/>
      <c r="EL1146" s="73"/>
      <c r="EM1146" s="73"/>
      <c r="EN1146" s="73"/>
      <c r="EO1146" s="73"/>
      <c r="EP1146" s="69"/>
      <c r="EQ1146" s="69"/>
      <c r="ER1146" s="69"/>
    </row>
    <row r="1147">
      <c r="A1147" s="73"/>
      <c r="B1147" s="73"/>
      <c r="C1147" s="73"/>
      <c r="D1147" s="73"/>
      <c r="E1147" s="73"/>
      <c r="F1147" s="73"/>
      <c r="G1147" s="73"/>
      <c r="H1147" s="73"/>
      <c r="I1147" s="73"/>
      <c r="J1147" s="73"/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73"/>
      <c r="V1147" s="73"/>
      <c r="W1147" s="73"/>
      <c r="X1147" s="73"/>
      <c r="Y1147" s="73"/>
      <c r="Z1147" s="73"/>
      <c r="AA1147" s="73"/>
      <c r="AB1147" s="73"/>
      <c r="AC1147" s="73"/>
      <c r="AD1147" s="73"/>
      <c r="AE1147" s="73"/>
      <c r="AF1147" s="73"/>
      <c r="AG1147" s="73"/>
      <c r="AH1147" s="73"/>
      <c r="AI1147" s="73"/>
      <c r="AJ1147" s="73"/>
      <c r="AK1147" s="73"/>
      <c r="AL1147" s="73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  <c r="CI1147" s="73"/>
      <c r="CJ1147" s="73"/>
      <c r="CK1147" s="73"/>
      <c r="CL1147" s="73"/>
      <c r="CM1147" s="73"/>
      <c r="CN1147" s="73"/>
      <c r="CO1147" s="73"/>
      <c r="CP1147" s="73"/>
      <c r="CQ1147" s="73"/>
      <c r="CR1147" s="73"/>
      <c r="CS1147" s="73"/>
      <c r="CT1147" s="73"/>
      <c r="CU1147" s="73"/>
      <c r="CV1147" s="73"/>
      <c r="CW1147" s="73"/>
      <c r="CX1147" s="73"/>
      <c r="CY1147" s="73"/>
      <c r="CZ1147" s="73"/>
      <c r="DA1147" s="73"/>
      <c r="DB1147" s="73"/>
      <c r="DC1147" s="73"/>
      <c r="DD1147" s="73"/>
      <c r="DE1147" s="73"/>
      <c r="DF1147" s="73"/>
      <c r="DG1147" s="73"/>
      <c r="DH1147" s="73"/>
      <c r="DI1147" s="73"/>
      <c r="DJ1147" s="73"/>
      <c r="DK1147" s="73"/>
      <c r="DL1147" s="73"/>
      <c r="DM1147" s="73"/>
      <c r="DN1147" s="73"/>
      <c r="DO1147" s="73"/>
      <c r="DP1147" s="73"/>
      <c r="DQ1147" s="73"/>
      <c r="DR1147" s="73"/>
      <c r="DS1147" s="73"/>
      <c r="DT1147" s="73"/>
      <c r="DU1147" s="73"/>
      <c r="DV1147" s="73"/>
      <c r="DW1147" s="73"/>
      <c r="DX1147" s="73"/>
      <c r="DY1147" s="73"/>
      <c r="DZ1147" s="73"/>
      <c r="EA1147" s="73"/>
      <c r="EB1147" s="73"/>
      <c r="EC1147" s="73"/>
      <c r="ED1147" s="73"/>
      <c r="EE1147" s="73"/>
      <c r="EF1147" s="73"/>
      <c r="EG1147" s="73"/>
      <c r="EH1147" s="73"/>
      <c r="EI1147" s="73"/>
      <c r="EJ1147" s="73"/>
      <c r="EK1147" s="73"/>
      <c r="EL1147" s="73"/>
      <c r="EM1147" s="73"/>
      <c r="EN1147" s="73"/>
      <c r="EO1147" s="73"/>
      <c r="EP1147" s="69"/>
      <c r="EQ1147" s="69"/>
      <c r="ER1147" s="69"/>
    </row>
    <row r="1148">
      <c r="A1148" s="73"/>
      <c r="B1148" s="73"/>
      <c r="C1148" s="73"/>
      <c r="D1148" s="73"/>
      <c r="E1148" s="73"/>
      <c r="F1148" s="73"/>
      <c r="G1148" s="73"/>
      <c r="H1148" s="73"/>
      <c r="I1148" s="73"/>
      <c r="J1148" s="73"/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73"/>
      <c r="V1148" s="73"/>
      <c r="W1148" s="73"/>
      <c r="X1148" s="73"/>
      <c r="Y1148" s="73"/>
      <c r="Z1148" s="73"/>
      <c r="AA1148" s="73"/>
      <c r="AB1148" s="73"/>
      <c r="AC1148" s="73"/>
      <c r="AD1148" s="73"/>
      <c r="AE1148" s="73"/>
      <c r="AF1148" s="73"/>
      <c r="AG1148" s="73"/>
      <c r="AH1148" s="73"/>
      <c r="AI1148" s="73"/>
      <c r="AJ1148" s="73"/>
      <c r="AK1148" s="73"/>
      <c r="AL1148" s="73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  <c r="CI1148" s="73"/>
      <c r="CJ1148" s="73"/>
      <c r="CK1148" s="73"/>
      <c r="CL1148" s="73"/>
      <c r="CM1148" s="72"/>
      <c r="CN1148" s="73"/>
      <c r="CO1148" s="73"/>
      <c r="CP1148" s="73"/>
      <c r="CQ1148" s="73"/>
      <c r="CR1148" s="73"/>
      <c r="CS1148" s="73"/>
      <c r="CT1148" s="73"/>
      <c r="CU1148" s="73"/>
      <c r="CV1148" s="73"/>
      <c r="CW1148" s="73"/>
      <c r="CX1148" s="73"/>
      <c r="CY1148" s="73"/>
      <c r="CZ1148" s="73"/>
      <c r="DA1148" s="73"/>
      <c r="DB1148" s="73"/>
      <c r="DC1148" s="73"/>
      <c r="DD1148" s="73"/>
      <c r="DE1148" s="73"/>
      <c r="DF1148" s="73"/>
      <c r="DG1148" s="73"/>
      <c r="DH1148" s="73"/>
      <c r="DI1148" s="73"/>
      <c r="DJ1148" s="73"/>
      <c r="DK1148" s="73"/>
      <c r="DL1148" s="73"/>
      <c r="DM1148" s="73"/>
      <c r="DN1148" s="73"/>
      <c r="DO1148" s="73"/>
      <c r="DP1148" s="73"/>
      <c r="DQ1148" s="73"/>
      <c r="DR1148" s="73"/>
      <c r="DS1148" s="73"/>
      <c r="DT1148" s="73"/>
      <c r="DU1148" s="73"/>
      <c r="DV1148" s="73"/>
      <c r="DW1148" s="73"/>
      <c r="DX1148" s="72"/>
      <c r="DY1148" s="72"/>
      <c r="DZ1148" s="73"/>
      <c r="EA1148" s="73"/>
      <c r="EB1148" s="73"/>
      <c r="EC1148" s="73"/>
      <c r="ED1148" s="73"/>
      <c r="EE1148" s="73"/>
      <c r="EF1148" s="73"/>
      <c r="EG1148" s="73"/>
      <c r="EH1148" s="73"/>
      <c r="EI1148" s="73"/>
      <c r="EJ1148" s="73"/>
      <c r="EK1148" s="73"/>
      <c r="EL1148" s="73"/>
      <c r="EM1148" s="73"/>
      <c r="EN1148" s="73"/>
      <c r="EO1148" s="73"/>
      <c r="EP1148" s="69"/>
      <c r="EQ1148" s="69"/>
      <c r="ER1148" s="69"/>
    </row>
    <row r="1149">
      <c r="A1149" s="73"/>
      <c r="B1149" s="73"/>
      <c r="C1149" s="73"/>
      <c r="D1149" s="73"/>
      <c r="E1149" s="73"/>
      <c r="F1149" s="73"/>
      <c r="G1149" s="73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73"/>
      <c r="AK1149" s="73"/>
      <c r="AL1149" s="73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  <c r="CI1149" s="73"/>
      <c r="CJ1149" s="73"/>
      <c r="CK1149" s="73"/>
      <c r="CL1149" s="73"/>
      <c r="CM1149" s="72"/>
      <c r="CN1149" s="73"/>
      <c r="CO1149" s="73"/>
      <c r="CP1149" s="73"/>
      <c r="CQ1149" s="73"/>
      <c r="CR1149" s="73"/>
      <c r="CS1149" s="73"/>
      <c r="CT1149" s="73"/>
      <c r="CU1149" s="73"/>
      <c r="CV1149" s="73"/>
      <c r="CW1149" s="73"/>
      <c r="CX1149" s="73"/>
      <c r="CY1149" s="73"/>
      <c r="CZ1149" s="73"/>
      <c r="DA1149" s="73"/>
      <c r="DB1149" s="73"/>
      <c r="DC1149" s="73"/>
      <c r="DD1149" s="73"/>
      <c r="DE1149" s="73"/>
      <c r="DF1149" s="73"/>
      <c r="DG1149" s="73"/>
      <c r="DH1149" s="73"/>
      <c r="DI1149" s="73"/>
      <c r="DJ1149" s="73"/>
      <c r="DK1149" s="73"/>
      <c r="DL1149" s="73"/>
      <c r="DM1149" s="73"/>
      <c r="DN1149" s="73"/>
      <c r="DO1149" s="73"/>
      <c r="DP1149" s="73"/>
      <c r="DQ1149" s="73"/>
      <c r="DR1149" s="73"/>
      <c r="DS1149" s="73"/>
      <c r="DT1149" s="73"/>
      <c r="DU1149" s="73"/>
      <c r="DV1149" s="73"/>
      <c r="DW1149" s="73"/>
      <c r="DX1149" s="72"/>
      <c r="DY1149" s="72"/>
      <c r="DZ1149" s="73"/>
      <c r="EA1149" s="73"/>
      <c r="EB1149" s="73"/>
      <c r="EC1149" s="73"/>
      <c r="ED1149" s="73"/>
      <c r="EE1149" s="73"/>
      <c r="EF1149" s="73"/>
      <c r="EG1149" s="73"/>
      <c r="EH1149" s="73"/>
      <c r="EI1149" s="73"/>
      <c r="EJ1149" s="73"/>
      <c r="EK1149" s="73"/>
      <c r="EL1149" s="73"/>
      <c r="EM1149" s="73"/>
      <c r="EN1149" s="73"/>
      <c r="EO1149" s="73"/>
      <c r="EP1149" s="69"/>
      <c r="EQ1149" s="69"/>
      <c r="ER1149" s="69"/>
    </row>
    <row r="1150">
      <c r="A1150" s="73"/>
      <c r="B1150" s="73"/>
      <c r="C1150" s="73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  <c r="S1150" s="73"/>
      <c r="T1150" s="73"/>
      <c r="U1150" s="73"/>
      <c r="V1150" s="73"/>
      <c r="W1150" s="73"/>
      <c r="X1150" s="73"/>
      <c r="Y1150" s="73"/>
      <c r="Z1150" s="73"/>
      <c r="AA1150" s="73"/>
      <c r="AB1150" s="73"/>
      <c r="AC1150" s="73"/>
      <c r="AD1150" s="73"/>
      <c r="AE1150" s="73"/>
      <c r="AF1150" s="73"/>
      <c r="AG1150" s="73"/>
      <c r="AH1150" s="73"/>
      <c r="AI1150" s="73"/>
      <c r="AJ1150" s="73"/>
      <c r="AK1150" s="73"/>
      <c r="AL1150" s="73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  <c r="CI1150" s="73"/>
      <c r="CJ1150" s="73"/>
      <c r="CK1150" s="73"/>
      <c r="CL1150" s="73"/>
      <c r="CM1150" s="73"/>
      <c r="CN1150" s="73"/>
      <c r="CO1150" s="73"/>
      <c r="CP1150" s="73"/>
      <c r="CQ1150" s="73"/>
      <c r="CR1150" s="73"/>
      <c r="CS1150" s="73"/>
      <c r="CT1150" s="73"/>
      <c r="CU1150" s="73"/>
      <c r="CV1150" s="73"/>
      <c r="CW1150" s="73"/>
      <c r="CX1150" s="73"/>
      <c r="CY1150" s="73"/>
      <c r="CZ1150" s="73"/>
      <c r="DA1150" s="73"/>
      <c r="DB1150" s="73"/>
      <c r="DC1150" s="73"/>
      <c r="DD1150" s="73"/>
      <c r="DE1150" s="73"/>
      <c r="DF1150" s="73"/>
      <c r="DG1150" s="73"/>
      <c r="DH1150" s="73"/>
      <c r="DI1150" s="73"/>
      <c r="DJ1150" s="73"/>
      <c r="DK1150" s="73"/>
      <c r="DL1150" s="73"/>
      <c r="DM1150" s="73"/>
      <c r="DN1150" s="73"/>
      <c r="DO1150" s="73"/>
      <c r="DP1150" s="73"/>
      <c r="DQ1150" s="73"/>
      <c r="DR1150" s="73"/>
      <c r="DS1150" s="73"/>
      <c r="DT1150" s="73"/>
      <c r="DU1150" s="73"/>
      <c r="DV1150" s="73"/>
      <c r="DW1150" s="73"/>
      <c r="DX1150" s="72"/>
      <c r="DY1150" s="72"/>
      <c r="DZ1150" s="73"/>
      <c r="EA1150" s="73"/>
      <c r="EB1150" s="73"/>
      <c r="EC1150" s="73"/>
      <c r="ED1150" s="73"/>
      <c r="EE1150" s="73"/>
      <c r="EF1150" s="73"/>
      <c r="EG1150" s="73"/>
      <c r="EH1150" s="73"/>
      <c r="EI1150" s="73"/>
      <c r="EJ1150" s="73"/>
      <c r="EK1150" s="73"/>
      <c r="EL1150" s="73"/>
      <c r="EM1150" s="73"/>
      <c r="EN1150" s="73"/>
      <c r="EO1150" s="73"/>
      <c r="EP1150" s="69"/>
      <c r="EQ1150" s="69"/>
      <c r="ER1150" s="69"/>
    </row>
    <row r="1151">
      <c r="A1151" s="73"/>
      <c r="B1151" s="73"/>
      <c r="C1151" s="73"/>
      <c r="D1151" s="73"/>
      <c r="E1151" s="73"/>
      <c r="F1151" s="73"/>
      <c r="G1151" s="73"/>
      <c r="H1151" s="73"/>
      <c r="I1151" s="73"/>
      <c r="J1151" s="73"/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73"/>
      <c r="AK1151" s="73"/>
      <c r="AL1151" s="73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  <c r="CI1151" s="73"/>
      <c r="CJ1151" s="73"/>
      <c r="CK1151" s="73"/>
      <c r="CL1151" s="73"/>
      <c r="CM1151" s="73"/>
      <c r="CN1151" s="73"/>
      <c r="CO1151" s="73"/>
      <c r="CP1151" s="73"/>
      <c r="CQ1151" s="73"/>
      <c r="CR1151" s="73"/>
      <c r="CS1151" s="73"/>
      <c r="CT1151" s="73"/>
      <c r="CU1151" s="73"/>
      <c r="CV1151" s="73"/>
      <c r="CW1151" s="73"/>
      <c r="CX1151" s="73"/>
      <c r="CY1151" s="73"/>
      <c r="CZ1151" s="73"/>
      <c r="DA1151" s="73"/>
      <c r="DB1151" s="73"/>
      <c r="DC1151" s="73"/>
      <c r="DD1151" s="73"/>
      <c r="DE1151" s="73"/>
      <c r="DF1151" s="73"/>
      <c r="DG1151" s="73"/>
      <c r="DH1151" s="73"/>
      <c r="DI1151" s="73"/>
      <c r="DJ1151" s="73"/>
      <c r="DK1151" s="73"/>
      <c r="DL1151" s="73"/>
      <c r="DM1151" s="73"/>
      <c r="DN1151" s="73"/>
      <c r="DO1151" s="73"/>
      <c r="DP1151" s="73"/>
      <c r="DQ1151" s="73"/>
      <c r="DR1151" s="73"/>
      <c r="DS1151" s="73"/>
      <c r="DT1151" s="73"/>
      <c r="DU1151" s="73"/>
      <c r="DV1151" s="73"/>
      <c r="DW1151" s="73"/>
      <c r="DX1151" s="72"/>
      <c r="DY1151" s="72"/>
      <c r="DZ1151" s="73"/>
      <c r="EA1151" s="73"/>
      <c r="EB1151" s="73"/>
      <c r="EC1151" s="73"/>
      <c r="ED1151" s="73"/>
      <c r="EE1151" s="73"/>
      <c r="EF1151" s="73"/>
      <c r="EG1151" s="73"/>
      <c r="EH1151" s="73"/>
      <c r="EI1151" s="73"/>
      <c r="EJ1151" s="73"/>
      <c r="EK1151" s="73"/>
      <c r="EL1151" s="73"/>
      <c r="EM1151" s="73"/>
      <c r="EN1151" s="73"/>
      <c r="EO1151" s="73"/>
      <c r="EP1151" s="69"/>
      <c r="EQ1151" s="69"/>
      <c r="ER1151" s="69"/>
    </row>
    <row r="1152">
      <c r="A1152" s="73"/>
      <c r="B1152" s="73"/>
      <c r="C1152" s="73"/>
      <c r="D1152" s="73"/>
      <c r="E1152" s="73"/>
      <c r="F1152" s="73"/>
      <c r="G1152" s="73"/>
      <c r="H1152" s="73"/>
      <c r="I1152" s="73"/>
      <c r="J1152" s="73"/>
      <c r="K1152" s="73"/>
      <c r="L1152" s="73"/>
      <c r="M1152" s="73"/>
      <c r="N1152" s="73"/>
      <c r="O1152" s="73"/>
      <c r="P1152" s="73"/>
      <c r="Q1152" s="73"/>
      <c r="R1152" s="73"/>
      <c r="S1152" s="73"/>
      <c r="T1152" s="73"/>
      <c r="U1152" s="73"/>
      <c r="V1152" s="73"/>
      <c r="W1152" s="73"/>
      <c r="X1152" s="73"/>
      <c r="Y1152" s="73"/>
      <c r="Z1152" s="73"/>
      <c r="AA1152" s="73"/>
      <c r="AB1152" s="73"/>
      <c r="AC1152" s="73"/>
      <c r="AD1152" s="73"/>
      <c r="AE1152" s="73"/>
      <c r="AF1152" s="73"/>
      <c r="AG1152" s="73"/>
      <c r="AH1152" s="73"/>
      <c r="AI1152" s="73"/>
      <c r="AJ1152" s="73"/>
      <c r="AK1152" s="73"/>
      <c r="AL1152" s="73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  <c r="CI1152" s="73"/>
      <c r="CJ1152" s="73"/>
      <c r="CK1152" s="73"/>
      <c r="CL1152" s="73"/>
      <c r="CM1152" s="73"/>
      <c r="CN1152" s="73"/>
      <c r="CO1152" s="73"/>
      <c r="CP1152" s="73"/>
      <c r="CQ1152" s="73"/>
      <c r="CR1152" s="73"/>
      <c r="CS1152" s="73"/>
      <c r="CT1152" s="73"/>
      <c r="CU1152" s="73"/>
      <c r="CV1152" s="73"/>
      <c r="CW1152" s="73"/>
      <c r="CX1152" s="73"/>
      <c r="CY1152" s="73"/>
      <c r="CZ1152" s="73"/>
      <c r="DA1152" s="73"/>
      <c r="DB1152" s="73"/>
      <c r="DC1152" s="73"/>
      <c r="DD1152" s="73"/>
      <c r="DE1152" s="73"/>
      <c r="DF1152" s="73"/>
      <c r="DG1152" s="73"/>
      <c r="DH1152" s="73"/>
      <c r="DI1152" s="73"/>
      <c r="DJ1152" s="73"/>
      <c r="DK1152" s="73"/>
      <c r="DL1152" s="73"/>
      <c r="DM1152" s="73"/>
      <c r="DN1152" s="73"/>
      <c r="DO1152" s="73"/>
      <c r="DP1152" s="73"/>
      <c r="DQ1152" s="73"/>
      <c r="DR1152" s="73"/>
      <c r="DS1152" s="73"/>
      <c r="DT1152" s="73"/>
      <c r="DU1152" s="73"/>
      <c r="DV1152" s="73"/>
      <c r="DW1152" s="73"/>
      <c r="DX1152" s="72"/>
      <c r="DY1152" s="72"/>
      <c r="DZ1152" s="73"/>
      <c r="EA1152" s="73"/>
      <c r="EB1152" s="73"/>
      <c r="EC1152" s="73"/>
      <c r="ED1152" s="73"/>
      <c r="EE1152" s="73"/>
      <c r="EF1152" s="73"/>
      <c r="EG1152" s="73"/>
      <c r="EH1152" s="73"/>
      <c r="EI1152" s="73"/>
      <c r="EJ1152" s="73"/>
      <c r="EK1152" s="73"/>
      <c r="EL1152" s="73"/>
      <c r="EM1152" s="73"/>
      <c r="EN1152" s="73"/>
      <c r="EO1152" s="73"/>
      <c r="EP1152" s="69"/>
      <c r="EQ1152" s="69"/>
      <c r="ER1152" s="69"/>
    </row>
    <row r="1153">
      <c r="A1153" s="73"/>
      <c r="B1153" s="73"/>
      <c r="C1153" s="73"/>
      <c r="D1153" s="73"/>
      <c r="E1153" s="73"/>
      <c r="F1153" s="73"/>
      <c r="G1153" s="73"/>
      <c r="H1153" s="73"/>
      <c r="I1153" s="73"/>
      <c r="J1153" s="73"/>
      <c r="K1153" s="73"/>
      <c r="L1153" s="73"/>
      <c r="M1153" s="73"/>
      <c r="N1153" s="73"/>
      <c r="O1153" s="73"/>
      <c r="P1153" s="73"/>
      <c r="Q1153" s="73"/>
      <c r="R1153" s="73"/>
      <c r="S1153" s="73"/>
      <c r="T1153" s="73"/>
      <c r="U1153" s="73"/>
      <c r="V1153" s="73"/>
      <c r="W1153" s="73"/>
      <c r="X1153" s="73"/>
      <c r="Y1153" s="73"/>
      <c r="Z1153" s="73"/>
      <c r="AA1153" s="73"/>
      <c r="AB1153" s="73"/>
      <c r="AC1153" s="73"/>
      <c r="AD1153" s="73"/>
      <c r="AE1153" s="73"/>
      <c r="AF1153" s="73"/>
      <c r="AG1153" s="73"/>
      <c r="AH1153" s="73"/>
      <c r="AI1153" s="73"/>
      <c r="AJ1153" s="73"/>
      <c r="AK1153" s="73"/>
      <c r="AL1153" s="73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  <c r="CI1153" s="73"/>
      <c r="CJ1153" s="73"/>
      <c r="CK1153" s="73"/>
      <c r="CL1153" s="73"/>
      <c r="CM1153" s="72"/>
      <c r="CN1153" s="73"/>
      <c r="CO1153" s="73"/>
      <c r="CP1153" s="73"/>
      <c r="CQ1153" s="73"/>
      <c r="CR1153" s="73"/>
      <c r="CS1153" s="73"/>
      <c r="CT1153" s="73"/>
      <c r="CU1153" s="73"/>
      <c r="CV1153" s="73"/>
      <c r="CW1153" s="73"/>
      <c r="CX1153" s="73"/>
      <c r="CY1153" s="73"/>
      <c r="CZ1153" s="73"/>
      <c r="DA1153" s="73"/>
      <c r="DB1153" s="73"/>
      <c r="DC1153" s="73"/>
      <c r="DD1153" s="73"/>
      <c r="DE1153" s="73"/>
      <c r="DF1153" s="73"/>
      <c r="DG1153" s="73"/>
      <c r="DH1153" s="73"/>
      <c r="DI1153" s="73"/>
      <c r="DJ1153" s="73"/>
      <c r="DK1153" s="73"/>
      <c r="DL1153" s="73"/>
      <c r="DM1153" s="73"/>
      <c r="DN1153" s="73"/>
      <c r="DO1153" s="73"/>
      <c r="DP1153" s="73"/>
      <c r="DQ1153" s="73"/>
      <c r="DR1153" s="73"/>
      <c r="DS1153" s="73"/>
      <c r="DT1153" s="73"/>
      <c r="DU1153" s="73"/>
      <c r="DV1153" s="73"/>
      <c r="DW1153" s="73"/>
      <c r="DX1153" s="72"/>
      <c r="DY1153" s="72"/>
      <c r="DZ1153" s="73"/>
      <c r="EA1153" s="73"/>
      <c r="EB1153" s="73"/>
      <c r="EC1153" s="73"/>
      <c r="ED1153" s="73"/>
      <c r="EE1153" s="73"/>
      <c r="EF1153" s="73"/>
      <c r="EG1153" s="73"/>
      <c r="EH1153" s="73"/>
      <c r="EI1153" s="73"/>
      <c r="EJ1153" s="73"/>
      <c r="EK1153" s="73"/>
      <c r="EL1153" s="73"/>
      <c r="EM1153" s="73"/>
      <c r="EN1153" s="73"/>
      <c r="EO1153" s="73"/>
      <c r="EP1153" s="69"/>
      <c r="EQ1153" s="69"/>
      <c r="ER1153" s="69"/>
    </row>
    <row r="1154">
      <c r="A1154" s="73"/>
      <c r="B1154" s="73"/>
      <c r="C1154" s="73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  <c r="S1154" s="73"/>
      <c r="T1154" s="73"/>
      <c r="U1154" s="73"/>
      <c r="V1154" s="73"/>
      <c r="W1154" s="73"/>
      <c r="X1154" s="73"/>
      <c r="Y1154" s="73"/>
      <c r="Z1154" s="73"/>
      <c r="AA1154" s="73"/>
      <c r="AB1154" s="73"/>
      <c r="AC1154" s="73"/>
      <c r="AD1154" s="73"/>
      <c r="AE1154" s="73"/>
      <c r="AF1154" s="73"/>
      <c r="AG1154" s="73"/>
      <c r="AH1154" s="73"/>
      <c r="AI1154" s="73"/>
      <c r="AJ1154" s="73"/>
      <c r="AK1154" s="73"/>
      <c r="AL1154" s="73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  <c r="CI1154" s="73"/>
      <c r="CJ1154" s="73"/>
      <c r="CK1154" s="73"/>
      <c r="CL1154" s="73"/>
      <c r="CM1154" s="72"/>
      <c r="CN1154" s="73"/>
      <c r="CO1154" s="73"/>
      <c r="CP1154" s="73"/>
      <c r="CQ1154" s="73"/>
      <c r="CR1154" s="73"/>
      <c r="CS1154" s="73"/>
      <c r="CT1154" s="73"/>
      <c r="CU1154" s="73"/>
      <c r="CV1154" s="73"/>
      <c r="CW1154" s="73"/>
      <c r="CX1154" s="73"/>
      <c r="CY1154" s="73"/>
      <c r="CZ1154" s="73"/>
      <c r="DA1154" s="73"/>
      <c r="DB1154" s="73"/>
      <c r="DC1154" s="73"/>
      <c r="DD1154" s="73"/>
      <c r="DE1154" s="73"/>
      <c r="DF1154" s="73"/>
      <c r="DG1154" s="73"/>
      <c r="DH1154" s="73"/>
      <c r="DI1154" s="73"/>
      <c r="DJ1154" s="73"/>
      <c r="DK1154" s="73"/>
      <c r="DL1154" s="73"/>
      <c r="DM1154" s="73"/>
      <c r="DN1154" s="73"/>
      <c r="DO1154" s="73"/>
      <c r="DP1154" s="73"/>
      <c r="DQ1154" s="73"/>
      <c r="DR1154" s="73"/>
      <c r="DS1154" s="73"/>
      <c r="DT1154" s="73"/>
      <c r="DU1154" s="73"/>
      <c r="DV1154" s="73"/>
      <c r="DW1154" s="73"/>
      <c r="DX1154" s="72"/>
      <c r="DY1154" s="72"/>
      <c r="DZ1154" s="73"/>
      <c r="EA1154" s="73"/>
      <c r="EB1154" s="73"/>
      <c r="EC1154" s="73"/>
      <c r="ED1154" s="73"/>
      <c r="EE1154" s="73"/>
      <c r="EF1154" s="73"/>
      <c r="EG1154" s="73"/>
      <c r="EH1154" s="73"/>
      <c r="EI1154" s="73"/>
      <c r="EJ1154" s="73"/>
      <c r="EK1154" s="73"/>
      <c r="EL1154" s="73"/>
      <c r="EM1154" s="73"/>
      <c r="EN1154" s="73"/>
      <c r="EO1154" s="73"/>
      <c r="EP1154" s="69"/>
      <c r="EQ1154" s="69"/>
      <c r="ER1154" s="69"/>
    </row>
    <row r="1155">
      <c r="A1155" s="73"/>
      <c r="B1155" s="73"/>
      <c r="C1155" s="73"/>
      <c r="D1155" s="73"/>
      <c r="E1155" s="73"/>
      <c r="F1155" s="73"/>
      <c r="G1155" s="73"/>
      <c r="H1155" s="73"/>
      <c r="I1155" s="73"/>
      <c r="J1155" s="73"/>
      <c r="K1155" s="73"/>
      <c r="L1155" s="73"/>
      <c r="M1155" s="73"/>
      <c r="N1155" s="73"/>
      <c r="O1155" s="73"/>
      <c r="P1155" s="73"/>
      <c r="Q1155" s="73"/>
      <c r="R1155" s="73"/>
      <c r="S1155" s="73"/>
      <c r="T1155" s="73"/>
      <c r="U1155" s="73"/>
      <c r="V1155" s="73"/>
      <c r="W1155" s="73"/>
      <c r="X1155" s="73"/>
      <c r="Y1155" s="73"/>
      <c r="Z1155" s="73"/>
      <c r="AA1155" s="73"/>
      <c r="AB1155" s="73"/>
      <c r="AC1155" s="73"/>
      <c r="AD1155" s="73"/>
      <c r="AE1155" s="73"/>
      <c r="AF1155" s="73"/>
      <c r="AG1155" s="73"/>
      <c r="AH1155" s="73"/>
      <c r="AI1155" s="73"/>
      <c r="AJ1155" s="73"/>
      <c r="AK1155" s="73"/>
      <c r="AL1155" s="73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  <c r="CI1155" s="73"/>
      <c r="CJ1155" s="73"/>
      <c r="CK1155" s="73"/>
      <c r="CL1155" s="73"/>
      <c r="CM1155" s="72"/>
      <c r="CN1155" s="73"/>
      <c r="CO1155" s="73"/>
      <c r="CP1155" s="73"/>
      <c r="CQ1155" s="73"/>
      <c r="CR1155" s="73"/>
      <c r="CS1155" s="73"/>
      <c r="CT1155" s="73"/>
      <c r="CU1155" s="73"/>
      <c r="CV1155" s="73"/>
      <c r="CW1155" s="73"/>
      <c r="CX1155" s="73"/>
      <c r="CY1155" s="73"/>
      <c r="CZ1155" s="73"/>
      <c r="DA1155" s="73"/>
      <c r="DB1155" s="73"/>
      <c r="DC1155" s="73"/>
      <c r="DD1155" s="73"/>
      <c r="DE1155" s="73"/>
      <c r="DF1155" s="73"/>
      <c r="DG1155" s="73"/>
      <c r="DH1155" s="73"/>
      <c r="DI1155" s="73"/>
      <c r="DJ1155" s="73"/>
      <c r="DK1155" s="73"/>
      <c r="DL1155" s="73"/>
      <c r="DM1155" s="73"/>
      <c r="DN1155" s="73"/>
      <c r="DO1155" s="73"/>
      <c r="DP1155" s="73"/>
      <c r="DQ1155" s="73"/>
      <c r="DR1155" s="73"/>
      <c r="DS1155" s="73"/>
      <c r="DT1155" s="73"/>
      <c r="DU1155" s="73"/>
      <c r="DV1155" s="73"/>
      <c r="DW1155" s="73"/>
      <c r="DX1155" s="72"/>
      <c r="DY1155" s="72"/>
      <c r="DZ1155" s="73"/>
      <c r="EA1155" s="73"/>
      <c r="EB1155" s="73"/>
      <c r="EC1155" s="73"/>
      <c r="ED1155" s="73"/>
      <c r="EE1155" s="73"/>
      <c r="EF1155" s="73"/>
      <c r="EG1155" s="73"/>
      <c r="EH1155" s="73"/>
      <c r="EI1155" s="73"/>
      <c r="EJ1155" s="73"/>
      <c r="EK1155" s="73"/>
      <c r="EL1155" s="73"/>
      <c r="EM1155" s="73"/>
      <c r="EN1155" s="73"/>
      <c r="EO1155" s="73"/>
      <c r="EP1155" s="69"/>
      <c r="EQ1155" s="69"/>
      <c r="ER1155" s="69"/>
    </row>
    <row r="1156">
      <c r="A1156" s="73"/>
      <c r="B1156" s="73"/>
      <c r="C1156" s="73"/>
      <c r="D1156" s="73"/>
      <c r="E1156" s="73"/>
      <c r="F1156" s="73"/>
      <c r="G1156" s="73"/>
      <c r="H1156" s="73"/>
      <c r="I1156" s="73"/>
      <c r="J1156" s="73"/>
      <c r="K1156" s="73"/>
      <c r="L1156" s="73"/>
      <c r="M1156" s="73"/>
      <c r="N1156" s="73"/>
      <c r="O1156" s="73"/>
      <c r="P1156" s="73"/>
      <c r="Q1156" s="73"/>
      <c r="R1156" s="73"/>
      <c r="S1156" s="73"/>
      <c r="T1156" s="73"/>
      <c r="U1156" s="73"/>
      <c r="V1156" s="73"/>
      <c r="W1156" s="73"/>
      <c r="X1156" s="73"/>
      <c r="Y1156" s="73"/>
      <c r="Z1156" s="73"/>
      <c r="AA1156" s="73"/>
      <c r="AB1156" s="73"/>
      <c r="AC1156" s="73"/>
      <c r="AD1156" s="73"/>
      <c r="AE1156" s="73"/>
      <c r="AF1156" s="73"/>
      <c r="AG1156" s="73"/>
      <c r="AH1156" s="73"/>
      <c r="AI1156" s="73"/>
      <c r="AJ1156" s="73"/>
      <c r="AK1156" s="73"/>
      <c r="AL1156" s="73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  <c r="CI1156" s="73"/>
      <c r="CJ1156" s="73"/>
      <c r="CK1156" s="73"/>
      <c r="CL1156" s="73"/>
      <c r="CM1156" s="73"/>
      <c r="CN1156" s="73"/>
      <c r="CO1156" s="73"/>
      <c r="CP1156" s="73"/>
      <c r="CQ1156" s="73"/>
      <c r="CR1156" s="73"/>
      <c r="CS1156" s="73"/>
      <c r="CT1156" s="73"/>
      <c r="CU1156" s="73"/>
      <c r="CV1156" s="73"/>
      <c r="CW1156" s="73"/>
      <c r="CX1156" s="73"/>
      <c r="CY1156" s="73"/>
      <c r="CZ1156" s="73"/>
      <c r="DA1156" s="73"/>
      <c r="DB1156" s="73"/>
      <c r="DC1156" s="73"/>
      <c r="DD1156" s="73"/>
      <c r="DE1156" s="73"/>
      <c r="DF1156" s="73"/>
      <c r="DG1156" s="73"/>
      <c r="DH1156" s="73"/>
      <c r="DI1156" s="73"/>
      <c r="DJ1156" s="73"/>
      <c r="DK1156" s="73"/>
      <c r="DL1156" s="73"/>
      <c r="DM1156" s="73"/>
      <c r="DN1156" s="73"/>
      <c r="DO1156" s="73"/>
      <c r="DP1156" s="73"/>
      <c r="DQ1156" s="73"/>
      <c r="DR1156" s="73"/>
      <c r="DS1156" s="73"/>
      <c r="DT1156" s="73"/>
      <c r="DU1156" s="73"/>
      <c r="DV1156" s="73"/>
      <c r="DW1156" s="73"/>
      <c r="DX1156" s="72"/>
      <c r="DY1156" s="72"/>
      <c r="DZ1156" s="73"/>
      <c r="EA1156" s="73"/>
      <c r="EB1156" s="73"/>
      <c r="EC1156" s="73"/>
      <c r="ED1156" s="73"/>
      <c r="EE1156" s="73"/>
      <c r="EF1156" s="73"/>
      <c r="EG1156" s="73"/>
      <c r="EH1156" s="73"/>
      <c r="EI1156" s="73"/>
      <c r="EJ1156" s="73"/>
      <c r="EK1156" s="73"/>
      <c r="EL1156" s="73"/>
      <c r="EM1156" s="73"/>
      <c r="EN1156" s="73"/>
      <c r="EO1156" s="73"/>
      <c r="EP1156" s="69"/>
      <c r="EQ1156" s="69"/>
      <c r="ER1156" s="69"/>
    </row>
    <row r="1157">
      <c r="A1157" s="73"/>
      <c r="B1157" s="73"/>
      <c r="C1157" s="73"/>
      <c r="D1157" s="73"/>
      <c r="E1157" s="73"/>
      <c r="F1157" s="73"/>
      <c r="G1157" s="73"/>
      <c r="H1157" s="73"/>
      <c r="I1157" s="73"/>
      <c r="J1157" s="73"/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73"/>
      <c r="V1157" s="73"/>
      <c r="W1157" s="73"/>
      <c r="X1157" s="73"/>
      <c r="Y1157" s="73"/>
      <c r="Z1157" s="73"/>
      <c r="AA1157" s="73"/>
      <c r="AB1157" s="73"/>
      <c r="AC1157" s="73"/>
      <c r="AD1157" s="73"/>
      <c r="AE1157" s="73"/>
      <c r="AF1157" s="73"/>
      <c r="AG1157" s="73"/>
      <c r="AH1157" s="73"/>
      <c r="AI1157" s="73"/>
      <c r="AJ1157" s="73"/>
      <c r="AK1157" s="73"/>
      <c r="AL1157" s="73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  <c r="CI1157" s="73"/>
      <c r="CJ1157" s="73"/>
      <c r="CK1157" s="73"/>
      <c r="CL1157" s="73"/>
      <c r="CM1157" s="72"/>
      <c r="CN1157" s="73"/>
      <c r="CO1157" s="73"/>
      <c r="CP1157" s="73"/>
      <c r="CQ1157" s="73"/>
      <c r="CR1157" s="73"/>
      <c r="CS1157" s="73"/>
      <c r="CT1157" s="73"/>
      <c r="CU1157" s="73"/>
      <c r="CV1157" s="73"/>
      <c r="CW1157" s="73"/>
      <c r="CX1157" s="73"/>
      <c r="CY1157" s="73"/>
      <c r="CZ1157" s="73"/>
      <c r="DA1157" s="73"/>
      <c r="DB1157" s="73"/>
      <c r="DC1157" s="73"/>
      <c r="DD1157" s="73"/>
      <c r="DE1157" s="73"/>
      <c r="DF1157" s="73"/>
      <c r="DG1157" s="73"/>
      <c r="DH1157" s="73"/>
      <c r="DI1157" s="73"/>
      <c r="DJ1157" s="73"/>
      <c r="DK1157" s="73"/>
      <c r="DL1157" s="73"/>
      <c r="DM1157" s="73"/>
      <c r="DN1157" s="73"/>
      <c r="DO1157" s="73"/>
      <c r="DP1157" s="73"/>
      <c r="DQ1157" s="73"/>
      <c r="DR1157" s="73"/>
      <c r="DS1157" s="73"/>
      <c r="DT1157" s="73"/>
      <c r="DU1157" s="73"/>
      <c r="DV1157" s="73"/>
      <c r="DW1157" s="73"/>
      <c r="DX1157" s="73"/>
      <c r="DY1157" s="73"/>
      <c r="DZ1157" s="73"/>
      <c r="EA1157" s="73"/>
      <c r="EB1157" s="73"/>
      <c r="EC1157" s="73"/>
      <c r="ED1157" s="73"/>
      <c r="EE1157" s="73"/>
      <c r="EF1157" s="73"/>
      <c r="EG1157" s="73"/>
      <c r="EH1157" s="73"/>
      <c r="EI1157" s="73"/>
      <c r="EJ1157" s="73"/>
      <c r="EK1157" s="73"/>
      <c r="EL1157" s="73"/>
      <c r="EM1157" s="73"/>
      <c r="EN1157" s="73"/>
      <c r="EO1157" s="73"/>
      <c r="EP1157" s="69"/>
      <c r="EQ1157" s="69"/>
      <c r="ER1157" s="69"/>
    </row>
    <row r="1158">
      <c r="A1158" s="73"/>
      <c r="B1158" s="73"/>
      <c r="C1158" s="73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73"/>
      <c r="V1158" s="73"/>
      <c r="W1158" s="73"/>
      <c r="X1158" s="73"/>
      <c r="Y1158" s="73"/>
      <c r="Z1158" s="73"/>
      <c r="AA1158" s="73"/>
      <c r="AB1158" s="73"/>
      <c r="AC1158" s="73"/>
      <c r="AD1158" s="73"/>
      <c r="AE1158" s="73"/>
      <c r="AF1158" s="73"/>
      <c r="AG1158" s="73"/>
      <c r="AH1158" s="73"/>
      <c r="AI1158" s="73"/>
      <c r="AJ1158" s="73"/>
      <c r="AK1158" s="73"/>
      <c r="AL1158" s="73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  <c r="CI1158" s="73"/>
      <c r="CJ1158" s="73"/>
      <c r="CK1158" s="73"/>
      <c r="CL1158" s="73"/>
      <c r="CM1158" s="73"/>
      <c r="CN1158" s="73"/>
      <c r="CO1158" s="73"/>
      <c r="CP1158" s="73"/>
      <c r="CQ1158" s="73"/>
      <c r="CR1158" s="73"/>
      <c r="CS1158" s="73"/>
      <c r="CT1158" s="73"/>
      <c r="CU1158" s="73"/>
      <c r="CV1158" s="73"/>
      <c r="CW1158" s="73"/>
      <c r="CX1158" s="73"/>
      <c r="CY1158" s="73"/>
      <c r="CZ1158" s="73"/>
      <c r="DA1158" s="73"/>
      <c r="DB1158" s="73"/>
      <c r="DC1158" s="73"/>
      <c r="DD1158" s="73"/>
      <c r="DE1158" s="73"/>
      <c r="DF1158" s="73"/>
      <c r="DG1158" s="73"/>
      <c r="DH1158" s="73"/>
      <c r="DI1158" s="73"/>
      <c r="DJ1158" s="73"/>
      <c r="DK1158" s="73"/>
      <c r="DL1158" s="73"/>
      <c r="DM1158" s="73"/>
      <c r="DN1158" s="73"/>
      <c r="DO1158" s="73"/>
      <c r="DP1158" s="73"/>
      <c r="DQ1158" s="73"/>
      <c r="DR1158" s="73"/>
      <c r="DS1158" s="73"/>
      <c r="DT1158" s="73"/>
      <c r="DU1158" s="73"/>
      <c r="DV1158" s="73"/>
      <c r="DW1158" s="73"/>
      <c r="DX1158" s="73"/>
      <c r="DY1158" s="73"/>
      <c r="DZ1158" s="73"/>
      <c r="EA1158" s="73"/>
      <c r="EB1158" s="73"/>
      <c r="EC1158" s="73"/>
      <c r="ED1158" s="73"/>
      <c r="EE1158" s="73"/>
      <c r="EF1158" s="73"/>
      <c r="EG1158" s="73"/>
      <c r="EH1158" s="73"/>
      <c r="EI1158" s="73"/>
      <c r="EJ1158" s="73"/>
      <c r="EK1158" s="73"/>
      <c r="EL1158" s="73"/>
      <c r="EM1158" s="73"/>
      <c r="EN1158" s="73"/>
      <c r="EO1158" s="73"/>
      <c r="EP1158" s="69"/>
      <c r="EQ1158" s="69"/>
      <c r="ER1158" s="69"/>
    </row>
    <row r="1159">
      <c r="A1159" s="73"/>
      <c r="B1159" s="73"/>
      <c r="C1159" s="73"/>
      <c r="D1159" s="73"/>
      <c r="E1159" s="73"/>
      <c r="F1159" s="73"/>
      <c r="G1159" s="73"/>
      <c r="H1159" s="73"/>
      <c r="I1159" s="73"/>
      <c r="J1159" s="73"/>
      <c r="K1159" s="73"/>
      <c r="L1159" s="73"/>
      <c r="M1159" s="73"/>
      <c r="N1159" s="73"/>
      <c r="O1159" s="73"/>
      <c r="P1159" s="73"/>
      <c r="Q1159" s="73"/>
      <c r="R1159" s="73"/>
      <c r="S1159" s="73"/>
      <c r="T1159" s="73"/>
      <c r="U1159" s="73"/>
      <c r="V1159" s="73"/>
      <c r="W1159" s="73"/>
      <c r="X1159" s="73"/>
      <c r="Y1159" s="73"/>
      <c r="Z1159" s="73"/>
      <c r="AA1159" s="73"/>
      <c r="AB1159" s="73"/>
      <c r="AC1159" s="73"/>
      <c r="AD1159" s="73"/>
      <c r="AE1159" s="73"/>
      <c r="AF1159" s="73"/>
      <c r="AG1159" s="73"/>
      <c r="AH1159" s="73"/>
      <c r="AI1159" s="73"/>
      <c r="AJ1159" s="73"/>
      <c r="AK1159" s="73"/>
      <c r="AL1159" s="73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  <c r="CI1159" s="73"/>
      <c r="CJ1159" s="73"/>
      <c r="CK1159" s="73"/>
      <c r="CL1159" s="73"/>
      <c r="CM1159" s="73"/>
      <c r="CN1159" s="73"/>
      <c r="CO1159" s="73"/>
      <c r="CP1159" s="73"/>
      <c r="CQ1159" s="73"/>
      <c r="CR1159" s="73"/>
      <c r="CS1159" s="73"/>
      <c r="CT1159" s="73"/>
      <c r="CU1159" s="73"/>
      <c r="CV1159" s="73"/>
      <c r="CW1159" s="73"/>
      <c r="CX1159" s="73"/>
      <c r="CY1159" s="73"/>
      <c r="CZ1159" s="73"/>
      <c r="DA1159" s="73"/>
      <c r="DB1159" s="73"/>
      <c r="DC1159" s="73"/>
      <c r="DD1159" s="73"/>
      <c r="DE1159" s="73"/>
      <c r="DF1159" s="73"/>
      <c r="DG1159" s="73"/>
      <c r="DH1159" s="73"/>
      <c r="DI1159" s="73"/>
      <c r="DJ1159" s="73"/>
      <c r="DK1159" s="73"/>
      <c r="DL1159" s="73"/>
      <c r="DM1159" s="73"/>
      <c r="DN1159" s="73"/>
      <c r="DO1159" s="73"/>
      <c r="DP1159" s="73"/>
      <c r="DQ1159" s="73"/>
      <c r="DR1159" s="73"/>
      <c r="DS1159" s="73"/>
      <c r="DT1159" s="73"/>
      <c r="DU1159" s="73"/>
      <c r="DV1159" s="73"/>
      <c r="DW1159" s="73"/>
      <c r="DX1159" s="73"/>
      <c r="DY1159" s="73"/>
      <c r="DZ1159" s="73"/>
      <c r="EA1159" s="73"/>
      <c r="EB1159" s="73"/>
      <c r="EC1159" s="73"/>
      <c r="ED1159" s="73"/>
      <c r="EE1159" s="73"/>
      <c r="EF1159" s="73"/>
      <c r="EG1159" s="73"/>
      <c r="EH1159" s="73"/>
      <c r="EI1159" s="73"/>
      <c r="EJ1159" s="73"/>
      <c r="EK1159" s="73"/>
      <c r="EL1159" s="73"/>
      <c r="EM1159" s="73"/>
      <c r="EN1159" s="73"/>
      <c r="EO1159" s="73"/>
      <c r="EP1159" s="69"/>
      <c r="EQ1159" s="69"/>
      <c r="ER1159" s="69"/>
    </row>
    <row r="1160">
      <c r="A1160" s="73"/>
      <c r="B1160" s="73"/>
      <c r="C1160" s="73"/>
      <c r="D1160" s="73"/>
      <c r="E1160" s="73"/>
      <c r="F1160" s="73"/>
      <c r="G1160" s="73"/>
      <c r="H1160" s="73"/>
      <c r="I1160" s="73"/>
      <c r="J1160" s="73"/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73"/>
      <c r="V1160" s="73"/>
      <c r="W1160" s="73"/>
      <c r="X1160" s="73"/>
      <c r="Y1160" s="73"/>
      <c r="Z1160" s="73"/>
      <c r="AA1160" s="73"/>
      <c r="AB1160" s="73"/>
      <c r="AC1160" s="73"/>
      <c r="AD1160" s="73"/>
      <c r="AE1160" s="73"/>
      <c r="AF1160" s="73"/>
      <c r="AG1160" s="73"/>
      <c r="AH1160" s="73"/>
      <c r="AI1160" s="73"/>
      <c r="AJ1160" s="73"/>
      <c r="AK1160" s="73"/>
      <c r="AL1160" s="73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  <c r="CI1160" s="73"/>
      <c r="CJ1160" s="73"/>
      <c r="CK1160" s="73"/>
      <c r="CL1160" s="73"/>
      <c r="CM1160" s="73"/>
      <c r="CN1160" s="73"/>
      <c r="CO1160" s="73"/>
      <c r="CP1160" s="73"/>
      <c r="CQ1160" s="73"/>
      <c r="CR1160" s="73"/>
      <c r="CS1160" s="73"/>
      <c r="CT1160" s="73"/>
      <c r="CU1160" s="73"/>
      <c r="CV1160" s="73"/>
      <c r="CW1160" s="73"/>
      <c r="CX1160" s="73"/>
      <c r="CY1160" s="73"/>
      <c r="CZ1160" s="73"/>
      <c r="DA1160" s="73"/>
      <c r="DB1160" s="73"/>
      <c r="DC1160" s="73"/>
      <c r="DD1160" s="73"/>
      <c r="DE1160" s="73"/>
      <c r="DF1160" s="73"/>
      <c r="DG1160" s="73"/>
      <c r="DH1160" s="73"/>
      <c r="DI1160" s="73"/>
      <c r="DJ1160" s="73"/>
      <c r="DK1160" s="73"/>
      <c r="DL1160" s="73"/>
      <c r="DM1160" s="73"/>
      <c r="DN1160" s="73"/>
      <c r="DO1160" s="73"/>
      <c r="DP1160" s="73"/>
      <c r="DQ1160" s="73"/>
      <c r="DR1160" s="73"/>
      <c r="DS1160" s="73"/>
      <c r="DT1160" s="73"/>
      <c r="DU1160" s="73"/>
      <c r="DV1160" s="73"/>
      <c r="DW1160" s="73"/>
      <c r="DX1160" s="73"/>
      <c r="DY1160" s="73"/>
      <c r="DZ1160" s="73"/>
      <c r="EA1160" s="73"/>
      <c r="EB1160" s="73"/>
      <c r="EC1160" s="73"/>
      <c r="ED1160" s="73"/>
      <c r="EE1160" s="73"/>
      <c r="EF1160" s="73"/>
      <c r="EG1160" s="73"/>
      <c r="EH1160" s="73"/>
      <c r="EI1160" s="73"/>
      <c r="EJ1160" s="73"/>
      <c r="EK1160" s="73"/>
      <c r="EL1160" s="73"/>
      <c r="EM1160" s="73"/>
      <c r="EN1160" s="73"/>
      <c r="EO1160" s="73"/>
      <c r="EP1160" s="69"/>
      <c r="EQ1160" s="69"/>
      <c r="ER1160" s="69"/>
    </row>
    <row r="1161">
      <c r="A1161" s="73"/>
      <c r="B1161" s="73"/>
      <c r="C1161" s="73"/>
      <c r="D1161" s="73"/>
      <c r="E1161" s="73"/>
      <c r="F1161" s="73"/>
      <c r="G1161" s="73"/>
      <c r="H1161" s="73"/>
      <c r="I1161" s="73"/>
      <c r="J1161" s="73"/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73"/>
      <c r="V1161" s="73"/>
      <c r="W1161" s="73"/>
      <c r="X1161" s="73"/>
      <c r="Y1161" s="73"/>
      <c r="Z1161" s="73"/>
      <c r="AA1161" s="73"/>
      <c r="AB1161" s="73"/>
      <c r="AC1161" s="73"/>
      <c r="AD1161" s="73"/>
      <c r="AE1161" s="73"/>
      <c r="AF1161" s="73"/>
      <c r="AG1161" s="73"/>
      <c r="AH1161" s="73"/>
      <c r="AI1161" s="73"/>
      <c r="AJ1161" s="73"/>
      <c r="AK1161" s="73"/>
      <c r="AL1161" s="73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  <c r="CI1161" s="73"/>
      <c r="CJ1161" s="73"/>
      <c r="CK1161" s="73"/>
      <c r="CL1161" s="73"/>
      <c r="CM1161" s="73"/>
      <c r="CN1161" s="73"/>
      <c r="CO1161" s="73"/>
      <c r="CP1161" s="73"/>
      <c r="CQ1161" s="73"/>
      <c r="CR1161" s="73"/>
      <c r="CS1161" s="73"/>
      <c r="CT1161" s="73"/>
      <c r="CU1161" s="73"/>
      <c r="CV1161" s="73"/>
      <c r="CW1161" s="73"/>
      <c r="CX1161" s="73"/>
      <c r="CY1161" s="73"/>
      <c r="CZ1161" s="73"/>
      <c r="DA1161" s="73"/>
      <c r="DB1161" s="73"/>
      <c r="DC1161" s="73"/>
      <c r="DD1161" s="73"/>
      <c r="DE1161" s="73"/>
      <c r="DF1161" s="73"/>
      <c r="DG1161" s="73"/>
      <c r="DH1161" s="73"/>
      <c r="DI1161" s="73"/>
      <c r="DJ1161" s="73"/>
      <c r="DK1161" s="73"/>
      <c r="DL1161" s="73"/>
      <c r="DM1161" s="73"/>
      <c r="DN1161" s="73"/>
      <c r="DO1161" s="73"/>
      <c r="DP1161" s="73"/>
      <c r="DQ1161" s="73"/>
      <c r="DR1161" s="73"/>
      <c r="DS1161" s="73"/>
      <c r="DT1161" s="73"/>
      <c r="DU1161" s="73"/>
      <c r="DV1161" s="73"/>
      <c r="DW1161" s="73"/>
      <c r="DX1161" s="72"/>
      <c r="DY1161" s="72"/>
      <c r="DZ1161" s="73"/>
      <c r="EA1161" s="73"/>
      <c r="EB1161" s="73"/>
      <c r="EC1161" s="73"/>
      <c r="ED1161" s="73"/>
      <c r="EE1161" s="73"/>
      <c r="EF1161" s="73"/>
      <c r="EG1161" s="73"/>
      <c r="EH1161" s="73"/>
      <c r="EI1161" s="73"/>
      <c r="EJ1161" s="73"/>
      <c r="EK1161" s="73"/>
      <c r="EL1161" s="73"/>
      <c r="EM1161" s="73"/>
      <c r="EN1161" s="73"/>
      <c r="EO1161" s="73"/>
      <c r="EP1161" s="69"/>
      <c r="EQ1161" s="69"/>
      <c r="ER1161" s="69"/>
    </row>
    <row r="1162">
      <c r="A1162" s="73"/>
      <c r="B1162" s="73"/>
      <c r="C1162" s="73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73"/>
      <c r="V1162" s="73"/>
      <c r="W1162" s="73"/>
      <c r="X1162" s="73"/>
      <c r="Y1162" s="73"/>
      <c r="Z1162" s="73"/>
      <c r="AA1162" s="73"/>
      <c r="AB1162" s="73"/>
      <c r="AC1162" s="73"/>
      <c r="AD1162" s="73"/>
      <c r="AE1162" s="73"/>
      <c r="AF1162" s="73"/>
      <c r="AG1162" s="73"/>
      <c r="AH1162" s="73"/>
      <c r="AI1162" s="73"/>
      <c r="AJ1162" s="73"/>
      <c r="AK1162" s="73"/>
      <c r="AL1162" s="73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  <c r="CI1162" s="73"/>
      <c r="CJ1162" s="73"/>
      <c r="CK1162" s="73"/>
      <c r="CL1162" s="73"/>
      <c r="CM1162" s="73"/>
      <c r="CN1162" s="73"/>
      <c r="CO1162" s="73"/>
      <c r="CP1162" s="73"/>
      <c r="CQ1162" s="73"/>
      <c r="CR1162" s="73"/>
      <c r="CS1162" s="73"/>
      <c r="CT1162" s="73"/>
      <c r="CU1162" s="73"/>
      <c r="CV1162" s="73"/>
      <c r="CW1162" s="73"/>
      <c r="CX1162" s="73"/>
      <c r="CY1162" s="73"/>
      <c r="CZ1162" s="73"/>
      <c r="DA1162" s="73"/>
      <c r="DB1162" s="73"/>
      <c r="DC1162" s="73"/>
      <c r="DD1162" s="73"/>
      <c r="DE1162" s="73"/>
      <c r="DF1162" s="73"/>
      <c r="DG1162" s="73"/>
      <c r="DH1162" s="73"/>
      <c r="DI1162" s="73"/>
      <c r="DJ1162" s="73"/>
      <c r="DK1162" s="73"/>
      <c r="DL1162" s="73"/>
      <c r="DM1162" s="73"/>
      <c r="DN1162" s="73"/>
      <c r="DO1162" s="73"/>
      <c r="DP1162" s="73"/>
      <c r="DQ1162" s="73"/>
      <c r="DR1162" s="73"/>
      <c r="DS1162" s="73"/>
      <c r="DT1162" s="73"/>
      <c r="DU1162" s="73"/>
      <c r="DV1162" s="73"/>
      <c r="DW1162" s="73"/>
      <c r="DX1162" s="73"/>
      <c r="DY1162" s="73"/>
      <c r="DZ1162" s="73"/>
      <c r="EA1162" s="73"/>
      <c r="EB1162" s="73"/>
      <c r="EC1162" s="73"/>
      <c r="ED1162" s="73"/>
      <c r="EE1162" s="73"/>
      <c r="EF1162" s="73"/>
      <c r="EG1162" s="73"/>
      <c r="EH1162" s="73"/>
      <c r="EI1162" s="73"/>
      <c r="EJ1162" s="73"/>
      <c r="EK1162" s="73"/>
      <c r="EL1162" s="73"/>
      <c r="EM1162" s="73"/>
      <c r="EN1162" s="73"/>
      <c r="EO1162" s="73"/>
      <c r="EP1162" s="69"/>
      <c r="EQ1162" s="69"/>
      <c r="ER1162" s="69"/>
    </row>
    <row r="1163">
      <c r="A1163" s="73"/>
      <c r="B1163" s="73"/>
      <c r="C1163" s="73"/>
      <c r="D1163" s="73"/>
      <c r="E1163" s="73"/>
      <c r="F1163" s="73"/>
      <c r="G1163" s="73"/>
      <c r="H1163" s="73"/>
      <c r="I1163" s="73"/>
      <c r="J1163" s="73"/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3"/>
      <c r="AG1163" s="73"/>
      <c r="AH1163" s="73"/>
      <c r="AI1163" s="73"/>
      <c r="AJ1163" s="73"/>
      <c r="AK1163" s="73"/>
      <c r="AL1163" s="73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  <c r="CI1163" s="73"/>
      <c r="CJ1163" s="73"/>
      <c r="CK1163" s="73"/>
      <c r="CL1163" s="73"/>
      <c r="CM1163" s="73"/>
      <c r="CN1163" s="73"/>
      <c r="CO1163" s="73"/>
      <c r="CP1163" s="73"/>
      <c r="CQ1163" s="73"/>
      <c r="CR1163" s="73"/>
      <c r="CS1163" s="73"/>
      <c r="CT1163" s="73"/>
      <c r="CU1163" s="73"/>
      <c r="CV1163" s="73"/>
      <c r="CW1163" s="73"/>
      <c r="CX1163" s="73"/>
      <c r="CY1163" s="73"/>
      <c r="CZ1163" s="73"/>
      <c r="DA1163" s="73"/>
      <c r="DB1163" s="73"/>
      <c r="DC1163" s="73"/>
      <c r="DD1163" s="73"/>
      <c r="DE1163" s="73"/>
      <c r="DF1163" s="73"/>
      <c r="DG1163" s="73"/>
      <c r="DH1163" s="73"/>
      <c r="DI1163" s="73"/>
      <c r="DJ1163" s="73"/>
      <c r="DK1163" s="73"/>
      <c r="DL1163" s="73"/>
      <c r="DM1163" s="73"/>
      <c r="DN1163" s="73"/>
      <c r="DO1163" s="73"/>
      <c r="DP1163" s="73"/>
      <c r="DQ1163" s="73"/>
      <c r="DR1163" s="73"/>
      <c r="DS1163" s="73"/>
      <c r="DT1163" s="73"/>
      <c r="DU1163" s="73"/>
      <c r="DV1163" s="73"/>
      <c r="DW1163" s="73"/>
      <c r="DX1163" s="73"/>
      <c r="DY1163" s="73"/>
      <c r="DZ1163" s="73"/>
      <c r="EA1163" s="73"/>
      <c r="EB1163" s="73"/>
      <c r="EC1163" s="73"/>
      <c r="ED1163" s="73"/>
      <c r="EE1163" s="73"/>
      <c r="EF1163" s="73"/>
      <c r="EG1163" s="73"/>
      <c r="EH1163" s="73"/>
      <c r="EI1163" s="73"/>
      <c r="EJ1163" s="73"/>
      <c r="EK1163" s="73"/>
      <c r="EL1163" s="73"/>
      <c r="EM1163" s="73"/>
      <c r="EN1163" s="73"/>
      <c r="EO1163" s="73"/>
      <c r="EP1163" s="69"/>
      <c r="EQ1163" s="69"/>
      <c r="ER1163" s="69"/>
    </row>
    <row r="1164">
      <c r="A1164" s="73"/>
      <c r="B1164" s="73"/>
      <c r="C1164" s="73"/>
      <c r="D1164" s="73"/>
      <c r="E1164" s="73"/>
      <c r="F1164" s="73"/>
      <c r="G1164" s="73"/>
      <c r="H1164" s="73"/>
      <c r="I1164" s="73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73"/>
      <c r="V1164" s="73"/>
      <c r="W1164" s="73"/>
      <c r="X1164" s="73"/>
      <c r="Y1164" s="73"/>
      <c r="Z1164" s="73"/>
      <c r="AA1164" s="73"/>
      <c r="AB1164" s="73"/>
      <c r="AC1164" s="73"/>
      <c r="AD1164" s="73"/>
      <c r="AE1164" s="73"/>
      <c r="AF1164" s="73"/>
      <c r="AG1164" s="73"/>
      <c r="AH1164" s="73"/>
      <c r="AI1164" s="73"/>
      <c r="AJ1164" s="73"/>
      <c r="AK1164" s="73"/>
      <c r="AL1164" s="73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  <c r="CI1164" s="73"/>
      <c r="CJ1164" s="73"/>
      <c r="CK1164" s="73"/>
      <c r="CL1164" s="73"/>
      <c r="CM1164" s="73"/>
      <c r="CN1164" s="73"/>
      <c r="CO1164" s="73"/>
      <c r="CP1164" s="73"/>
      <c r="CQ1164" s="73"/>
      <c r="CR1164" s="73"/>
      <c r="CS1164" s="73"/>
      <c r="CT1164" s="73"/>
      <c r="CU1164" s="73"/>
      <c r="CV1164" s="73"/>
      <c r="CW1164" s="73"/>
      <c r="CX1164" s="73"/>
      <c r="CY1164" s="73"/>
      <c r="CZ1164" s="73"/>
      <c r="DA1164" s="73"/>
      <c r="DB1164" s="73"/>
      <c r="DC1164" s="73"/>
      <c r="DD1164" s="73"/>
      <c r="DE1164" s="73"/>
      <c r="DF1164" s="73"/>
      <c r="DG1164" s="73"/>
      <c r="DH1164" s="73"/>
      <c r="DI1164" s="73"/>
      <c r="DJ1164" s="73"/>
      <c r="DK1164" s="73"/>
      <c r="DL1164" s="73"/>
      <c r="DM1164" s="73"/>
      <c r="DN1164" s="73"/>
      <c r="DO1164" s="73"/>
      <c r="DP1164" s="73"/>
      <c r="DQ1164" s="73"/>
      <c r="DR1164" s="73"/>
      <c r="DS1164" s="73"/>
      <c r="DT1164" s="73"/>
      <c r="DU1164" s="73"/>
      <c r="DV1164" s="73"/>
      <c r="DW1164" s="73"/>
      <c r="DX1164" s="73"/>
      <c r="DY1164" s="73"/>
      <c r="DZ1164" s="73"/>
      <c r="EA1164" s="73"/>
      <c r="EB1164" s="73"/>
      <c r="EC1164" s="73"/>
      <c r="ED1164" s="73"/>
      <c r="EE1164" s="73"/>
      <c r="EF1164" s="73"/>
      <c r="EG1164" s="73"/>
      <c r="EH1164" s="73"/>
      <c r="EI1164" s="73"/>
      <c r="EJ1164" s="73"/>
      <c r="EK1164" s="73"/>
      <c r="EL1164" s="73"/>
      <c r="EM1164" s="73"/>
      <c r="EN1164" s="73"/>
      <c r="EO1164" s="73"/>
      <c r="EP1164" s="69"/>
      <c r="EQ1164" s="69"/>
      <c r="ER1164" s="69"/>
    </row>
    <row r="1165">
      <c r="A1165" s="73"/>
      <c r="B1165" s="73"/>
      <c r="C1165" s="73"/>
      <c r="D1165" s="73"/>
      <c r="E1165" s="73"/>
      <c r="F1165" s="73"/>
      <c r="G1165" s="73"/>
      <c r="H1165" s="73"/>
      <c r="I1165" s="73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/>
      <c r="V1165" s="73"/>
      <c r="W1165" s="73"/>
      <c r="X1165" s="73"/>
      <c r="Y1165" s="73"/>
      <c r="Z1165" s="73"/>
      <c r="AA1165" s="73"/>
      <c r="AB1165" s="73"/>
      <c r="AC1165" s="73"/>
      <c r="AD1165" s="73"/>
      <c r="AE1165" s="73"/>
      <c r="AF1165" s="73"/>
      <c r="AG1165" s="73"/>
      <c r="AH1165" s="73"/>
      <c r="AI1165" s="73"/>
      <c r="AJ1165" s="73"/>
      <c r="AK1165" s="73"/>
      <c r="AL1165" s="73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  <c r="CI1165" s="73"/>
      <c r="CJ1165" s="73"/>
      <c r="CK1165" s="73"/>
      <c r="CL1165" s="73"/>
      <c r="CM1165" s="73"/>
      <c r="CN1165" s="73"/>
      <c r="CO1165" s="73"/>
      <c r="CP1165" s="73"/>
      <c r="CQ1165" s="73"/>
      <c r="CR1165" s="73"/>
      <c r="CS1165" s="73"/>
      <c r="CT1165" s="73"/>
      <c r="CU1165" s="73"/>
      <c r="CV1165" s="73"/>
      <c r="CW1165" s="73"/>
      <c r="CX1165" s="73"/>
      <c r="CY1165" s="73"/>
      <c r="CZ1165" s="73"/>
      <c r="DA1165" s="73"/>
      <c r="DB1165" s="73"/>
      <c r="DC1165" s="73"/>
      <c r="DD1165" s="73"/>
      <c r="DE1165" s="73"/>
      <c r="DF1165" s="73"/>
      <c r="DG1165" s="73"/>
      <c r="DH1165" s="73"/>
      <c r="DI1165" s="73"/>
      <c r="DJ1165" s="73"/>
      <c r="DK1165" s="73"/>
      <c r="DL1165" s="73"/>
      <c r="DM1165" s="73"/>
      <c r="DN1165" s="73"/>
      <c r="DO1165" s="73"/>
      <c r="DP1165" s="73"/>
      <c r="DQ1165" s="73"/>
      <c r="DR1165" s="73"/>
      <c r="DS1165" s="73"/>
      <c r="DT1165" s="73"/>
      <c r="DU1165" s="73"/>
      <c r="DV1165" s="73"/>
      <c r="DW1165" s="73"/>
      <c r="DX1165" s="72"/>
      <c r="DY1165" s="72"/>
      <c r="DZ1165" s="73"/>
      <c r="EA1165" s="73"/>
      <c r="EB1165" s="73"/>
      <c r="EC1165" s="73"/>
      <c r="ED1165" s="73"/>
      <c r="EE1165" s="73"/>
      <c r="EF1165" s="73"/>
      <c r="EG1165" s="73"/>
      <c r="EH1165" s="73"/>
      <c r="EI1165" s="73"/>
      <c r="EJ1165" s="73"/>
      <c r="EK1165" s="73"/>
      <c r="EL1165" s="73"/>
      <c r="EM1165" s="73"/>
      <c r="EN1165" s="73"/>
      <c r="EO1165" s="73"/>
      <c r="EP1165" s="69"/>
      <c r="EQ1165" s="69"/>
      <c r="ER1165" s="69"/>
    </row>
    <row r="1166">
      <c r="A1166" s="73"/>
      <c r="B1166" s="73"/>
      <c r="C1166" s="73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73"/>
      <c r="V1166" s="73"/>
      <c r="W1166" s="73"/>
      <c r="X1166" s="73"/>
      <c r="Y1166" s="73"/>
      <c r="Z1166" s="73"/>
      <c r="AA1166" s="73"/>
      <c r="AB1166" s="73"/>
      <c r="AC1166" s="73"/>
      <c r="AD1166" s="73"/>
      <c r="AE1166" s="73"/>
      <c r="AF1166" s="73"/>
      <c r="AG1166" s="73"/>
      <c r="AH1166" s="73"/>
      <c r="AI1166" s="73"/>
      <c r="AJ1166" s="73"/>
      <c r="AK1166" s="73"/>
      <c r="AL1166" s="73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  <c r="CI1166" s="73"/>
      <c r="CJ1166" s="73"/>
      <c r="CK1166" s="73"/>
      <c r="CL1166" s="73"/>
      <c r="CM1166" s="73"/>
      <c r="CN1166" s="73"/>
      <c r="CO1166" s="73"/>
      <c r="CP1166" s="73"/>
      <c r="CQ1166" s="73"/>
      <c r="CR1166" s="73"/>
      <c r="CS1166" s="73"/>
      <c r="CT1166" s="73"/>
      <c r="CU1166" s="73"/>
      <c r="CV1166" s="73"/>
      <c r="CW1166" s="73"/>
      <c r="CX1166" s="73"/>
      <c r="CY1166" s="73"/>
      <c r="CZ1166" s="73"/>
      <c r="DA1166" s="73"/>
      <c r="DB1166" s="73"/>
      <c r="DC1166" s="73"/>
      <c r="DD1166" s="73"/>
      <c r="DE1166" s="73"/>
      <c r="DF1166" s="73"/>
      <c r="DG1166" s="73"/>
      <c r="DH1166" s="73"/>
      <c r="DI1166" s="73"/>
      <c r="DJ1166" s="73"/>
      <c r="DK1166" s="73"/>
      <c r="DL1166" s="73"/>
      <c r="DM1166" s="73"/>
      <c r="DN1166" s="73"/>
      <c r="DO1166" s="73"/>
      <c r="DP1166" s="73"/>
      <c r="DQ1166" s="73"/>
      <c r="DR1166" s="73"/>
      <c r="DS1166" s="73"/>
      <c r="DT1166" s="73"/>
      <c r="DU1166" s="73"/>
      <c r="DV1166" s="73"/>
      <c r="DW1166" s="73"/>
      <c r="DX1166" s="73"/>
      <c r="DY1166" s="73"/>
      <c r="DZ1166" s="73"/>
      <c r="EA1166" s="73"/>
      <c r="EB1166" s="73"/>
      <c r="EC1166" s="73"/>
      <c r="ED1166" s="73"/>
      <c r="EE1166" s="73"/>
      <c r="EF1166" s="73"/>
      <c r="EG1166" s="73"/>
      <c r="EH1166" s="73"/>
      <c r="EI1166" s="73"/>
      <c r="EJ1166" s="73"/>
      <c r="EK1166" s="73"/>
      <c r="EL1166" s="73"/>
      <c r="EM1166" s="73"/>
      <c r="EN1166" s="73"/>
      <c r="EO1166" s="73"/>
      <c r="EP1166" s="73"/>
      <c r="EQ1166" s="73"/>
      <c r="ER1166" s="73"/>
    </row>
    <row r="1167">
      <c r="A1167" s="73"/>
      <c r="B1167" s="73"/>
      <c r="C1167" s="73"/>
      <c r="D1167" s="73"/>
      <c r="E1167" s="73"/>
      <c r="F1167" s="73"/>
      <c r="G1167" s="73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73"/>
      <c r="AK1167" s="73"/>
      <c r="AL1167" s="73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  <c r="CI1167" s="73"/>
      <c r="CJ1167" s="73"/>
      <c r="CK1167" s="73"/>
      <c r="CL1167" s="73"/>
      <c r="CM1167" s="73"/>
      <c r="CN1167" s="73"/>
      <c r="CO1167" s="73"/>
      <c r="CP1167" s="73"/>
      <c r="CQ1167" s="73"/>
      <c r="CR1167" s="73"/>
      <c r="CS1167" s="73"/>
      <c r="CT1167" s="73"/>
      <c r="CU1167" s="73"/>
      <c r="CV1167" s="73"/>
      <c r="CW1167" s="73"/>
      <c r="CX1167" s="73"/>
      <c r="CY1167" s="73"/>
      <c r="CZ1167" s="73"/>
      <c r="DA1167" s="73"/>
      <c r="DB1167" s="73"/>
      <c r="DC1167" s="73"/>
      <c r="DD1167" s="73"/>
      <c r="DE1167" s="73"/>
      <c r="DF1167" s="73"/>
      <c r="DG1167" s="73"/>
      <c r="DH1167" s="73"/>
      <c r="DI1167" s="73"/>
      <c r="DJ1167" s="73"/>
      <c r="DK1167" s="73"/>
      <c r="DL1167" s="73"/>
      <c r="DM1167" s="73"/>
      <c r="DN1167" s="73"/>
      <c r="DO1167" s="73"/>
      <c r="DP1167" s="73"/>
      <c r="DQ1167" s="73"/>
      <c r="DR1167" s="73"/>
      <c r="DS1167" s="73"/>
      <c r="DT1167" s="73"/>
      <c r="DU1167" s="73"/>
      <c r="DV1167" s="73"/>
      <c r="DW1167" s="73"/>
      <c r="DX1167" s="73"/>
      <c r="DY1167" s="73"/>
      <c r="DZ1167" s="73"/>
      <c r="EA1167" s="73"/>
      <c r="EB1167" s="73"/>
      <c r="EC1167" s="73"/>
      <c r="ED1167" s="73"/>
      <c r="EE1167" s="73"/>
      <c r="EF1167" s="73"/>
      <c r="EG1167" s="73"/>
      <c r="EH1167" s="73"/>
      <c r="EI1167" s="73"/>
      <c r="EJ1167" s="73"/>
      <c r="EK1167" s="73"/>
      <c r="EL1167" s="73"/>
      <c r="EM1167" s="73"/>
      <c r="EN1167" s="73"/>
      <c r="EO1167" s="73"/>
      <c r="EP1167" s="73"/>
      <c r="EQ1167" s="73"/>
      <c r="ER1167" s="73"/>
    </row>
    <row r="1168">
      <c r="A1168" s="73"/>
      <c r="B1168" s="73"/>
      <c r="C1168" s="73"/>
      <c r="D1168" s="73"/>
      <c r="E1168" s="73"/>
      <c r="F1168" s="73"/>
      <c r="G1168" s="73"/>
      <c r="H1168" s="73"/>
      <c r="I1168" s="73"/>
      <c r="J1168" s="73"/>
      <c r="K1168" s="73"/>
      <c r="L1168" s="73"/>
      <c r="M1168" s="73"/>
      <c r="N1168" s="73"/>
      <c r="O1168" s="73"/>
      <c r="P1168" s="73"/>
      <c r="Q1168" s="73"/>
      <c r="R1168" s="73"/>
      <c r="S1168" s="73"/>
      <c r="T1168" s="73"/>
      <c r="U1168" s="73"/>
      <c r="V1168" s="73"/>
      <c r="W1168" s="73"/>
      <c r="X1168" s="73"/>
      <c r="Y1168" s="73"/>
      <c r="Z1168" s="73"/>
      <c r="AA1168" s="73"/>
      <c r="AB1168" s="73"/>
      <c r="AC1168" s="73"/>
      <c r="AD1168" s="73"/>
      <c r="AE1168" s="73"/>
      <c r="AF1168" s="73"/>
      <c r="AG1168" s="73"/>
      <c r="AH1168" s="73"/>
      <c r="AI1168" s="73"/>
      <c r="AJ1168" s="73"/>
      <c r="AK1168" s="73"/>
      <c r="AL1168" s="73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  <c r="CI1168" s="73"/>
      <c r="CJ1168" s="73"/>
      <c r="CK1168" s="73"/>
      <c r="CL1168" s="73"/>
      <c r="CM1168" s="73"/>
      <c r="CN1168" s="73"/>
      <c r="CO1168" s="73"/>
      <c r="CP1168" s="73"/>
      <c r="CQ1168" s="73"/>
      <c r="CR1168" s="73"/>
      <c r="CS1168" s="73"/>
      <c r="CT1168" s="73"/>
      <c r="CU1168" s="73"/>
      <c r="CV1168" s="73"/>
      <c r="CW1168" s="73"/>
      <c r="CX1168" s="73"/>
      <c r="CY1168" s="73"/>
      <c r="CZ1168" s="73"/>
      <c r="DA1168" s="73"/>
      <c r="DB1168" s="73"/>
      <c r="DC1168" s="73"/>
      <c r="DD1168" s="73"/>
      <c r="DE1168" s="73"/>
      <c r="DF1168" s="73"/>
      <c r="DG1168" s="73"/>
      <c r="DH1168" s="73"/>
      <c r="DI1168" s="73"/>
      <c r="DJ1168" s="73"/>
      <c r="DK1168" s="73"/>
      <c r="DL1168" s="73"/>
      <c r="DM1168" s="73"/>
      <c r="DN1168" s="73"/>
      <c r="DO1168" s="73"/>
      <c r="DP1168" s="73"/>
      <c r="DQ1168" s="73"/>
      <c r="DR1168" s="73"/>
      <c r="DS1168" s="73"/>
      <c r="DT1168" s="73"/>
      <c r="DU1168" s="73"/>
      <c r="DV1168" s="73"/>
      <c r="DW1168" s="73"/>
      <c r="DX1168" s="73"/>
      <c r="DY1168" s="73"/>
      <c r="DZ1168" s="73"/>
      <c r="EA1168" s="73"/>
      <c r="EB1168" s="73"/>
      <c r="EC1168" s="73"/>
      <c r="ED1168" s="73"/>
      <c r="EE1168" s="73"/>
      <c r="EF1168" s="73"/>
      <c r="EG1168" s="73"/>
      <c r="EH1168" s="73"/>
      <c r="EI1168" s="73"/>
      <c r="EJ1168" s="73"/>
      <c r="EK1168" s="73"/>
      <c r="EL1168" s="73"/>
      <c r="EM1168" s="73"/>
      <c r="EN1168" s="73"/>
      <c r="EO1168" s="73"/>
      <c r="EP1168" s="73"/>
      <c r="EQ1168" s="73"/>
      <c r="ER1168" s="73"/>
    </row>
    <row r="1169">
      <c r="A1169" s="73"/>
      <c r="B1169" s="73"/>
      <c r="C1169" s="73"/>
      <c r="D1169" s="73"/>
      <c r="E1169" s="73"/>
      <c r="F1169" s="73"/>
      <c r="G1169" s="73"/>
      <c r="H1169" s="73"/>
      <c r="I1169" s="73"/>
      <c r="J1169" s="73"/>
      <c r="K1169" s="73"/>
      <c r="L1169" s="73"/>
      <c r="M1169" s="73"/>
      <c r="N1169" s="73"/>
      <c r="O1169" s="73"/>
      <c r="P1169" s="73"/>
      <c r="Q1169" s="73"/>
      <c r="R1169" s="73"/>
      <c r="S1169" s="73"/>
      <c r="T1169" s="73"/>
      <c r="U1169" s="73"/>
      <c r="V1169" s="73"/>
      <c r="W1169" s="73"/>
      <c r="X1169" s="73"/>
      <c r="Y1169" s="73"/>
      <c r="Z1169" s="73"/>
      <c r="AA1169" s="73"/>
      <c r="AB1169" s="73"/>
      <c r="AC1169" s="73"/>
      <c r="AD1169" s="73"/>
      <c r="AE1169" s="73"/>
      <c r="AF1169" s="73"/>
      <c r="AG1169" s="73"/>
      <c r="AH1169" s="73"/>
      <c r="AI1169" s="73"/>
      <c r="AJ1169" s="73"/>
      <c r="AK1169" s="73"/>
      <c r="AL1169" s="73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  <c r="CI1169" s="73"/>
      <c r="CJ1169" s="73"/>
      <c r="CK1169" s="73"/>
      <c r="CL1169" s="73"/>
      <c r="CM1169" s="73"/>
      <c r="CN1169" s="73"/>
      <c r="CO1169" s="73"/>
      <c r="CP1169" s="73"/>
      <c r="CQ1169" s="73"/>
      <c r="CR1169" s="73"/>
      <c r="CS1169" s="73"/>
      <c r="CT1169" s="73"/>
      <c r="CU1169" s="73"/>
      <c r="CV1169" s="73"/>
      <c r="CW1169" s="73"/>
      <c r="CX1169" s="73"/>
      <c r="CY1169" s="73"/>
      <c r="CZ1169" s="73"/>
      <c r="DA1169" s="73"/>
      <c r="DB1169" s="73"/>
      <c r="DC1169" s="73"/>
      <c r="DD1169" s="73"/>
      <c r="DE1169" s="73"/>
      <c r="DF1169" s="73"/>
      <c r="DG1169" s="73"/>
      <c r="DH1169" s="73"/>
      <c r="DI1169" s="73"/>
      <c r="DJ1169" s="73"/>
      <c r="DK1169" s="73"/>
      <c r="DL1169" s="73"/>
      <c r="DM1169" s="73"/>
      <c r="DN1169" s="73"/>
      <c r="DO1169" s="73"/>
      <c r="DP1169" s="73"/>
      <c r="DQ1169" s="73"/>
      <c r="DR1169" s="73"/>
      <c r="DS1169" s="73"/>
      <c r="DT1169" s="73"/>
      <c r="DU1169" s="73"/>
      <c r="DV1169" s="73"/>
      <c r="DW1169" s="73"/>
      <c r="DX1169" s="73"/>
      <c r="DY1169" s="73"/>
      <c r="DZ1169" s="73"/>
      <c r="EA1169" s="73"/>
      <c r="EB1169" s="73"/>
      <c r="EC1169" s="73"/>
      <c r="ED1169" s="73"/>
      <c r="EE1169" s="73"/>
      <c r="EF1169" s="73"/>
      <c r="EG1169" s="73"/>
      <c r="EH1169" s="73"/>
      <c r="EI1169" s="73"/>
      <c r="EJ1169" s="73"/>
      <c r="EK1169" s="73"/>
      <c r="EL1169" s="73"/>
      <c r="EM1169" s="73"/>
      <c r="EN1169" s="73"/>
      <c r="EO1169" s="73"/>
      <c r="EP1169" s="73"/>
      <c r="EQ1169" s="73"/>
      <c r="ER1169" s="73"/>
    </row>
    <row r="1170">
      <c r="A1170" s="73"/>
      <c r="B1170" s="73"/>
      <c r="C1170" s="73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  <c r="S1170" s="73"/>
      <c r="T1170" s="73"/>
      <c r="U1170" s="73"/>
      <c r="V1170" s="73"/>
      <c r="W1170" s="73"/>
      <c r="X1170" s="73"/>
      <c r="Y1170" s="73"/>
      <c r="Z1170" s="73"/>
      <c r="AA1170" s="73"/>
      <c r="AB1170" s="73"/>
      <c r="AC1170" s="73"/>
      <c r="AD1170" s="73"/>
      <c r="AE1170" s="73"/>
      <c r="AF1170" s="73"/>
      <c r="AG1170" s="73"/>
      <c r="AH1170" s="73"/>
      <c r="AI1170" s="73"/>
      <c r="AJ1170" s="73"/>
      <c r="AK1170" s="73"/>
      <c r="AL1170" s="73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  <c r="CI1170" s="73"/>
      <c r="CJ1170" s="73"/>
      <c r="CK1170" s="73"/>
      <c r="CL1170" s="73"/>
      <c r="CM1170" s="73"/>
      <c r="CN1170" s="73"/>
      <c r="CO1170" s="73"/>
      <c r="CP1170" s="73"/>
      <c r="CQ1170" s="73"/>
      <c r="CR1170" s="73"/>
      <c r="CS1170" s="73"/>
      <c r="CT1170" s="73"/>
      <c r="CU1170" s="73"/>
      <c r="CV1170" s="73"/>
      <c r="CW1170" s="73"/>
      <c r="CX1170" s="73"/>
      <c r="CY1170" s="73"/>
      <c r="CZ1170" s="73"/>
      <c r="DA1170" s="73"/>
      <c r="DB1170" s="73"/>
      <c r="DC1170" s="73"/>
      <c r="DD1170" s="73"/>
      <c r="DE1170" s="73"/>
      <c r="DF1170" s="73"/>
      <c r="DG1170" s="73"/>
      <c r="DH1170" s="73"/>
      <c r="DI1170" s="73"/>
      <c r="DJ1170" s="73"/>
      <c r="DK1170" s="73"/>
      <c r="DL1170" s="73"/>
      <c r="DM1170" s="73"/>
      <c r="DN1170" s="73"/>
      <c r="DO1170" s="73"/>
      <c r="DP1170" s="73"/>
      <c r="DQ1170" s="73"/>
      <c r="DR1170" s="73"/>
      <c r="DS1170" s="73"/>
      <c r="DT1170" s="73"/>
      <c r="DU1170" s="73"/>
      <c r="DV1170" s="73"/>
      <c r="DW1170" s="73"/>
      <c r="DX1170" s="73"/>
      <c r="DY1170" s="73"/>
      <c r="DZ1170" s="73"/>
      <c r="EA1170" s="73"/>
      <c r="EB1170" s="73"/>
      <c r="EC1170" s="73"/>
      <c r="ED1170" s="73"/>
      <c r="EE1170" s="73"/>
      <c r="EF1170" s="73"/>
      <c r="EG1170" s="73"/>
      <c r="EH1170" s="73"/>
      <c r="EI1170" s="73"/>
      <c r="EJ1170" s="73"/>
      <c r="EK1170" s="73"/>
      <c r="EL1170" s="73"/>
      <c r="EM1170" s="73"/>
      <c r="EN1170" s="73"/>
      <c r="EO1170" s="73"/>
      <c r="EP1170" s="73"/>
      <c r="EQ1170" s="73"/>
      <c r="ER1170" s="73"/>
    </row>
    <row r="1171">
      <c r="A1171" s="73"/>
      <c r="B1171" s="73"/>
      <c r="C1171" s="73"/>
      <c r="D1171" s="73"/>
      <c r="E1171" s="73"/>
      <c r="F1171" s="73"/>
      <c r="G1171" s="73"/>
      <c r="H1171" s="73"/>
      <c r="I1171" s="73"/>
      <c r="J1171" s="73"/>
      <c r="K1171" s="73"/>
      <c r="L1171" s="73"/>
      <c r="M1171" s="73"/>
      <c r="N1171" s="73"/>
      <c r="O1171" s="73"/>
      <c r="P1171" s="73"/>
      <c r="Q1171" s="73"/>
      <c r="R1171" s="73"/>
      <c r="S1171" s="73"/>
      <c r="T1171" s="73"/>
      <c r="U1171" s="73"/>
      <c r="V1171" s="73"/>
      <c r="W1171" s="73"/>
      <c r="X1171" s="73"/>
      <c r="Y1171" s="73"/>
      <c r="Z1171" s="73"/>
      <c r="AA1171" s="73"/>
      <c r="AB1171" s="73"/>
      <c r="AC1171" s="73"/>
      <c r="AD1171" s="73"/>
      <c r="AE1171" s="73"/>
      <c r="AF1171" s="73"/>
      <c r="AG1171" s="73"/>
      <c r="AH1171" s="73"/>
      <c r="AI1171" s="73"/>
      <c r="AJ1171" s="73"/>
      <c r="AK1171" s="73"/>
      <c r="AL1171" s="73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  <c r="CI1171" s="73"/>
      <c r="CJ1171" s="73"/>
      <c r="CK1171" s="73"/>
      <c r="CL1171" s="73"/>
      <c r="CM1171" s="73"/>
      <c r="CN1171" s="73"/>
      <c r="CO1171" s="73"/>
      <c r="CP1171" s="73"/>
      <c r="CQ1171" s="73"/>
      <c r="CR1171" s="73"/>
      <c r="CS1171" s="73"/>
      <c r="CT1171" s="73"/>
      <c r="CU1171" s="73"/>
      <c r="CV1171" s="73"/>
      <c r="CW1171" s="73"/>
      <c r="CX1171" s="73"/>
      <c r="CY1171" s="73"/>
      <c r="CZ1171" s="73"/>
      <c r="DA1171" s="73"/>
      <c r="DB1171" s="73"/>
      <c r="DC1171" s="73"/>
      <c r="DD1171" s="73"/>
      <c r="DE1171" s="73"/>
      <c r="DF1171" s="73"/>
      <c r="DG1171" s="73"/>
      <c r="DH1171" s="73"/>
      <c r="DI1171" s="73"/>
      <c r="DJ1171" s="73"/>
      <c r="DK1171" s="73"/>
      <c r="DL1171" s="73"/>
      <c r="DM1171" s="73"/>
      <c r="DN1171" s="73"/>
      <c r="DO1171" s="73"/>
      <c r="DP1171" s="73"/>
      <c r="DQ1171" s="73"/>
      <c r="DR1171" s="73"/>
      <c r="DS1171" s="73"/>
      <c r="DT1171" s="73"/>
      <c r="DU1171" s="73"/>
      <c r="DV1171" s="73"/>
      <c r="DW1171" s="73"/>
      <c r="DX1171" s="73"/>
      <c r="DY1171" s="73"/>
      <c r="DZ1171" s="73"/>
      <c r="EA1171" s="73"/>
      <c r="EB1171" s="73"/>
      <c r="EC1171" s="73"/>
      <c r="ED1171" s="73"/>
      <c r="EE1171" s="73"/>
      <c r="EF1171" s="73"/>
      <c r="EG1171" s="73"/>
      <c r="EH1171" s="73"/>
      <c r="EI1171" s="73"/>
      <c r="EJ1171" s="73"/>
      <c r="EK1171" s="73"/>
      <c r="EL1171" s="73"/>
      <c r="EM1171" s="73"/>
      <c r="EN1171" s="73"/>
      <c r="EO1171" s="73"/>
      <c r="EP1171" s="73"/>
      <c r="EQ1171" s="73"/>
      <c r="ER1171" s="73"/>
    </row>
    <row r="1172">
      <c r="A1172" s="73"/>
      <c r="B1172" s="73"/>
      <c r="C1172" s="73"/>
      <c r="D1172" s="73"/>
      <c r="E1172" s="73"/>
      <c r="F1172" s="73"/>
      <c r="G1172" s="73"/>
      <c r="H1172" s="73"/>
      <c r="I1172" s="73"/>
      <c r="J1172" s="73"/>
      <c r="K1172" s="73"/>
      <c r="L1172" s="73"/>
      <c r="M1172" s="73"/>
      <c r="N1172" s="73"/>
      <c r="O1172" s="73"/>
      <c r="P1172" s="73"/>
      <c r="Q1172" s="73"/>
      <c r="R1172" s="73"/>
      <c r="S1172" s="73"/>
      <c r="T1172" s="73"/>
      <c r="U1172" s="73"/>
      <c r="V1172" s="73"/>
      <c r="W1172" s="73"/>
      <c r="X1172" s="73"/>
      <c r="Y1172" s="73"/>
      <c r="Z1172" s="73"/>
      <c r="AA1172" s="73"/>
      <c r="AB1172" s="73"/>
      <c r="AC1172" s="73"/>
      <c r="AD1172" s="73"/>
      <c r="AE1172" s="73"/>
      <c r="AF1172" s="73"/>
      <c r="AG1172" s="73"/>
      <c r="AH1172" s="73"/>
      <c r="AI1172" s="73"/>
      <c r="AJ1172" s="73"/>
      <c r="AK1172" s="73"/>
      <c r="AL1172" s="73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  <c r="CI1172" s="73"/>
      <c r="CJ1172" s="73"/>
      <c r="CK1172" s="73"/>
      <c r="CL1172" s="73"/>
      <c r="CM1172" s="73"/>
      <c r="CN1172" s="73"/>
      <c r="CO1172" s="73"/>
      <c r="CP1172" s="73"/>
      <c r="CQ1172" s="73"/>
      <c r="CR1172" s="73"/>
      <c r="CS1172" s="73"/>
      <c r="CT1172" s="73"/>
      <c r="CU1172" s="73"/>
      <c r="CV1172" s="73"/>
      <c r="CW1172" s="73"/>
      <c r="CX1172" s="73"/>
      <c r="CY1172" s="73"/>
      <c r="CZ1172" s="73"/>
      <c r="DA1172" s="73"/>
      <c r="DB1172" s="73"/>
      <c r="DC1172" s="73"/>
      <c r="DD1172" s="73"/>
      <c r="DE1172" s="73"/>
      <c r="DF1172" s="73"/>
      <c r="DG1172" s="73"/>
      <c r="DH1172" s="73"/>
      <c r="DI1172" s="73"/>
      <c r="DJ1172" s="73"/>
      <c r="DK1172" s="73"/>
      <c r="DL1172" s="73"/>
      <c r="DM1172" s="73"/>
      <c r="DN1172" s="73"/>
      <c r="DO1172" s="73"/>
      <c r="DP1172" s="73"/>
      <c r="DQ1172" s="73"/>
      <c r="DR1172" s="73"/>
      <c r="DS1172" s="73"/>
      <c r="DT1172" s="73"/>
      <c r="DU1172" s="73"/>
      <c r="DV1172" s="73"/>
      <c r="DW1172" s="73"/>
      <c r="DX1172" s="73"/>
      <c r="DY1172" s="73"/>
      <c r="DZ1172" s="73"/>
      <c r="EA1172" s="73"/>
      <c r="EB1172" s="73"/>
      <c r="EC1172" s="73"/>
      <c r="ED1172" s="73"/>
      <c r="EE1172" s="73"/>
      <c r="EF1172" s="73"/>
      <c r="EG1172" s="73"/>
      <c r="EH1172" s="73"/>
      <c r="EI1172" s="73"/>
      <c r="EJ1172" s="73"/>
      <c r="EK1172" s="73"/>
      <c r="EL1172" s="73"/>
      <c r="EM1172" s="73"/>
      <c r="EN1172" s="73"/>
      <c r="EO1172" s="73"/>
      <c r="EP1172" s="73"/>
      <c r="EQ1172" s="73"/>
      <c r="ER1172" s="73"/>
    </row>
    <row r="1173">
      <c r="A1173" s="73"/>
      <c r="B1173" s="73"/>
      <c r="C1173" s="73"/>
      <c r="D1173" s="73"/>
      <c r="E1173" s="73"/>
      <c r="F1173" s="73"/>
      <c r="G1173" s="73"/>
      <c r="H1173" s="73"/>
      <c r="I1173" s="73"/>
      <c r="J1173" s="73"/>
      <c r="K1173" s="73"/>
      <c r="L1173" s="73"/>
      <c r="M1173" s="73"/>
      <c r="N1173" s="73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  <c r="CI1173" s="73"/>
      <c r="CJ1173" s="73"/>
      <c r="CK1173" s="73"/>
      <c r="CL1173" s="73"/>
      <c r="CM1173" s="73"/>
      <c r="CN1173" s="73"/>
      <c r="CO1173" s="73"/>
      <c r="CP1173" s="73"/>
      <c r="CQ1173" s="73"/>
      <c r="CR1173" s="73"/>
      <c r="CS1173" s="73"/>
      <c r="CT1173" s="73"/>
      <c r="CU1173" s="73"/>
      <c r="CV1173" s="73"/>
      <c r="CW1173" s="73"/>
      <c r="CX1173" s="73"/>
      <c r="CY1173" s="73"/>
      <c r="CZ1173" s="73"/>
      <c r="DA1173" s="73"/>
      <c r="DB1173" s="73"/>
      <c r="DC1173" s="73"/>
      <c r="DD1173" s="73"/>
      <c r="DE1173" s="73"/>
      <c r="DF1173" s="73"/>
      <c r="DG1173" s="73"/>
      <c r="DH1173" s="73"/>
      <c r="DI1173" s="73"/>
      <c r="DJ1173" s="73"/>
      <c r="DK1173" s="73"/>
      <c r="DL1173" s="73"/>
      <c r="DM1173" s="73"/>
      <c r="DN1173" s="73"/>
      <c r="DO1173" s="73"/>
      <c r="DP1173" s="73"/>
      <c r="DQ1173" s="73"/>
      <c r="DR1173" s="73"/>
      <c r="DS1173" s="73"/>
      <c r="DT1173" s="73"/>
      <c r="DU1173" s="73"/>
      <c r="DV1173" s="73"/>
      <c r="DW1173" s="73"/>
      <c r="DX1173" s="73"/>
      <c r="DY1173" s="73"/>
      <c r="DZ1173" s="73"/>
      <c r="EA1173" s="73"/>
      <c r="EB1173" s="73"/>
      <c r="EC1173" s="73"/>
      <c r="ED1173" s="73"/>
      <c r="EE1173" s="73"/>
      <c r="EF1173" s="73"/>
      <c r="EG1173" s="73"/>
      <c r="EH1173" s="73"/>
      <c r="EI1173" s="73"/>
      <c r="EJ1173" s="73"/>
      <c r="EK1173" s="73"/>
      <c r="EL1173" s="73"/>
      <c r="EM1173" s="73"/>
      <c r="EN1173" s="73"/>
      <c r="EO1173" s="73"/>
      <c r="EP1173" s="73"/>
      <c r="EQ1173" s="73"/>
      <c r="ER1173" s="73"/>
    </row>
    <row r="1174">
      <c r="A1174" s="73"/>
      <c r="B1174" s="73"/>
      <c r="C1174" s="73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  <c r="S1174" s="73"/>
      <c r="T1174" s="73"/>
      <c r="U1174" s="73"/>
      <c r="V1174" s="73"/>
      <c r="W1174" s="73"/>
      <c r="X1174" s="73"/>
      <c r="Y1174" s="73"/>
      <c r="Z1174" s="73"/>
      <c r="AA1174" s="73"/>
      <c r="AB1174" s="73"/>
      <c r="AC1174" s="73"/>
      <c r="AD1174" s="73"/>
      <c r="AE1174" s="73"/>
      <c r="AF1174" s="73"/>
      <c r="AG1174" s="73"/>
      <c r="AH1174" s="73"/>
      <c r="AI1174" s="73"/>
      <c r="AJ1174" s="73"/>
      <c r="AK1174" s="73"/>
      <c r="AL1174" s="73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  <c r="CI1174" s="73"/>
      <c r="CJ1174" s="73"/>
      <c r="CK1174" s="73"/>
      <c r="CL1174" s="73"/>
      <c r="CM1174" s="73"/>
      <c r="CN1174" s="73"/>
      <c r="CO1174" s="73"/>
      <c r="CP1174" s="73"/>
      <c r="CQ1174" s="73"/>
      <c r="CR1174" s="73"/>
      <c r="CS1174" s="73"/>
      <c r="CT1174" s="73"/>
      <c r="CU1174" s="73"/>
      <c r="CV1174" s="73"/>
      <c r="CW1174" s="73"/>
      <c r="CX1174" s="73"/>
      <c r="CY1174" s="73"/>
      <c r="CZ1174" s="73"/>
      <c r="DA1174" s="73"/>
      <c r="DB1174" s="73"/>
      <c r="DC1174" s="73"/>
      <c r="DD1174" s="73"/>
      <c r="DE1174" s="73"/>
      <c r="DF1174" s="73"/>
      <c r="DG1174" s="73"/>
      <c r="DH1174" s="73"/>
      <c r="DI1174" s="73"/>
      <c r="DJ1174" s="73"/>
      <c r="DK1174" s="73"/>
      <c r="DL1174" s="73"/>
      <c r="DM1174" s="73"/>
      <c r="DN1174" s="73"/>
      <c r="DO1174" s="73"/>
      <c r="DP1174" s="73"/>
      <c r="DQ1174" s="73"/>
      <c r="DR1174" s="73"/>
      <c r="DS1174" s="73"/>
      <c r="DT1174" s="73"/>
      <c r="DU1174" s="73"/>
      <c r="DV1174" s="73"/>
      <c r="DW1174" s="73"/>
      <c r="DX1174" s="73"/>
      <c r="DY1174" s="73"/>
      <c r="DZ1174" s="73"/>
      <c r="EA1174" s="73"/>
      <c r="EB1174" s="73"/>
      <c r="EC1174" s="73"/>
      <c r="ED1174" s="73"/>
      <c r="EE1174" s="73"/>
      <c r="EF1174" s="73"/>
      <c r="EG1174" s="73"/>
      <c r="EH1174" s="73"/>
      <c r="EI1174" s="73"/>
      <c r="EJ1174" s="73"/>
      <c r="EK1174" s="73"/>
      <c r="EL1174" s="73"/>
      <c r="EM1174" s="73"/>
      <c r="EN1174" s="73"/>
      <c r="EO1174" s="73"/>
      <c r="EP1174" s="73"/>
      <c r="EQ1174" s="73"/>
      <c r="ER1174" s="73"/>
    </row>
  </sheetData>
  <autoFilter ref="$A$3:$EQ$1165"/>
  <customSheetViews>
    <customSheetView guid="{D42415EC-BCD2-4837-8207-9828990F0E19}" filter="1" showAutoFilter="1">
      <autoFilter ref="$A$3:$CM$1165"/>
    </customSheetView>
  </customSheetViews>
  <drawing r:id="rId1"/>
</worksheet>
</file>